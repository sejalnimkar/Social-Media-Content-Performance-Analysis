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D:\Learning\Marketing Data Analysis\"/>
    </mc:Choice>
  </mc:AlternateContent>
  <xr:revisionPtr revIDLastSave="0" documentId="13_ncr:1_{D8B365F1-236F-4622-8242-D7ADB2784417}" xr6:coauthVersionLast="47" xr6:coauthVersionMax="47" xr10:uidLastSave="{00000000-0000-0000-0000-000000000000}"/>
  <bookViews>
    <workbookView xWindow="-108" yWindow="-108" windowWidth="23256" windowHeight="12456" firstSheet="2" activeTab="6" xr2:uid="{D8BDBAC2-99B9-4A29-A7BD-8E2EFE1C5F69}"/>
  </bookViews>
  <sheets>
    <sheet name="01_Twitter_Raw" sheetId="3" r:id="rId1"/>
    <sheet name="02_Twitter_Clean" sheetId="2" r:id="rId2"/>
    <sheet name="03_Twitter_Analysis" sheetId="1" r:id="rId3"/>
    <sheet name="04_Pivots" sheetId="4" r:id="rId4"/>
    <sheet name="05_Top_Posts" sheetId="7" r:id="rId5"/>
    <sheet name="06_Dashboard" sheetId="8" r:id="rId6"/>
    <sheet name="07_Insights" sheetId="9" r:id="rId7"/>
  </sheets>
  <definedNames>
    <definedName name="ExternalData_1" localSheetId="0" hidden="1">'01_Twitter_Raw'!$A$1:$Z$1001</definedName>
    <definedName name="ExternalData_1" localSheetId="1" hidden="1">'02_Twitter_Clean'!$A$1:$Z$1001</definedName>
    <definedName name="Slicer_Has_Video">#N/A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Q23" i="4" l="1"/>
  <c r="Q24" i="4"/>
  <c r="Q25" i="4"/>
  <c r="Q22" i="4"/>
  <c r="P23" i="4"/>
  <c r="P24" i="4"/>
  <c r="P25" i="4"/>
  <c r="P22" i="4"/>
  <c r="Q12" i="4"/>
  <c r="Q13" i="4"/>
  <c r="Q14" i="4"/>
  <c r="Q15" i="4"/>
  <c r="Q16" i="4"/>
  <c r="Q17" i="4"/>
  <c r="Q11" i="4"/>
  <c r="P12" i="4"/>
  <c r="P13" i="4"/>
  <c r="P14" i="4"/>
  <c r="P15" i="4"/>
  <c r="P16" i="4"/>
  <c r="P17" i="4"/>
  <c r="P11" i="4"/>
  <c r="U6" i="4"/>
  <c r="U7" i="4"/>
  <c r="U8" i="4"/>
  <c r="U9" i="4"/>
  <c r="U10" i="4"/>
  <c r="U11" i="4"/>
  <c r="U12" i="4"/>
  <c r="U13" i="4"/>
  <c r="U14" i="4"/>
  <c r="U15" i="4"/>
  <c r="U16" i="4"/>
  <c r="U17" i="4"/>
  <c r="U18" i="4"/>
  <c r="U19" i="4"/>
  <c r="U20" i="4"/>
  <c r="U21" i="4"/>
  <c r="U22" i="4"/>
  <c r="U23" i="4"/>
  <c r="U24" i="4"/>
  <c r="U25" i="4"/>
  <c r="U26" i="4"/>
  <c r="U27" i="4"/>
  <c r="U28" i="4"/>
  <c r="U5" i="4"/>
  <c r="Q5" i="4"/>
  <c r="T6" i="4"/>
  <c r="T7" i="4"/>
  <c r="T8" i="4"/>
  <c r="T9" i="4"/>
  <c r="T10" i="4"/>
  <c r="T11" i="4"/>
  <c r="T12" i="4"/>
  <c r="T13" i="4"/>
  <c r="T14" i="4"/>
  <c r="T15" i="4"/>
  <c r="T16" i="4"/>
  <c r="T17" i="4"/>
  <c r="T18" i="4"/>
  <c r="T19" i="4"/>
  <c r="T20" i="4"/>
  <c r="T21" i="4"/>
  <c r="T22" i="4"/>
  <c r="T23" i="4"/>
  <c r="T24" i="4"/>
  <c r="T25" i="4"/>
  <c r="T26" i="4"/>
  <c r="T27" i="4"/>
  <c r="T28" i="4"/>
  <c r="T5" i="4"/>
  <c r="R5" i="4"/>
  <c r="Q6" i="4"/>
  <c r="R6" i="4"/>
  <c r="Q7" i="4"/>
  <c r="R7" i="4"/>
  <c r="O7" i="8"/>
  <c r="K7" i="8"/>
  <c r="H7" i="8"/>
  <c r="E7" i="8"/>
  <c r="J13" i="7"/>
  <c r="I13" i="7"/>
  <c r="H13" i="7"/>
  <c r="G13" i="7"/>
  <c r="F13" i="7"/>
  <c r="J12" i="7"/>
  <c r="I12" i="7"/>
  <c r="H12" i="7"/>
  <c r="G12" i="7"/>
  <c r="F12" i="7"/>
  <c r="J11" i="7"/>
  <c r="I11" i="7"/>
  <c r="H11" i="7"/>
  <c r="G11" i="7"/>
  <c r="F11" i="7"/>
  <c r="J10" i="7"/>
  <c r="I10" i="7"/>
  <c r="H10" i="7"/>
  <c r="G10" i="7"/>
  <c r="F10" i="7"/>
  <c r="J9" i="7"/>
  <c r="I9" i="7"/>
  <c r="H9" i="7"/>
  <c r="G9" i="7"/>
  <c r="F9" i="7"/>
  <c r="J8" i="7"/>
  <c r="I8" i="7"/>
  <c r="H8" i="7"/>
  <c r="G8" i="7"/>
  <c r="F8" i="7"/>
  <c r="J7" i="7"/>
  <c r="I7" i="7"/>
  <c r="H7" i="7"/>
  <c r="G7" i="7"/>
  <c r="F7" i="7"/>
  <c r="J6" i="7"/>
  <c r="I6" i="7"/>
  <c r="H6" i="7"/>
  <c r="G6" i="7"/>
  <c r="F6" i="7"/>
  <c r="J5" i="7"/>
  <c r="I5" i="7"/>
  <c r="H5" i="7"/>
  <c r="G5" i="7"/>
  <c r="F5" i="7"/>
  <c r="J4" i="7"/>
  <c r="I4" i="7"/>
  <c r="H4" i="7"/>
  <c r="G4" i="7"/>
  <c r="F4" i="7"/>
  <c r="AL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508" i="2"/>
  <c r="AI509" i="2"/>
  <c r="AI510" i="2"/>
  <c r="AI511" i="2"/>
  <c r="AI512" i="2"/>
  <c r="AI513" i="2"/>
  <c r="AI514" i="2"/>
  <c r="AI515" i="2"/>
  <c r="AI516" i="2"/>
  <c r="AI517" i="2"/>
  <c r="AI518" i="2"/>
  <c r="AI519" i="2"/>
  <c r="AI520" i="2"/>
  <c r="AI521" i="2"/>
  <c r="AI522" i="2"/>
  <c r="AI523" i="2"/>
  <c r="AI524" i="2"/>
  <c r="AI525" i="2"/>
  <c r="AI526" i="2"/>
  <c r="AI527" i="2"/>
  <c r="AI528" i="2"/>
  <c r="AI529" i="2"/>
  <c r="AI530" i="2"/>
  <c r="AI531" i="2"/>
  <c r="AI532" i="2"/>
  <c r="AI533" i="2"/>
  <c r="AI534" i="2"/>
  <c r="AI535" i="2"/>
  <c r="AI536" i="2"/>
  <c r="AI537" i="2"/>
  <c r="AI538" i="2"/>
  <c r="AI539" i="2"/>
  <c r="AI540" i="2"/>
  <c r="AI541" i="2"/>
  <c r="AI542" i="2"/>
  <c r="AI543" i="2"/>
  <c r="AI544" i="2"/>
  <c r="AI545" i="2"/>
  <c r="AI546" i="2"/>
  <c r="AI547" i="2"/>
  <c r="AI548" i="2"/>
  <c r="AI549" i="2"/>
  <c r="AI550" i="2"/>
  <c r="AI551" i="2"/>
  <c r="AI552" i="2"/>
  <c r="AI553" i="2"/>
  <c r="AI554" i="2"/>
  <c r="AI555" i="2"/>
  <c r="AI556" i="2"/>
  <c r="AI557" i="2"/>
  <c r="AI558" i="2"/>
  <c r="AI559" i="2"/>
  <c r="AI560" i="2"/>
  <c r="AI561" i="2"/>
  <c r="AI562" i="2"/>
  <c r="AI563" i="2"/>
  <c r="AI564" i="2"/>
  <c r="AI565" i="2"/>
  <c r="AI566" i="2"/>
  <c r="AI567" i="2"/>
  <c r="AI568" i="2"/>
  <c r="AI569" i="2"/>
  <c r="AI570" i="2"/>
  <c r="AI571" i="2"/>
  <c r="AI572" i="2"/>
  <c r="AI573" i="2"/>
  <c r="AI574" i="2"/>
  <c r="AI575" i="2"/>
  <c r="AI576" i="2"/>
  <c r="AI577" i="2"/>
  <c r="AI578" i="2"/>
  <c r="AI579" i="2"/>
  <c r="AI580" i="2"/>
  <c r="AI581" i="2"/>
  <c r="AI582" i="2"/>
  <c r="AI583" i="2"/>
  <c r="AI584" i="2"/>
  <c r="AI585" i="2"/>
  <c r="AI586" i="2"/>
  <c r="AI587" i="2"/>
  <c r="AI588" i="2"/>
  <c r="AI589" i="2"/>
  <c r="AI590" i="2"/>
  <c r="AI591" i="2"/>
  <c r="AI592" i="2"/>
  <c r="AI593" i="2"/>
  <c r="AI594" i="2"/>
  <c r="AI595" i="2"/>
  <c r="AI596" i="2"/>
  <c r="AI597" i="2"/>
  <c r="AI598" i="2"/>
  <c r="AI599" i="2"/>
  <c r="AI600" i="2"/>
  <c r="AI601" i="2"/>
  <c r="AI602" i="2"/>
  <c r="AI603" i="2"/>
  <c r="AI604" i="2"/>
  <c r="AI605" i="2"/>
  <c r="AI606" i="2"/>
  <c r="AI607" i="2"/>
  <c r="AI608" i="2"/>
  <c r="AI609" i="2"/>
  <c r="AI610" i="2"/>
  <c r="AI611" i="2"/>
  <c r="AI612" i="2"/>
  <c r="AI613" i="2"/>
  <c r="AI614" i="2"/>
  <c r="AI615" i="2"/>
  <c r="AI616" i="2"/>
  <c r="AI617" i="2"/>
  <c r="AI618" i="2"/>
  <c r="AI619" i="2"/>
  <c r="AI620" i="2"/>
  <c r="AI621" i="2"/>
  <c r="AI622" i="2"/>
  <c r="AI623" i="2"/>
  <c r="AI624" i="2"/>
  <c r="AI625" i="2"/>
  <c r="AI626" i="2"/>
  <c r="AI627" i="2"/>
  <c r="AI628" i="2"/>
  <c r="AI629" i="2"/>
  <c r="AI630" i="2"/>
  <c r="AI631" i="2"/>
  <c r="AI632" i="2"/>
  <c r="AI633" i="2"/>
  <c r="AI634" i="2"/>
  <c r="AI635" i="2"/>
  <c r="AI636" i="2"/>
  <c r="AI637" i="2"/>
  <c r="AI638" i="2"/>
  <c r="AI639" i="2"/>
  <c r="AI640" i="2"/>
  <c r="AI641" i="2"/>
  <c r="AI642" i="2"/>
  <c r="AI643" i="2"/>
  <c r="AI644" i="2"/>
  <c r="AI645" i="2"/>
  <c r="AI646" i="2"/>
  <c r="AI647" i="2"/>
  <c r="AI648" i="2"/>
  <c r="AI649" i="2"/>
  <c r="AI650" i="2"/>
  <c r="AI651" i="2"/>
  <c r="AI652" i="2"/>
  <c r="AI653" i="2"/>
  <c r="AI654" i="2"/>
  <c r="AI655" i="2"/>
  <c r="AI656" i="2"/>
  <c r="AI657" i="2"/>
  <c r="AI658" i="2"/>
  <c r="AI659" i="2"/>
  <c r="AI660" i="2"/>
  <c r="AI661" i="2"/>
  <c r="AI662" i="2"/>
  <c r="AI663" i="2"/>
  <c r="AI664" i="2"/>
  <c r="AI665" i="2"/>
  <c r="AI666" i="2"/>
  <c r="AI667" i="2"/>
  <c r="AI668" i="2"/>
  <c r="AI669" i="2"/>
  <c r="AI670" i="2"/>
  <c r="AI671" i="2"/>
  <c r="AI672" i="2"/>
  <c r="AI673" i="2"/>
  <c r="AI674" i="2"/>
  <c r="AI675" i="2"/>
  <c r="AI676" i="2"/>
  <c r="AI677" i="2"/>
  <c r="AI678" i="2"/>
  <c r="AI679" i="2"/>
  <c r="AI680" i="2"/>
  <c r="AI681" i="2"/>
  <c r="AI682" i="2"/>
  <c r="AI683" i="2"/>
  <c r="AI684" i="2"/>
  <c r="AI685" i="2"/>
  <c r="AI686" i="2"/>
  <c r="AI687" i="2"/>
  <c r="AI688" i="2"/>
  <c r="AI689" i="2"/>
  <c r="AI690" i="2"/>
  <c r="AI691" i="2"/>
  <c r="AI692" i="2"/>
  <c r="AI693" i="2"/>
  <c r="AI694" i="2"/>
  <c r="AI695" i="2"/>
  <c r="AI696" i="2"/>
  <c r="AI697" i="2"/>
  <c r="AI698" i="2"/>
  <c r="AI699" i="2"/>
  <c r="AI700" i="2"/>
  <c r="AI701" i="2"/>
  <c r="AI702" i="2"/>
  <c r="AI703" i="2"/>
  <c r="AI704" i="2"/>
  <c r="AI705" i="2"/>
  <c r="AI706" i="2"/>
  <c r="AI707" i="2"/>
  <c r="AI708" i="2"/>
  <c r="AI709" i="2"/>
  <c r="AI710" i="2"/>
  <c r="AI711" i="2"/>
  <c r="AI712" i="2"/>
  <c r="AI713" i="2"/>
  <c r="AI714" i="2"/>
  <c r="AI715" i="2"/>
  <c r="AI716" i="2"/>
  <c r="AI717" i="2"/>
  <c r="AI718" i="2"/>
  <c r="AI719" i="2"/>
  <c r="AI720" i="2"/>
  <c r="AI721" i="2"/>
  <c r="AI722" i="2"/>
  <c r="AI723" i="2"/>
  <c r="AI724" i="2"/>
  <c r="AI725" i="2"/>
  <c r="AI726" i="2"/>
  <c r="AI727" i="2"/>
  <c r="AI728" i="2"/>
  <c r="AI729" i="2"/>
  <c r="AI730" i="2"/>
  <c r="AI731" i="2"/>
  <c r="AI732" i="2"/>
  <c r="AI733" i="2"/>
  <c r="AI734" i="2"/>
  <c r="AI735" i="2"/>
  <c r="AI736" i="2"/>
  <c r="AI737" i="2"/>
  <c r="AI738" i="2"/>
  <c r="AI739" i="2"/>
  <c r="AI740" i="2"/>
  <c r="AI741" i="2"/>
  <c r="AI742" i="2"/>
  <c r="AI743" i="2"/>
  <c r="AI744" i="2"/>
  <c r="AI745" i="2"/>
  <c r="AI746" i="2"/>
  <c r="AI747" i="2"/>
  <c r="AI748" i="2"/>
  <c r="AI749" i="2"/>
  <c r="AI750" i="2"/>
  <c r="AI751" i="2"/>
  <c r="AI752" i="2"/>
  <c r="AI753" i="2"/>
  <c r="AI754" i="2"/>
  <c r="AI755" i="2"/>
  <c r="AI756" i="2"/>
  <c r="AI757" i="2"/>
  <c r="AI758" i="2"/>
  <c r="AI759" i="2"/>
  <c r="AI760" i="2"/>
  <c r="AI761" i="2"/>
  <c r="AI762" i="2"/>
  <c r="AI763" i="2"/>
  <c r="AI764" i="2"/>
  <c r="AI765" i="2"/>
  <c r="AI766" i="2"/>
  <c r="AI767" i="2"/>
  <c r="AI768" i="2"/>
  <c r="AI769" i="2"/>
  <c r="AI770" i="2"/>
  <c r="AI771" i="2"/>
  <c r="AI772" i="2"/>
  <c r="AI773" i="2"/>
  <c r="AI774" i="2"/>
  <c r="AI775" i="2"/>
  <c r="AI776" i="2"/>
  <c r="AI777" i="2"/>
  <c r="AI778" i="2"/>
  <c r="AI779" i="2"/>
  <c r="AI780" i="2"/>
  <c r="AI781" i="2"/>
  <c r="AI782" i="2"/>
  <c r="AI783" i="2"/>
  <c r="AI784" i="2"/>
  <c r="AI785" i="2"/>
  <c r="AI786" i="2"/>
  <c r="AI787" i="2"/>
  <c r="AI788" i="2"/>
  <c r="AI789" i="2"/>
  <c r="AI790" i="2"/>
  <c r="AI791" i="2"/>
  <c r="AI792" i="2"/>
  <c r="AI793" i="2"/>
  <c r="AI794" i="2"/>
  <c r="AI795" i="2"/>
  <c r="AI796" i="2"/>
  <c r="AI797" i="2"/>
  <c r="AI798" i="2"/>
  <c r="AI799" i="2"/>
  <c r="AI800" i="2"/>
  <c r="AI801" i="2"/>
  <c r="AI802" i="2"/>
  <c r="AI803" i="2"/>
  <c r="AI804" i="2"/>
  <c r="AI805" i="2"/>
  <c r="AI806" i="2"/>
  <c r="AI807" i="2"/>
  <c r="AI808" i="2"/>
  <c r="AI809" i="2"/>
  <c r="AI810" i="2"/>
  <c r="AI811" i="2"/>
  <c r="AI812" i="2"/>
  <c r="AI813" i="2"/>
  <c r="AI814" i="2"/>
  <c r="AI815" i="2"/>
  <c r="AI816" i="2"/>
  <c r="AI817" i="2"/>
  <c r="AI818" i="2"/>
  <c r="AI819" i="2"/>
  <c r="AI820" i="2"/>
  <c r="AI821" i="2"/>
  <c r="AI822" i="2"/>
  <c r="AI823" i="2"/>
  <c r="AI824" i="2"/>
  <c r="AI825" i="2"/>
  <c r="AI826" i="2"/>
  <c r="AI827" i="2"/>
  <c r="AI828" i="2"/>
  <c r="AI829" i="2"/>
  <c r="AI830" i="2"/>
  <c r="AI831" i="2"/>
  <c r="AI832" i="2"/>
  <c r="AI833" i="2"/>
  <c r="AI834" i="2"/>
  <c r="AI835" i="2"/>
  <c r="AI836" i="2"/>
  <c r="AI837" i="2"/>
  <c r="AI838" i="2"/>
  <c r="AI839" i="2"/>
  <c r="AI840" i="2"/>
  <c r="AI841" i="2"/>
  <c r="AI842" i="2"/>
  <c r="AI843" i="2"/>
  <c r="AI844" i="2"/>
  <c r="AI845" i="2"/>
  <c r="AI846" i="2"/>
  <c r="AI847" i="2"/>
  <c r="AI848" i="2"/>
  <c r="AI849" i="2"/>
  <c r="AI850" i="2"/>
  <c r="AI851" i="2"/>
  <c r="AI852" i="2"/>
  <c r="AI853" i="2"/>
  <c r="AI854" i="2"/>
  <c r="AI855" i="2"/>
  <c r="AI856" i="2"/>
  <c r="AI857" i="2"/>
  <c r="AI858" i="2"/>
  <c r="AI859" i="2"/>
  <c r="AI860" i="2"/>
  <c r="AI861" i="2"/>
  <c r="AI862" i="2"/>
  <c r="AI863" i="2"/>
  <c r="AI864" i="2"/>
  <c r="AI865" i="2"/>
  <c r="AI866" i="2"/>
  <c r="AI867" i="2"/>
  <c r="AI868" i="2"/>
  <c r="AI869" i="2"/>
  <c r="AI870" i="2"/>
  <c r="AI871" i="2"/>
  <c r="AI872" i="2"/>
  <c r="AI873" i="2"/>
  <c r="AI874" i="2"/>
  <c r="AI875" i="2"/>
  <c r="AI876" i="2"/>
  <c r="AI877" i="2"/>
  <c r="AI878" i="2"/>
  <c r="AI879" i="2"/>
  <c r="AI880" i="2"/>
  <c r="AI881" i="2"/>
  <c r="AI882" i="2"/>
  <c r="AI883" i="2"/>
  <c r="AI884" i="2"/>
  <c r="AI885" i="2"/>
  <c r="AI886" i="2"/>
  <c r="AI887" i="2"/>
  <c r="AI888" i="2"/>
  <c r="AI889" i="2"/>
  <c r="AI890" i="2"/>
  <c r="AI891" i="2"/>
  <c r="AI892" i="2"/>
  <c r="AI893" i="2"/>
  <c r="AI894" i="2"/>
  <c r="AI895" i="2"/>
  <c r="AI896" i="2"/>
  <c r="AI897" i="2"/>
  <c r="AI898" i="2"/>
  <c r="AI899" i="2"/>
  <c r="AI900" i="2"/>
  <c r="AI901" i="2"/>
  <c r="AI902" i="2"/>
  <c r="AI903" i="2"/>
  <c r="AI904" i="2"/>
  <c r="AI905" i="2"/>
  <c r="AI906" i="2"/>
  <c r="AI907" i="2"/>
  <c r="AI908" i="2"/>
  <c r="AI909" i="2"/>
  <c r="AI910" i="2"/>
  <c r="AI911" i="2"/>
  <c r="AI912" i="2"/>
  <c r="AI913" i="2"/>
  <c r="AI914" i="2"/>
  <c r="AI915" i="2"/>
  <c r="AI916" i="2"/>
  <c r="AI917" i="2"/>
  <c r="AI918" i="2"/>
  <c r="AI919" i="2"/>
  <c r="AI920" i="2"/>
  <c r="AI921" i="2"/>
  <c r="AI922" i="2"/>
  <c r="AI923" i="2"/>
  <c r="AI924" i="2"/>
  <c r="AI925" i="2"/>
  <c r="AI926" i="2"/>
  <c r="AI927" i="2"/>
  <c r="AI928" i="2"/>
  <c r="AI929" i="2"/>
  <c r="AI930" i="2"/>
  <c r="AI931" i="2"/>
  <c r="AI932" i="2"/>
  <c r="AI933" i="2"/>
  <c r="AI934" i="2"/>
  <c r="AI935" i="2"/>
  <c r="AI936" i="2"/>
  <c r="AI937" i="2"/>
  <c r="AI938" i="2"/>
  <c r="AI939" i="2"/>
  <c r="AI940" i="2"/>
  <c r="AI941" i="2"/>
  <c r="AI942" i="2"/>
  <c r="AI943" i="2"/>
  <c r="AI944" i="2"/>
  <c r="AI945" i="2"/>
  <c r="AI946" i="2"/>
  <c r="AI947" i="2"/>
  <c r="AI948" i="2"/>
  <c r="AI949" i="2"/>
  <c r="AI950" i="2"/>
  <c r="AI951" i="2"/>
  <c r="AI952" i="2"/>
  <c r="AI953" i="2"/>
  <c r="AI954" i="2"/>
  <c r="AI955" i="2"/>
  <c r="AI956" i="2"/>
  <c r="AI957" i="2"/>
  <c r="AI958" i="2"/>
  <c r="AI959" i="2"/>
  <c r="AI960" i="2"/>
  <c r="AI961" i="2"/>
  <c r="AI962" i="2"/>
  <c r="AI963" i="2"/>
  <c r="AI964" i="2"/>
  <c r="AI965" i="2"/>
  <c r="AI966" i="2"/>
  <c r="AI967" i="2"/>
  <c r="AI968" i="2"/>
  <c r="AI969" i="2"/>
  <c r="AI970" i="2"/>
  <c r="AI971" i="2"/>
  <c r="AI972" i="2"/>
  <c r="AI973" i="2"/>
  <c r="AI974" i="2"/>
  <c r="AI975" i="2"/>
  <c r="AI976" i="2"/>
  <c r="AI977" i="2"/>
  <c r="AI978" i="2"/>
  <c r="AI979" i="2"/>
  <c r="AI980" i="2"/>
  <c r="AI981" i="2"/>
  <c r="AI982" i="2"/>
  <c r="AI983" i="2"/>
  <c r="AI984" i="2"/>
  <c r="AI985" i="2"/>
  <c r="AI986" i="2"/>
  <c r="AI987" i="2"/>
  <c r="AI988" i="2"/>
  <c r="AI989" i="2"/>
  <c r="AI990" i="2"/>
  <c r="AI991" i="2"/>
  <c r="AI992" i="2"/>
  <c r="AI993" i="2"/>
  <c r="AI994" i="2"/>
  <c r="AI995" i="2"/>
  <c r="AI996" i="2"/>
  <c r="AI997" i="2"/>
  <c r="AI998" i="2"/>
  <c r="AI999" i="2"/>
  <c r="AI1000" i="2"/>
  <c r="AI1001" i="2"/>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G2"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C3" i="2"/>
  <c r="AE3" i="2" s="1"/>
  <c r="AC2" i="2"/>
  <c r="AE2" i="2" s="1"/>
  <c r="AC4" i="2"/>
  <c r="AE4" i="2" s="1"/>
  <c r="AC5" i="2"/>
  <c r="AE5" i="2" s="1"/>
  <c r="AC6" i="2"/>
  <c r="AE6" i="2" s="1"/>
  <c r="AC7" i="2"/>
  <c r="AE7" i="2" s="1"/>
  <c r="AC8" i="2"/>
  <c r="AE8" i="2" s="1"/>
  <c r="AC9" i="2"/>
  <c r="AE9" i="2" s="1"/>
  <c r="AC10" i="2"/>
  <c r="AE10" i="2" s="1"/>
  <c r="AC11" i="2"/>
  <c r="AE11" i="2" s="1"/>
  <c r="AC12" i="2"/>
  <c r="AE12" i="2" s="1"/>
  <c r="AC13" i="2"/>
  <c r="AE13" i="2" s="1"/>
  <c r="AC14" i="2"/>
  <c r="AE14" i="2" s="1"/>
  <c r="AC15" i="2"/>
  <c r="AE15" i="2" s="1"/>
  <c r="AC16" i="2"/>
  <c r="AE16" i="2" s="1"/>
  <c r="AC17" i="2"/>
  <c r="AE17" i="2" s="1"/>
  <c r="AC18" i="2"/>
  <c r="AE18" i="2" s="1"/>
  <c r="AC19" i="2"/>
  <c r="AE19" i="2" s="1"/>
  <c r="AC20" i="2"/>
  <c r="AE20" i="2" s="1"/>
  <c r="AC21" i="2"/>
  <c r="AE21" i="2" s="1"/>
  <c r="AC22" i="2"/>
  <c r="AE22" i="2" s="1"/>
  <c r="AC23" i="2"/>
  <c r="AE23" i="2" s="1"/>
  <c r="AC24" i="2"/>
  <c r="AE24" i="2" s="1"/>
  <c r="AC25" i="2"/>
  <c r="AE25" i="2" s="1"/>
  <c r="AC26" i="2"/>
  <c r="AE26" i="2" s="1"/>
  <c r="AC27" i="2"/>
  <c r="AE27" i="2" s="1"/>
  <c r="AC28" i="2"/>
  <c r="AE28" i="2" s="1"/>
  <c r="AC29" i="2"/>
  <c r="AE29" i="2" s="1"/>
  <c r="AC30" i="2"/>
  <c r="AE30" i="2" s="1"/>
  <c r="AC31" i="2"/>
  <c r="AE31" i="2" s="1"/>
  <c r="AC32" i="2"/>
  <c r="AE32" i="2" s="1"/>
  <c r="AC33" i="2"/>
  <c r="AE33" i="2" s="1"/>
  <c r="AC34" i="2"/>
  <c r="AE34" i="2" s="1"/>
  <c r="AC35" i="2"/>
  <c r="AE35" i="2" s="1"/>
  <c r="AC36" i="2"/>
  <c r="AE36" i="2" s="1"/>
  <c r="AC37" i="2"/>
  <c r="AE37" i="2" s="1"/>
  <c r="AC38" i="2"/>
  <c r="AE38" i="2" s="1"/>
  <c r="AC39" i="2"/>
  <c r="AE39" i="2" s="1"/>
  <c r="AC40" i="2"/>
  <c r="AE40" i="2" s="1"/>
  <c r="AC41" i="2"/>
  <c r="AE41" i="2" s="1"/>
  <c r="AC42" i="2"/>
  <c r="AE42" i="2" s="1"/>
  <c r="AC43" i="2"/>
  <c r="AE43" i="2" s="1"/>
  <c r="AC44" i="2"/>
  <c r="AE44" i="2" s="1"/>
  <c r="AC45" i="2"/>
  <c r="AE45" i="2" s="1"/>
  <c r="AC46" i="2"/>
  <c r="AE46" i="2" s="1"/>
  <c r="AC47" i="2"/>
  <c r="AE47" i="2" s="1"/>
  <c r="AC48" i="2"/>
  <c r="AE48" i="2" s="1"/>
  <c r="AC49" i="2"/>
  <c r="AE49" i="2" s="1"/>
  <c r="AC50" i="2"/>
  <c r="AE50" i="2" s="1"/>
  <c r="AC51" i="2"/>
  <c r="AE51" i="2" s="1"/>
  <c r="AC52" i="2"/>
  <c r="AE52" i="2" s="1"/>
  <c r="AC53" i="2"/>
  <c r="AE53" i="2" s="1"/>
  <c r="AC54" i="2"/>
  <c r="AE54" i="2" s="1"/>
  <c r="AC55" i="2"/>
  <c r="AE55" i="2" s="1"/>
  <c r="AC56" i="2"/>
  <c r="AE56" i="2" s="1"/>
  <c r="AC57" i="2"/>
  <c r="AE57" i="2" s="1"/>
  <c r="AC58" i="2"/>
  <c r="AE58" i="2" s="1"/>
  <c r="AC59" i="2"/>
  <c r="AE59" i="2" s="1"/>
  <c r="AC60" i="2"/>
  <c r="AE60" i="2" s="1"/>
  <c r="AC61" i="2"/>
  <c r="AE61" i="2" s="1"/>
  <c r="AC62" i="2"/>
  <c r="AE62" i="2" s="1"/>
  <c r="AC63" i="2"/>
  <c r="AE63" i="2" s="1"/>
  <c r="AC64" i="2"/>
  <c r="AE64" i="2" s="1"/>
  <c r="AC65" i="2"/>
  <c r="AE65" i="2" s="1"/>
  <c r="AC66" i="2"/>
  <c r="AE66" i="2" s="1"/>
  <c r="AC67" i="2"/>
  <c r="AE67" i="2" s="1"/>
  <c r="AC68" i="2"/>
  <c r="AE68" i="2" s="1"/>
  <c r="AC69" i="2"/>
  <c r="AE69" i="2" s="1"/>
  <c r="AC70" i="2"/>
  <c r="AE70" i="2" s="1"/>
  <c r="AC71" i="2"/>
  <c r="AE71" i="2" s="1"/>
  <c r="AC72" i="2"/>
  <c r="AE72" i="2" s="1"/>
  <c r="AC73" i="2"/>
  <c r="AE73" i="2" s="1"/>
  <c r="AC74" i="2"/>
  <c r="AE74" i="2" s="1"/>
  <c r="AC75" i="2"/>
  <c r="AE75" i="2" s="1"/>
  <c r="AC76" i="2"/>
  <c r="AE76" i="2" s="1"/>
  <c r="AC77" i="2"/>
  <c r="AE77" i="2" s="1"/>
  <c r="AC78" i="2"/>
  <c r="AE78" i="2" s="1"/>
  <c r="AC79" i="2"/>
  <c r="AE79" i="2" s="1"/>
  <c r="AC80" i="2"/>
  <c r="AE80" i="2" s="1"/>
  <c r="AC81" i="2"/>
  <c r="AE81" i="2" s="1"/>
  <c r="AC82" i="2"/>
  <c r="AE82" i="2" s="1"/>
  <c r="AC83" i="2"/>
  <c r="AE83" i="2" s="1"/>
  <c r="AC84" i="2"/>
  <c r="AE84" i="2" s="1"/>
  <c r="AC85" i="2"/>
  <c r="AE85" i="2" s="1"/>
  <c r="AC86" i="2"/>
  <c r="AE86" i="2" s="1"/>
  <c r="AC87" i="2"/>
  <c r="AE87" i="2" s="1"/>
  <c r="AC88" i="2"/>
  <c r="AE88" i="2" s="1"/>
  <c r="AC89" i="2"/>
  <c r="AE89" i="2" s="1"/>
  <c r="AC90" i="2"/>
  <c r="AE90" i="2" s="1"/>
  <c r="AC91" i="2"/>
  <c r="AE91" i="2" s="1"/>
  <c r="AC92" i="2"/>
  <c r="AE92" i="2" s="1"/>
  <c r="AC93" i="2"/>
  <c r="AE93" i="2" s="1"/>
  <c r="AC94" i="2"/>
  <c r="AE94" i="2" s="1"/>
  <c r="AC95" i="2"/>
  <c r="AE95" i="2" s="1"/>
  <c r="AC96" i="2"/>
  <c r="AE96" i="2" s="1"/>
  <c r="AC97" i="2"/>
  <c r="AE97" i="2" s="1"/>
  <c r="AC98" i="2"/>
  <c r="AE98" i="2" s="1"/>
  <c r="AC99" i="2"/>
  <c r="AE99" i="2" s="1"/>
  <c r="AC100" i="2"/>
  <c r="AE100" i="2" s="1"/>
  <c r="AC101" i="2"/>
  <c r="AE101" i="2" s="1"/>
  <c r="AC102" i="2"/>
  <c r="AE102" i="2" s="1"/>
  <c r="AC103" i="2"/>
  <c r="AE103" i="2" s="1"/>
  <c r="AC104" i="2"/>
  <c r="AE104" i="2" s="1"/>
  <c r="AC105" i="2"/>
  <c r="AE105" i="2" s="1"/>
  <c r="AC106" i="2"/>
  <c r="AE106" i="2" s="1"/>
  <c r="AC107" i="2"/>
  <c r="AE107" i="2" s="1"/>
  <c r="AC108" i="2"/>
  <c r="AE108" i="2" s="1"/>
  <c r="AC109" i="2"/>
  <c r="AE109" i="2" s="1"/>
  <c r="AC110" i="2"/>
  <c r="AE110" i="2" s="1"/>
  <c r="AC111" i="2"/>
  <c r="AE111" i="2" s="1"/>
  <c r="AC112" i="2"/>
  <c r="AE112" i="2" s="1"/>
  <c r="AC113" i="2"/>
  <c r="AE113" i="2" s="1"/>
  <c r="AC114" i="2"/>
  <c r="AE114" i="2" s="1"/>
  <c r="AC115" i="2"/>
  <c r="AE115" i="2" s="1"/>
  <c r="AC116" i="2"/>
  <c r="AE116" i="2" s="1"/>
  <c r="AC117" i="2"/>
  <c r="AE117" i="2" s="1"/>
  <c r="AC118" i="2"/>
  <c r="AE118" i="2" s="1"/>
  <c r="AC119" i="2"/>
  <c r="AE119" i="2" s="1"/>
  <c r="AC120" i="2"/>
  <c r="AE120" i="2" s="1"/>
  <c r="AC121" i="2"/>
  <c r="AE121" i="2" s="1"/>
  <c r="AC122" i="2"/>
  <c r="AE122" i="2" s="1"/>
  <c r="AC123" i="2"/>
  <c r="AE123" i="2" s="1"/>
  <c r="AC124" i="2"/>
  <c r="AE124" i="2" s="1"/>
  <c r="AC125" i="2"/>
  <c r="AE125" i="2" s="1"/>
  <c r="AC126" i="2"/>
  <c r="AE126" i="2" s="1"/>
  <c r="AC127" i="2"/>
  <c r="AE127" i="2" s="1"/>
  <c r="AC128" i="2"/>
  <c r="AE128" i="2" s="1"/>
  <c r="AC129" i="2"/>
  <c r="AE129" i="2" s="1"/>
  <c r="AC130" i="2"/>
  <c r="AE130" i="2" s="1"/>
  <c r="AC131" i="2"/>
  <c r="AE131" i="2" s="1"/>
  <c r="AC132" i="2"/>
  <c r="AE132" i="2" s="1"/>
  <c r="AC133" i="2"/>
  <c r="AE133" i="2" s="1"/>
  <c r="AC134" i="2"/>
  <c r="AE134" i="2" s="1"/>
  <c r="AC135" i="2"/>
  <c r="AE135" i="2" s="1"/>
  <c r="AC136" i="2"/>
  <c r="AE136" i="2" s="1"/>
  <c r="AC137" i="2"/>
  <c r="AE137" i="2" s="1"/>
  <c r="AC138" i="2"/>
  <c r="AE138" i="2" s="1"/>
  <c r="AC139" i="2"/>
  <c r="AE139" i="2" s="1"/>
  <c r="AC140" i="2"/>
  <c r="AE140" i="2" s="1"/>
  <c r="AC141" i="2"/>
  <c r="AE141" i="2" s="1"/>
  <c r="AC142" i="2"/>
  <c r="AE142" i="2" s="1"/>
  <c r="AC143" i="2"/>
  <c r="AE143" i="2" s="1"/>
  <c r="AC144" i="2"/>
  <c r="AE144" i="2" s="1"/>
  <c r="AC145" i="2"/>
  <c r="AE145" i="2" s="1"/>
  <c r="AC146" i="2"/>
  <c r="AE146" i="2" s="1"/>
  <c r="AC147" i="2"/>
  <c r="AE147" i="2" s="1"/>
  <c r="AC148" i="2"/>
  <c r="AE148" i="2" s="1"/>
  <c r="AC149" i="2"/>
  <c r="AE149" i="2" s="1"/>
  <c r="AC150" i="2"/>
  <c r="AE150" i="2" s="1"/>
  <c r="AC151" i="2"/>
  <c r="AE151" i="2" s="1"/>
  <c r="AC152" i="2"/>
  <c r="AE152" i="2" s="1"/>
  <c r="AC153" i="2"/>
  <c r="AE153" i="2" s="1"/>
  <c r="AC154" i="2"/>
  <c r="AE154" i="2" s="1"/>
  <c r="AC155" i="2"/>
  <c r="AE155" i="2" s="1"/>
  <c r="AC156" i="2"/>
  <c r="AE156" i="2" s="1"/>
  <c r="AC157" i="2"/>
  <c r="AE157" i="2" s="1"/>
  <c r="AC158" i="2"/>
  <c r="AE158" i="2" s="1"/>
  <c r="AC159" i="2"/>
  <c r="AE159" i="2" s="1"/>
  <c r="AC160" i="2"/>
  <c r="AE160" i="2" s="1"/>
  <c r="AC161" i="2"/>
  <c r="AE161" i="2" s="1"/>
  <c r="AC162" i="2"/>
  <c r="AE162" i="2" s="1"/>
  <c r="AC163" i="2"/>
  <c r="AE163" i="2" s="1"/>
  <c r="AC164" i="2"/>
  <c r="AE164" i="2" s="1"/>
  <c r="AC165" i="2"/>
  <c r="AE165" i="2" s="1"/>
  <c r="AC166" i="2"/>
  <c r="AE166" i="2" s="1"/>
  <c r="AC167" i="2"/>
  <c r="AE167" i="2" s="1"/>
  <c r="AC168" i="2"/>
  <c r="AE168" i="2" s="1"/>
  <c r="AC169" i="2"/>
  <c r="AE169" i="2" s="1"/>
  <c r="AC170" i="2"/>
  <c r="AE170" i="2" s="1"/>
  <c r="AC171" i="2"/>
  <c r="AE171" i="2" s="1"/>
  <c r="AC172" i="2"/>
  <c r="AE172" i="2" s="1"/>
  <c r="AC173" i="2"/>
  <c r="AE173" i="2" s="1"/>
  <c r="AC174" i="2"/>
  <c r="AE174" i="2" s="1"/>
  <c r="AC175" i="2"/>
  <c r="AE175" i="2" s="1"/>
  <c r="AC176" i="2"/>
  <c r="AE176" i="2" s="1"/>
  <c r="AC177" i="2"/>
  <c r="AE177" i="2" s="1"/>
  <c r="AC178" i="2"/>
  <c r="AE178" i="2" s="1"/>
  <c r="AC179" i="2"/>
  <c r="AE179" i="2" s="1"/>
  <c r="AC180" i="2"/>
  <c r="AE180" i="2" s="1"/>
  <c r="AC181" i="2"/>
  <c r="AE181" i="2" s="1"/>
  <c r="AC182" i="2"/>
  <c r="AE182" i="2" s="1"/>
  <c r="AC183" i="2"/>
  <c r="AE183" i="2" s="1"/>
  <c r="AC184" i="2"/>
  <c r="AE184" i="2" s="1"/>
  <c r="AC185" i="2"/>
  <c r="AE185" i="2" s="1"/>
  <c r="AC186" i="2"/>
  <c r="AE186" i="2" s="1"/>
  <c r="AC187" i="2"/>
  <c r="AE187" i="2" s="1"/>
  <c r="AC188" i="2"/>
  <c r="AE188" i="2" s="1"/>
  <c r="AC189" i="2"/>
  <c r="AE189" i="2" s="1"/>
  <c r="AC190" i="2"/>
  <c r="AE190" i="2" s="1"/>
  <c r="AC191" i="2"/>
  <c r="AE191" i="2" s="1"/>
  <c r="AC192" i="2"/>
  <c r="AE192" i="2" s="1"/>
  <c r="AC193" i="2"/>
  <c r="AE193" i="2" s="1"/>
  <c r="AC194" i="2"/>
  <c r="AE194" i="2" s="1"/>
  <c r="AC195" i="2"/>
  <c r="AE195" i="2" s="1"/>
  <c r="AC196" i="2"/>
  <c r="AE196" i="2" s="1"/>
  <c r="AC197" i="2"/>
  <c r="AE197" i="2" s="1"/>
  <c r="AC198" i="2"/>
  <c r="AE198" i="2" s="1"/>
  <c r="AC199" i="2"/>
  <c r="AE199" i="2" s="1"/>
  <c r="AC200" i="2"/>
  <c r="AE200" i="2" s="1"/>
  <c r="AC201" i="2"/>
  <c r="AE201" i="2" s="1"/>
  <c r="AC202" i="2"/>
  <c r="AE202" i="2" s="1"/>
  <c r="AC203" i="2"/>
  <c r="AE203" i="2" s="1"/>
  <c r="AC204" i="2"/>
  <c r="AE204" i="2" s="1"/>
  <c r="AC205" i="2"/>
  <c r="AE205" i="2" s="1"/>
  <c r="AC206" i="2"/>
  <c r="AE206" i="2" s="1"/>
  <c r="AC207" i="2"/>
  <c r="AE207" i="2" s="1"/>
  <c r="AC208" i="2"/>
  <c r="AE208" i="2" s="1"/>
  <c r="AC209" i="2"/>
  <c r="AE209" i="2" s="1"/>
  <c r="AC210" i="2"/>
  <c r="AE210" i="2" s="1"/>
  <c r="AC211" i="2"/>
  <c r="AE211" i="2" s="1"/>
  <c r="AC212" i="2"/>
  <c r="AE212" i="2" s="1"/>
  <c r="AC213" i="2"/>
  <c r="AE213" i="2" s="1"/>
  <c r="AC214" i="2"/>
  <c r="AE214" i="2" s="1"/>
  <c r="AC215" i="2"/>
  <c r="AE215" i="2" s="1"/>
  <c r="AC216" i="2"/>
  <c r="AE216" i="2" s="1"/>
  <c r="AC217" i="2"/>
  <c r="AE217" i="2" s="1"/>
  <c r="AC218" i="2"/>
  <c r="AE218" i="2" s="1"/>
  <c r="AC219" i="2"/>
  <c r="AE219" i="2" s="1"/>
  <c r="AC220" i="2"/>
  <c r="AE220" i="2" s="1"/>
  <c r="AC221" i="2"/>
  <c r="AE221" i="2" s="1"/>
  <c r="AC222" i="2"/>
  <c r="AE222" i="2" s="1"/>
  <c r="AC223" i="2"/>
  <c r="AE223" i="2" s="1"/>
  <c r="AC224" i="2"/>
  <c r="AE224" i="2" s="1"/>
  <c r="AC225" i="2"/>
  <c r="AE225" i="2" s="1"/>
  <c r="AC226" i="2"/>
  <c r="AE226" i="2" s="1"/>
  <c r="AC227" i="2"/>
  <c r="AE227" i="2" s="1"/>
  <c r="AC228" i="2"/>
  <c r="AE228" i="2" s="1"/>
  <c r="AC229" i="2"/>
  <c r="AE229" i="2" s="1"/>
  <c r="AC230" i="2"/>
  <c r="AE230" i="2" s="1"/>
  <c r="AC231" i="2"/>
  <c r="AE231" i="2" s="1"/>
  <c r="AC232" i="2"/>
  <c r="AE232" i="2" s="1"/>
  <c r="AC233" i="2"/>
  <c r="AE233" i="2" s="1"/>
  <c r="AC234" i="2"/>
  <c r="AE234" i="2" s="1"/>
  <c r="AC235" i="2"/>
  <c r="AE235" i="2" s="1"/>
  <c r="AC236" i="2"/>
  <c r="AE236" i="2" s="1"/>
  <c r="AC237" i="2"/>
  <c r="AE237" i="2" s="1"/>
  <c r="AC238" i="2"/>
  <c r="AE238" i="2" s="1"/>
  <c r="AC239" i="2"/>
  <c r="AE239" i="2" s="1"/>
  <c r="AC240" i="2"/>
  <c r="AE240" i="2" s="1"/>
  <c r="AC241" i="2"/>
  <c r="AE241" i="2" s="1"/>
  <c r="AC242" i="2"/>
  <c r="AE242" i="2" s="1"/>
  <c r="AC243" i="2"/>
  <c r="AE243" i="2" s="1"/>
  <c r="AC244" i="2"/>
  <c r="AE244" i="2" s="1"/>
  <c r="AC245" i="2"/>
  <c r="AE245" i="2" s="1"/>
  <c r="AC246" i="2"/>
  <c r="AE246" i="2" s="1"/>
  <c r="AC247" i="2"/>
  <c r="AE247" i="2" s="1"/>
  <c r="AC248" i="2"/>
  <c r="AE248" i="2" s="1"/>
  <c r="AC249" i="2"/>
  <c r="AE249" i="2" s="1"/>
  <c r="AC250" i="2"/>
  <c r="AE250" i="2" s="1"/>
  <c r="AC251" i="2"/>
  <c r="AE251" i="2" s="1"/>
  <c r="AC252" i="2"/>
  <c r="AE252" i="2" s="1"/>
  <c r="AC253" i="2"/>
  <c r="AE253" i="2" s="1"/>
  <c r="AC254" i="2"/>
  <c r="AE254" i="2" s="1"/>
  <c r="AC255" i="2"/>
  <c r="AE255" i="2" s="1"/>
  <c r="AC256" i="2"/>
  <c r="AE256" i="2" s="1"/>
  <c r="AC257" i="2"/>
  <c r="AE257" i="2" s="1"/>
  <c r="AC258" i="2"/>
  <c r="AE258" i="2" s="1"/>
  <c r="AC259" i="2"/>
  <c r="AE259" i="2" s="1"/>
  <c r="AC260" i="2"/>
  <c r="AE260" i="2" s="1"/>
  <c r="AC261" i="2"/>
  <c r="AE261" i="2" s="1"/>
  <c r="AC262" i="2"/>
  <c r="AE262" i="2" s="1"/>
  <c r="AC263" i="2"/>
  <c r="AE263" i="2" s="1"/>
  <c r="AC264" i="2"/>
  <c r="AE264" i="2" s="1"/>
  <c r="AC265" i="2"/>
  <c r="AE265" i="2" s="1"/>
  <c r="AC266" i="2"/>
  <c r="AE266" i="2" s="1"/>
  <c r="AC267" i="2"/>
  <c r="AE267" i="2" s="1"/>
  <c r="AC268" i="2"/>
  <c r="AE268" i="2" s="1"/>
  <c r="AC269" i="2"/>
  <c r="AE269" i="2" s="1"/>
  <c r="AC270" i="2"/>
  <c r="AE270" i="2" s="1"/>
  <c r="AC271" i="2"/>
  <c r="AE271" i="2" s="1"/>
  <c r="AC272" i="2"/>
  <c r="AE272" i="2" s="1"/>
  <c r="AC273" i="2"/>
  <c r="AE273" i="2" s="1"/>
  <c r="AC274" i="2"/>
  <c r="AE274" i="2" s="1"/>
  <c r="AC275" i="2"/>
  <c r="AE275" i="2" s="1"/>
  <c r="AC276" i="2"/>
  <c r="AE276" i="2" s="1"/>
  <c r="AC277" i="2"/>
  <c r="AE277" i="2" s="1"/>
  <c r="AC278" i="2"/>
  <c r="AE278" i="2" s="1"/>
  <c r="AC279" i="2"/>
  <c r="AE279" i="2" s="1"/>
  <c r="AC280" i="2"/>
  <c r="AE280" i="2" s="1"/>
  <c r="AC281" i="2"/>
  <c r="AE281" i="2" s="1"/>
  <c r="AC282" i="2"/>
  <c r="AE282" i="2" s="1"/>
  <c r="AC283" i="2"/>
  <c r="AE283" i="2" s="1"/>
  <c r="AC284" i="2"/>
  <c r="AE284" i="2" s="1"/>
  <c r="AC285" i="2"/>
  <c r="AE285" i="2" s="1"/>
  <c r="AC286" i="2"/>
  <c r="AE286" i="2" s="1"/>
  <c r="AC287" i="2"/>
  <c r="AE287" i="2" s="1"/>
  <c r="AC288" i="2"/>
  <c r="AE288" i="2" s="1"/>
  <c r="AC289" i="2"/>
  <c r="AE289" i="2" s="1"/>
  <c r="AC290" i="2"/>
  <c r="AE290" i="2" s="1"/>
  <c r="AC291" i="2"/>
  <c r="AE291" i="2" s="1"/>
  <c r="AC292" i="2"/>
  <c r="AE292" i="2" s="1"/>
  <c r="AC293" i="2"/>
  <c r="AE293" i="2" s="1"/>
  <c r="AC294" i="2"/>
  <c r="AE294" i="2" s="1"/>
  <c r="AC295" i="2"/>
  <c r="AE295" i="2" s="1"/>
  <c r="AC296" i="2"/>
  <c r="AE296" i="2" s="1"/>
  <c r="AC297" i="2"/>
  <c r="AE297" i="2" s="1"/>
  <c r="AC298" i="2"/>
  <c r="AE298" i="2" s="1"/>
  <c r="AC299" i="2"/>
  <c r="AE299" i="2" s="1"/>
  <c r="AC300" i="2"/>
  <c r="AE300" i="2" s="1"/>
  <c r="AC301" i="2"/>
  <c r="AE301" i="2" s="1"/>
  <c r="AC302" i="2"/>
  <c r="AE302" i="2" s="1"/>
  <c r="AC303" i="2"/>
  <c r="AE303" i="2" s="1"/>
  <c r="AC304" i="2"/>
  <c r="AE304" i="2" s="1"/>
  <c r="AC305" i="2"/>
  <c r="AE305" i="2" s="1"/>
  <c r="AC306" i="2"/>
  <c r="AE306" i="2" s="1"/>
  <c r="AC307" i="2"/>
  <c r="AE307" i="2" s="1"/>
  <c r="AC308" i="2"/>
  <c r="AE308" i="2" s="1"/>
  <c r="AC309" i="2"/>
  <c r="AE309" i="2" s="1"/>
  <c r="AC310" i="2"/>
  <c r="AE310" i="2" s="1"/>
  <c r="AC311" i="2"/>
  <c r="AE311" i="2" s="1"/>
  <c r="AC312" i="2"/>
  <c r="AE312" i="2" s="1"/>
  <c r="AC313" i="2"/>
  <c r="AE313" i="2" s="1"/>
  <c r="AC314" i="2"/>
  <c r="AE314" i="2" s="1"/>
  <c r="AC315" i="2"/>
  <c r="AE315" i="2" s="1"/>
  <c r="AC316" i="2"/>
  <c r="AE316" i="2" s="1"/>
  <c r="AC317" i="2"/>
  <c r="AE317" i="2" s="1"/>
  <c r="AC318" i="2"/>
  <c r="AE318" i="2" s="1"/>
  <c r="AC319" i="2"/>
  <c r="AE319" i="2" s="1"/>
  <c r="AC320" i="2"/>
  <c r="AE320" i="2" s="1"/>
  <c r="AC321" i="2"/>
  <c r="AE321" i="2" s="1"/>
  <c r="AC322" i="2"/>
  <c r="AE322" i="2" s="1"/>
  <c r="AC323" i="2"/>
  <c r="AE323" i="2" s="1"/>
  <c r="AC324" i="2"/>
  <c r="AE324" i="2" s="1"/>
  <c r="AC325" i="2"/>
  <c r="AE325" i="2" s="1"/>
  <c r="AC326" i="2"/>
  <c r="AE326" i="2" s="1"/>
  <c r="AC327" i="2"/>
  <c r="AE327" i="2" s="1"/>
  <c r="AC328" i="2"/>
  <c r="AE328" i="2" s="1"/>
  <c r="AC329" i="2"/>
  <c r="AE329" i="2" s="1"/>
  <c r="AC330" i="2"/>
  <c r="AE330" i="2" s="1"/>
  <c r="AC331" i="2"/>
  <c r="AE331" i="2" s="1"/>
  <c r="AC332" i="2"/>
  <c r="AE332" i="2" s="1"/>
  <c r="AC333" i="2"/>
  <c r="AE333" i="2" s="1"/>
  <c r="AC334" i="2"/>
  <c r="AE334" i="2" s="1"/>
  <c r="AC335" i="2"/>
  <c r="AE335" i="2" s="1"/>
  <c r="AC336" i="2"/>
  <c r="AE336" i="2" s="1"/>
  <c r="AC337" i="2"/>
  <c r="AE337" i="2" s="1"/>
  <c r="AC338" i="2"/>
  <c r="AE338" i="2" s="1"/>
  <c r="AC339" i="2"/>
  <c r="AE339" i="2" s="1"/>
  <c r="AC340" i="2"/>
  <c r="AE340" i="2" s="1"/>
  <c r="AC341" i="2"/>
  <c r="AE341" i="2" s="1"/>
  <c r="AC342" i="2"/>
  <c r="AE342" i="2" s="1"/>
  <c r="AC343" i="2"/>
  <c r="AE343" i="2" s="1"/>
  <c r="AC344" i="2"/>
  <c r="AE344" i="2" s="1"/>
  <c r="AC345" i="2"/>
  <c r="AE345" i="2" s="1"/>
  <c r="AC346" i="2"/>
  <c r="AE346" i="2" s="1"/>
  <c r="AC347" i="2"/>
  <c r="AE347" i="2" s="1"/>
  <c r="AC348" i="2"/>
  <c r="AE348" i="2" s="1"/>
  <c r="AC349" i="2"/>
  <c r="AE349" i="2" s="1"/>
  <c r="AC350" i="2"/>
  <c r="AE350" i="2" s="1"/>
  <c r="AC351" i="2"/>
  <c r="AE351" i="2" s="1"/>
  <c r="AC352" i="2"/>
  <c r="AE352" i="2" s="1"/>
  <c r="AC353" i="2"/>
  <c r="AE353" i="2" s="1"/>
  <c r="AC354" i="2"/>
  <c r="AE354" i="2" s="1"/>
  <c r="AC355" i="2"/>
  <c r="AE355" i="2" s="1"/>
  <c r="AC356" i="2"/>
  <c r="AE356" i="2" s="1"/>
  <c r="AC357" i="2"/>
  <c r="AE357" i="2" s="1"/>
  <c r="AC358" i="2"/>
  <c r="AE358" i="2" s="1"/>
  <c r="AC359" i="2"/>
  <c r="AE359" i="2" s="1"/>
  <c r="AC360" i="2"/>
  <c r="AE360" i="2" s="1"/>
  <c r="AC361" i="2"/>
  <c r="AE361" i="2" s="1"/>
  <c r="AC362" i="2"/>
  <c r="AE362" i="2" s="1"/>
  <c r="AC363" i="2"/>
  <c r="AE363" i="2" s="1"/>
  <c r="AC364" i="2"/>
  <c r="AE364" i="2" s="1"/>
  <c r="AC365" i="2"/>
  <c r="AE365" i="2" s="1"/>
  <c r="AC366" i="2"/>
  <c r="AE366" i="2" s="1"/>
  <c r="AC367" i="2"/>
  <c r="AE367" i="2" s="1"/>
  <c r="AC368" i="2"/>
  <c r="AE368" i="2" s="1"/>
  <c r="AC369" i="2"/>
  <c r="AE369" i="2" s="1"/>
  <c r="AC370" i="2"/>
  <c r="AE370" i="2" s="1"/>
  <c r="AC371" i="2"/>
  <c r="AE371" i="2" s="1"/>
  <c r="AC372" i="2"/>
  <c r="AE372" i="2" s="1"/>
  <c r="AC373" i="2"/>
  <c r="AE373" i="2" s="1"/>
  <c r="AC374" i="2"/>
  <c r="AE374" i="2" s="1"/>
  <c r="AC375" i="2"/>
  <c r="AE375" i="2" s="1"/>
  <c r="AC376" i="2"/>
  <c r="AE376" i="2" s="1"/>
  <c r="AC377" i="2"/>
  <c r="AE377" i="2" s="1"/>
  <c r="AC378" i="2"/>
  <c r="AE378" i="2" s="1"/>
  <c r="AC379" i="2"/>
  <c r="AE379" i="2" s="1"/>
  <c r="AC380" i="2"/>
  <c r="AE380" i="2" s="1"/>
  <c r="AC381" i="2"/>
  <c r="AE381" i="2" s="1"/>
  <c r="AC382" i="2"/>
  <c r="AE382" i="2" s="1"/>
  <c r="AC383" i="2"/>
  <c r="AE383" i="2" s="1"/>
  <c r="AC384" i="2"/>
  <c r="AE384" i="2" s="1"/>
  <c r="AC385" i="2"/>
  <c r="AE385" i="2" s="1"/>
  <c r="AC386" i="2"/>
  <c r="AE386" i="2" s="1"/>
  <c r="AC387" i="2"/>
  <c r="AE387" i="2" s="1"/>
  <c r="AC388" i="2"/>
  <c r="AE388" i="2" s="1"/>
  <c r="AC389" i="2"/>
  <c r="AE389" i="2" s="1"/>
  <c r="AC390" i="2"/>
  <c r="AE390" i="2" s="1"/>
  <c r="AC391" i="2"/>
  <c r="AE391" i="2" s="1"/>
  <c r="AC392" i="2"/>
  <c r="AE392" i="2" s="1"/>
  <c r="AC393" i="2"/>
  <c r="AE393" i="2" s="1"/>
  <c r="AC394" i="2"/>
  <c r="AE394" i="2" s="1"/>
  <c r="AC395" i="2"/>
  <c r="AE395" i="2" s="1"/>
  <c r="AC396" i="2"/>
  <c r="AE396" i="2" s="1"/>
  <c r="AC397" i="2"/>
  <c r="AE397" i="2" s="1"/>
  <c r="AC398" i="2"/>
  <c r="AE398" i="2" s="1"/>
  <c r="AC399" i="2"/>
  <c r="AE399" i="2" s="1"/>
  <c r="AC400" i="2"/>
  <c r="AE400" i="2" s="1"/>
  <c r="AC401" i="2"/>
  <c r="AE401" i="2" s="1"/>
  <c r="AC402" i="2"/>
  <c r="AE402" i="2" s="1"/>
  <c r="AC403" i="2"/>
  <c r="AE403" i="2" s="1"/>
  <c r="AC404" i="2"/>
  <c r="AE404" i="2" s="1"/>
  <c r="AC405" i="2"/>
  <c r="AE405" i="2" s="1"/>
  <c r="AC406" i="2"/>
  <c r="AE406" i="2" s="1"/>
  <c r="AC407" i="2"/>
  <c r="AE407" i="2" s="1"/>
  <c r="AC408" i="2"/>
  <c r="AE408" i="2" s="1"/>
  <c r="AC409" i="2"/>
  <c r="AE409" i="2" s="1"/>
  <c r="AC410" i="2"/>
  <c r="AE410" i="2" s="1"/>
  <c r="AC411" i="2"/>
  <c r="AE411" i="2" s="1"/>
  <c r="AC412" i="2"/>
  <c r="AE412" i="2" s="1"/>
  <c r="AC413" i="2"/>
  <c r="AE413" i="2" s="1"/>
  <c r="AC414" i="2"/>
  <c r="AE414" i="2" s="1"/>
  <c r="AC415" i="2"/>
  <c r="AE415" i="2" s="1"/>
  <c r="AC416" i="2"/>
  <c r="AE416" i="2" s="1"/>
  <c r="AC417" i="2"/>
  <c r="AE417" i="2" s="1"/>
  <c r="AC418" i="2"/>
  <c r="AE418" i="2" s="1"/>
  <c r="AC419" i="2"/>
  <c r="AE419" i="2" s="1"/>
  <c r="AC420" i="2"/>
  <c r="AE420" i="2" s="1"/>
  <c r="AC421" i="2"/>
  <c r="AE421" i="2" s="1"/>
  <c r="AC422" i="2"/>
  <c r="AE422" i="2" s="1"/>
  <c r="AC423" i="2"/>
  <c r="AE423" i="2" s="1"/>
  <c r="AC424" i="2"/>
  <c r="AE424" i="2" s="1"/>
  <c r="AC425" i="2"/>
  <c r="AE425" i="2" s="1"/>
  <c r="AC426" i="2"/>
  <c r="AE426" i="2" s="1"/>
  <c r="AC427" i="2"/>
  <c r="AE427" i="2" s="1"/>
  <c r="AC428" i="2"/>
  <c r="AE428" i="2" s="1"/>
  <c r="AC429" i="2"/>
  <c r="AE429" i="2" s="1"/>
  <c r="AC430" i="2"/>
  <c r="AE430" i="2" s="1"/>
  <c r="AC431" i="2"/>
  <c r="AE431" i="2" s="1"/>
  <c r="AC432" i="2"/>
  <c r="AE432" i="2" s="1"/>
  <c r="AC433" i="2"/>
  <c r="AE433" i="2" s="1"/>
  <c r="AC434" i="2"/>
  <c r="AE434" i="2" s="1"/>
  <c r="AC435" i="2"/>
  <c r="AE435" i="2" s="1"/>
  <c r="AC436" i="2"/>
  <c r="AE436" i="2" s="1"/>
  <c r="AC437" i="2"/>
  <c r="AE437" i="2" s="1"/>
  <c r="AC438" i="2"/>
  <c r="AE438" i="2" s="1"/>
  <c r="AC439" i="2"/>
  <c r="AE439" i="2" s="1"/>
  <c r="AC440" i="2"/>
  <c r="AE440" i="2" s="1"/>
  <c r="AC441" i="2"/>
  <c r="AE441" i="2" s="1"/>
  <c r="AC442" i="2"/>
  <c r="AE442" i="2" s="1"/>
  <c r="AC443" i="2"/>
  <c r="AE443" i="2" s="1"/>
  <c r="AC444" i="2"/>
  <c r="AE444" i="2" s="1"/>
  <c r="AC445" i="2"/>
  <c r="AE445" i="2" s="1"/>
  <c r="AC446" i="2"/>
  <c r="AE446" i="2" s="1"/>
  <c r="AC447" i="2"/>
  <c r="AE447" i="2" s="1"/>
  <c r="AC448" i="2"/>
  <c r="AE448" i="2" s="1"/>
  <c r="AC449" i="2"/>
  <c r="AE449" i="2" s="1"/>
  <c r="AC450" i="2"/>
  <c r="AE450" i="2" s="1"/>
  <c r="AC451" i="2"/>
  <c r="AE451" i="2" s="1"/>
  <c r="AC452" i="2"/>
  <c r="AE452" i="2" s="1"/>
  <c r="AC453" i="2"/>
  <c r="AE453" i="2" s="1"/>
  <c r="AC454" i="2"/>
  <c r="AE454" i="2" s="1"/>
  <c r="AC455" i="2"/>
  <c r="AE455" i="2" s="1"/>
  <c r="AC456" i="2"/>
  <c r="AE456" i="2" s="1"/>
  <c r="AC457" i="2"/>
  <c r="AE457" i="2" s="1"/>
  <c r="AC458" i="2"/>
  <c r="AE458" i="2" s="1"/>
  <c r="AC459" i="2"/>
  <c r="AE459" i="2" s="1"/>
  <c r="AC460" i="2"/>
  <c r="AE460" i="2" s="1"/>
  <c r="AC461" i="2"/>
  <c r="AE461" i="2" s="1"/>
  <c r="AC462" i="2"/>
  <c r="AE462" i="2" s="1"/>
  <c r="AC463" i="2"/>
  <c r="AE463" i="2" s="1"/>
  <c r="AC464" i="2"/>
  <c r="AE464" i="2" s="1"/>
  <c r="AC465" i="2"/>
  <c r="AE465" i="2" s="1"/>
  <c r="AC466" i="2"/>
  <c r="AE466" i="2" s="1"/>
  <c r="AC467" i="2"/>
  <c r="AE467" i="2" s="1"/>
  <c r="AC468" i="2"/>
  <c r="AE468" i="2" s="1"/>
  <c r="AC469" i="2"/>
  <c r="AE469" i="2" s="1"/>
  <c r="AC470" i="2"/>
  <c r="AE470" i="2" s="1"/>
  <c r="AC471" i="2"/>
  <c r="AE471" i="2" s="1"/>
  <c r="AC472" i="2"/>
  <c r="AE472" i="2" s="1"/>
  <c r="AC473" i="2"/>
  <c r="AE473" i="2" s="1"/>
  <c r="AC474" i="2"/>
  <c r="AE474" i="2" s="1"/>
  <c r="AC475" i="2"/>
  <c r="AE475" i="2" s="1"/>
  <c r="AC476" i="2"/>
  <c r="AE476" i="2" s="1"/>
  <c r="AC477" i="2"/>
  <c r="AE477" i="2" s="1"/>
  <c r="AC478" i="2"/>
  <c r="AE478" i="2" s="1"/>
  <c r="AC479" i="2"/>
  <c r="AE479" i="2" s="1"/>
  <c r="AC480" i="2"/>
  <c r="AE480" i="2" s="1"/>
  <c r="AC481" i="2"/>
  <c r="AE481" i="2" s="1"/>
  <c r="AC482" i="2"/>
  <c r="AE482" i="2" s="1"/>
  <c r="AC483" i="2"/>
  <c r="AE483" i="2" s="1"/>
  <c r="AC484" i="2"/>
  <c r="AE484" i="2" s="1"/>
  <c r="AC485" i="2"/>
  <c r="AE485" i="2" s="1"/>
  <c r="AC486" i="2"/>
  <c r="AE486" i="2" s="1"/>
  <c r="AC487" i="2"/>
  <c r="AE487" i="2" s="1"/>
  <c r="AC488" i="2"/>
  <c r="AE488" i="2" s="1"/>
  <c r="AC489" i="2"/>
  <c r="AE489" i="2" s="1"/>
  <c r="AC490" i="2"/>
  <c r="AE490" i="2" s="1"/>
  <c r="AC491" i="2"/>
  <c r="AE491" i="2" s="1"/>
  <c r="AC492" i="2"/>
  <c r="AE492" i="2" s="1"/>
  <c r="AC493" i="2"/>
  <c r="AE493" i="2" s="1"/>
  <c r="AC494" i="2"/>
  <c r="AE494" i="2" s="1"/>
  <c r="AC495" i="2"/>
  <c r="AE495" i="2" s="1"/>
  <c r="AC496" i="2"/>
  <c r="AE496" i="2" s="1"/>
  <c r="AC497" i="2"/>
  <c r="AE497" i="2" s="1"/>
  <c r="AC498" i="2"/>
  <c r="AE498" i="2" s="1"/>
  <c r="AC499" i="2"/>
  <c r="AE499" i="2" s="1"/>
  <c r="AC500" i="2"/>
  <c r="AE500" i="2" s="1"/>
  <c r="AC501" i="2"/>
  <c r="AE501" i="2" s="1"/>
  <c r="AC502" i="2"/>
  <c r="AE502" i="2" s="1"/>
  <c r="AC503" i="2"/>
  <c r="AE503" i="2" s="1"/>
  <c r="AC504" i="2"/>
  <c r="AE504" i="2" s="1"/>
  <c r="AC505" i="2"/>
  <c r="AE505" i="2" s="1"/>
  <c r="AC506" i="2"/>
  <c r="AE506" i="2" s="1"/>
  <c r="AC507" i="2"/>
  <c r="AE507" i="2" s="1"/>
  <c r="AC508" i="2"/>
  <c r="AE508" i="2" s="1"/>
  <c r="AC509" i="2"/>
  <c r="AE509" i="2" s="1"/>
  <c r="AC510" i="2"/>
  <c r="AE510" i="2" s="1"/>
  <c r="AC511" i="2"/>
  <c r="AE511" i="2" s="1"/>
  <c r="AC512" i="2"/>
  <c r="AE512" i="2" s="1"/>
  <c r="AC513" i="2"/>
  <c r="AE513" i="2" s="1"/>
  <c r="AC514" i="2"/>
  <c r="AE514" i="2" s="1"/>
  <c r="AC515" i="2"/>
  <c r="AE515" i="2" s="1"/>
  <c r="AC516" i="2"/>
  <c r="AE516" i="2" s="1"/>
  <c r="AC517" i="2"/>
  <c r="AE517" i="2" s="1"/>
  <c r="AC518" i="2"/>
  <c r="AE518" i="2" s="1"/>
  <c r="AC519" i="2"/>
  <c r="AE519" i="2" s="1"/>
  <c r="AC520" i="2"/>
  <c r="AE520" i="2" s="1"/>
  <c r="AC521" i="2"/>
  <c r="AE521" i="2" s="1"/>
  <c r="AC522" i="2"/>
  <c r="AE522" i="2" s="1"/>
  <c r="AC523" i="2"/>
  <c r="AE523" i="2" s="1"/>
  <c r="AC524" i="2"/>
  <c r="AE524" i="2" s="1"/>
  <c r="AC525" i="2"/>
  <c r="AE525" i="2" s="1"/>
  <c r="AC526" i="2"/>
  <c r="AE526" i="2" s="1"/>
  <c r="AC527" i="2"/>
  <c r="AE527" i="2" s="1"/>
  <c r="AC528" i="2"/>
  <c r="AE528" i="2" s="1"/>
  <c r="AC529" i="2"/>
  <c r="AE529" i="2" s="1"/>
  <c r="AC530" i="2"/>
  <c r="AE530" i="2" s="1"/>
  <c r="AC531" i="2"/>
  <c r="AE531" i="2" s="1"/>
  <c r="AC532" i="2"/>
  <c r="AE532" i="2" s="1"/>
  <c r="AC533" i="2"/>
  <c r="AE533" i="2" s="1"/>
  <c r="AC534" i="2"/>
  <c r="AE534" i="2" s="1"/>
  <c r="AC535" i="2"/>
  <c r="AE535" i="2" s="1"/>
  <c r="AC536" i="2"/>
  <c r="AE536" i="2" s="1"/>
  <c r="AC537" i="2"/>
  <c r="AE537" i="2" s="1"/>
  <c r="AC538" i="2"/>
  <c r="AE538" i="2" s="1"/>
  <c r="AC539" i="2"/>
  <c r="AE539" i="2" s="1"/>
  <c r="AC540" i="2"/>
  <c r="AE540" i="2" s="1"/>
  <c r="AC541" i="2"/>
  <c r="AE541" i="2" s="1"/>
  <c r="AC542" i="2"/>
  <c r="AE542" i="2" s="1"/>
  <c r="AC543" i="2"/>
  <c r="AE543" i="2" s="1"/>
  <c r="AC544" i="2"/>
  <c r="AE544" i="2" s="1"/>
  <c r="AC545" i="2"/>
  <c r="AE545" i="2" s="1"/>
  <c r="AC546" i="2"/>
  <c r="AE546" i="2" s="1"/>
  <c r="AC547" i="2"/>
  <c r="AE547" i="2" s="1"/>
  <c r="AC548" i="2"/>
  <c r="AE548" i="2" s="1"/>
  <c r="AC549" i="2"/>
  <c r="AE549" i="2" s="1"/>
  <c r="AC550" i="2"/>
  <c r="AE550" i="2" s="1"/>
  <c r="AC551" i="2"/>
  <c r="AE551" i="2" s="1"/>
  <c r="AC552" i="2"/>
  <c r="AE552" i="2" s="1"/>
  <c r="AC553" i="2"/>
  <c r="AE553" i="2" s="1"/>
  <c r="AC554" i="2"/>
  <c r="AE554" i="2" s="1"/>
  <c r="AC555" i="2"/>
  <c r="AE555" i="2" s="1"/>
  <c r="AC556" i="2"/>
  <c r="AE556" i="2" s="1"/>
  <c r="AC557" i="2"/>
  <c r="AE557" i="2" s="1"/>
  <c r="AC558" i="2"/>
  <c r="AE558" i="2" s="1"/>
  <c r="AC559" i="2"/>
  <c r="AE559" i="2" s="1"/>
  <c r="AC560" i="2"/>
  <c r="AE560" i="2" s="1"/>
  <c r="AC561" i="2"/>
  <c r="AE561" i="2" s="1"/>
  <c r="AC562" i="2"/>
  <c r="AE562" i="2" s="1"/>
  <c r="AC563" i="2"/>
  <c r="AE563" i="2" s="1"/>
  <c r="AC564" i="2"/>
  <c r="AE564" i="2" s="1"/>
  <c r="AC565" i="2"/>
  <c r="AE565" i="2" s="1"/>
  <c r="AC566" i="2"/>
  <c r="AE566" i="2" s="1"/>
  <c r="AC567" i="2"/>
  <c r="AE567" i="2" s="1"/>
  <c r="AC568" i="2"/>
  <c r="AE568" i="2" s="1"/>
  <c r="AC569" i="2"/>
  <c r="AE569" i="2" s="1"/>
  <c r="AC570" i="2"/>
  <c r="AE570" i="2" s="1"/>
  <c r="AC571" i="2"/>
  <c r="AE571" i="2" s="1"/>
  <c r="AC572" i="2"/>
  <c r="AE572" i="2" s="1"/>
  <c r="AC573" i="2"/>
  <c r="AE573" i="2" s="1"/>
  <c r="AC574" i="2"/>
  <c r="AE574" i="2" s="1"/>
  <c r="AC575" i="2"/>
  <c r="AE575" i="2" s="1"/>
  <c r="AC576" i="2"/>
  <c r="AE576" i="2" s="1"/>
  <c r="AC577" i="2"/>
  <c r="AE577" i="2" s="1"/>
  <c r="AC578" i="2"/>
  <c r="AE578" i="2" s="1"/>
  <c r="AC579" i="2"/>
  <c r="AE579" i="2" s="1"/>
  <c r="AC580" i="2"/>
  <c r="AE580" i="2" s="1"/>
  <c r="AC581" i="2"/>
  <c r="AE581" i="2" s="1"/>
  <c r="AC582" i="2"/>
  <c r="AE582" i="2" s="1"/>
  <c r="AC583" i="2"/>
  <c r="AE583" i="2" s="1"/>
  <c r="AC584" i="2"/>
  <c r="AE584" i="2" s="1"/>
  <c r="AC585" i="2"/>
  <c r="AE585" i="2" s="1"/>
  <c r="AC586" i="2"/>
  <c r="AE586" i="2" s="1"/>
  <c r="AC587" i="2"/>
  <c r="AE587" i="2" s="1"/>
  <c r="AC588" i="2"/>
  <c r="AE588" i="2" s="1"/>
  <c r="AC589" i="2"/>
  <c r="AE589" i="2" s="1"/>
  <c r="AC590" i="2"/>
  <c r="AE590" i="2" s="1"/>
  <c r="AC591" i="2"/>
  <c r="AE591" i="2" s="1"/>
  <c r="AC592" i="2"/>
  <c r="AE592" i="2" s="1"/>
  <c r="AC593" i="2"/>
  <c r="AE593" i="2" s="1"/>
  <c r="AC594" i="2"/>
  <c r="AE594" i="2" s="1"/>
  <c r="AC595" i="2"/>
  <c r="AE595" i="2" s="1"/>
  <c r="AC596" i="2"/>
  <c r="AE596" i="2" s="1"/>
  <c r="AC597" i="2"/>
  <c r="AE597" i="2" s="1"/>
  <c r="AC598" i="2"/>
  <c r="AE598" i="2" s="1"/>
  <c r="AC599" i="2"/>
  <c r="AE599" i="2" s="1"/>
  <c r="AC600" i="2"/>
  <c r="AE600" i="2" s="1"/>
  <c r="AC601" i="2"/>
  <c r="AE601" i="2" s="1"/>
  <c r="AC602" i="2"/>
  <c r="AE602" i="2" s="1"/>
  <c r="AC603" i="2"/>
  <c r="AE603" i="2" s="1"/>
  <c r="AC604" i="2"/>
  <c r="AE604" i="2" s="1"/>
  <c r="AC605" i="2"/>
  <c r="AE605" i="2" s="1"/>
  <c r="AC606" i="2"/>
  <c r="AE606" i="2" s="1"/>
  <c r="AC607" i="2"/>
  <c r="AE607" i="2" s="1"/>
  <c r="AC608" i="2"/>
  <c r="AE608" i="2" s="1"/>
  <c r="AC609" i="2"/>
  <c r="AE609" i="2" s="1"/>
  <c r="AC610" i="2"/>
  <c r="AE610" i="2" s="1"/>
  <c r="AC611" i="2"/>
  <c r="AE611" i="2" s="1"/>
  <c r="AC612" i="2"/>
  <c r="AE612" i="2" s="1"/>
  <c r="AC613" i="2"/>
  <c r="AE613" i="2" s="1"/>
  <c r="AC614" i="2"/>
  <c r="AE614" i="2" s="1"/>
  <c r="AC615" i="2"/>
  <c r="AE615" i="2" s="1"/>
  <c r="AC616" i="2"/>
  <c r="AE616" i="2" s="1"/>
  <c r="AC617" i="2"/>
  <c r="AE617" i="2" s="1"/>
  <c r="AC618" i="2"/>
  <c r="AE618" i="2" s="1"/>
  <c r="AC619" i="2"/>
  <c r="AE619" i="2" s="1"/>
  <c r="AC620" i="2"/>
  <c r="AE620" i="2" s="1"/>
  <c r="AC621" i="2"/>
  <c r="AE621" i="2" s="1"/>
  <c r="AC622" i="2"/>
  <c r="AE622" i="2" s="1"/>
  <c r="AC623" i="2"/>
  <c r="AE623" i="2" s="1"/>
  <c r="AC624" i="2"/>
  <c r="AE624" i="2" s="1"/>
  <c r="AC625" i="2"/>
  <c r="AE625" i="2" s="1"/>
  <c r="AC626" i="2"/>
  <c r="AE626" i="2" s="1"/>
  <c r="AC627" i="2"/>
  <c r="AE627" i="2" s="1"/>
  <c r="AC628" i="2"/>
  <c r="AE628" i="2" s="1"/>
  <c r="AC629" i="2"/>
  <c r="AE629" i="2" s="1"/>
  <c r="AC630" i="2"/>
  <c r="AE630" i="2" s="1"/>
  <c r="AC631" i="2"/>
  <c r="AE631" i="2" s="1"/>
  <c r="AC632" i="2"/>
  <c r="AE632" i="2" s="1"/>
  <c r="AC633" i="2"/>
  <c r="AE633" i="2" s="1"/>
  <c r="AC634" i="2"/>
  <c r="AE634" i="2" s="1"/>
  <c r="AC635" i="2"/>
  <c r="AE635" i="2" s="1"/>
  <c r="AC636" i="2"/>
  <c r="AE636" i="2" s="1"/>
  <c r="AC637" i="2"/>
  <c r="AE637" i="2" s="1"/>
  <c r="AC638" i="2"/>
  <c r="AE638" i="2" s="1"/>
  <c r="AC639" i="2"/>
  <c r="AE639" i="2" s="1"/>
  <c r="AC640" i="2"/>
  <c r="AE640" i="2" s="1"/>
  <c r="AC641" i="2"/>
  <c r="AE641" i="2" s="1"/>
  <c r="AC642" i="2"/>
  <c r="AE642" i="2" s="1"/>
  <c r="AC643" i="2"/>
  <c r="AE643" i="2" s="1"/>
  <c r="AC644" i="2"/>
  <c r="AE644" i="2" s="1"/>
  <c r="AC645" i="2"/>
  <c r="AE645" i="2" s="1"/>
  <c r="AC646" i="2"/>
  <c r="AE646" i="2" s="1"/>
  <c r="AC647" i="2"/>
  <c r="AE647" i="2" s="1"/>
  <c r="AC648" i="2"/>
  <c r="AE648" i="2" s="1"/>
  <c r="AC649" i="2"/>
  <c r="AE649" i="2" s="1"/>
  <c r="AC650" i="2"/>
  <c r="AE650" i="2" s="1"/>
  <c r="AC651" i="2"/>
  <c r="AE651" i="2" s="1"/>
  <c r="AC652" i="2"/>
  <c r="AE652" i="2" s="1"/>
  <c r="AC653" i="2"/>
  <c r="AE653" i="2" s="1"/>
  <c r="AC654" i="2"/>
  <c r="AE654" i="2" s="1"/>
  <c r="AC655" i="2"/>
  <c r="AE655" i="2" s="1"/>
  <c r="AC656" i="2"/>
  <c r="AE656" i="2" s="1"/>
  <c r="AC657" i="2"/>
  <c r="AE657" i="2" s="1"/>
  <c r="AC658" i="2"/>
  <c r="AE658" i="2" s="1"/>
  <c r="AC659" i="2"/>
  <c r="AE659" i="2" s="1"/>
  <c r="AC660" i="2"/>
  <c r="AE660" i="2" s="1"/>
  <c r="AC661" i="2"/>
  <c r="AE661" i="2" s="1"/>
  <c r="AC662" i="2"/>
  <c r="AE662" i="2" s="1"/>
  <c r="AC663" i="2"/>
  <c r="AE663" i="2" s="1"/>
  <c r="AC664" i="2"/>
  <c r="AE664" i="2" s="1"/>
  <c r="AC665" i="2"/>
  <c r="AE665" i="2" s="1"/>
  <c r="AC666" i="2"/>
  <c r="AE666" i="2" s="1"/>
  <c r="AC667" i="2"/>
  <c r="AE667" i="2" s="1"/>
  <c r="AC668" i="2"/>
  <c r="AE668" i="2" s="1"/>
  <c r="AC669" i="2"/>
  <c r="AE669" i="2" s="1"/>
  <c r="AC670" i="2"/>
  <c r="AE670" i="2" s="1"/>
  <c r="AC671" i="2"/>
  <c r="AE671" i="2" s="1"/>
  <c r="AC672" i="2"/>
  <c r="AE672" i="2" s="1"/>
  <c r="AC673" i="2"/>
  <c r="AE673" i="2" s="1"/>
  <c r="AC674" i="2"/>
  <c r="AE674" i="2" s="1"/>
  <c r="AC675" i="2"/>
  <c r="AE675" i="2" s="1"/>
  <c r="AC676" i="2"/>
  <c r="AE676" i="2" s="1"/>
  <c r="AC677" i="2"/>
  <c r="AE677" i="2" s="1"/>
  <c r="AC678" i="2"/>
  <c r="AE678" i="2" s="1"/>
  <c r="AC679" i="2"/>
  <c r="AE679" i="2" s="1"/>
  <c r="AC680" i="2"/>
  <c r="AE680" i="2" s="1"/>
  <c r="AC681" i="2"/>
  <c r="AE681" i="2" s="1"/>
  <c r="AC682" i="2"/>
  <c r="AE682" i="2" s="1"/>
  <c r="AC683" i="2"/>
  <c r="AE683" i="2" s="1"/>
  <c r="AC684" i="2"/>
  <c r="AE684" i="2" s="1"/>
  <c r="AC685" i="2"/>
  <c r="AE685" i="2" s="1"/>
  <c r="AC686" i="2"/>
  <c r="AE686" i="2" s="1"/>
  <c r="AC687" i="2"/>
  <c r="AE687" i="2" s="1"/>
  <c r="AC688" i="2"/>
  <c r="AE688" i="2" s="1"/>
  <c r="AC689" i="2"/>
  <c r="AE689" i="2" s="1"/>
  <c r="AC690" i="2"/>
  <c r="AE690" i="2" s="1"/>
  <c r="AC691" i="2"/>
  <c r="AE691" i="2" s="1"/>
  <c r="AC692" i="2"/>
  <c r="AE692" i="2" s="1"/>
  <c r="AC693" i="2"/>
  <c r="AE693" i="2" s="1"/>
  <c r="AC694" i="2"/>
  <c r="AE694" i="2" s="1"/>
  <c r="AC695" i="2"/>
  <c r="AE695" i="2" s="1"/>
  <c r="AC696" i="2"/>
  <c r="AE696" i="2" s="1"/>
  <c r="AC697" i="2"/>
  <c r="AE697" i="2" s="1"/>
  <c r="AC698" i="2"/>
  <c r="AE698" i="2" s="1"/>
  <c r="AC699" i="2"/>
  <c r="AE699" i="2" s="1"/>
  <c r="AC700" i="2"/>
  <c r="AE700" i="2" s="1"/>
  <c r="AC701" i="2"/>
  <c r="AE701" i="2" s="1"/>
  <c r="AC702" i="2"/>
  <c r="AE702" i="2" s="1"/>
  <c r="AC703" i="2"/>
  <c r="AE703" i="2" s="1"/>
  <c r="AC704" i="2"/>
  <c r="AE704" i="2" s="1"/>
  <c r="AC705" i="2"/>
  <c r="AE705" i="2" s="1"/>
  <c r="AC706" i="2"/>
  <c r="AE706" i="2" s="1"/>
  <c r="AC707" i="2"/>
  <c r="AE707" i="2" s="1"/>
  <c r="AC708" i="2"/>
  <c r="AE708" i="2" s="1"/>
  <c r="AC709" i="2"/>
  <c r="AE709" i="2" s="1"/>
  <c r="AC710" i="2"/>
  <c r="AE710" i="2" s="1"/>
  <c r="AC711" i="2"/>
  <c r="AE711" i="2" s="1"/>
  <c r="AC712" i="2"/>
  <c r="AE712" i="2" s="1"/>
  <c r="AC713" i="2"/>
  <c r="AE713" i="2" s="1"/>
  <c r="AC714" i="2"/>
  <c r="AE714" i="2" s="1"/>
  <c r="AC715" i="2"/>
  <c r="AE715" i="2" s="1"/>
  <c r="AC716" i="2"/>
  <c r="AE716" i="2" s="1"/>
  <c r="AC717" i="2"/>
  <c r="AE717" i="2" s="1"/>
  <c r="AC718" i="2"/>
  <c r="AE718" i="2" s="1"/>
  <c r="AC719" i="2"/>
  <c r="AE719" i="2" s="1"/>
  <c r="AC720" i="2"/>
  <c r="AE720" i="2" s="1"/>
  <c r="AC721" i="2"/>
  <c r="AE721" i="2" s="1"/>
  <c r="AC722" i="2"/>
  <c r="AE722" i="2" s="1"/>
  <c r="AC723" i="2"/>
  <c r="AE723" i="2" s="1"/>
  <c r="AC724" i="2"/>
  <c r="AE724" i="2" s="1"/>
  <c r="AC725" i="2"/>
  <c r="AE725" i="2" s="1"/>
  <c r="AC726" i="2"/>
  <c r="AE726" i="2" s="1"/>
  <c r="AC727" i="2"/>
  <c r="AE727" i="2" s="1"/>
  <c r="AC728" i="2"/>
  <c r="AE728" i="2" s="1"/>
  <c r="AC729" i="2"/>
  <c r="AE729" i="2" s="1"/>
  <c r="AC730" i="2"/>
  <c r="AE730" i="2" s="1"/>
  <c r="AC731" i="2"/>
  <c r="AE731" i="2" s="1"/>
  <c r="AC732" i="2"/>
  <c r="AE732" i="2" s="1"/>
  <c r="AC733" i="2"/>
  <c r="AE733" i="2" s="1"/>
  <c r="AC734" i="2"/>
  <c r="AE734" i="2" s="1"/>
  <c r="AC735" i="2"/>
  <c r="AE735" i="2" s="1"/>
  <c r="AC736" i="2"/>
  <c r="AE736" i="2" s="1"/>
  <c r="AC737" i="2"/>
  <c r="AE737" i="2" s="1"/>
  <c r="AC738" i="2"/>
  <c r="AE738" i="2" s="1"/>
  <c r="AC739" i="2"/>
  <c r="AE739" i="2" s="1"/>
  <c r="AC740" i="2"/>
  <c r="AE740" i="2" s="1"/>
  <c r="AC741" i="2"/>
  <c r="AE741" i="2" s="1"/>
  <c r="AC742" i="2"/>
  <c r="AE742" i="2" s="1"/>
  <c r="AC743" i="2"/>
  <c r="AE743" i="2" s="1"/>
  <c r="AC744" i="2"/>
  <c r="AE744" i="2" s="1"/>
  <c r="AC745" i="2"/>
  <c r="AE745" i="2" s="1"/>
  <c r="AC746" i="2"/>
  <c r="AE746" i="2" s="1"/>
  <c r="AC747" i="2"/>
  <c r="AE747" i="2" s="1"/>
  <c r="AC748" i="2"/>
  <c r="AE748" i="2" s="1"/>
  <c r="AC749" i="2"/>
  <c r="AE749" i="2" s="1"/>
  <c r="AC750" i="2"/>
  <c r="AE750" i="2" s="1"/>
  <c r="AC751" i="2"/>
  <c r="AE751" i="2" s="1"/>
  <c r="AC752" i="2"/>
  <c r="AE752" i="2" s="1"/>
  <c r="AC753" i="2"/>
  <c r="AE753" i="2" s="1"/>
  <c r="AC754" i="2"/>
  <c r="AE754" i="2" s="1"/>
  <c r="AC755" i="2"/>
  <c r="AE755" i="2" s="1"/>
  <c r="AC756" i="2"/>
  <c r="AE756" i="2" s="1"/>
  <c r="AC757" i="2"/>
  <c r="AE757" i="2" s="1"/>
  <c r="AC758" i="2"/>
  <c r="AE758" i="2" s="1"/>
  <c r="AC759" i="2"/>
  <c r="AE759" i="2" s="1"/>
  <c r="AC760" i="2"/>
  <c r="AE760" i="2" s="1"/>
  <c r="AC761" i="2"/>
  <c r="AE761" i="2" s="1"/>
  <c r="AC762" i="2"/>
  <c r="AE762" i="2" s="1"/>
  <c r="AC763" i="2"/>
  <c r="AE763" i="2" s="1"/>
  <c r="AC764" i="2"/>
  <c r="AE764" i="2" s="1"/>
  <c r="AC765" i="2"/>
  <c r="AE765" i="2" s="1"/>
  <c r="AC766" i="2"/>
  <c r="AE766" i="2" s="1"/>
  <c r="AC767" i="2"/>
  <c r="AE767" i="2" s="1"/>
  <c r="AC768" i="2"/>
  <c r="AE768" i="2" s="1"/>
  <c r="AC769" i="2"/>
  <c r="AE769" i="2" s="1"/>
  <c r="AC770" i="2"/>
  <c r="AE770" i="2" s="1"/>
  <c r="AC771" i="2"/>
  <c r="AE771" i="2" s="1"/>
  <c r="AC772" i="2"/>
  <c r="AE772" i="2" s="1"/>
  <c r="AC773" i="2"/>
  <c r="AE773" i="2" s="1"/>
  <c r="AC774" i="2"/>
  <c r="AE774" i="2" s="1"/>
  <c r="AC775" i="2"/>
  <c r="AE775" i="2" s="1"/>
  <c r="AC776" i="2"/>
  <c r="AE776" i="2" s="1"/>
  <c r="AC777" i="2"/>
  <c r="AE777" i="2" s="1"/>
  <c r="AC778" i="2"/>
  <c r="AE778" i="2" s="1"/>
  <c r="AC779" i="2"/>
  <c r="AE779" i="2" s="1"/>
  <c r="AC780" i="2"/>
  <c r="AE780" i="2" s="1"/>
  <c r="AC781" i="2"/>
  <c r="AE781" i="2" s="1"/>
  <c r="AC782" i="2"/>
  <c r="AE782" i="2" s="1"/>
  <c r="AC783" i="2"/>
  <c r="AE783" i="2" s="1"/>
  <c r="AC784" i="2"/>
  <c r="AE784" i="2" s="1"/>
  <c r="AC785" i="2"/>
  <c r="AE785" i="2" s="1"/>
  <c r="AC786" i="2"/>
  <c r="AE786" i="2" s="1"/>
  <c r="AC787" i="2"/>
  <c r="AE787" i="2" s="1"/>
  <c r="AC788" i="2"/>
  <c r="AE788" i="2" s="1"/>
  <c r="AC789" i="2"/>
  <c r="AE789" i="2" s="1"/>
  <c r="AC790" i="2"/>
  <c r="AE790" i="2" s="1"/>
  <c r="AC791" i="2"/>
  <c r="AE791" i="2" s="1"/>
  <c r="AC792" i="2"/>
  <c r="AE792" i="2" s="1"/>
  <c r="AC793" i="2"/>
  <c r="AE793" i="2" s="1"/>
  <c r="AC794" i="2"/>
  <c r="AE794" i="2" s="1"/>
  <c r="AC795" i="2"/>
  <c r="AE795" i="2" s="1"/>
  <c r="AC796" i="2"/>
  <c r="AE796" i="2" s="1"/>
  <c r="AC797" i="2"/>
  <c r="AE797" i="2" s="1"/>
  <c r="AC798" i="2"/>
  <c r="AE798" i="2" s="1"/>
  <c r="AC799" i="2"/>
  <c r="AE799" i="2" s="1"/>
  <c r="AC800" i="2"/>
  <c r="AE800" i="2" s="1"/>
  <c r="AC801" i="2"/>
  <c r="AE801" i="2" s="1"/>
  <c r="AC802" i="2"/>
  <c r="AE802" i="2" s="1"/>
  <c r="AC803" i="2"/>
  <c r="AE803" i="2" s="1"/>
  <c r="AC804" i="2"/>
  <c r="AE804" i="2" s="1"/>
  <c r="AC805" i="2"/>
  <c r="AE805" i="2" s="1"/>
  <c r="AC806" i="2"/>
  <c r="AE806" i="2" s="1"/>
  <c r="AC807" i="2"/>
  <c r="AE807" i="2" s="1"/>
  <c r="AC808" i="2"/>
  <c r="AE808" i="2" s="1"/>
  <c r="AC809" i="2"/>
  <c r="AE809" i="2" s="1"/>
  <c r="AC810" i="2"/>
  <c r="AE810" i="2" s="1"/>
  <c r="AC811" i="2"/>
  <c r="AE811" i="2" s="1"/>
  <c r="AC812" i="2"/>
  <c r="AE812" i="2" s="1"/>
  <c r="AC813" i="2"/>
  <c r="AE813" i="2" s="1"/>
  <c r="AC814" i="2"/>
  <c r="AE814" i="2" s="1"/>
  <c r="AC815" i="2"/>
  <c r="AE815" i="2" s="1"/>
  <c r="AC816" i="2"/>
  <c r="AE816" i="2" s="1"/>
  <c r="AC817" i="2"/>
  <c r="AE817" i="2" s="1"/>
  <c r="AC818" i="2"/>
  <c r="AE818" i="2" s="1"/>
  <c r="AC819" i="2"/>
  <c r="AE819" i="2" s="1"/>
  <c r="AC820" i="2"/>
  <c r="AE820" i="2" s="1"/>
  <c r="AC821" i="2"/>
  <c r="AE821" i="2" s="1"/>
  <c r="AC822" i="2"/>
  <c r="AE822" i="2" s="1"/>
  <c r="AC823" i="2"/>
  <c r="AE823" i="2" s="1"/>
  <c r="AC824" i="2"/>
  <c r="AE824" i="2" s="1"/>
  <c r="AC825" i="2"/>
  <c r="AE825" i="2" s="1"/>
  <c r="AC826" i="2"/>
  <c r="AE826" i="2" s="1"/>
  <c r="AC827" i="2"/>
  <c r="AE827" i="2" s="1"/>
  <c r="AC828" i="2"/>
  <c r="AE828" i="2" s="1"/>
  <c r="AC829" i="2"/>
  <c r="AE829" i="2" s="1"/>
  <c r="AC830" i="2"/>
  <c r="AE830" i="2" s="1"/>
  <c r="AC831" i="2"/>
  <c r="AE831" i="2" s="1"/>
  <c r="AC832" i="2"/>
  <c r="AE832" i="2" s="1"/>
  <c r="AC833" i="2"/>
  <c r="AE833" i="2" s="1"/>
  <c r="AC834" i="2"/>
  <c r="AE834" i="2" s="1"/>
  <c r="AC835" i="2"/>
  <c r="AE835" i="2" s="1"/>
  <c r="AC836" i="2"/>
  <c r="AE836" i="2" s="1"/>
  <c r="AC837" i="2"/>
  <c r="AE837" i="2" s="1"/>
  <c r="AC838" i="2"/>
  <c r="AE838" i="2" s="1"/>
  <c r="AC839" i="2"/>
  <c r="AE839" i="2" s="1"/>
  <c r="AC840" i="2"/>
  <c r="AE840" i="2" s="1"/>
  <c r="AC841" i="2"/>
  <c r="AE841" i="2" s="1"/>
  <c r="AC842" i="2"/>
  <c r="AE842" i="2" s="1"/>
  <c r="AC843" i="2"/>
  <c r="AE843" i="2" s="1"/>
  <c r="AC844" i="2"/>
  <c r="AE844" i="2" s="1"/>
  <c r="AC845" i="2"/>
  <c r="AE845" i="2" s="1"/>
  <c r="AC846" i="2"/>
  <c r="AE846" i="2" s="1"/>
  <c r="AC847" i="2"/>
  <c r="AE847" i="2" s="1"/>
  <c r="AC848" i="2"/>
  <c r="AE848" i="2" s="1"/>
  <c r="AC849" i="2"/>
  <c r="AE849" i="2" s="1"/>
  <c r="AC850" i="2"/>
  <c r="AE850" i="2" s="1"/>
  <c r="AC851" i="2"/>
  <c r="AE851" i="2" s="1"/>
  <c r="AC852" i="2"/>
  <c r="AE852" i="2" s="1"/>
  <c r="AC853" i="2"/>
  <c r="AE853" i="2" s="1"/>
  <c r="AC854" i="2"/>
  <c r="AE854" i="2" s="1"/>
  <c r="AC855" i="2"/>
  <c r="AE855" i="2" s="1"/>
  <c r="AC856" i="2"/>
  <c r="AE856" i="2" s="1"/>
  <c r="AC857" i="2"/>
  <c r="AE857" i="2" s="1"/>
  <c r="AC858" i="2"/>
  <c r="AE858" i="2" s="1"/>
  <c r="AC859" i="2"/>
  <c r="AE859" i="2" s="1"/>
  <c r="AC860" i="2"/>
  <c r="AE860" i="2" s="1"/>
  <c r="AC861" i="2"/>
  <c r="AE861" i="2" s="1"/>
  <c r="AC862" i="2"/>
  <c r="AE862" i="2" s="1"/>
  <c r="AC863" i="2"/>
  <c r="AE863" i="2" s="1"/>
  <c r="AC864" i="2"/>
  <c r="AE864" i="2" s="1"/>
  <c r="AC865" i="2"/>
  <c r="AE865" i="2" s="1"/>
  <c r="AC866" i="2"/>
  <c r="AE866" i="2" s="1"/>
  <c r="AC867" i="2"/>
  <c r="AE867" i="2" s="1"/>
  <c r="AC868" i="2"/>
  <c r="AE868" i="2" s="1"/>
  <c r="AC869" i="2"/>
  <c r="AE869" i="2" s="1"/>
  <c r="AC870" i="2"/>
  <c r="AE870" i="2" s="1"/>
  <c r="AC871" i="2"/>
  <c r="AE871" i="2" s="1"/>
  <c r="AC872" i="2"/>
  <c r="AE872" i="2" s="1"/>
  <c r="AC873" i="2"/>
  <c r="AE873" i="2" s="1"/>
  <c r="AC874" i="2"/>
  <c r="AE874" i="2" s="1"/>
  <c r="AC875" i="2"/>
  <c r="AE875" i="2" s="1"/>
  <c r="AC876" i="2"/>
  <c r="AE876" i="2" s="1"/>
  <c r="AC877" i="2"/>
  <c r="AE877" i="2" s="1"/>
  <c r="AC878" i="2"/>
  <c r="AE878" i="2" s="1"/>
  <c r="AC879" i="2"/>
  <c r="AE879" i="2" s="1"/>
  <c r="AC880" i="2"/>
  <c r="AE880" i="2" s="1"/>
  <c r="AC881" i="2"/>
  <c r="AE881" i="2" s="1"/>
  <c r="AC882" i="2"/>
  <c r="AE882" i="2" s="1"/>
  <c r="AC883" i="2"/>
  <c r="AE883" i="2" s="1"/>
  <c r="AC884" i="2"/>
  <c r="AE884" i="2" s="1"/>
  <c r="AC885" i="2"/>
  <c r="AE885" i="2" s="1"/>
  <c r="AC886" i="2"/>
  <c r="AE886" i="2" s="1"/>
  <c r="AC887" i="2"/>
  <c r="AE887" i="2" s="1"/>
  <c r="AC888" i="2"/>
  <c r="AE888" i="2" s="1"/>
  <c r="AC889" i="2"/>
  <c r="AE889" i="2" s="1"/>
  <c r="AC890" i="2"/>
  <c r="AE890" i="2" s="1"/>
  <c r="AC891" i="2"/>
  <c r="AE891" i="2" s="1"/>
  <c r="AC892" i="2"/>
  <c r="AE892" i="2" s="1"/>
  <c r="AC893" i="2"/>
  <c r="AE893" i="2" s="1"/>
  <c r="AC894" i="2"/>
  <c r="AE894" i="2" s="1"/>
  <c r="AC895" i="2"/>
  <c r="AE895" i="2" s="1"/>
  <c r="AC896" i="2"/>
  <c r="AE896" i="2" s="1"/>
  <c r="AC897" i="2"/>
  <c r="AE897" i="2" s="1"/>
  <c r="AC898" i="2"/>
  <c r="AE898" i="2" s="1"/>
  <c r="AC899" i="2"/>
  <c r="AE899" i="2" s="1"/>
  <c r="AC900" i="2"/>
  <c r="AE900" i="2" s="1"/>
  <c r="AC901" i="2"/>
  <c r="AE901" i="2" s="1"/>
  <c r="AC902" i="2"/>
  <c r="AE902" i="2" s="1"/>
  <c r="AC903" i="2"/>
  <c r="AE903" i="2" s="1"/>
  <c r="AC904" i="2"/>
  <c r="AE904" i="2" s="1"/>
  <c r="AC905" i="2"/>
  <c r="AE905" i="2" s="1"/>
  <c r="AC906" i="2"/>
  <c r="AE906" i="2" s="1"/>
  <c r="AC907" i="2"/>
  <c r="AE907" i="2" s="1"/>
  <c r="AC908" i="2"/>
  <c r="AE908" i="2" s="1"/>
  <c r="AC909" i="2"/>
  <c r="AE909" i="2" s="1"/>
  <c r="AC910" i="2"/>
  <c r="AE910" i="2" s="1"/>
  <c r="AC911" i="2"/>
  <c r="AE911" i="2" s="1"/>
  <c r="AC912" i="2"/>
  <c r="AE912" i="2" s="1"/>
  <c r="AC913" i="2"/>
  <c r="AE913" i="2" s="1"/>
  <c r="AC914" i="2"/>
  <c r="AE914" i="2" s="1"/>
  <c r="AC915" i="2"/>
  <c r="AE915" i="2" s="1"/>
  <c r="AC916" i="2"/>
  <c r="AE916" i="2" s="1"/>
  <c r="AC917" i="2"/>
  <c r="AE917" i="2" s="1"/>
  <c r="AC918" i="2"/>
  <c r="AE918" i="2" s="1"/>
  <c r="AC919" i="2"/>
  <c r="AE919" i="2" s="1"/>
  <c r="AC920" i="2"/>
  <c r="AE920" i="2" s="1"/>
  <c r="AC921" i="2"/>
  <c r="AE921" i="2" s="1"/>
  <c r="AC922" i="2"/>
  <c r="AE922" i="2" s="1"/>
  <c r="AC923" i="2"/>
  <c r="AE923" i="2" s="1"/>
  <c r="AC924" i="2"/>
  <c r="AE924" i="2" s="1"/>
  <c r="AC925" i="2"/>
  <c r="AE925" i="2" s="1"/>
  <c r="AC926" i="2"/>
  <c r="AE926" i="2" s="1"/>
  <c r="AC927" i="2"/>
  <c r="AE927" i="2" s="1"/>
  <c r="AC928" i="2"/>
  <c r="AE928" i="2" s="1"/>
  <c r="AC929" i="2"/>
  <c r="AE929" i="2" s="1"/>
  <c r="AC930" i="2"/>
  <c r="AE930" i="2" s="1"/>
  <c r="AC931" i="2"/>
  <c r="AE931" i="2" s="1"/>
  <c r="AC932" i="2"/>
  <c r="AE932" i="2" s="1"/>
  <c r="AC933" i="2"/>
  <c r="AE933" i="2" s="1"/>
  <c r="AC934" i="2"/>
  <c r="AE934" i="2" s="1"/>
  <c r="AC935" i="2"/>
  <c r="AE935" i="2" s="1"/>
  <c r="AC936" i="2"/>
  <c r="AE936" i="2" s="1"/>
  <c r="AC937" i="2"/>
  <c r="AE937" i="2" s="1"/>
  <c r="AC938" i="2"/>
  <c r="AE938" i="2" s="1"/>
  <c r="AC939" i="2"/>
  <c r="AE939" i="2" s="1"/>
  <c r="AC940" i="2"/>
  <c r="AE940" i="2" s="1"/>
  <c r="AC941" i="2"/>
  <c r="AE941" i="2" s="1"/>
  <c r="AC942" i="2"/>
  <c r="AE942" i="2" s="1"/>
  <c r="AC943" i="2"/>
  <c r="AE943" i="2" s="1"/>
  <c r="AC944" i="2"/>
  <c r="AE944" i="2" s="1"/>
  <c r="AC945" i="2"/>
  <c r="AE945" i="2" s="1"/>
  <c r="AC946" i="2"/>
  <c r="AE946" i="2" s="1"/>
  <c r="AC947" i="2"/>
  <c r="AE947" i="2" s="1"/>
  <c r="AC948" i="2"/>
  <c r="AE948" i="2" s="1"/>
  <c r="AC949" i="2"/>
  <c r="AE949" i="2" s="1"/>
  <c r="AC950" i="2"/>
  <c r="AE950" i="2" s="1"/>
  <c r="AC951" i="2"/>
  <c r="AE951" i="2" s="1"/>
  <c r="AC952" i="2"/>
  <c r="AE952" i="2" s="1"/>
  <c r="AC953" i="2"/>
  <c r="AE953" i="2" s="1"/>
  <c r="AC954" i="2"/>
  <c r="AE954" i="2" s="1"/>
  <c r="AC955" i="2"/>
  <c r="AE955" i="2" s="1"/>
  <c r="AC956" i="2"/>
  <c r="AE956" i="2" s="1"/>
  <c r="AC957" i="2"/>
  <c r="AE957" i="2" s="1"/>
  <c r="AC958" i="2"/>
  <c r="AE958" i="2" s="1"/>
  <c r="AC959" i="2"/>
  <c r="AE959" i="2" s="1"/>
  <c r="AC960" i="2"/>
  <c r="AE960" i="2" s="1"/>
  <c r="AC961" i="2"/>
  <c r="AE961" i="2" s="1"/>
  <c r="AC962" i="2"/>
  <c r="AE962" i="2" s="1"/>
  <c r="AC963" i="2"/>
  <c r="AE963" i="2" s="1"/>
  <c r="AC964" i="2"/>
  <c r="AE964" i="2" s="1"/>
  <c r="AC965" i="2"/>
  <c r="AE965" i="2" s="1"/>
  <c r="AC966" i="2"/>
  <c r="AE966" i="2" s="1"/>
  <c r="AC967" i="2"/>
  <c r="AE967" i="2" s="1"/>
  <c r="AC968" i="2"/>
  <c r="AE968" i="2" s="1"/>
  <c r="AC969" i="2"/>
  <c r="AE969" i="2" s="1"/>
  <c r="AC970" i="2"/>
  <c r="AE970" i="2" s="1"/>
  <c r="AC971" i="2"/>
  <c r="AE971" i="2" s="1"/>
  <c r="AC972" i="2"/>
  <c r="AE972" i="2" s="1"/>
  <c r="AC973" i="2"/>
  <c r="AE973" i="2" s="1"/>
  <c r="AC974" i="2"/>
  <c r="AE974" i="2" s="1"/>
  <c r="AC975" i="2"/>
  <c r="AE975" i="2" s="1"/>
  <c r="AC976" i="2"/>
  <c r="AE976" i="2" s="1"/>
  <c r="AC977" i="2"/>
  <c r="AE977" i="2" s="1"/>
  <c r="AC978" i="2"/>
  <c r="AE978" i="2" s="1"/>
  <c r="AC979" i="2"/>
  <c r="AE979" i="2" s="1"/>
  <c r="AC980" i="2"/>
  <c r="AE980" i="2" s="1"/>
  <c r="AC981" i="2"/>
  <c r="AE981" i="2" s="1"/>
  <c r="AC982" i="2"/>
  <c r="AE982" i="2" s="1"/>
  <c r="AC983" i="2"/>
  <c r="AE983" i="2" s="1"/>
  <c r="AC984" i="2"/>
  <c r="AE984" i="2" s="1"/>
  <c r="AC985" i="2"/>
  <c r="AE985" i="2" s="1"/>
  <c r="AC986" i="2"/>
  <c r="AE986" i="2" s="1"/>
  <c r="AC987" i="2"/>
  <c r="AE987" i="2" s="1"/>
  <c r="AC988" i="2"/>
  <c r="AE988" i="2" s="1"/>
  <c r="AC989" i="2"/>
  <c r="AE989" i="2" s="1"/>
  <c r="AC990" i="2"/>
  <c r="AE990" i="2" s="1"/>
  <c r="AC991" i="2"/>
  <c r="AE991" i="2" s="1"/>
  <c r="AC992" i="2"/>
  <c r="AE992" i="2" s="1"/>
  <c r="AC993" i="2"/>
  <c r="AE993" i="2" s="1"/>
  <c r="AC994" i="2"/>
  <c r="AE994" i="2" s="1"/>
  <c r="AC995" i="2"/>
  <c r="AE995" i="2" s="1"/>
  <c r="AC996" i="2"/>
  <c r="AE996" i="2" s="1"/>
  <c r="AC997" i="2"/>
  <c r="AE997" i="2" s="1"/>
  <c r="AC998" i="2"/>
  <c r="AE998" i="2" s="1"/>
  <c r="AC999" i="2"/>
  <c r="AE999" i="2" s="1"/>
  <c r="AC1000" i="2"/>
  <c r="AE1000" i="2" s="1"/>
  <c r="AC1001" i="2"/>
  <c r="AE1001" i="2" s="1"/>
  <c r="AD2" i="2"/>
  <c r="AF2" i="2" s="1"/>
  <c r="AD3" i="2"/>
  <c r="AF3" i="2" s="1"/>
  <c r="AD4" i="2"/>
  <c r="AF4" i="2" s="1"/>
  <c r="AD5" i="2"/>
  <c r="AF5" i="2" s="1"/>
  <c r="AD6" i="2"/>
  <c r="AF6" i="2" s="1"/>
  <c r="AD7" i="2"/>
  <c r="AF7" i="2" s="1"/>
  <c r="AD8" i="2"/>
  <c r="AF8" i="2" s="1"/>
  <c r="AD9" i="2"/>
  <c r="AF9" i="2" s="1"/>
  <c r="AD10" i="2"/>
  <c r="AF10" i="2" s="1"/>
  <c r="AD11" i="2"/>
  <c r="AF11" i="2" s="1"/>
  <c r="AD12" i="2"/>
  <c r="AF12" i="2" s="1"/>
  <c r="AD13" i="2"/>
  <c r="AF13" i="2" s="1"/>
  <c r="AD14" i="2"/>
  <c r="AF14" i="2" s="1"/>
  <c r="AD15" i="2"/>
  <c r="AF15" i="2" s="1"/>
  <c r="AD16" i="2"/>
  <c r="AF16" i="2" s="1"/>
  <c r="AD17" i="2"/>
  <c r="AF17" i="2" s="1"/>
  <c r="AD18" i="2"/>
  <c r="AF18" i="2" s="1"/>
  <c r="AD19" i="2"/>
  <c r="AF19" i="2" s="1"/>
  <c r="AD20" i="2"/>
  <c r="AF20" i="2" s="1"/>
  <c r="AD21" i="2"/>
  <c r="AF21" i="2" s="1"/>
  <c r="AD22" i="2"/>
  <c r="AF22" i="2" s="1"/>
  <c r="AD23" i="2"/>
  <c r="AF23" i="2" s="1"/>
  <c r="AD24" i="2"/>
  <c r="AF24" i="2" s="1"/>
  <c r="AD25" i="2"/>
  <c r="AF25" i="2" s="1"/>
  <c r="AD26" i="2"/>
  <c r="AF26" i="2" s="1"/>
  <c r="AD27" i="2"/>
  <c r="AF27" i="2" s="1"/>
  <c r="AD28" i="2"/>
  <c r="AF28" i="2" s="1"/>
  <c r="AD29" i="2"/>
  <c r="AF29" i="2" s="1"/>
  <c r="AD30" i="2"/>
  <c r="AF30" i="2" s="1"/>
  <c r="AD31" i="2"/>
  <c r="AF31" i="2" s="1"/>
  <c r="AD32" i="2"/>
  <c r="AF32" i="2" s="1"/>
  <c r="AD33" i="2"/>
  <c r="AF33" i="2" s="1"/>
  <c r="AD34" i="2"/>
  <c r="AF34" i="2" s="1"/>
  <c r="AD35" i="2"/>
  <c r="AF35" i="2" s="1"/>
  <c r="AD36" i="2"/>
  <c r="AF36" i="2" s="1"/>
  <c r="AD37" i="2"/>
  <c r="AF37" i="2" s="1"/>
  <c r="AD38" i="2"/>
  <c r="AF38" i="2" s="1"/>
  <c r="AD39" i="2"/>
  <c r="AF39" i="2" s="1"/>
  <c r="AD40" i="2"/>
  <c r="AF40" i="2" s="1"/>
  <c r="AD41" i="2"/>
  <c r="AF41" i="2" s="1"/>
  <c r="AD42" i="2"/>
  <c r="AF42" i="2" s="1"/>
  <c r="AD43" i="2"/>
  <c r="AF43" i="2" s="1"/>
  <c r="AD44" i="2"/>
  <c r="AF44" i="2" s="1"/>
  <c r="AD45" i="2"/>
  <c r="AF45" i="2" s="1"/>
  <c r="AD46" i="2"/>
  <c r="AF46" i="2" s="1"/>
  <c r="AD47" i="2"/>
  <c r="AF47" i="2" s="1"/>
  <c r="AD48" i="2"/>
  <c r="AF48" i="2" s="1"/>
  <c r="AD49" i="2"/>
  <c r="AF49" i="2" s="1"/>
  <c r="AD50" i="2"/>
  <c r="AF50" i="2" s="1"/>
  <c r="AD51" i="2"/>
  <c r="AF51" i="2" s="1"/>
  <c r="AD52" i="2"/>
  <c r="AF52" i="2" s="1"/>
  <c r="AD53" i="2"/>
  <c r="AF53" i="2" s="1"/>
  <c r="AD54" i="2"/>
  <c r="AF54" i="2" s="1"/>
  <c r="AD55" i="2"/>
  <c r="AF55" i="2" s="1"/>
  <c r="AD56" i="2"/>
  <c r="AF56" i="2" s="1"/>
  <c r="AD57" i="2"/>
  <c r="AF57" i="2" s="1"/>
  <c r="AD58" i="2"/>
  <c r="AF58" i="2" s="1"/>
  <c r="AD59" i="2"/>
  <c r="AF59" i="2" s="1"/>
  <c r="AD60" i="2"/>
  <c r="AF60" i="2" s="1"/>
  <c r="AD61" i="2"/>
  <c r="AF61" i="2" s="1"/>
  <c r="AD62" i="2"/>
  <c r="AF62" i="2" s="1"/>
  <c r="AD63" i="2"/>
  <c r="AF63" i="2" s="1"/>
  <c r="AD64" i="2"/>
  <c r="AF64" i="2" s="1"/>
  <c r="AD65" i="2"/>
  <c r="AF65" i="2" s="1"/>
  <c r="AD66" i="2"/>
  <c r="AF66" i="2" s="1"/>
  <c r="AD67" i="2"/>
  <c r="AF67" i="2" s="1"/>
  <c r="AD68" i="2"/>
  <c r="AF68" i="2" s="1"/>
  <c r="AD69" i="2"/>
  <c r="AF69" i="2" s="1"/>
  <c r="AD70" i="2"/>
  <c r="AF70" i="2" s="1"/>
  <c r="AD71" i="2"/>
  <c r="AF71" i="2" s="1"/>
  <c r="AD72" i="2"/>
  <c r="AF72" i="2" s="1"/>
  <c r="AD73" i="2"/>
  <c r="AF73" i="2" s="1"/>
  <c r="AD74" i="2"/>
  <c r="AF74" i="2" s="1"/>
  <c r="AD75" i="2"/>
  <c r="AF75" i="2" s="1"/>
  <c r="AD76" i="2"/>
  <c r="AF76" i="2" s="1"/>
  <c r="AD77" i="2"/>
  <c r="AF77" i="2" s="1"/>
  <c r="AD78" i="2"/>
  <c r="AF78" i="2" s="1"/>
  <c r="AD79" i="2"/>
  <c r="AF79" i="2" s="1"/>
  <c r="AD80" i="2"/>
  <c r="AF80" i="2" s="1"/>
  <c r="AD81" i="2"/>
  <c r="AF81" i="2" s="1"/>
  <c r="AD82" i="2"/>
  <c r="AF82" i="2" s="1"/>
  <c r="AD83" i="2"/>
  <c r="AF83" i="2" s="1"/>
  <c r="AD84" i="2"/>
  <c r="AF84" i="2" s="1"/>
  <c r="AD85" i="2"/>
  <c r="AF85" i="2" s="1"/>
  <c r="AD86" i="2"/>
  <c r="AF86" i="2" s="1"/>
  <c r="AD87" i="2"/>
  <c r="AF87" i="2" s="1"/>
  <c r="AD88" i="2"/>
  <c r="AF88" i="2" s="1"/>
  <c r="AD89" i="2"/>
  <c r="AF89" i="2" s="1"/>
  <c r="AD90" i="2"/>
  <c r="AF90" i="2" s="1"/>
  <c r="AD91" i="2"/>
  <c r="AF91" i="2" s="1"/>
  <c r="AD92" i="2"/>
  <c r="AF92" i="2" s="1"/>
  <c r="AD93" i="2"/>
  <c r="AF93" i="2" s="1"/>
  <c r="AD94" i="2"/>
  <c r="AF94" i="2" s="1"/>
  <c r="AD95" i="2"/>
  <c r="AF95" i="2" s="1"/>
  <c r="AD96" i="2"/>
  <c r="AF96" i="2" s="1"/>
  <c r="AD97" i="2"/>
  <c r="AF97" i="2" s="1"/>
  <c r="AD98" i="2"/>
  <c r="AF98" i="2" s="1"/>
  <c r="AD99" i="2"/>
  <c r="AF99" i="2" s="1"/>
  <c r="AD100" i="2"/>
  <c r="AF100" i="2" s="1"/>
  <c r="AD101" i="2"/>
  <c r="AF101" i="2" s="1"/>
  <c r="AD102" i="2"/>
  <c r="AF102" i="2" s="1"/>
  <c r="AD103" i="2"/>
  <c r="AF103" i="2" s="1"/>
  <c r="AD104" i="2"/>
  <c r="AF104" i="2" s="1"/>
  <c r="AD105" i="2"/>
  <c r="AF105" i="2" s="1"/>
  <c r="AD106" i="2"/>
  <c r="AF106" i="2" s="1"/>
  <c r="AD107" i="2"/>
  <c r="AF107" i="2" s="1"/>
  <c r="AD108" i="2"/>
  <c r="AF108" i="2" s="1"/>
  <c r="AD109" i="2"/>
  <c r="AF109" i="2" s="1"/>
  <c r="AD110" i="2"/>
  <c r="AF110" i="2" s="1"/>
  <c r="AD111" i="2"/>
  <c r="AF111" i="2" s="1"/>
  <c r="AD112" i="2"/>
  <c r="AF112" i="2" s="1"/>
  <c r="AD113" i="2"/>
  <c r="AF113" i="2" s="1"/>
  <c r="AD114" i="2"/>
  <c r="AF114" i="2" s="1"/>
  <c r="AD115" i="2"/>
  <c r="AF115" i="2" s="1"/>
  <c r="AD116" i="2"/>
  <c r="AF116" i="2" s="1"/>
  <c r="AD117" i="2"/>
  <c r="AF117" i="2" s="1"/>
  <c r="AD118" i="2"/>
  <c r="AF118" i="2" s="1"/>
  <c r="AD119" i="2"/>
  <c r="AF119" i="2" s="1"/>
  <c r="AD120" i="2"/>
  <c r="AF120" i="2" s="1"/>
  <c r="AD121" i="2"/>
  <c r="AF121" i="2" s="1"/>
  <c r="AD122" i="2"/>
  <c r="AF122" i="2" s="1"/>
  <c r="AD123" i="2"/>
  <c r="AF123" i="2" s="1"/>
  <c r="AD124" i="2"/>
  <c r="AF124" i="2" s="1"/>
  <c r="AD125" i="2"/>
  <c r="AF125" i="2" s="1"/>
  <c r="AD126" i="2"/>
  <c r="AF126" i="2" s="1"/>
  <c r="AD127" i="2"/>
  <c r="AF127" i="2" s="1"/>
  <c r="AD128" i="2"/>
  <c r="AF128" i="2" s="1"/>
  <c r="AD129" i="2"/>
  <c r="AF129" i="2" s="1"/>
  <c r="AD130" i="2"/>
  <c r="AF130" i="2" s="1"/>
  <c r="AD131" i="2"/>
  <c r="AF131" i="2" s="1"/>
  <c r="AD132" i="2"/>
  <c r="AF132" i="2" s="1"/>
  <c r="AD133" i="2"/>
  <c r="AF133" i="2" s="1"/>
  <c r="AD134" i="2"/>
  <c r="AF134" i="2" s="1"/>
  <c r="AD135" i="2"/>
  <c r="AF135" i="2" s="1"/>
  <c r="AD136" i="2"/>
  <c r="AF136" i="2" s="1"/>
  <c r="AD137" i="2"/>
  <c r="AF137" i="2" s="1"/>
  <c r="AD138" i="2"/>
  <c r="AF138" i="2" s="1"/>
  <c r="AD139" i="2"/>
  <c r="AF139" i="2" s="1"/>
  <c r="AD140" i="2"/>
  <c r="AF140" i="2" s="1"/>
  <c r="AD141" i="2"/>
  <c r="AF141" i="2" s="1"/>
  <c r="AD142" i="2"/>
  <c r="AF142" i="2" s="1"/>
  <c r="AD143" i="2"/>
  <c r="AF143" i="2" s="1"/>
  <c r="AD144" i="2"/>
  <c r="AF144" i="2" s="1"/>
  <c r="AD145" i="2"/>
  <c r="AF145" i="2" s="1"/>
  <c r="AD146" i="2"/>
  <c r="AF146" i="2" s="1"/>
  <c r="AD147" i="2"/>
  <c r="AF147" i="2" s="1"/>
  <c r="AD148" i="2"/>
  <c r="AF148" i="2" s="1"/>
  <c r="AD149" i="2"/>
  <c r="AF149" i="2" s="1"/>
  <c r="AD150" i="2"/>
  <c r="AF150" i="2" s="1"/>
  <c r="AD151" i="2"/>
  <c r="AF151" i="2" s="1"/>
  <c r="AD152" i="2"/>
  <c r="AF152" i="2" s="1"/>
  <c r="AD153" i="2"/>
  <c r="AF153" i="2" s="1"/>
  <c r="AD154" i="2"/>
  <c r="AF154" i="2" s="1"/>
  <c r="AD155" i="2"/>
  <c r="AF155" i="2" s="1"/>
  <c r="AD156" i="2"/>
  <c r="AF156" i="2" s="1"/>
  <c r="AD157" i="2"/>
  <c r="AF157" i="2" s="1"/>
  <c r="AD158" i="2"/>
  <c r="AF158" i="2" s="1"/>
  <c r="AD159" i="2"/>
  <c r="AF159" i="2" s="1"/>
  <c r="AD160" i="2"/>
  <c r="AF160" i="2" s="1"/>
  <c r="AD161" i="2"/>
  <c r="AF161" i="2" s="1"/>
  <c r="AD162" i="2"/>
  <c r="AF162" i="2" s="1"/>
  <c r="AD163" i="2"/>
  <c r="AF163" i="2" s="1"/>
  <c r="AD164" i="2"/>
  <c r="AF164" i="2" s="1"/>
  <c r="AD165" i="2"/>
  <c r="AF165" i="2" s="1"/>
  <c r="AD166" i="2"/>
  <c r="AF166" i="2" s="1"/>
  <c r="AD167" i="2"/>
  <c r="AF167" i="2" s="1"/>
  <c r="AD168" i="2"/>
  <c r="AF168" i="2" s="1"/>
  <c r="AD169" i="2"/>
  <c r="AF169" i="2" s="1"/>
  <c r="AD170" i="2"/>
  <c r="AF170" i="2" s="1"/>
  <c r="AD171" i="2"/>
  <c r="AF171" i="2" s="1"/>
  <c r="AD172" i="2"/>
  <c r="AF172" i="2" s="1"/>
  <c r="AD173" i="2"/>
  <c r="AF173" i="2" s="1"/>
  <c r="AD174" i="2"/>
  <c r="AF174" i="2" s="1"/>
  <c r="AD175" i="2"/>
  <c r="AF175" i="2" s="1"/>
  <c r="AD176" i="2"/>
  <c r="AF176" i="2" s="1"/>
  <c r="AD177" i="2"/>
  <c r="AF177" i="2" s="1"/>
  <c r="AD178" i="2"/>
  <c r="AF178" i="2" s="1"/>
  <c r="AD179" i="2"/>
  <c r="AF179" i="2" s="1"/>
  <c r="AD180" i="2"/>
  <c r="AF180" i="2" s="1"/>
  <c r="AD181" i="2"/>
  <c r="AF181" i="2" s="1"/>
  <c r="AD182" i="2"/>
  <c r="AF182" i="2" s="1"/>
  <c r="AD183" i="2"/>
  <c r="AF183" i="2" s="1"/>
  <c r="AD184" i="2"/>
  <c r="AF184" i="2" s="1"/>
  <c r="AD185" i="2"/>
  <c r="AF185" i="2" s="1"/>
  <c r="AD186" i="2"/>
  <c r="AF186" i="2" s="1"/>
  <c r="AD187" i="2"/>
  <c r="AF187" i="2" s="1"/>
  <c r="AD188" i="2"/>
  <c r="AF188" i="2" s="1"/>
  <c r="AD189" i="2"/>
  <c r="AF189" i="2" s="1"/>
  <c r="AD190" i="2"/>
  <c r="AF190" i="2" s="1"/>
  <c r="AD191" i="2"/>
  <c r="AF191" i="2" s="1"/>
  <c r="AD192" i="2"/>
  <c r="AF192" i="2" s="1"/>
  <c r="AD193" i="2"/>
  <c r="AF193" i="2" s="1"/>
  <c r="AD194" i="2"/>
  <c r="AF194" i="2" s="1"/>
  <c r="AD195" i="2"/>
  <c r="AF195" i="2" s="1"/>
  <c r="AD196" i="2"/>
  <c r="AF196" i="2" s="1"/>
  <c r="AD197" i="2"/>
  <c r="AF197" i="2" s="1"/>
  <c r="AD198" i="2"/>
  <c r="AF198" i="2" s="1"/>
  <c r="AD199" i="2"/>
  <c r="AF199" i="2" s="1"/>
  <c r="AD200" i="2"/>
  <c r="AF200" i="2" s="1"/>
  <c r="AD201" i="2"/>
  <c r="AF201" i="2" s="1"/>
  <c r="AD202" i="2"/>
  <c r="AF202" i="2" s="1"/>
  <c r="AD203" i="2"/>
  <c r="AF203" i="2" s="1"/>
  <c r="AD204" i="2"/>
  <c r="AF204" i="2" s="1"/>
  <c r="AD205" i="2"/>
  <c r="AF205" i="2" s="1"/>
  <c r="AD206" i="2"/>
  <c r="AF206" i="2" s="1"/>
  <c r="AD207" i="2"/>
  <c r="AF207" i="2" s="1"/>
  <c r="AD208" i="2"/>
  <c r="AF208" i="2" s="1"/>
  <c r="AD209" i="2"/>
  <c r="AF209" i="2" s="1"/>
  <c r="AD210" i="2"/>
  <c r="AF210" i="2" s="1"/>
  <c r="AD211" i="2"/>
  <c r="AF211" i="2" s="1"/>
  <c r="AD212" i="2"/>
  <c r="AF212" i="2" s="1"/>
  <c r="AD213" i="2"/>
  <c r="AF213" i="2" s="1"/>
  <c r="AD214" i="2"/>
  <c r="AF214" i="2" s="1"/>
  <c r="AD215" i="2"/>
  <c r="AF215" i="2" s="1"/>
  <c r="AD216" i="2"/>
  <c r="AF216" i="2" s="1"/>
  <c r="AD217" i="2"/>
  <c r="AF217" i="2" s="1"/>
  <c r="AD218" i="2"/>
  <c r="AF218" i="2" s="1"/>
  <c r="AD219" i="2"/>
  <c r="AF219" i="2" s="1"/>
  <c r="AD220" i="2"/>
  <c r="AF220" i="2" s="1"/>
  <c r="AD221" i="2"/>
  <c r="AF221" i="2" s="1"/>
  <c r="AD222" i="2"/>
  <c r="AF222" i="2" s="1"/>
  <c r="AD223" i="2"/>
  <c r="AF223" i="2" s="1"/>
  <c r="AD224" i="2"/>
  <c r="AF224" i="2" s="1"/>
  <c r="AD225" i="2"/>
  <c r="AF225" i="2" s="1"/>
  <c r="AD226" i="2"/>
  <c r="AF226" i="2" s="1"/>
  <c r="AD227" i="2"/>
  <c r="AF227" i="2" s="1"/>
  <c r="AD228" i="2"/>
  <c r="AF228" i="2" s="1"/>
  <c r="AD229" i="2"/>
  <c r="AF229" i="2" s="1"/>
  <c r="AD230" i="2"/>
  <c r="AF230" i="2" s="1"/>
  <c r="AD231" i="2"/>
  <c r="AF231" i="2" s="1"/>
  <c r="AD232" i="2"/>
  <c r="AF232" i="2" s="1"/>
  <c r="AD233" i="2"/>
  <c r="AF233" i="2" s="1"/>
  <c r="AD234" i="2"/>
  <c r="AF234" i="2" s="1"/>
  <c r="AD235" i="2"/>
  <c r="AF235" i="2" s="1"/>
  <c r="AD236" i="2"/>
  <c r="AF236" i="2" s="1"/>
  <c r="AD237" i="2"/>
  <c r="AF237" i="2" s="1"/>
  <c r="AD238" i="2"/>
  <c r="AF238" i="2" s="1"/>
  <c r="AD239" i="2"/>
  <c r="AF239" i="2" s="1"/>
  <c r="AD240" i="2"/>
  <c r="AF240" i="2" s="1"/>
  <c r="AD241" i="2"/>
  <c r="AF241" i="2" s="1"/>
  <c r="AD242" i="2"/>
  <c r="AF242" i="2" s="1"/>
  <c r="AD243" i="2"/>
  <c r="AF243" i="2" s="1"/>
  <c r="AD244" i="2"/>
  <c r="AF244" i="2" s="1"/>
  <c r="AD245" i="2"/>
  <c r="AF245" i="2" s="1"/>
  <c r="AD246" i="2"/>
  <c r="AF246" i="2" s="1"/>
  <c r="AD247" i="2"/>
  <c r="AF247" i="2" s="1"/>
  <c r="AD248" i="2"/>
  <c r="AF248" i="2" s="1"/>
  <c r="AD249" i="2"/>
  <c r="AF249" i="2" s="1"/>
  <c r="AD250" i="2"/>
  <c r="AF250" i="2" s="1"/>
  <c r="AD251" i="2"/>
  <c r="AF251" i="2" s="1"/>
  <c r="AD252" i="2"/>
  <c r="AF252" i="2" s="1"/>
  <c r="AD253" i="2"/>
  <c r="AF253" i="2" s="1"/>
  <c r="AD254" i="2"/>
  <c r="AF254" i="2" s="1"/>
  <c r="AD255" i="2"/>
  <c r="AF255" i="2" s="1"/>
  <c r="AD256" i="2"/>
  <c r="AF256" i="2" s="1"/>
  <c r="AD257" i="2"/>
  <c r="AF257" i="2" s="1"/>
  <c r="AD258" i="2"/>
  <c r="AF258" i="2" s="1"/>
  <c r="AD259" i="2"/>
  <c r="AF259" i="2" s="1"/>
  <c r="AD260" i="2"/>
  <c r="AF260" i="2" s="1"/>
  <c r="AD261" i="2"/>
  <c r="AF261" i="2" s="1"/>
  <c r="AD262" i="2"/>
  <c r="AF262" i="2" s="1"/>
  <c r="AD263" i="2"/>
  <c r="AF263" i="2" s="1"/>
  <c r="AD264" i="2"/>
  <c r="AF264" i="2" s="1"/>
  <c r="AD265" i="2"/>
  <c r="AF265" i="2" s="1"/>
  <c r="AD266" i="2"/>
  <c r="AF266" i="2" s="1"/>
  <c r="AD267" i="2"/>
  <c r="AF267" i="2" s="1"/>
  <c r="AD268" i="2"/>
  <c r="AF268" i="2" s="1"/>
  <c r="AD269" i="2"/>
  <c r="AF269" i="2" s="1"/>
  <c r="AD270" i="2"/>
  <c r="AF270" i="2" s="1"/>
  <c r="AD271" i="2"/>
  <c r="AF271" i="2" s="1"/>
  <c r="AD272" i="2"/>
  <c r="AF272" i="2" s="1"/>
  <c r="AD273" i="2"/>
  <c r="AF273" i="2" s="1"/>
  <c r="AD274" i="2"/>
  <c r="AF274" i="2" s="1"/>
  <c r="AD275" i="2"/>
  <c r="AF275" i="2" s="1"/>
  <c r="AD276" i="2"/>
  <c r="AF276" i="2" s="1"/>
  <c r="AD277" i="2"/>
  <c r="AF277" i="2" s="1"/>
  <c r="AD278" i="2"/>
  <c r="AF278" i="2" s="1"/>
  <c r="AD279" i="2"/>
  <c r="AF279" i="2" s="1"/>
  <c r="AD280" i="2"/>
  <c r="AF280" i="2" s="1"/>
  <c r="AD281" i="2"/>
  <c r="AF281" i="2" s="1"/>
  <c r="AD282" i="2"/>
  <c r="AF282" i="2" s="1"/>
  <c r="AD283" i="2"/>
  <c r="AF283" i="2" s="1"/>
  <c r="AD284" i="2"/>
  <c r="AF284" i="2" s="1"/>
  <c r="AD285" i="2"/>
  <c r="AF285" i="2" s="1"/>
  <c r="AD286" i="2"/>
  <c r="AF286" i="2" s="1"/>
  <c r="AD287" i="2"/>
  <c r="AF287" i="2" s="1"/>
  <c r="AD288" i="2"/>
  <c r="AF288" i="2" s="1"/>
  <c r="AD289" i="2"/>
  <c r="AF289" i="2" s="1"/>
  <c r="AD290" i="2"/>
  <c r="AF290" i="2" s="1"/>
  <c r="AD291" i="2"/>
  <c r="AF291" i="2" s="1"/>
  <c r="AD292" i="2"/>
  <c r="AF292" i="2" s="1"/>
  <c r="AD293" i="2"/>
  <c r="AF293" i="2" s="1"/>
  <c r="AD294" i="2"/>
  <c r="AF294" i="2" s="1"/>
  <c r="AD295" i="2"/>
  <c r="AF295" i="2" s="1"/>
  <c r="AD296" i="2"/>
  <c r="AF296" i="2" s="1"/>
  <c r="AD297" i="2"/>
  <c r="AF297" i="2" s="1"/>
  <c r="AD298" i="2"/>
  <c r="AF298" i="2" s="1"/>
  <c r="AD299" i="2"/>
  <c r="AF299" i="2" s="1"/>
  <c r="AD300" i="2"/>
  <c r="AF300" i="2" s="1"/>
  <c r="AD301" i="2"/>
  <c r="AF301" i="2" s="1"/>
  <c r="AD302" i="2"/>
  <c r="AF302" i="2" s="1"/>
  <c r="AD303" i="2"/>
  <c r="AF303" i="2" s="1"/>
  <c r="AD304" i="2"/>
  <c r="AF304" i="2" s="1"/>
  <c r="AD305" i="2"/>
  <c r="AF305" i="2" s="1"/>
  <c r="AD306" i="2"/>
  <c r="AF306" i="2" s="1"/>
  <c r="AD307" i="2"/>
  <c r="AF307" i="2" s="1"/>
  <c r="AD308" i="2"/>
  <c r="AF308" i="2" s="1"/>
  <c r="AD309" i="2"/>
  <c r="AF309" i="2" s="1"/>
  <c r="AD310" i="2"/>
  <c r="AF310" i="2" s="1"/>
  <c r="AD311" i="2"/>
  <c r="AF311" i="2" s="1"/>
  <c r="AD312" i="2"/>
  <c r="AF312" i="2" s="1"/>
  <c r="AD313" i="2"/>
  <c r="AF313" i="2" s="1"/>
  <c r="AD314" i="2"/>
  <c r="AF314" i="2" s="1"/>
  <c r="AD315" i="2"/>
  <c r="AF315" i="2" s="1"/>
  <c r="AD316" i="2"/>
  <c r="AF316" i="2" s="1"/>
  <c r="AD317" i="2"/>
  <c r="AF317" i="2" s="1"/>
  <c r="AD318" i="2"/>
  <c r="AF318" i="2" s="1"/>
  <c r="AD319" i="2"/>
  <c r="AF319" i="2" s="1"/>
  <c r="AD320" i="2"/>
  <c r="AF320" i="2" s="1"/>
  <c r="AD321" i="2"/>
  <c r="AF321" i="2" s="1"/>
  <c r="AD322" i="2"/>
  <c r="AF322" i="2" s="1"/>
  <c r="AD323" i="2"/>
  <c r="AF323" i="2" s="1"/>
  <c r="AD324" i="2"/>
  <c r="AF324" i="2" s="1"/>
  <c r="AD325" i="2"/>
  <c r="AF325" i="2" s="1"/>
  <c r="AD326" i="2"/>
  <c r="AF326" i="2" s="1"/>
  <c r="AD327" i="2"/>
  <c r="AF327" i="2" s="1"/>
  <c r="AD328" i="2"/>
  <c r="AF328" i="2" s="1"/>
  <c r="AD329" i="2"/>
  <c r="AF329" i="2" s="1"/>
  <c r="AD330" i="2"/>
  <c r="AF330" i="2" s="1"/>
  <c r="AD331" i="2"/>
  <c r="AF331" i="2" s="1"/>
  <c r="AD332" i="2"/>
  <c r="AF332" i="2" s="1"/>
  <c r="AD333" i="2"/>
  <c r="AF333" i="2" s="1"/>
  <c r="AD334" i="2"/>
  <c r="AF334" i="2" s="1"/>
  <c r="AD335" i="2"/>
  <c r="AF335" i="2" s="1"/>
  <c r="AD336" i="2"/>
  <c r="AF336" i="2" s="1"/>
  <c r="AD337" i="2"/>
  <c r="AF337" i="2" s="1"/>
  <c r="AD338" i="2"/>
  <c r="AF338" i="2" s="1"/>
  <c r="AD339" i="2"/>
  <c r="AF339" i="2" s="1"/>
  <c r="AD340" i="2"/>
  <c r="AF340" i="2" s="1"/>
  <c r="AD341" i="2"/>
  <c r="AF341" i="2" s="1"/>
  <c r="AD342" i="2"/>
  <c r="AF342" i="2" s="1"/>
  <c r="AD343" i="2"/>
  <c r="AF343" i="2" s="1"/>
  <c r="AD344" i="2"/>
  <c r="AF344" i="2" s="1"/>
  <c r="AD345" i="2"/>
  <c r="AF345" i="2" s="1"/>
  <c r="AD346" i="2"/>
  <c r="AF346" i="2" s="1"/>
  <c r="AD347" i="2"/>
  <c r="AF347" i="2" s="1"/>
  <c r="AD348" i="2"/>
  <c r="AF348" i="2" s="1"/>
  <c r="AD349" i="2"/>
  <c r="AF349" i="2" s="1"/>
  <c r="AD350" i="2"/>
  <c r="AF350" i="2" s="1"/>
  <c r="AD351" i="2"/>
  <c r="AF351" i="2" s="1"/>
  <c r="AD352" i="2"/>
  <c r="AF352" i="2" s="1"/>
  <c r="AD353" i="2"/>
  <c r="AF353" i="2" s="1"/>
  <c r="AD354" i="2"/>
  <c r="AF354" i="2" s="1"/>
  <c r="AD355" i="2"/>
  <c r="AF355" i="2" s="1"/>
  <c r="AD356" i="2"/>
  <c r="AF356" i="2" s="1"/>
  <c r="AD357" i="2"/>
  <c r="AF357" i="2" s="1"/>
  <c r="AD358" i="2"/>
  <c r="AF358" i="2" s="1"/>
  <c r="AD359" i="2"/>
  <c r="AF359" i="2" s="1"/>
  <c r="AD360" i="2"/>
  <c r="AF360" i="2" s="1"/>
  <c r="AD361" i="2"/>
  <c r="AF361" i="2" s="1"/>
  <c r="AD362" i="2"/>
  <c r="AF362" i="2" s="1"/>
  <c r="AD363" i="2"/>
  <c r="AF363" i="2" s="1"/>
  <c r="AD364" i="2"/>
  <c r="AF364" i="2" s="1"/>
  <c r="AD365" i="2"/>
  <c r="AF365" i="2" s="1"/>
  <c r="AD366" i="2"/>
  <c r="AF366" i="2" s="1"/>
  <c r="AD367" i="2"/>
  <c r="AF367" i="2" s="1"/>
  <c r="AD368" i="2"/>
  <c r="AF368" i="2" s="1"/>
  <c r="AD369" i="2"/>
  <c r="AF369" i="2" s="1"/>
  <c r="AD370" i="2"/>
  <c r="AF370" i="2" s="1"/>
  <c r="AD371" i="2"/>
  <c r="AF371" i="2" s="1"/>
  <c r="AD372" i="2"/>
  <c r="AF372" i="2" s="1"/>
  <c r="AD373" i="2"/>
  <c r="AF373" i="2" s="1"/>
  <c r="AD374" i="2"/>
  <c r="AF374" i="2" s="1"/>
  <c r="AD375" i="2"/>
  <c r="AF375" i="2" s="1"/>
  <c r="AD376" i="2"/>
  <c r="AF376" i="2" s="1"/>
  <c r="AD377" i="2"/>
  <c r="AF377" i="2" s="1"/>
  <c r="AD378" i="2"/>
  <c r="AF378" i="2" s="1"/>
  <c r="AD379" i="2"/>
  <c r="AF379" i="2" s="1"/>
  <c r="AD380" i="2"/>
  <c r="AF380" i="2" s="1"/>
  <c r="AD381" i="2"/>
  <c r="AF381" i="2" s="1"/>
  <c r="AD382" i="2"/>
  <c r="AF382" i="2" s="1"/>
  <c r="AD383" i="2"/>
  <c r="AF383" i="2" s="1"/>
  <c r="AD384" i="2"/>
  <c r="AF384" i="2" s="1"/>
  <c r="AD385" i="2"/>
  <c r="AF385" i="2" s="1"/>
  <c r="AD386" i="2"/>
  <c r="AF386" i="2" s="1"/>
  <c r="AD387" i="2"/>
  <c r="AF387" i="2" s="1"/>
  <c r="AD388" i="2"/>
  <c r="AF388" i="2" s="1"/>
  <c r="AD389" i="2"/>
  <c r="AF389" i="2" s="1"/>
  <c r="AD390" i="2"/>
  <c r="AF390" i="2" s="1"/>
  <c r="AD391" i="2"/>
  <c r="AF391" i="2" s="1"/>
  <c r="AD392" i="2"/>
  <c r="AF392" i="2" s="1"/>
  <c r="AD393" i="2"/>
  <c r="AF393" i="2" s="1"/>
  <c r="AD394" i="2"/>
  <c r="AF394" i="2" s="1"/>
  <c r="AD395" i="2"/>
  <c r="AF395" i="2" s="1"/>
  <c r="AD396" i="2"/>
  <c r="AF396" i="2" s="1"/>
  <c r="AD397" i="2"/>
  <c r="AF397" i="2" s="1"/>
  <c r="AD398" i="2"/>
  <c r="AF398" i="2" s="1"/>
  <c r="AD399" i="2"/>
  <c r="AF399" i="2" s="1"/>
  <c r="AD400" i="2"/>
  <c r="AF400" i="2" s="1"/>
  <c r="AD401" i="2"/>
  <c r="AF401" i="2" s="1"/>
  <c r="AD402" i="2"/>
  <c r="AF402" i="2" s="1"/>
  <c r="AD403" i="2"/>
  <c r="AF403" i="2" s="1"/>
  <c r="AD404" i="2"/>
  <c r="AF404" i="2" s="1"/>
  <c r="AD405" i="2"/>
  <c r="AF405" i="2" s="1"/>
  <c r="AD406" i="2"/>
  <c r="AF406" i="2" s="1"/>
  <c r="AD407" i="2"/>
  <c r="AF407" i="2" s="1"/>
  <c r="AD408" i="2"/>
  <c r="AF408" i="2" s="1"/>
  <c r="AD409" i="2"/>
  <c r="AF409" i="2" s="1"/>
  <c r="AD410" i="2"/>
  <c r="AF410" i="2" s="1"/>
  <c r="AD411" i="2"/>
  <c r="AF411" i="2" s="1"/>
  <c r="AD412" i="2"/>
  <c r="AF412" i="2" s="1"/>
  <c r="AD413" i="2"/>
  <c r="AF413" i="2" s="1"/>
  <c r="AD414" i="2"/>
  <c r="AF414" i="2" s="1"/>
  <c r="AD415" i="2"/>
  <c r="AF415" i="2" s="1"/>
  <c r="AD416" i="2"/>
  <c r="AF416" i="2" s="1"/>
  <c r="AD417" i="2"/>
  <c r="AF417" i="2" s="1"/>
  <c r="AD418" i="2"/>
  <c r="AF418" i="2" s="1"/>
  <c r="AD419" i="2"/>
  <c r="AF419" i="2" s="1"/>
  <c r="AD420" i="2"/>
  <c r="AF420" i="2" s="1"/>
  <c r="AD421" i="2"/>
  <c r="AF421" i="2" s="1"/>
  <c r="AD422" i="2"/>
  <c r="AF422" i="2" s="1"/>
  <c r="AD423" i="2"/>
  <c r="AF423" i="2" s="1"/>
  <c r="AD424" i="2"/>
  <c r="AF424" i="2" s="1"/>
  <c r="AD425" i="2"/>
  <c r="AF425" i="2" s="1"/>
  <c r="AD426" i="2"/>
  <c r="AF426" i="2" s="1"/>
  <c r="AD427" i="2"/>
  <c r="AF427" i="2" s="1"/>
  <c r="AD428" i="2"/>
  <c r="AF428" i="2" s="1"/>
  <c r="AD429" i="2"/>
  <c r="AF429" i="2" s="1"/>
  <c r="AD430" i="2"/>
  <c r="AF430" i="2" s="1"/>
  <c r="AD431" i="2"/>
  <c r="AF431" i="2" s="1"/>
  <c r="AD432" i="2"/>
  <c r="AF432" i="2" s="1"/>
  <c r="AD433" i="2"/>
  <c r="AF433" i="2" s="1"/>
  <c r="AD434" i="2"/>
  <c r="AF434" i="2" s="1"/>
  <c r="AD435" i="2"/>
  <c r="AF435" i="2" s="1"/>
  <c r="AD436" i="2"/>
  <c r="AF436" i="2" s="1"/>
  <c r="AD437" i="2"/>
  <c r="AF437" i="2" s="1"/>
  <c r="AD438" i="2"/>
  <c r="AF438" i="2" s="1"/>
  <c r="AD439" i="2"/>
  <c r="AF439" i="2" s="1"/>
  <c r="AD440" i="2"/>
  <c r="AF440" i="2" s="1"/>
  <c r="AD441" i="2"/>
  <c r="AF441" i="2" s="1"/>
  <c r="AD442" i="2"/>
  <c r="AF442" i="2" s="1"/>
  <c r="AD443" i="2"/>
  <c r="AF443" i="2" s="1"/>
  <c r="AD444" i="2"/>
  <c r="AF444" i="2" s="1"/>
  <c r="AD445" i="2"/>
  <c r="AF445" i="2" s="1"/>
  <c r="AD446" i="2"/>
  <c r="AF446" i="2" s="1"/>
  <c r="AD447" i="2"/>
  <c r="AF447" i="2" s="1"/>
  <c r="AD448" i="2"/>
  <c r="AF448" i="2" s="1"/>
  <c r="AD449" i="2"/>
  <c r="AF449" i="2" s="1"/>
  <c r="AD450" i="2"/>
  <c r="AF450" i="2" s="1"/>
  <c r="AD451" i="2"/>
  <c r="AF451" i="2" s="1"/>
  <c r="AD452" i="2"/>
  <c r="AF452" i="2" s="1"/>
  <c r="AD453" i="2"/>
  <c r="AF453" i="2" s="1"/>
  <c r="AD454" i="2"/>
  <c r="AF454" i="2" s="1"/>
  <c r="AD455" i="2"/>
  <c r="AF455" i="2" s="1"/>
  <c r="AD456" i="2"/>
  <c r="AF456" i="2" s="1"/>
  <c r="AD457" i="2"/>
  <c r="AF457" i="2" s="1"/>
  <c r="AD458" i="2"/>
  <c r="AF458" i="2" s="1"/>
  <c r="AD459" i="2"/>
  <c r="AF459" i="2" s="1"/>
  <c r="AD460" i="2"/>
  <c r="AF460" i="2" s="1"/>
  <c r="AD461" i="2"/>
  <c r="AF461" i="2" s="1"/>
  <c r="AD462" i="2"/>
  <c r="AF462" i="2" s="1"/>
  <c r="AD463" i="2"/>
  <c r="AF463" i="2" s="1"/>
  <c r="AD464" i="2"/>
  <c r="AF464" i="2" s="1"/>
  <c r="AD465" i="2"/>
  <c r="AF465" i="2" s="1"/>
  <c r="AD466" i="2"/>
  <c r="AF466" i="2" s="1"/>
  <c r="AD467" i="2"/>
  <c r="AF467" i="2" s="1"/>
  <c r="AD468" i="2"/>
  <c r="AF468" i="2" s="1"/>
  <c r="AD469" i="2"/>
  <c r="AF469" i="2" s="1"/>
  <c r="AD470" i="2"/>
  <c r="AF470" i="2" s="1"/>
  <c r="AD471" i="2"/>
  <c r="AF471" i="2" s="1"/>
  <c r="AD472" i="2"/>
  <c r="AF472" i="2" s="1"/>
  <c r="AD473" i="2"/>
  <c r="AF473" i="2" s="1"/>
  <c r="AD474" i="2"/>
  <c r="AF474" i="2" s="1"/>
  <c r="AD475" i="2"/>
  <c r="AF475" i="2" s="1"/>
  <c r="AD476" i="2"/>
  <c r="AF476" i="2" s="1"/>
  <c r="AD477" i="2"/>
  <c r="AF477" i="2" s="1"/>
  <c r="AD478" i="2"/>
  <c r="AF478" i="2" s="1"/>
  <c r="AD479" i="2"/>
  <c r="AF479" i="2" s="1"/>
  <c r="AD480" i="2"/>
  <c r="AF480" i="2" s="1"/>
  <c r="AD481" i="2"/>
  <c r="AF481" i="2" s="1"/>
  <c r="AD482" i="2"/>
  <c r="AF482" i="2" s="1"/>
  <c r="AD483" i="2"/>
  <c r="AF483" i="2" s="1"/>
  <c r="AD484" i="2"/>
  <c r="AF484" i="2" s="1"/>
  <c r="AD485" i="2"/>
  <c r="AF485" i="2" s="1"/>
  <c r="AD486" i="2"/>
  <c r="AF486" i="2" s="1"/>
  <c r="AD487" i="2"/>
  <c r="AF487" i="2" s="1"/>
  <c r="AD488" i="2"/>
  <c r="AF488" i="2" s="1"/>
  <c r="AD489" i="2"/>
  <c r="AF489" i="2" s="1"/>
  <c r="AD490" i="2"/>
  <c r="AF490" i="2" s="1"/>
  <c r="AD491" i="2"/>
  <c r="AF491" i="2" s="1"/>
  <c r="AD492" i="2"/>
  <c r="AF492" i="2" s="1"/>
  <c r="AD493" i="2"/>
  <c r="AF493" i="2" s="1"/>
  <c r="AD494" i="2"/>
  <c r="AF494" i="2" s="1"/>
  <c r="AD495" i="2"/>
  <c r="AF495" i="2" s="1"/>
  <c r="AD496" i="2"/>
  <c r="AF496" i="2" s="1"/>
  <c r="AD497" i="2"/>
  <c r="AF497" i="2" s="1"/>
  <c r="AD498" i="2"/>
  <c r="AF498" i="2" s="1"/>
  <c r="AD499" i="2"/>
  <c r="AF499" i="2" s="1"/>
  <c r="AD500" i="2"/>
  <c r="AF500" i="2" s="1"/>
  <c r="AD501" i="2"/>
  <c r="AF501" i="2" s="1"/>
  <c r="AD502" i="2"/>
  <c r="AF502" i="2" s="1"/>
  <c r="AD503" i="2"/>
  <c r="AF503" i="2" s="1"/>
  <c r="AD504" i="2"/>
  <c r="AF504" i="2" s="1"/>
  <c r="AD505" i="2"/>
  <c r="AF505" i="2" s="1"/>
  <c r="AD506" i="2"/>
  <c r="AF506" i="2" s="1"/>
  <c r="AD507" i="2"/>
  <c r="AF507" i="2" s="1"/>
  <c r="AD508" i="2"/>
  <c r="AF508" i="2" s="1"/>
  <c r="AD509" i="2"/>
  <c r="AF509" i="2" s="1"/>
  <c r="AD510" i="2"/>
  <c r="AF510" i="2" s="1"/>
  <c r="AD511" i="2"/>
  <c r="AF511" i="2" s="1"/>
  <c r="AD512" i="2"/>
  <c r="AF512" i="2" s="1"/>
  <c r="AD513" i="2"/>
  <c r="AF513" i="2" s="1"/>
  <c r="AD514" i="2"/>
  <c r="AF514" i="2" s="1"/>
  <c r="AD515" i="2"/>
  <c r="AF515" i="2" s="1"/>
  <c r="AD516" i="2"/>
  <c r="AF516" i="2" s="1"/>
  <c r="AD517" i="2"/>
  <c r="AF517" i="2" s="1"/>
  <c r="AD518" i="2"/>
  <c r="AF518" i="2" s="1"/>
  <c r="AD519" i="2"/>
  <c r="AF519" i="2" s="1"/>
  <c r="AD520" i="2"/>
  <c r="AF520" i="2" s="1"/>
  <c r="AD521" i="2"/>
  <c r="AF521" i="2" s="1"/>
  <c r="AD522" i="2"/>
  <c r="AF522" i="2" s="1"/>
  <c r="AD523" i="2"/>
  <c r="AF523" i="2" s="1"/>
  <c r="AD524" i="2"/>
  <c r="AF524" i="2" s="1"/>
  <c r="AD525" i="2"/>
  <c r="AF525" i="2" s="1"/>
  <c r="AD526" i="2"/>
  <c r="AF526" i="2" s="1"/>
  <c r="AD527" i="2"/>
  <c r="AF527" i="2" s="1"/>
  <c r="AD528" i="2"/>
  <c r="AF528" i="2" s="1"/>
  <c r="AD529" i="2"/>
  <c r="AF529" i="2" s="1"/>
  <c r="AD530" i="2"/>
  <c r="AF530" i="2" s="1"/>
  <c r="AD531" i="2"/>
  <c r="AF531" i="2" s="1"/>
  <c r="AD532" i="2"/>
  <c r="AF532" i="2" s="1"/>
  <c r="AD533" i="2"/>
  <c r="AF533" i="2" s="1"/>
  <c r="AD534" i="2"/>
  <c r="AF534" i="2" s="1"/>
  <c r="AD535" i="2"/>
  <c r="AF535" i="2" s="1"/>
  <c r="AD536" i="2"/>
  <c r="AF536" i="2" s="1"/>
  <c r="AD537" i="2"/>
  <c r="AF537" i="2" s="1"/>
  <c r="AD538" i="2"/>
  <c r="AF538" i="2" s="1"/>
  <c r="AD539" i="2"/>
  <c r="AF539" i="2" s="1"/>
  <c r="AD540" i="2"/>
  <c r="AF540" i="2" s="1"/>
  <c r="AD541" i="2"/>
  <c r="AF541" i="2" s="1"/>
  <c r="AD542" i="2"/>
  <c r="AF542" i="2" s="1"/>
  <c r="AD543" i="2"/>
  <c r="AF543" i="2" s="1"/>
  <c r="AD544" i="2"/>
  <c r="AF544" i="2" s="1"/>
  <c r="AD545" i="2"/>
  <c r="AF545" i="2" s="1"/>
  <c r="AD546" i="2"/>
  <c r="AF546" i="2" s="1"/>
  <c r="AD547" i="2"/>
  <c r="AF547" i="2" s="1"/>
  <c r="AD548" i="2"/>
  <c r="AF548" i="2" s="1"/>
  <c r="AD549" i="2"/>
  <c r="AF549" i="2" s="1"/>
  <c r="AD550" i="2"/>
  <c r="AF550" i="2" s="1"/>
  <c r="AD551" i="2"/>
  <c r="AF551" i="2" s="1"/>
  <c r="AD552" i="2"/>
  <c r="AF552" i="2" s="1"/>
  <c r="AD553" i="2"/>
  <c r="AF553" i="2" s="1"/>
  <c r="AD554" i="2"/>
  <c r="AF554" i="2" s="1"/>
  <c r="AD555" i="2"/>
  <c r="AF555" i="2" s="1"/>
  <c r="AD556" i="2"/>
  <c r="AF556" i="2" s="1"/>
  <c r="AD557" i="2"/>
  <c r="AF557" i="2" s="1"/>
  <c r="AD558" i="2"/>
  <c r="AF558" i="2" s="1"/>
  <c r="AD559" i="2"/>
  <c r="AF559" i="2" s="1"/>
  <c r="AD560" i="2"/>
  <c r="AF560" i="2" s="1"/>
  <c r="AD561" i="2"/>
  <c r="AF561" i="2" s="1"/>
  <c r="AD562" i="2"/>
  <c r="AF562" i="2" s="1"/>
  <c r="AD563" i="2"/>
  <c r="AF563" i="2" s="1"/>
  <c r="AD564" i="2"/>
  <c r="AF564" i="2" s="1"/>
  <c r="AD565" i="2"/>
  <c r="AF565" i="2" s="1"/>
  <c r="AD566" i="2"/>
  <c r="AF566" i="2" s="1"/>
  <c r="AD567" i="2"/>
  <c r="AF567" i="2" s="1"/>
  <c r="AD568" i="2"/>
  <c r="AF568" i="2" s="1"/>
  <c r="AD569" i="2"/>
  <c r="AF569" i="2" s="1"/>
  <c r="AD570" i="2"/>
  <c r="AF570" i="2" s="1"/>
  <c r="AD571" i="2"/>
  <c r="AF571" i="2" s="1"/>
  <c r="AD572" i="2"/>
  <c r="AF572" i="2" s="1"/>
  <c r="AD573" i="2"/>
  <c r="AF573" i="2" s="1"/>
  <c r="AD574" i="2"/>
  <c r="AF574" i="2" s="1"/>
  <c r="AD575" i="2"/>
  <c r="AF575" i="2" s="1"/>
  <c r="AD576" i="2"/>
  <c r="AF576" i="2" s="1"/>
  <c r="AD577" i="2"/>
  <c r="AF577" i="2" s="1"/>
  <c r="AD578" i="2"/>
  <c r="AF578" i="2" s="1"/>
  <c r="AD579" i="2"/>
  <c r="AF579" i="2" s="1"/>
  <c r="AD580" i="2"/>
  <c r="AF580" i="2" s="1"/>
  <c r="AD581" i="2"/>
  <c r="AF581" i="2" s="1"/>
  <c r="AD582" i="2"/>
  <c r="AF582" i="2" s="1"/>
  <c r="AD583" i="2"/>
  <c r="AF583" i="2" s="1"/>
  <c r="AD584" i="2"/>
  <c r="AF584" i="2" s="1"/>
  <c r="AD585" i="2"/>
  <c r="AF585" i="2" s="1"/>
  <c r="AD586" i="2"/>
  <c r="AF586" i="2" s="1"/>
  <c r="AD587" i="2"/>
  <c r="AF587" i="2" s="1"/>
  <c r="AD588" i="2"/>
  <c r="AF588" i="2" s="1"/>
  <c r="AD589" i="2"/>
  <c r="AF589" i="2" s="1"/>
  <c r="AD590" i="2"/>
  <c r="AF590" i="2" s="1"/>
  <c r="AD591" i="2"/>
  <c r="AF591" i="2" s="1"/>
  <c r="AD592" i="2"/>
  <c r="AF592" i="2" s="1"/>
  <c r="AD593" i="2"/>
  <c r="AF593" i="2" s="1"/>
  <c r="AD594" i="2"/>
  <c r="AF594" i="2" s="1"/>
  <c r="AD595" i="2"/>
  <c r="AF595" i="2" s="1"/>
  <c r="AD596" i="2"/>
  <c r="AF596" i="2" s="1"/>
  <c r="AD597" i="2"/>
  <c r="AF597" i="2" s="1"/>
  <c r="AD598" i="2"/>
  <c r="AF598" i="2" s="1"/>
  <c r="AD599" i="2"/>
  <c r="AF599" i="2" s="1"/>
  <c r="AD600" i="2"/>
  <c r="AF600" i="2" s="1"/>
  <c r="AD601" i="2"/>
  <c r="AF601" i="2" s="1"/>
  <c r="AD602" i="2"/>
  <c r="AF602" i="2" s="1"/>
  <c r="AD603" i="2"/>
  <c r="AF603" i="2" s="1"/>
  <c r="AD604" i="2"/>
  <c r="AF604" i="2" s="1"/>
  <c r="AD605" i="2"/>
  <c r="AF605" i="2" s="1"/>
  <c r="AD606" i="2"/>
  <c r="AF606" i="2" s="1"/>
  <c r="AD607" i="2"/>
  <c r="AF607" i="2" s="1"/>
  <c r="AD608" i="2"/>
  <c r="AF608" i="2" s="1"/>
  <c r="AD609" i="2"/>
  <c r="AF609" i="2" s="1"/>
  <c r="AD610" i="2"/>
  <c r="AF610" i="2" s="1"/>
  <c r="AD611" i="2"/>
  <c r="AF611" i="2" s="1"/>
  <c r="AD612" i="2"/>
  <c r="AF612" i="2" s="1"/>
  <c r="AD613" i="2"/>
  <c r="AF613" i="2" s="1"/>
  <c r="AD614" i="2"/>
  <c r="AF614" i="2" s="1"/>
  <c r="AD615" i="2"/>
  <c r="AF615" i="2" s="1"/>
  <c r="AD616" i="2"/>
  <c r="AF616" i="2" s="1"/>
  <c r="AD617" i="2"/>
  <c r="AF617" i="2" s="1"/>
  <c r="AD618" i="2"/>
  <c r="AF618" i="2" s="1"/>
  <c r="AD619" i="2"/>
  <c r="AF619" i="2" s="1"/>
  <c r="AD620" i="2"/>
  <c r="AF620" i="2" s="1"/>
  <c r="AD621" i="2"/>
  <c r="AF621" i="2" s="1"/>
  <c r="AD622" i="2"/>
  <c r="AF622" i="2" s="1"/>
  <c r="AD623" i="2"/>
  <c r="AF623" i="2" s="1"/>
  <c r="AD624" i="2"/>
  <c r="AF624" i="2" s="1"/>
  <c r="AD625" i="2"/>
  <c r="AF625" i="2" s="1"/>
  <c r="AD626" i="2"/>
  <c r="AF626" i="2" s="1"/>
  <c r="AD627" i="2"/>
  <c r="AF627" i="2" s="1"/>
  <c r="AD628" i="2"/>
  <c r="AF628" i="2" s="1"/>
  <c r="AD629" i="2"/>
  <c r="AF629" i="2" s="1"/>
  <c r="AD630" i="2"/>
  <c r="AF630" i="2" s="1"/>
  <c r="AD631" i="2"/>
  <c r="AF631" i="2" s="1"/>
  <c r="AD632" i="2"/>
  <c r="AF632" i="2" s="1"/>
  <c r="AD633" i="2"/>
  <c r="AF633" i="2" s="1"/>
  <c r="AD634" i="2"/>
  <c r="AF634" i="2" s="1"/>
  <c r="AD635" i="2"/>
  <c r="AF635" i="2" s="1"/>
  <c r="AD636" i="2"/>
  <c r="AF636" i="2" s="1"/>
  <c r="AD637" i="2"/>
  <c r="AF637" i="2" s="1"/>
  <c r="AD638" i="2"/>
  <c r="AF638" i="2" s="1"/>
  <c r="AD639" i="2"/>
  <c r="AF639" i="2" s="1"/>
  <c r="AD640" i="2"/>
  <c r="AF640" i="2" s="1"/>
  <c r="AD641" i="2"/>
  <c r="AF641" i="2" s="1"/>
  <c r="AD642" i="2"/>
  <c r="AF642" i="2" s="1"/>
  <c r="AD643" i="2"/>
  <c r="AF643" i="2" s="1"/>
  <c r="AD644" i="2"/>
  <c r="AF644" i="2" s="1"/>
  <c r="AD645" i="2"/>
  <c r="AF645" i="2" s="1"/>
  <c r="AD646" i="2"/>
  <c r="AF646" i="2" s="1"/>
  <c r="AD647" i="2"/>
  <c r="AF647" i="2" s="1"/>
  <c r="AD648" i="2"/>
  <c r="AF648" i="2" s="1"/>
  <c r="AD649" i="2"/>
  <c r="AF649" i="2" s="1"/>
  <c r="AD650" i="2"/>
  <c r="AF650" i="2" s="1"/>
  <c r="AD651" i="2"/>
  <c r="AF651" i="2" s="1"/>
  <c r="AD652" i="2"/>
  <c r="AF652" i="2" s="1"/>
  <c r="AD653" i="2"/>
  <c r="AF653" i="2" s="1"/>
  <c r="AD654" i="2"/>
  <c r="AF654" i="2" s="1"/>
  <c r="AD655" i="2"/>
  <c r="AF655" i="2" s="1"/>
  <c r="AD656" i="2"/>
  <c r="AF656" i="2" s="1"/>
  <c r="AD657" i="2"/>
  <c r="AF657" i="2" s="1"/>
  <c r="AD658" i="2"/>
  <c r="AF658" i="2" s="1"/>
  <c r="AD659" i="2"/>
  <c r="AF659" i="2" s="1"/>
  <c r="AD660" i="2"/>
  <c r="AF660" i="2" s="1"/>
  <c r="AD661" i="2"/>
  <c r="AF661" i="2" s="1"/>
  <c r="AD662" i="2"/>
  <c r="AF662" i="2" s="1"/>
  <c r="AD663" i="2"/>
  <c r="AF663" i="2" s="1"/>
  <c r="AD664" i="2"/>
  <c r="AF664" i="2" s="1"/>
  <c r="AD665" i="2"/>
  <c r="AF665" i="2" s="1"/>
  <c r="AD666" i="2"/>
  <c r="AF666" i="2" s="1"/>
  <c r="AD667" i="2"/>
  <c r="AF667" i="2" s="1"/>
  <c r="AD668" i="2"/>
  <c r="AF668" i="2" s="1"/>
  <c r="AD669" i="2"/>
  <c r="AF669" i="2" s="1"/>
  <c r="AD670" i="2"/>
  <c r="AF670" i="2" s="1"/>
  <c r="AD671" i="2"/>
  <c r="AF671" i="2" s="1"/>
  <c r="AD672" i="2"/>
  <c r="AF672" i="2" s="1"/>
  <c r="AD673" i="2"/>
  <c r="AF673" i="2" s="1"/>
  <c r="AD674" i="2"/>
  <c r="AF674" i="2" s="1"/>
  <c r="AD675" i="2"/>
  <c r="AF675" i="2" s="1"/>
  <c r="AD676" i="2"/>
  <c r="AF676" i="2" s="1"/>
  <c r="AD677" i="2"/>
  <c r="AF677" i="2" s="1"/>
  <c r="AD678" i="2"/>
  <c r="AF678" i="2" s="1"/>
  <c r="AD679" i="2"/>
  <c r="AF679" i="2" s="1"/>
  <c r="AD680" i="2"/>
  <c r="AF680" i="2" s="1"/>
  <c r="AD681" i="2"/>
  <c r="AF681" i="2" s="1"/>
  <c r="AD682" i="2"/>
  <c r="AF682" i="2" s="1"/>
  <c r="AD683" i="2"/>
  <c r="AF683" i="2" s="1"/>
  <c r="AD684" i="2"/>
  <c r="AF684" i="2" s="1"/>
  <c r="AD685" i="2"/>
  <c r="AF685" i="2" s="1"/>
  <c r="AD686" i="2"/>
  <c r="AF686" i="2" s="1"/>
  <c r="AD687" i="2"/>
  <c r="AF687" i="2" s="1"/>
  <c r="AD688" i="2"/>
  <c r="AF688" i="2" s="1"/>
  <c r="AD689" i="2"/>
  <c r="AF689" i="2" s="1"/>
  <c r="AD690" i="2"/>
  <c r="AF690" i="2" s="1"/>
  <c r="AD691" i="2"/>
  <c r="AF691" i="2" s="1"/>
  <c r="AD692" i="2"/>
  <c r="AF692" i="2" s="1"/>
  <c r="AD693" i="2"/>
  <c r="AF693" i="2" s="1"/>
  <c r="AD694" i="2"/>
  <c r="AF694" i="2" s="1"/>
  <c r="AD695" i="2"/>
  <c r="AF695" i="2" s="1"/>
  <c r="AD696" i="2"/>
  <c r="AF696" i="2" s="1"/>
  <c r="AD697" i="2"/>
  <c r="AF697" i="2" s="1"/>
  <c r="AD698" i="2"/>
  <c r="AF698" i="2" s="1"/>
  <c r="AD699" i="2"/>
  <c r="AF699" i="2" s="1"/>
  <c r="AD700" i="2"/>
  <c r="AF700" i="2" s="1"/>
  <c r="AD701" i="2"/>
  <c r="AF701" i="2" s="1"/>
  <c r="AD702" i="2"/>
  <c r="AF702" i="2" s="1"/>
  <c r="AD703" i="2"/>
  <c r="AF703" i="2" s="1"/>
  <c r="AD704" i="2"/>
  <c r="AF704" i="2" s="1"/>
  <c r="AD705" i="2"/>
  <c r="AF705" i="2" s="1"/>
  <c r="AD706" i="2"/>
  <c r="AF706" i="2" s="1"/>
  <c r="AD707" i="2"/>
  <c r="AF707" i="2" s="1"/>
  <c r="AD708" i="2"/>
  <c r="AF708" i="2" s="1"/>
  <c r="AD709" i="2"/>
  <c r="AF709" i="2" s="1"/>
  <c r="AD710" i="2"/>
  <c r="AF710" i="2" s="1"/>
  <c r="AD711" i="2"/>
  <c r="AF711" i="2" s="1"/>
  <c r="AD712" i="2"/>
  <c r="AF712" i="2" s="1"/>
  <c r="AD713" i="2"/>
  <c r="AF713" i="2" s="1"/>
  <c r="AD714" i="2"/>
  <c r="AF714" i="2" s="1"/>
  <c r="AD715" i="2"/>
  <c r="AF715" i="2" s="1"/>
  <c r="AD716" i="2"/>
  <c r="AF716" i="2" s="1"/>
  <c r="AD717" i="2"/>
  <c r="AF717" i="2" s="1"/>
  <c r="AD718" i="2"/>
  <c r="AF718" i="2" s="1"/>
  <c r="AD719" i="2"/>
  <c r="AF719" i="2" s="1"/>
  <c r="AD720" i="2"/>
  <c r="AF720" i="2" s="1"/>
  <c r="AD721" i="2"/>
  <c r="AF721" i="2" s="1"/>
  <c r="AD722" i="2"/>
  <c r="AF722" i="2" s="1"/>
  <c r="AD723" i="2"/>
  <c r="AF723" i="2" s="1"/>
  <c r="AD724" i="2"/>
  <c r="AF724" i="2" s="1"/>
  <c r="AD725" i="2"/>
  <c r="AF725" i="2" s="1"/>
  <c r="AD726" i="2"/>
  <c r="AF726" i="2" s="1"/>
  <c r="AD727" i="2"/>
  <c r="AF727" i="2" s="1"/>
  <c r="AD728" i="2"/>
  <c r="AF728" i="2" s="1"/>
  <c r="AD729" i="2"/>
  <c r="AF729" i="2" s="1"/>
  <c r="AD730" i="2"/>
  <c r="AF730" i="2" s="1"/>
  <c r="AD731" i="2"/>
  <c r="AF731" i="2" s="1"/>
  <c r="AD732" i="2"/>
  <c r="AF732" i="2" s="1"/>
  <c r="AD733" i="2"/>
  <c r="AF733" i="2" s="1"/>
  <c r="AD734" i="2"/>
  <c r="AF734" i="2" s="1"/>
  <c r="AD735" i="2"/>
  <c r="AF735" i="2" s="1"/>
  <c r="AD736" i="2"/>
  <c r="AF736" i="2" s="1"/>
  <c r="AD737" i="2"/>
  <c r="AF737" i="2" s="1"/>
  <c r="AD738" i="2"/>
  <c r="AF738" i="2" s="1"/>
  <c r="AD739" i="2"/>
  <c r="AF739" i="2" s="1"/>
  <c r="AD740" i="2"/>
  <c r="AF740" i="2" s="1"/>
  <c r="AD741" i="2"/>
  <c r="AF741" i="2" s="1"/>
  <c r="AD742" i="2"/>
  <c r="AF742" i="2" s="1"/>
  <c r="AD743" i="2"/>
  <c r="AF743" i="2" s="1"/>
  <c r="AD744" i="2"/>
  <c r="AF744" i="2" s="1"/>
  <c r="AD745" i="2"/>
  <c r="AF745" i="2" s="1"/>
  <c r="AD746" i="2"/>
  <c r="AF746" i="2" s="1"/>
  <c r="AD747" i="2"/>
  <c r="AF747" i="2" s="1"/>
  <c r="AD748" i="2"/>
  <c r="AF748" i="2" s="1"/>
  <c r="AD749" i="2"/>
  <c r="AF749" i="2" s="1"/>
  <c r="AD750" i="2"/>
  <c r="AF750" i="2" s="1"/>
  <c r="AD751" i="2"/>
  <c r="AF751" i="2" s="1"/>
  <c r="AD752" i="2"/>
  <c r="AF752" i="2" s="1"/>
  <c r="AD753" i="2"/>
  <c r="AF753" i="2" s="1"/>
  <c r="AD754" i="2"/>
  <c r="AF754" i="2" s="1"/>
  <c r="AD755" i="2"/>
  <c r="AF755" i="2" s="1"/>
  <c r="AD756" i="2"/>
  <c r="AF756" i="2" s="1"/>
  <c r="AD757" i="2"/>
  <c r="AF757" i="2" s="1"/>
  <c r="AD758" i="2"/>
  <c r="AF758" i="2" s="1"/>
  <c r="AD759" i="2"/>
  <c r="AF759" i="2" s="1"/>
  <c r="AD760" i="2"/>
  <c r="AF760" i="2" s="1"/>
  <c r="AD761" i="2"/>
  <c r="AF761" i="2" s="1"/>
  <c r="AD762" i="2"/>
  <c r="AF762" i="2" s="1"/>
  <c r="AD763" i="2"/>
  <c r="AF763" i="2" s="1"/>
  <c r="AD764" i="2"/>
  <c r="AF764" i="2" s="1"/>
  <c r="AD765" i="2"/>
  <c r="AF765" i="2" s="1"/>
  <c r="AD766" i="2"/>
  <c r="AF766" i="2" s="1"/>
  <c r="AD767" i="2"/>
  <c r="AF767" i="2" s="1"/>
  <c r="AD768" i="2"/>
  <c r="AF768" i="2" s="1"/>
  <c r="AD769" i="2"/>
  <c r="AF769" i="2" s="1"/>
  <c r="AD770" i="2"/>
  <c r="AF770" i="2" s="1"/>
  <c r="AD771" i="2"/>
  <c r="AF771" i="2" s="1"/>
  <c r="AD772" i="2"/>
  <c r="AF772" i="2" s="1"/>
  <c r="AD773" i="2"/>
  <c r="AF773" i="2" s="1"/>
  <c r="AD774" i="2"/>
  <c r="AF774" i="2" s="1"/>
  <c r="AD775" i="2"/>
  <c r="AF775" i="2" s="1"/>
  <c r="AD776" i="2"/>
  <c r="AF776" i="2" s="1"/>
  <c r="AD777" i="2"/>
  <c r="AF777" i="2" s="1"/>
  <c r="AD778" i="2"/>
  <c r="AF778" i="2" s="1"/>
  <c r="AD779" i="2"/>
  <c r="AF779" i="2" s="1"/>
  <c r="AD780" i="2"/>
  <c r="AF780" i="2" s="1"/>
  <c r="AD781" i="2"/>
  <c r="AF781" i="2" s="1"/>
  <c r="AD782" i="2"/>
  <c r="AF782" i="2" s="1"/>
  <c r="AD783" i="2"/>
  <c r="AF783" i="2" s="1"/>
  <c r="AD784" i="2"/>
  <c r="AF784" i="2" s="1"/>
  <c r="AD785" i="2"/>
  <c r="AF785" i="2" s="1"/>
  <c r="AD786" i="2"/>
  <c r="AF786" i="2" s="1"/>
  <c r="AD787" i="2"/>
  <c r="AF787" i="2" s="1"/>
  <c r="AD788" i="2"/>
  <c r="AF788" i="2" s="1"/>
  <c r="AD789" i="2"/>
  <c r="AF789" i="2" s="1"/>
  <c r="AD790" i="2"/>
  <c r="AF790" i="2" s="1"/>
  <c r="AD791" i="2"/>
  <c r="AF791" i="2" s="1"/>
  <c r="AD792" i="2"/>
  <c r="AF792" i="2" s="1"/>
  <c r="AD793" i="2"/>
  <c r="AF793" i="2" s="1"/>
  <c r="AD794" i="2"/>
  <c r="AF794" i="2" s="1"/>
  <c r="AD795" i="2"/>
  <c r="AF795" i="2" s="1"/>
  <c r="AD796" i="2"/>
  <c r="AF796" i="2" s="1"/>
  <c r="AD797" i="2"/>
  <c r="AF797" i="2" s="1"/>
  <c r="AD798" i="2"/>
  <c r="AF798" i="2" s="1"/>
  <c r="AD799" i="2"/>
  <c r="AF799" i="2" s="1"/>
  <c r="AD800" i="2"/>
  <c r="AF800" i="2" s="1"/>
  <c r="AD801" i="2"/>
  <c r="AF801" i="2" s="1"/>
  <c r="AD802" i="2"/>
  <c r="AF802" i="2" s="1"/>
  <c r="AD803" i="2"/>
  <c r="AF803" i="2" s="1"/>
  <c r="AD804" i="2"/>
  <c r="AF804" i="2" s="1"/>
  <c r="AD805" i="2"/>
  <c r="AF805" i="2" s="1"/>
  <c r="AD806" i="2"/>
  <c r="AF806" i="2" s="1"/>
  <c r="AD807" i="2"/>
  <c r="AF807" i="2" s="1"/>
  <c r="AD808" i="2"/>
  <c r="AF808" i="2" s="1"/>
  <c r="AD809" i="2"/>
  <c r="AF809" i="2" s="1"/>
  <c r="AD810" i="2"/>
  <c r="AF810" i="2" s="1"/>
  <c r="AD811" i="2"/>
  <c r="AF811" i="2" s="1"/>
  <c r="AD812" i="2"/>
  <c r="AF812" i="2" s="1"/>
  <c r="AD813" i="2"/>
  <c r="AF813" i="2" s="1"/>
  <c r="AD814" i="2"/>
  <c r="AF814" i="2" s="1"/>
  <c r="AD815" i="2"/>
  <c r="AF815" i="2" s="1"/>
  <c r="AD816" i="2"/>
  <c r="AF816" i="2" s="1"/>
  <c r="AD817" i="2"/>
  <c r="AF817" i="2" s="1"/>
  <c r="AD818" i="2"/>
  <c r="AF818" i="2" s="1"/>
  <c r="AD819" i="2"/>
  <c r="AF819" i="2" s="1"/>
  <c r="AD820" i="2"/>
  <c r="AF820" i="2" s="1"/>
  <c r="AD821" i="2"/>
  <c r="AF821" i="2" s="1"/>
  <c r="AD822" i="2"/>
  <c r="AF822" i="2" s="1"/>
  <c r="AD823" i="2"/>
  <c r="AF823" i="2" s="1"/>
  <c r="AD824" i="2"/>
  <c r="AF824" i="2" s="1"/>
  <c r="AD825" i="2"/>
  <c r="AF825" i="2" s="1"/>
  <c r="AD826" i="2"/>
  <c r="AF826" i="2" s="1"/>
  <c r="AD827" i="2"/>
  <c r="AF827" i="2" s="1"/>
  <c r="AD828" i="2"/>
  <c r="AF828" i="2" s="1"/>
  <c r="AD829" i="2"/>
  <c r="AF829" i="2" s="1"/>
  <c r="AD830" i="2"/>
  <c r="AF830" i="2" s="1"/>
  <c r="AD831" i="2"/>
  <c r="AF831" i="2" s="1"/>
  <c r="AD832" i="2"/>
  <c r="AF832" i="2" s="1"/>
  <c r="AD833" i="2"/>
  <c r="AF833" i="2" s="1"/>
  <c r="AD834" i="2"/>
  <c r="AF834" i="2" s="1"/>
  <c r="AD835" i="2"/>
  <c r="AF835" i="2" s="1"/>
  <c r="AD836" i="2"/>
  <c r="AF836" i="2" s="1"/>
  <c r="AD837" i="2"/>
  <c r="AF837" i="2" s="1"/>
  <c r="AD838" i="2"/>
  <c r="AF838" i="2" s="1"/>
  <c r="AD839" i="2"/>
  <c r="AF839" i="2" s="1"/>
  <c r="AD840" i="2"/>
  <c r="AF840" i="2" s="1"/>
  <c r="AD841" i="2"/>
  <c r="AF841" i="2" s="1"/>
  <c r="AD842" i="2"/>
  <c r="AF842" i="2" s="1"/>
  <c r="AD843" i="2"/>
  <c r="AF843" i="2" s="1"/>
  <c r="AD844" i="2"/>
  <c r="AF844" i="2" s="1"/>
  <c r="AD845" i="2"/>
  <c r="AF845" i="2" s="1"/>
  <c r="AD846" i="2"/>
  <c r="AF846" i="2" s="1"/>
  <c r="AD847" i="2"/>
  <c r="AF847" i="2" s="1"/>
  <c r="AD848" i="2"/>
  <c r="AF848" i="2" s="1"/>
  <c r="AD849" i="2"/>
  <c r="AF849" i="2" s="1"/>
  <c r="AD850" i="2"/>
  <c r="AF850" i="2" s="1"/>
  <c r="AD851" i="2"/>
  <c r="AF851" i="2" s="1"/>
  <c r="AD852" i="2"/>
  <c r="AF852" i="2" s="1"/>
  <c r="AD853" i="2"/>
  <c r="AF853" i="2" s="1"/>
  <c r="AD854" i="2"/>
  <c r="AF854" i="2" s="1"/>
  <c r="AD855" i="2"/>
  <c r="AF855" i="2" s="1"/>
  <c r="AD856" i="2"/>
  <c r="AF856" i="2" s="1"/>
  <c r="AD857" i="2"/>
  <c r="AF857" i="2" s="1"/>
  <c r="AD858" i="2"/>
  <c r="AF858" i="2" s="1"/>
  <c r="AD859" i="2"/>
  <c r="AF859" i="2" s="1"/>
  <c r="AD860" i="2"/>
  <c r="AF860" i="2" s="1"/>
  <c r="AD861" i="2"/>
  <c r="AF861" i="2" s="1"/>
  <c r="AD862" i="2"/>
  <c r="AF862" i="2" s="1"/>
  <c r="AD863" i="2"/>
  <c r="AF863" i="2" s="1"/>
  <c r="AD864" i="2"/>
  <c r="AF864" i="2" s="1"/>
  <c r="AD865" i="2"/>
  <c r="AF865" i="2" s="1"/>
  <c r="AD866" i="2"/>
  <c r="AF866" i="2" s="1"/>
  <c r="AD867" i="2"/>
  <c r="AF867" i="2" s="1"/>
  <c r="AD868" i="2"/>
  <c r="AF868" i="2" s="1"/>
  <c r="AD869" i="2"/>
  <c r="AF869" i="2" s="1"/>
  <c r="AD870" i="2"/>
  <c r="AF870" i="2" s="1"/>
  <c r="AD871" i="2"/>
  <c r="AF871" i="2" s="1"/>
  <c r="AD872" i="2"/>
  <c r="AF872" i="2" s="1"/>
  <c r="AD873" i="2"/>
  <c r="AF873" i="2" s="1"/>
  <c r="AD874" i="2"/>
  <c r="AF874" i="2" s="1"/>
  <c r="AD875" i="2"/>
  <c r="AF875" i="2" s="1"/>
  <c r="AD876" i="2"/>
  <c r="AF876" i="2" s="1"/>
  <c r="AD877" i="2"/>
  <c r="AF877" i="2" s="1"/>
  <c r="AD878" i="2"/>
  <c r="AF878" i="2" s="1"/>
  <c r="AD879" i="2"/>
  <c r="AF879" i="2" s="1"/>
  <c r="AD880" i="2"/>
  <c r="AF880" i="2" s="1"/>
  <c r="AD881" i="2"/>
  <c r="AF881" i="2" s="1"/>
  <c r="AD882" i="2"/>
  <c r="AF882" i="2" s="1"/>
  <c r="AD883" i="2"/>
  <c r="AF883" i="2" s="1"/>
  <c r="AD884" i="2"/>
  <c r="AF884" i="2" s="1"/>
  <c r="AD885" i="2"/>
  <c r="AF885" i="2" s="1"/>
  <c r="AD886" i="2"/>
  <c r="AF886" i="2" s="1"/>
  <c r="AD887" i="2"/>
  <c r="AF887" i="2" s="1"/>
  <c r="AD888" i="2"/>
  <c r="AF888" i="2" s="1"/>
  <c r="AD889" i="2"/>
  <c r="AF889" i="2" s="1"/>
  <c r="AD890" i="2"/>
  <c r="AF890" i="2" s="1"/>
  <c r="AD891" i="2"/>
  <c r="AF891" i="2" s="1"/>
  <c r="AD892" i="2"/>
  <c r="AF892" i="2" s="1"/>
  <c r="AD893" i="2"/>
  <c r="AF893" i="2" s="1"/>
  <c r="AD894" i="2"/>
  <c r="AF894" i="2" s="1"/>
  <c r="AD895" i="2"/>
  <c r="AF895" i="2" s="1"/>
  <c r="AD896" i="2"/>
  <c r="AF896" i="2" s="1"/>
  <c r="AD897" i="2"/>
  <c r="AF897" i="2" s="1"/>
  <c r="AD898" i="2"/>
  <c r="AF898" i="2" s="1"/>
  <c r="AD899" i="2"/>
  <c r="AF899" i="2" s="1"/>
  <c r="AD900" i="2"/>
  <c r="AF900" i="2" s="1"/>
  <c r="AD901" i="2"/>
  <c r="AF901" i="2" s="1"/>
  <c r="AD902" i="2"/>
  <c r="AF902" i="2" s="1"/>
  <c r="AD903" i="2"/>
  <c r="AF903" i="2" s="1"/>
  <c r="AD904" i="2"/>
  <c r="AF904" i="2" s="1"/>
  <c r="AD905" i="2"/>
  <c r="AF905" i="2" s="1"/>
  <c r="AD906" i="2"/>
  <c r="AF906" i="2" s="1"/>
  <c r="AD907" i="2"/>
  <c r="AF907" i="2" s="1"/>
  <c r="AD908" i="2"/>
  <c r="AF908" i="2" s="1"/>
  <c r="AD909" i="2"/>
  <c r="AF909" i="2" s="1"/>
  <c r="AD910" i="2"/>
  <c r="AF910" i="2" s="1"/>
  <c r="AD911" i="2"/>
  <c r="AF911" i="2" s="1"/>
  <c r="AD912" i="2"/>
  <c r="AF912" i="2" s="1"/>
  <c r="AD913" i="2"/>
  <c r="AF913" i="2" s="1"/>
  <c r="AD914" i="2"/>
  <c r="AF914" i="2" s="1"/>
  <c r="AD915" i="2"/>
  <c r="AF915" i="2" s="1"/>
  <c r="AD916" i="2"/>
  <c r="AF916" i="2" s="1"/>
  <c r="AD917" i="2"/>
  <c r="AF917" i="2" s="1"/>
  <c r="AD918" i="2"/>
  <c r="AF918" i="2" s="1"/>
  <c r="AD919" i="2"/>
  <c r="AF919" i="2" s="1"/>
  <c r="AD920" i="2"/>
  <c r="AF920" i="2" s="1"/>
  <c r="AD921" i="2"/>
  <c r="AF921" i="2" s="1"/>
  <c r="AD922" i="2"/>
  <c r="AF922" i="2" s="1"/>
  <c r="AD923" i="2"/>
  <c r="AF923" i="2" s="1"/>
  <c r="AD924" i="2"/>
  <c r="AF924" i="2" s="1"/>
  <c r="AD925" i="2"/>
  <c r="AF925" i="2" s="1"/>
  <c r="AD926" i="2"/>
  <c r="AF926" i="2" s="1"/>
  <c r="AD927" i="2"/>
  <c r="AF927" i="2" s="1"/>
  <c r="AD928" i="2"/>
  <c r="AF928" i="2" s="1"/>
  <c r="AD929" i="2"/>
  <c r="AF929" i="2" s="1"/>
  <c r="AD930" i="2"/>
  <c r="AF930" i="2" s="1"/>
  <c r="AD931" i="2"/>
  <c r="AF931" i="2" s="1"/>
  <c r="AD932" i="2"/>
  <c r="AF932" i="2" s="1"/>
  <c r="AD933" i="2"/>
  <c r="AF933" i="2" s="1"/>
  <c r="AD934" i="2"/>
  <c r="AF934" i="2" s="1"/>
  <c r="AD935" i="2"/>
  <c r="AF935" i="2" s="1"/>
  <c r="AD936" i="2"/>
  <c r="AF936" i="2" s="1"/>
  <c r="AD937" i="2"/>
  <c r="AF937" i="2" s="1"/>
  <c r="AD938" i="2"/>
  <c r="AF938" i="2" s="1"/>
  <c r="AD939" i="2"/>
  <c r="AF939" i="2" s="1"/>
  <c r="AD940" i="2"/>
  <c r="AF940" i="2" s="1"/>
  <c r="AD941" i="2"/>
  <c r="AF941" i="2" s="1"/>
  <c r="AD942" i="2"/>
  <c r="AF942" i="2" s="1"/>
  <c r="AD943" i="2"/>
  <c r="AF943" i="2" s="1"/>
  <c r="AD944" i="2"/>
  <c r="AF944" i="2" s="1"/>
  <c r="AD945" i="2"/>
  <c r="AF945" i="2" s="1"/>
  <c r="AD946" i="2"/>
  <c r="AF946" i="2" s="1"/>
  <c r="AD947" i="2"/>
  <c r="AF947" i="2" s="1"/>
  <c r="AD948" i="2"/>
  <c r="AF948" i="2" s="1"/>
  <c r="AD949" i="2"/>
  <c r="AF949" i="2" s="1"/>
  <c r="AD950" i="2"/>
  <c r="AF950" i="2" s="1"/>
  <c r="AD951" i="2"/>
  <c r="AF951" i="2" s="1"/>
  <c r="AD952" i="2"/>
  <c r="AF952" i="2" s="1"/>
  <c r="AD953" i="2"/>
  <c r="AF953" i="2" s="1"/>
  <c r="AD954" i="2"/>
  <c r="AF954" i="2" s="1"/>
  <c r="AD955" i="2"/>
  <c r="AF955" i="2" s="1"/>
  <c r="AD956" i="2"/>
  <c r="AF956" i="2" s="1"/>
  <c r="AD957" i="2"/>
  <c r="AF957" i="2" s="1"/>
  <c r="AD958" i="2"/>
  <c r="AF958" i="2" s="1"/>
  <c r="AD959" i="2"/>
  <c r="AF959" i="2" s="1"/>
  <c r="AD960" i="2"/>
  <c r="AF960" i="2" s="1"/>
  <c r="AD961" i="2"/>
  <c r="AF961" i="2" s="1"/>
  <c r="AD962" i="2"/>
  <c r="AF962" i="2" s="1"/>
  <c r="AD963" i="2"/>
  <c r="AF963" i="2" s="1"/>
  <c r="AD964" i="2"/>
  <c r="AF964" i="2" s="1"/>
  <c r="AD965" i="2"/>
  <c r="AF965" i="2" s="1"/>
  <c r="AD966" i="2"/>
  <c r="AF966" i="2" s="1"/>
  <c r="AD967" i="2"/>
  <c r="AF967" i="2" s="1"/>
  <c r="AD968" i="2"/>
  <c r="AF968" i="2" s="1"/>
  <c r="AD969" i="2"/>
  <c r="AF969" i="2" s="1"/>
  <c r="AD970" i="2"/>
  <c r="AF970" i="2" s="1"/>
  <c r="AD971" i="2"/>
  <c r="AF971" i="2" s="1"/>
  <c r="AD972" i="2"/>
  <c r="AF972" i="2" s="1"/>
  <c r="AD973" i="2"/>
  <c r="AF973" i="2" s="1"/>
  <c r="AD974" i="2"/>
  <c r="AF974" i="2" s="1"/>
  <c r="AD975" i="2"/>
  <c r="AF975" i="2" s="1"/>
  <c r="AD976" i="2"/>
  <c r="AF976" i="2" s="1"/>
  <c r="AD977" i="2"/>
  <c r="AF977" i="2" s="1"/>
  <c r="AD978" i="2"/>
  <c r="AF978" i="2" s="1"/>
  <c r="AD979" i="2"/>
  <c r="AF979" i="2" s="1"/>
  <c r="AD980" i="2"/>
  <c r="AF980" i="2" s="1"/>
  <c r="AD981" i="2"/>
  <c r="AF981" i="2" s="1"/>
  <c r="AD982" i="2"/>
  <c r="AF982" i="2" s="1"/>
  <c r="AD983" i="2"/>
  <c r="AF983" i="2" s="1"/>
  <c r="AD984" i="2"/>
  <c r="AF984" i="2" s="1"/>
  <c r="AD985" i="2"/>
  <c r="AF985" i="2" s="1"/>
  <c r="AD986" i="2"/>
  <c r="AF986" i="2" s="1"/>
  <c r="AD987" i="2"/>
  <c r="AF987" i="2" s="1"/>
  <c r="AD988" i="2"/>
  <c r="AF988" i="2" s="1"/>
  <c r="AD989" i="2"/>
  <c r="AF989" i="2" s="1"/>
  <c r="AD990" i="2"/>
  <c r="AF990" i="2" s="1"/>
  <c r="AD991" i="2"/>
  <c r="AF991" i="2" s="1"/>
  <c r="AD992" i="2"/>
  <c r="AF992" i="2" s="1"/>
  <c r="AD993" i="2"/>
  <c r="AF993" i="2" s="1"/>
  <c r="AD994" i="2"/>
  <c r="AF994" i="2" s="1"/>
  <c r="AD995" i="2"/>
  <c r="AF995" i="2" s="1"/>
  <c r="AD996" i="2"/>
  <c r="AF996" i="2" s="1"/>
  <c r="AD997" i="2"/>
  <c r="AF997" i="2" s="1"/>
  <c r="AD998" i="2"/>
  <c r="AF998" i="2" s="1"/>
  <c r="AD999" i="2"/>
  <c r="AF999" i="2" s="1"/>
  <c r="AD1000" i="2"/>
  <c r="AF1000" i="2" s="1"/>
  <c r="AD1001" i="2"/>
  <c r="AF1001" i="2" s="1"/>
  <c r="B6" i="1"/>
  <c r="B5" i="1"/>
  <c r="B4" i="1"/>
  <c r="AA546" i="2"/>
  <c r="AB546" i="2" s="1"/>
  <c r="AA150" i="2"/>
  <c r="AB150" i="2" s="1"/>
  <c r="AA218" i="2"/>
  <c r="AB218" i="2" s="1"/>
  <c r="AA50" i="2"/>
  <c r="AB50" i="2" s="1"/>
  <c r="AA73" i="2"/>
  <c r="AB73" i="2" s="1"/>
  <c r="AA27" i="2"/>
  <c r="AB27" i="2" s="1"/>
  <c r="AA20" i="2"/>
  <c r="AB20" i="2" s="1"/>
  <c r="AA223" i="2"/>
  <c r="AB223" i="2" s="1"/>
  <c r="AA76" i="2"/>
  <c r="AB76" i="2" s="1"/>
  <c r="AA173" i="2"/>
  <c r="AB173" i="2" s="1"/>
  <c r="AA23" i="2"/>
  <c r="AB23" i="2" s="1"/>
  <c r="AA43" i="2"/>
  <c r="AB43" i="2" s="1"/>
  <c r="AA151" i="2"/>
  <c r="AB151" i="2" s="1"/>
  <c r="AA394" i="2"/>
  <c r="AB394" i="2" s="1"/>
  <c r="AA25" i="2"/>
  <c r="AB25" i="2" s="1"/>
  <c r="AA605" i="2"/>
  <c r="AB605" i="2" s="1"/>
  <c r="AA233" i="2"/>
  <c r="AB233" i="2" s="1"/>
  <c r="AA567" i="2"/>
  <c r="AB567" i="2" s="1"/>
  <c r="AA152" i="2"/>
  <c r="AB152" i="2" s="1"/>
  <c r="AA17" i="2"/>
  <c r="AB17" i="2" s="1"/>
  <c r="AA35" i="2"/>
  <c r="AB35" i="2" s="1"/>
  <c r="AA147" i="2"/>
  <c r="AB147" i="2" s="1"/>
  <c r="AA62" i="2"/>
  <c r="AB62" i="2" s="1"/>
  <c r="AA506" i="2"/>
  <c r="AB506" i="2" s="1"/>
  <c r="AA158" i="2"/>
  <c r="AB158" i="2" s="1"/>
  <c r="AA515" i="2"/>
  <c r="AB515" i="2" s="1"/>
  <c r="AA56" i="2"/>
  <c r="AB56" i="2" s="1"/>
  <c r="AA117" i="2"/>
  <c r="AB117" i="2" s="1"/>
  <c r="AA116" i="2"/>
  <c r="AB116" i="2" s="1"/>
  <c r="AA303" i="2"/>
  <c r="AB303" i="2" s="1"/>
  <c r="AA166" i="2"/>
  <c r="AB166" i="2" s="1"/>
  <c r="AA58" i="2"/>
  <c r="AB58" i="2" s="1"/>
  <c r="AA59" i="2"/>
  <c r="AB59" i="2" s="1"/>
  <c r="AA169" i="2"/>
  <c r="AB169" i="2" s="1"/>
  <c r="AA660" i="2"/>
  <c r="AB660" i="2" s="1"/>
  <c r="AA162" i="2"/>
  <c r="AB162" i="2" s="1"/>
  <c r="AA217" i="2"/>
  <c r="AB217" i="2" s="1"/>
  <c r="AA72" i="2"/>
  <c r="AB72" i="2" s="1"/>
  <c r="AA66" i="2"/>
  <c r="AB66" i="2" s="1"/>
  <c r="AA488" i="2"/>
  <c r="AB488" i="2" s="1"/>
  <c r="AA180" i="2"/>
  <c r="AB180" i="2" s="1"/>
  <c r="AA295" i="2"/>
  <c r="AB295" i="2" s="1"/>
  <c r="AA194" i="2"/>
  <c r="AB194" i="2" s="1"/>
  <c r="AA198" i="2"/>
  <c r="AB198" i="2" s="1"/>
  <c r="AA164" i="2"/>
  <c r="AB164" i="2" s="1"/>
  <c r="AA359" i="2"/>
  <c r="AB359" i="2" s="1"/>
  <c r="AA89" i="2"/>
  <c r="AB89" i="2" s="1"/>
  <c r="AA598" i="2"/>
  <c r="AB598" i="2" s="1"/>
  <c r="AA387" i="2"/>
  <c r="AB387" i="2" s="1"/>
  <c r="AA139" i="2"/>
  <c r="AB139" i="2" s="1"/>
  <c r="AA40" i="2"/>
  <c r="AB40" i="2" s="1"/>
  <c r="AA341" i="2"/>
  <c r="AB341" i="2" s="1"/>
  <c r="AA18" i="2"/>
  <c r="AB18" i="2" s="1"/>
  <c r="AA182" i="2"/>
  <c r="AB182" i="2" s="1"/>
  <c r="AA311" i="2"/>
  <c r="AB311" i="2" s="1"/>
  <c r="AA597" i="2"/>
  <c r="AB597" i="2" s="1"/>
  <c r="AA602" i="2"/>
  <c r="AB602" i="2" s="1"/>
  <c r="AA7" i="2"/>
  <c r="AB7" i="2" s="1"/>
  <c r="AA131" i="2"/>
  <c r="AB131" i="2" s="1"/>
  <c r="AA75" i="2"/>
  <c r="AB75" i="2" s="1"/>
  <c r="AA172" i="2"/>
  <c r="AB172" i="2" s="1"/>
  <c r="AA129" i="2"/>
  <c r="AB129" i="2" s="1"/>
  <c r="AA329" i="2"/>
  <c r="AB329" i="2" s="1"/>
  <c r="AA78" i="2"/>
  <c r="AB78" i="2" s="1"/>
  <c r="AA22" i="2"/>
  <c r="AB22" i="2" s="1"/>
  <c r="AA264" i="2"/>
  <c r="AB264" i="2" s="1"/>
  <c r="AA795" i="2"/>
  <c r="AB795" i="2" s="1"/>
  <c r="AA257" i="2"/>
  <c r="AB257" i="2" s="1"/>
  <c r="AA32" i="2"/>
  <c r="AB32" i="2" s="1"/>
  <c r="AA627" i="2"/>
  <c r="AB627" i="2" s="1"/>
  <c r="AA192" i="2"/>
  <c r="AB192" i="2" s="1"/>
  <c r="AA3" i="2"/>
  <c r="AB3" i="2" s="1"/>
  <c r="AA464" i="2"/>
  <c r="AB464" i="2" s="1"/>
  <c r="AA45" i="2"/>
  <c r="AB45" i="2" s="1"/>
  <c r="AA146" i="2"/>
  <c r="AB146" i="2" s="1"/>
  <c r="AA4" i="2"/>
  <c r="AB4" i="2" s="1"/>
  <c r="AA440" i="2"/>
  <c r="AB440" i="2" s="1"/>
  <c r="AA5" i="2"/>
  <c r="AB5" i="2" s="1"/>
  <c r="AA136" i="2"/>
  <c r="AB136" i="2" s="1"/>
  <c r="AA2" i="2"/>
  <c r="AB2" i="2" s="1"/>
  <c r="AA86" i="2"/>
  <c r="AB86" i="2" s="1"/>
  <c r="AA738" i="2"/>
  <c r="AB738" i="2" s="1"/>
  <c r="AA105" i="2"/>
  <c r="AB105" i="2" s="1"/>
  <c r="AA564" i="2"/>
  <c r="AB564" i="2" s="1"/>
  <c r="AA819" i="2"/>
  <c r="AB819" i="2" s="1"/>
  <c r="AA42" i="2"/>
  <c r="AB42" i="2" s="1"/>
  <c r="AA237" i="2"/>
  <c r="AB237" i="2" s="1"/>
  <c r="AA289" i="2"/>
  <c r="AB289" i="2" s="1"/>
  <c r="AA222" i="2"/>
  <c r="AB222" i="2" s="1"/>
  <c r="AA126" i="2"/>
  <c r="AB126" i="2" s="1"/>
  <c r="AA608" i="2"/>
  <c r="AB608" i="2" s="1"/>
  <c r="AA181" i="2"/>
  <c r="AB181" i="2" s="1"/>
  <c r="AA29" i="2"/>
  <c r="AB29" i="2" s="1"/>
  <c r="AA718" i="2"/>
  <c r="AB718" i="2" s="1"/>
  <c r="AA667" i="2"/>
  <c r="AB667" i="2" s="1"/>
  <c r="AA496" i="2"/>
  <c r="AB496" i="2" s="1"/>
  <c r="AA691" i="2"/>
  <c r="AB691" i="2" s="1"/>
  <c r="AA156" i="2"/>
  <c r="AB156" i="2" s="1"/>
  <c r="AA109" i="2"/>
  <c r="AB109" i="2" s="1"/>
  <c r="AA784" i="2"/>
  <c r="AB784" i="2" s="1"/>
  <c r="AA391" i="2"/>
  <c r="AB391" i="2" s="1"/>
  <c r="AA274" i="2"/>
  <c r="AB274" i="2" s="1"/>
  <c r="AA653" i="2"/>
  <c r="AB653" i="2" s="1"/>
  <c r="AA386" i="2"/>
  <c r="AB386" i="2" s="1"/>
  <c r="AA726" i="2"/>
  <c r="AB726" i="2" s="1"/>
  <c r="AA382" i="2"/>
  <c r="AB382" i="2" s="1"/>
  <c r="AA229" i="2"/>
  <c r="AB229" i="2" s="1"/>
  <c r="AA351" i="2"/>
  <c r="AB351" i="2" s="1"/>
  <c r="AA491" i="2"/>
  <c r="AB491" i="2" s="1"/>
  <c r="AA46" i="2"/>
  <c r="AB46" i="2" s="1"/>
  <c r="AA360" i="2"/>
  <c r="AB360" i="2" s="1"/>
  <c r="AA94" i="2"/>
  <c r="AB94" i="2" s="1"/>
  <c r="AA306" i="2"/>
  <c r="AB306" i="2" s="1"/>
  <c r="AA411" i="2"/>
  <c r="AB411" i="2" s="1"/>
  <c r="AA183" i="2"/>
  <c r="AB183" i="2" s="1"/>
  <c r="AA290" i="2"/>
  <c r="AB290" i="2" s="1"/>
  <c r="AA79" i="2"/>
  <c r="AB79" i="2" s="1"/>
  <c r="AA145" i="2"/>
  <c r="AB145" i="2" s="1"/>
  <c r="AA226" i="2"/>
  <c r="AB226" i="2" s="1"/>
  <c r="AA49" i="2"/>
  <c r="AB49" i="2" s="1"/>
  <c r="AA11" i="2"/>
  <c r="AB11" i="2" s="1"/>
  <c r="AA153" i="2"/>
  <c r="AB153" i="2" s="1"/>
  <c r="AA706" i="2"/>
  <c r="AB706" i="2" s="1"/>
  <c r="AA621" i="2"/>
  <c r="AB621" i="2" s="1"/>
  <c r="AA240" i="2"/>
  <c r="AB240" i="2" s="1"/>
  <c r="AA791" i="2"/>
  <c r="AB791" i="2" s="1"/>
  <c r="AA28" i="2"/>
  <c r="AB28" i="2" s="1"/>
  <c r="AA443" i="2"/>
  <c r="AB443" i="2" s="1"/>
  <c r="AA787" i="2"/>
  <c r="AB787" i="2" s="1"/>
  <c r="AA92" i="2"/>
  <c r="AB92" i="2" s="1"/>
  <c r="AA371" i="2"/>
  <c r="AB371" i="2" s="1"/>
  <c r="AA774" i="2"/>
  <c r="AB774" i="2" s="1"/>
  <c r="AA458" i="2"/>
  <c r="AB458" i="2" s="1"/>
  <c r="AA460" i="2"/>
  <c r="AB460" i="2" s="1"/>
  <c r="AA589" i="2"/>
  <c r="AB589" i="2" s="1"/>
  <c r="AA398" i="2"/>
  <c r="AB398" i="2" s="1"/>
  <c r="AA44" i="2"/>
  <c r="AB44" i="2" s="1"/>
  <c r="AA432" i="2"/>
  <c r="AB432" i="2" s="1"/>
  <c r="AA405" i="2"/>
  <c r="AB405" i="2" s="1"/>
  <c r="AA331" i="2"/>
  <c r="AB331" i="2" s="1"/>
  <c r="AA613" i="2"/>
  <c r="AB613" i="2" s="1"/>
  <c r="AA24" i="2"/>
  <c r="AB24" i="2" s="1"/>
  <c r="AA728" i="2"/>
  <c r="AB728" i="2" s="1"/>
  <c r="AA204" i="2"/>
  <c r="AB204" i="2" s="1"/>
  <c r="AA112" i="2"/>
  <c r="AB112" i="2" s="1"/>
  <c r="AA9" i="2"/>
  <c r="AB9" i="2" s="1"/>
  <c r="AA370" i="2"/>
  <c r="AB370" i="2" s="1"/>
  <c r="AA285" i="2"/>
  <c r="AB285" i="2" s="1"/>
  <c r="AA68" i="2"/>
  <c r="AB68" i="2" s="1"/>
  <c r="AA500" i="2"/>
  <c r="AB500" i="2" s="1"/>
  <c r="AA60" i="2"/>
  <c r="AB60" i="2" s="1"/>
  <c r="AA33" i="2"/>
  <c r="AB33" i="2" s="1"/>
  <c r="AA462" i="2"/>
  <c r="AB462" i="2" s="1"/>
  <c r="AA134" i="2"/>
  <c r="AB134" i="2" s="1"/>
  <c r="AA334" i="2"/>
  <c r="AB334" i="2" s="1"/>
  <c r="AA21" i="2"/>
  <c r="AB21" i="2" s="1"/>
  <c r="AA298" i="2"/>
  <c r="AB298" i="2" s="1"/>
  <c r="AA521" i="2"/>
  <c r="AB521" i="2" s="1"/>
  <c r="AA10" i="2"/>
  <c r="AB10" i="2" s="1"/>
  <c r="AA6" i="2"/>
  <c r="AB6" i="2" s="1"/>
  <c r="AA518" i="2"/>
  <c r="AB518" i="2" s="1"/>
  <c r="AA291" i="2"/>
  <c r="AB291" i="2" s="1"/>
  <c r="AA637" i="2"/>
  <c r="AB637" i="2" s="1"/>
  <c r="AA19" i="2"/>
  <c r="AB19" i="2" s="1"/>
  <c r="AA47" i="2"/>
  <c r="AB47" i="2" s="1"/>
  <c r="AA534" i="2"/>
  <c r="AB534" i="2" s="1"/>
  <c r="AA366" i="2"/>
  <c r="AB366" i="2" s="1"/>
  <c r="AA102" i="2"/>
  <c r="AB102" i="2" s="1"/>
  <c r="AA74" i="2"/>
  <c r="AB74" i="2" s="1"/>
  <c r="AA179" i="2"/>
  <c r="AB179" i="2" s="1"/>
  <c r="AA208" i="2"/>
  <c r="AB208" i="2" s="1"/>
  <c r="AA316" i="2"/>
  <c r="AB316" i="2" s="1"/>
  <c r="AA469" i="2"/>
  <c r="AB469" i="2" s="1"/>
  <c r="AA8" i="2"/>
  <c r="AB8" i="2" s="1"/>
  <c r="AA457" i="2"/>
  <c r="AB457" i="2" s="1"/>
  <c r="AA65" i="2"/>
  <c r="AB65" i="2" s="1"/>
  <c r="AA82" i="2"/>
  <c r="AB82" i="2" s="1"/>
  <c r="AA668" i="2"/>
  <c r="AB668" i="2" s="1"/>
  <c r="AA523" i="2"/>
  <c r="AB523" i="2" s="1"/>
  <c r="AA320" i="2"/>
  <c r="AB320" i="2" s="1"/>
  <c r="AA486" i="2"/>
  <c r="AB486" i="2" s="1"/>
  <c r="AA433" i="2"/>
  <c r="AB433" i="2" s="1"/>
  <c r="AA330" i="2"/>
  <c r="AB330" i="2" s="1"/>
  <c r="AA317" i="2"/>
  <c r="AB317" i="2" s="1"/>
  <c r="AA286" i="2"/>
  <c r="AB286" i="2" s="1"/>
  <c r="AA799" i="2"/>
  <c r="AB799" i="2" s="1"/>
  <c r="AA84" i="2"/>
  <c r="AB84" i="2" s="1"/>
  <c r="AA246" i="2"/>
  <c r="AB246" i="2" s="1"/>
  <c r="AA697" i="2"/>
  <c r="AB697" i="2" s="1"/>
  <c r="AA392" i="2"/>
  <c r="AB392" i="2" s="1"/>
  <c r="AA51" i="2"/>
  <c r="AB51" i="2" s="1"/>
  <c r="AA437" i="2"/>
  <c r="AB437" i="2" s="1"/>
  <c r="AA321" i="2"/>
  <c r="AB321" i="2" s="1"/>
  <c r="AA801" i="2"/>
  <c r="AB801" i="2" s="1"/>
  <c r="AA185" i="2"/>
  <c r="AB185" i="2" s="1"/>
  <c r="AA149" i="2"/>
  <c r="AB149" i="2" s="1"/>
  <c r="AA568" i="2"/>
  <c r="AB568" i="2" s="1"/>
  <c r="AA101" i="2"/>
  <c r="AB101" i="2" s="1"/>
  <c r="AA516" i="2"/>
  <c r="AB516" i="2" s="1"/>
  <c r="AA104" i="2"/>
  <c r="AB104" i="2" s="1"/>
  <c r="AA97" i="2"/>
  <c r="AB97" i="2" s="1"/>
  <c r="AA522" i="2"/>
  <c r="AB522" i="2" s="1"/>
  <c r="AA395" i="2"/>
  <c r="AB395" i="2" s="1"/>
  <c r="AA305" i="2"/>
  <c r="AB305" i="2" s="1"/>
  <c r="AA481" i="2"/>
  <c r="AB481" i="2" s="1"/>
  <c r="AA422" i="2"/>
  <c r="AB422" i="2" s="1"/>
  <c r="AA569" i="2"/>
  <c r="AB569" i="2" s="1"/>
  <c r="AA654" i="2"/>
  <c r="AB654" i="2" s="1"/>
  <c r="AA477" i="2"/>
  <c r="AB477" i="2" s="1"/>
  <c r="AA378" i="2"/>
  <c r="AB378" i="2" s="1"/>
  <c r="AA296" i="2"/>
  <c r="AB296" i="2" s="1"/>
  <c r="AA352" i="2"/>
  <c r="AB352" i="2" s="1"/>
  <c r="AA258" i="2"/>
  <c r="AB258" i="2" s="1"/>
  <c r="AA497" i="2"/>
  <c r="AB497" i="2" s="1"/>
  <c r="AA397" i="2"/>
  <c r="AB397" i="2" s="1"/>
  <c r="AA454" i="2"/>
  <c r="AB454" i="2" s="1"/>
  <c r="AA373" i="2"/>
  <c r="AB373" i="2" s="1"/>
  <c r="AA495" i="2"/>
  <c r="AB495" i="2" s="1"/>
  <c r="AA579" i="2"/>
  <c r="AB579" i="2" s="1"/>
  <c r="AA584" i="2"/>
  <c r="AB584" i="2" s="1"/>
  <c r="AA38" i="2"/>
  <c r="AB38" i="2" s="1"/>
  <c r="AA127" i="2"/>
  <c r="AB127" i="2" s="1"/>
  <c r="AA177" i="2"/>
  <c r="AB177" i="2" s="1"/>
  <c r="AA630" i="2"/>
  <c r="AB630" i="2" s="1"/>
  <c r="AA538" i="2"/>
  <c r="AB538" i="2" s="1"/>
  <c r="AA39" i="2"/>
  <c r="AB39" i="2" s="1"/>
  <c r="AA309" i="2"/>
  <c r="AB309" i="2" s="1"/>
  <c r="AA220" i="2"/>
  <c r="AB220" i="2" s="1"/>
  <c r="AA121" i="2"/>
  <c r="AB121" i="2" s="1"/>
  <c r="AA100" i="2"/>
  <c r="AB100" i="2" s="1"/>
  <c r="AA617" i="2"/>
  <c r="AB617" i="2" s="1"/>
  <c r="AA53" i="2"/>
  <c r="AB53" i="2" s="1"/>
  <c r="AA421" i="2"/>
  <c r="AB421" i="2" s="1"/>
  <c r="AA537" i="2"/>
  <c r="AB537" i="2" s="1"/>
  <c r="AA120" i="2"/>
  <c r="AB120" i="2" s="1"/>
  <c r="AA184" i="2"/>
  <c r="AB184" i="2" s="1"/>
  <c r="AA673" i="2"/>
  <c r="AB673" i="2" s="1"/>
  <c r="AA36" i="2"/>
  <c r="AB36" i="2" s="1"/>
  <c r="AA30" i="2"/>
  <c r="AB30" i="2" s="1"/>
  <c r="AA514" i="2"/>
  <c r="AB514" i="2" s="1"/>
  <c r="AA670" i="2"/>
  <c r="AB670" i="2" s="1"/>
  <c r="AA155" i="2"/>
  <c r="AB155" i="2" s="1"/>
  <c r="AA349" i="2"/>
  <c r="AB349" i="2" s="1"/>
  <c r="AA174" i="2"/>
  <c r="AB174" i="2" s="1"/>
  <c r="AA61" i="2"/>
  <c r="AB61" i="2" s="1"/>
  <c r="AA13" i="2"/>
  <c r="AB13" i="2" s="1"/>
  <c r="AA242" i="2"/>
  <c r="AB242" i="2" s="1"/>
  <c r="AA574" i="2"/>
  <c r="AB574" i="2" s="1"/>
  <c r="AA249" i="2"/>
  <c r="AB249" i="2" s="1"/>
  <c r="AA178" i="2"/>
  <c r="AB178" i="2" s="1"/>
  <c r="AA273" i="2"/>
  <c r="AB273" i="2" s="1"/>
  <c r="AA124" i="2"/>
  <c r="AB124" i="2" s="1"/>
  <c r="AA622" i="2"/>
  <c r="AB622" i="2" s="1"/>
  <c r="AA531" i="2"/>
  <c r="AB531" i="2" s="1"/>
  <c r="AA63" i="2"/>
  <c r="AB63" i="2" s="1"/>
  <c r="AA294" i="2"/>
  <c r="AB294" i="2" s="1"/>
  <c r="AA48" i="2"/>
  <c r="AB48" i="2" s="1"/>
  <c r="AA31" i="2"/>
  <c r="AB31" i="2" s="1"/>
  <c r="AA492" i="2"/>
  <c r="AB492" i="2" s="1"/>
  <c r="AA558" i="2"/>
  <c r="AB558" i="2" s="1"/>
  <c r="AA375" i="2"/>
  <c r="AB375" i="2" s="1"/>
  <c r="AA191" i="2"/>
  <c r="AB191" i="2" s="1"/>
  <c r="AA85" i="2"/>
  <c r="AB85" i="2" s="1"/>
  <c r="AA288" i="2"/>
  <c r="AB288" i="2" s="1"/>
  <c r="AA88" i="2"/>
  <c r="AB88" i="2" s="1"/>
  <c r="AA52" i="2"/>
  <c r="AB52" i="2" s="1"/>
  <c r="AA55" i="2"/>
  <c r="AB55" i="2" s="1"/>
  <c r="AA581" i="2"/>
  <c r="AB581" i="2" s="1"/>
  <c r="AA419" i="2"/>
  <c r="AB419" i="2" s="1"/>
  <c r="AA278" i="2"/>
  <c r="AB278" i="2" s="1"/>
  <c r="AA406" i="2"/>
  <c r="AB406" i="2" s="1"/>
  <c r="AA91" i="2"/>
  <c r="AB91" i="2" s="1"/>
  <c r="AA80" i="2"/>
  <c r="AB80" i="2" s="1"/>
  <c r="AA256" i="2"/>
  <c r="AB256" i="2" s="1"/>
  <c r="AA470" i="2"/>
  <c r="AB470" i="2" s="1"/>
  <c r="AA519" i="2"/>
  <c r="AB519" i="2" s="1"/>
  <c r="AA396" i="2"/>
  <c r="AB396" i="2" s="1"/>
  <c r="AA636" i="2"/>
  <c r="AB636" i="2" s="1"/>
  <c r="AA353" i="2"/>
  <c r="AB353" i="2" s="1"/>
  <c r="AA170" i="2"/>
  <c r="AB170" i="2" s="1"/>
  <c r="AA356" i="2"/>
  <c r="AB356" i="2" s="1"/>
  <c r="AA511" i="2"/>
  <c r="AB511" i="2" s="1"/>
  <c r="AA550" i="2"/>
  <c r="AB550" i="2" s="1"/>
  <c r="AA93" i="2"/>
  <c r="AB93" i="2" s="1"/>
  <c r="AA96" i="2"/>
  <c r="AB96" i="2" s="1"/>
  <c r="AA502" i="2"/>
  <c r="AB502" i="2" s="1"/>
  <c r="AA135" i="2"/>
  <c r="AB135" i="2" s="1"/>
  <c r="AA348" i="2"/>
  <c r="AB348" i="2" s="1"/>
  <c r="AA508" i="2"/>
  <c r="AB508" i="2" s="1"/>
  <c r="AA67" i="2"/>
  <c r="AB67" i="2" s="1"/>
  <c r="AA641" i="2"/>
  <c r="AB641" i="2" s="1"/>
  <c r="AA148" i="2"/>
  <c r="AB148" i="2" s="1"/>
  <c r="AA436" i="2"/>
  <c r="AB436" i="2" s="1"/>
  <c r="AA283" i="2"/>
  <c r="AB283" i="2" s="1"/>
  <c r="AA190" i="2"/>
  <c r="AB190" i="2" s="1"/>
  <c r="AA234" i="2"/>
  <c r="AB234" i="2" s="1"/>
  <c r="AA810" i="2"/>
  <c r="AB810" i="2" s="1"/>
  <c r="AA616" i="2"/>
  <c r="AB616" i="2" s="1"/>
  <c r="AA90" i="2"/>
  <c r="AB90" i="2" s="1"/>
  <c r="AA37" i="2"/>
  <c r="AB37" i="2" s="1"/>
  <c r="AA560" i="2"/>
  <c r="AB560" i="2" s="1"/>
  <c r="AA444" i="2"/>
  <c r="AB444" i="2" s="1"/>
  <c r="AA640" i="2"/>
  <c r="AB640" i="2" s="1"/>
  <c r="AA414" i="2"/>
  <c r="AB414" i="2" s="1"/>
  <c r="AA312" i="2"/>
  <c r="AB312" i="2" s="1"/>
  <c r="AA71" i="2"/>
  <c r="AB71" i="2" s="1"/>
  <c r="AA276" i="2"/>
  <c r="AB276" i="2" s="1"/>
  <c r="AA594" i="2"/>
  <c r="AB594" i="2" s="1"/>
  <c r="AA108" i="2"/>
  <c r="AB108" i="2" s="1"/>
  <c r="AA69" i="2"/>
  <c r="AB69" i="2" s="1"/>
  <c r="AA14" i="2"/>
  <c r="AB14" i="2" s="1"/>
  <c r="AA314" i="2"/>
  <c r="AB314" i="2" s="1"/>
  <c r="AA99" i="2"/>
  <c r="AB99" i="2" s="1"/>
  <c r="AA510" i="2"/>
  <c r="AB510" i="2" s="1"/>
  <c r="AA542" i="2"/>
  <c r="AB542" i="2" s="1"/>
  <c r="AA592" i="2"/>
  <c r="AB592" i="2" s="1"/>
  <c r="AA393" i="2"/>
  <c r="AB393" i="2" s="1"/>
  <c r="AA337" i="2"/>
  <c r="AB337" i="2" s="1"/>
  <c r="AA244" i="2"/>
  <c r="AB244" i="2" s="1"/>
  <c r="AA566" i="2"/>
  <c r="AB566" i="2" s="1"/>
  <c r="AA409" i="2"/>
  <c r="AB409" i="2" s="1"/>
  <c r="AA138" i="2"/>
  <c r="AB138" i="2" s="1"/>
  <c r="AA95" i="2"/>
  <c r="AB95" i="2" s="1"/>
  <c r="AA106" i="2"/>
  <c r="AB106" i="2" s="1"/>
  <c r="AA193" i="2"/>
  <c r="AB193" i="2" s="1"/>
  <c r="AA717" i="2"/>
  <c r="AB717" i="2" s="1"/>
  <c r="AA618" i="2"/>
  <c r="AB618" i="2" s="1"/>
  <c r="AA227" i="2"/>
  <c r="AB227" i="2" s="1"/>
  <c r="AA606" i="2"/>
  <c r="AB606" i="2" s="1"/>
  <c r="AA376" i="2"/>
  <c r="AB376" i="2" s="1"/>
  <c r="AA512" i="2"/>
  <c r="AB512" i="2" s="1"/>
  <c r="AA81" i="2"/>
  <c r="AB81" i="2" s="1"/>
  <c r="AA130" i="2"/>
  <c r="AB130" i="2" s="1"/>
  <c r="AA83" i="2"/>
  <c r="AB83" i="2" s="1"/>
  <c r="AA261" i="2"/>
  <c r="AB261" i="2" s="1"/>
  <c r="AA629" i="2"/>
  <c r="AB629" i="2" s="1"/>
  <c r="AA642" i="2"/>
  <c r="AB642" i="2" s="1"/>
  <c r="AA362" i="2"/>
  <c r="AB362" i="2" s="1"/>
  <c r="AA571" i="2"/>
  <c r="AB571" i="2" s="1"/>
  <c r="AA686" i="2"/>
  <c r="AB686" i="2" s="1"/>
  <c r="AA380" i="2"/>
  <c r="AB380" i="2" s="1"/>
  <c r="AA230" i="2"/>
  <c r="AB230" i="2" s="1"/>
  <c r="AA167" i="2"/>
  <c r="AB167" i="2" s="1"/>
  <c r="AA657" i="2"/>
  <c r="AB657" i="2" s="1"/>
  <c r="AA110" i="2"/>
  <c r="AB110" i="2" s="1"/>
  <c r="AA678" i="2"/>
  <c r="AB678" i="2" s="1"/>
  <c r="AA210" i="2"/>
  <c r="AB210" i="2" s="1"/>
  <c r="AA720" i="2"/>
  <c r="AB720" i="2" s="1"/>
  <c r="AA212" i="2"/>
  <c r="AB212" i="2" s="1"/>
  <c r="AA141" i="2"/>
  <c r="AB141" i="2" s="1"/>
  <c r="AA57" i="2"/>
  <c r="AB57" i="2" s="1"/>
  <c r="AA144" i="2"/>
  <c r="AB144" i="2" s="1"/>
  <c r="AA287" i="2"/>
  <c r="AB287" i="2" s="1"/>
  <c r="AA588" i="2"/>
  <c r="AB588" i="2" s="1"/>
  <c r="AA114" i="2"/>
  <c r="AB114" i="2" s="1"/>
  <c r="AA831" i="2"/>
  <c r="AB831" i="2" s="1"/>
  <c r="AA345" i="2"/>
  <c r="AB345" i="2" s="1"/>
  <c r="AA344" i="2"/>
  <c r="AB344" i="2" s="1"/>
  <c r="AA213" i="2"/>
  <c r="AB213" i="2" s="1"/>
  <c r="AA385" i="2"/>
  <c r="AB385" i="2" s="1"/>
  <c r="AA251" i="2"/>
  <c r="AB251" i="2" s="1"/>
  <c r="AA648" i="2"/>
  <c r="AB648" i="2" s="1"/>
  <c r="AA266" i="2"/>
  <c r="AB266" i="2" s="1"/>
  <c r="AA729" i="2"/>
  <c r="AB729" i="2" s="1"/>
  <c r="AA34" i="2"/>
  <c r="AB34" i="2" s="1"/>
  <c r="AA12" i="2"/>
  <c r="AB12" i="2" s="1"/>
  <c r="AA211" i="2"/>
  <c r="AB211" i="2" s="1"/>
  <c r="AA259" i="2"/>
  <c r="AB259" i="2" s="1"/>
  <c r="AA752" i="2"/>
  <c r="AB752" i="2" s="1"/>
  <c r="AA363" i="2"/>
  <c r="AB363" i="2" s="1"/>
  <c r="AA768" i="2"/>
  <c r="AB768" i="2" s="1"/>
  <c r="AA403" i="2"/>
  <c r="AB403" i="2" s="1"/>
  <c r="AA119" i="2"/>
  <c r="AB119" i="2" s="1"/>
  <c r="AA434" i="2"/>
  <c r="AB434" i="2" s="1"/>
  <c r="AA270" i="2"/>
  <c r="AB270" i="2" s="1"/>
  <c r="AA125" i="2"/>
  <c r="AB125" i="2" s="1"/>
  <c r="AA325" i="2"/>
  <c r="AB325" i="2" s="1"/>
  <c r="AA201" i="2"/>
  <c r="AB201" i="2" s="1"/>
  <c r="AA480" i="2"/>
  <c r="AB480" i="2" s="1"/>
  <c r="AA87" i="2"/>
  <c r="AB87" i="2" s="1"/>
  <c r="AA187" i="2"/>
  <c r="AB187" i="2" s="1"/>
  <c r="AA189" i="2"/>
  <c r="AB189" i="2" s="1"/>
  <c r="AA262" i="2"/>
  <c r="AB262" i="2" s="1"/>
  <c r="AA340" i="2"/>
  <c r="AB340" i="2" s="1"/>
  <c r="AA118" i="2"/>
  <c r="AB118" i="2" s="1"/>
  <c r="AA591" i="2"/>
  <c r="AB591" i="2" s="1"/>
  <c r="AA425" i="2"/>
  <c r="AB425" i="2" s="1"/>
  <c r="AA300" i="2"/>
  <c r="AB300" i="2" s="1"/>
  <c r="AA54" i="2"/>
  <c r="AB54" i="2" s="1"/>
  <c r="AA615" i="2"/>
  <c r="AB615" i="2" s="1"/>
  <c r="AA165" i="2"/>
  <c r="AB165" i="2" s="1"/>
  <c r="AA557" i="2"/>
  <c r="AB557" i="2" s="1"/>
  <c r="AA704" i="2"/>
  <c r="AB704" i="2" s="1"/>
  <c r="AA70" i="2"/>
  <c r="AB70" i="2" s="1"/>
  <c r="AA600" i="2"/>
  <c r="AB600" i="2" s="1"/>
  <c r="AA123" i="2"/>
  <c r="AB123" i="2" s="1"/>
  <c r="AA802" i="2"/>
  <c r="AB802" i="2" s="1"/>
  <c r="AA196" i="2"/>
  <c r="AB196" i="2" s="1"/>
  <c r="AA684" i="2"/>
  <c r="AB684" i="2" s="1"/>
  <c r="AA426" i="2"/>
  <c r="AB426" i="2" s="1"/>
  <c r="AA431" i="2"/>
  <c r="AB431" i="2" s="1"/>
  <c r="AA447" i="2"/>
  <c r="AB447" i="2" s="1"/>
  <c r="AA681" i="2"/>
  <c r="AB681" i="2" s="1"/>
  <c r="AA575" i="2"/>
  <c r="AB575" i="2" s="1"/>
  <c r="AA333" i="2"/>
  <c r="AB333" i="2" s="1"/>
  <c r="AA742" i="2"/>
  <c r="AB742" i="2" s="1"/>
  <c r="AA299" i="2"/>
  <c r="AB299" i="2" s="1"/>
  <c r="AA407" i="2"/>
  <c r="AB407" i="2" s="1"/>
  <c r="AA343" i="2"/>
  <c r="AB343" i="2" s="1"/>
  <c r="AA368" i="2"/>
  <c r="AB368" i="2" s="1"/>
  <c r="AA159" i="2"/>
  <c r="AB159" i="2" s="1"/>
  <c r="AA133" i="2"/>
  <c r="AB133" i="2" s="1"/>
  <c r="AA280" i="2"/>
  <c r="AB280" i="2" s="1"/>
  <c r="AA252" i="2"/>
  <c r="AB252" i="2" s="1"/>
  <c r="AA154" i="2"/>
  <c r="AB154" i="2" s="1"/>
  <c r="AA168" i="2"/>
  <c r="AB168" i="2" s="1"/>
  <c r="AA770" i="2"/>
  <c r="AB770" i="2" s="1"/>
  <c r="AA350" i="2"/>
  <c r="AB350" i="2" s="1"/>
  <c r="AA171" i="2"/>
  <c r="AB171" i="2" s="1"/>
  <c r="AA761" i="2"/>
  <c r="AB761" i="2" s="1"/>
  <c r="AA736" i="2"/>
  <c r="AB736" i="2" s="1"/>
  <c r="AA122" i="2"/>
  <c r="AB122" i="2" s="1"/>
  <c r="AA254" i="2"/>
  <c r="AB254" i="2" s="1"/>
  <c r="AA712" i="2"/>
  <c r="AB712" i="2" s="1"/>
  <c r="AA593" i="2"/>
  <c r="AB593" i="2" s="1"/>
  <c r="AA107" i="2"/>
  <c r="AB107" i="2" s="1"/>
  <c r="AA205" i="2"/>
  <c r="AB205" i="2" s="1"/>
  <c r="AA445" i="2"/>
  <c r="AB445" i="2" s="1"/>
  <c r="AA231" i="2"/>
  <c r="AB231" i="2" s="1"/>
  <c r="AA247" i="2"/>
  <c r="AB247" i="2" s="1"/>
  <c r="AA553" i="2"/>
  <c r="AB553" i="2" s="1"/>
  <c r="AA232" i="2"/>
  <c r="AB232" i="2" s="1"/>
  <c r="AA498" i="2"/>
  <c r="AB498" i="2" s="1"/>
  <c r="AA746" i="2"/>
  <c r="AB746" i="2" s="1"/>
  <c r="AA604" i="2"/>
  <c r="AB604" i="2" s="1"/>
  <c r="AA734" i="2"/>
  <c r="AB734" i="2" s="1"/>
  <c r="AA245" i="2"/>
  <c r="AB245" i="2" s="1"/>
  <c r="AA250" i="2"/>
  <c r="AB250" i="2" s="1"/>
  <c r="AA16" i="2"/>
  <c r="AB16" i="2" s="1"/>
  <c r="AA176" i="2"/>
  <c r="AB176" i="2" s="1"/>
  <c r="AA157" i="2"/>
  <c r="AB157" i="2" s="1"/>
  <c r="AA216" i="2"/>
  <c r="AB216" i="2" s="1"/>
  <c r="AA203" i="2"/>
  <c r="AB203" i="2" s="1"/>
  <c r="AA413" i="2"/>
  <c r="AB413" i="2" s="1"/>
  <c r="AA655" i="2"/>
  <c r="AB655" i="2" s="1"/>
  <c r="AA402" i="2"/>
  <c r="AB402" i="2" s="1"/>
  <c r="AA163" i="2"/>
  <c r="AB163" i="2" s="1"/>
  <c r="AA471" i="2"/>
  <c r="AB471" i="2" s="1"/>
  <c r="AA466" i="2"/>
  <c r="AB466" i="2" s="1"/>
  <c r="AA267" i="2"/>
  <c r="AB267" i="2" s="1"/>
  <c r="AA713" i="2"/>
  <c r="AB713" i="2" s="1"/>
  <c r="AA115" i="2"/>
  <c r="AB115" i="2" s="1"/>
  <c r="AA319" i="2"/>
  <c r="AB319" i="2" s="1"/>
  <c r="AA551" i="2"/>
  <c r="AB551" i="2" s="1"/>
  <c r="AA326" i="2"/>
  <c r="AB326" i="2" s="1"/>
  <c r="AA207" i="2"/>
  <c r="AB207" i="2" s="1"/>
  <c r="AA143" i="2"/>
  <c r="AB143" i="2" s="1"/>
  <c r="AA767" i="2"/>
  <c r="AB767" i="2" s="1"/>
  <c r="AA680" i="2"/>
  <c r="AB680" i="2" s="1"/>
  <c r="AA520" i="2"/>
  <c r="AB520" i="2" s="1"/>
  <c r="AA103" i="2"/>
  <c r="AB103" i="2" s="1"/>
  <c r="AA200" i="2"/>
  <c r="AB200" i="2" s="1"/>
  <c r="AA758" i="2"/>
  <c r="AB758" i="2" s="1"/>
  <c r="AA741" i="2"/>
  <c r="AB741" i="2" s="1"/>
  <c r="AA611" i="2"/>
  <c r="AB611" i="2" s="1"/>
  <c r="AA239" i="2"/>
  <c r="AB239" i="2" s="1"/>
  <c r="AA197" i="2"/>
  <c r="AB197" i="2" s="1"/>
  <c r="AA748" i="2"/>
  <c r="AB748" i="2" s="1"/>
  <c r="AA739" i="2"/>
  <c r="AB739" i="2" s="1"/>
  <c r="AA417" i="2"/>
  <c r="AB417" i="2" s="1"/>
  <c r="AA719" i="2"/>
  <c r="AB719" i="2" s="1"/>
  <c r="AA619" i="2"/>
  <c r="AB619" i="2" s="1"/>
  <c r="AA754" i="2"/>
  <c r="AB754" i="2" s="1"/>
  <c r="AA473" i="2"/>
  <c r="AB473" i="2" s="1"/>
  <c r="AA236" i="2"/>
  <c r="AB236" i="2" s="1"/>
  <c r="AA142" i="2"/>
  <c r="AB142" i="2" s="1"/>
  <c r="AA764" i="2"/>
  <c r="AB764" i="2" s="1"/>
  <c r="AA609" i="2"/>
  <c r="AB609" i="2" s="1"/>
  <c r="AA590" i="2"/>
  <c r="AB590" i="2" s="1"/>
  <c r="AA662" i="2"/>
  <c r="AB662" i="2" s="1"/>
  <c r="AA503" i="2"/>
  <c r="AB503" i="2" s="1"/>
  <c r="AA248" i="2"/>
  <c r="AB248" i="2" s="1"/>
  <c r="AA562" i="2"/>
  <c r="AB562" i="2" s="1"/>
  <c r="AA228" i="2"/>
  <c r="AB228" i="2" s="1"/>
  <c r="AA384" i="2"/>
  <c r="AB384" i="2" s="1"/>
  <c r="AA253" i="2"/>
  <c r="AB253" i="2" s="1"/>
  <c r="AA338" i="2"/>
  <c r="AB338" i="2" s="1"/>
  <c r="AA769" i="2"/>
  <c r="AB769" i="2" s="1"/>
  <c r="AA475" i="2"/>
  <c r="AB475" i="2" s="1"/>
  <c r="AA489" i="2"/>
  <c r="AB489" i="2" s="1"/>
  <c r="AA202" i="2"/>
  <c r="AB202" i="2" s="1"/>
  <c r="AA221" i="2"/>
  <c r="AB221" i="2" s="1"/>
  <c r="AA962" i="2"/>
  <c r="AB962" i="2" s="1"/>
  <c r="AA753" i="2"/>
  <c r="AB753" i="2" s="1"/>
  <c r="AA703" i="2"/>
  <c r="AB703" i="2" s="1"/>
  <c r="AA219" i="2"/>
  <c r="AB219" i="2" s="1"/>
  <c r="AA322" i="2"/>
  <c r="AB322" i="2" s="1"/>
  <c r="AA714" i="2"/>
  <c r="AB714" i="2" s="1"/>
  <c r="AA731" i="2"/>
  <c r="AB731" i="2" s="1"/>
  <c r="AA243" i="2"/>
  <c r="AB243" i="2" s="1"/>
  <c r="AA762" i="2"/>
  <c r="AB762" i="2" s="1"/>
  <c r="AA389" i="2"/>
  <c r="AB389" i="2" s="1"/>
  <c r="AA441" i="2"/>
  <c r="AB441" i="2" s="1"/>
  <c r="AA404" i="2"/>
  <c r="AB404" i="2" s="1"/>
  <c r="AA541" i="2"/>
  <c r="AB541" i="2" s="1"/>
  <c r="AA851" i="2"/>
  <c r="AB851" i="2" s="1"/>
  <c r="AA535" i="2"/>
  <c r="AB535" i="2" s="1"/>
  <c r="AA450" i="2"/>
  <c r="AB450" i="2" s="1"/>
  <c r="AA137" i="2"/>
  <c r="AB137" i="2" s="1"/>
  <c r="AA361" i="2"/>
  <c r="AB361" i="2" s="1"/>
  <c r="AA224" i="2"/>
  <c r="AB224" i="2" s="1"/>
  <c r="AA369" i="2"/>
  <c r="AB369" i="2" s="1"/>
  <c r="AA281" i="2"/>
  <c r="AB281" i="2" s="1"/>
  <c r="AA410" i="2"/>
  <c r="AB410" i="2" s="1"/>
  <c r="AA533" i="2"/>
  <c r="AB533" i="2" s="1"/>
  <c r="AA41" i="2"/>
  <c r="AB41" i="2" s="1"/>
  <c r="AA186" i="2"/>
  <c r="AB186" i="2" s="1"/>
  <c r="AA545" i="2"/>
  <c r="AB545" i="2" s="1"/>
  <c r="AA809" i="2"/>
  <c r="AB809" i="2" s="1"/>
  <c r="AA347" i="2"/>
  <c r="AB347" i="2" s="1"/>
  <c r="AA383" i="2"/>
  <c r="AB383" i="2" s="1"/>
  <c r="AA439" i="2"/>
  <c r="AB439" i="2" s="1"/>
  <c r="AA64" i="2"/>
  <c r="AB64" i="2" s="1"/>
  <c r="AA161" i="2"/>
  <c r="AB161" i="2" s="1"/>
  <c r="AA453" i="2"/>
  <c r="AB453" i="2" s="1"/>
  <c r="AA315" i="2"/>
  <c r="AB315" i="2" s="1"/>
  <c r="AA238" i="2"/>
  <c r="AB238" i="2" s="1"/>
  <c r="AA788" i="2"/>
  <c r="AB788" i="2" s="1"/>
  <c r="AA633" i="2"/>
  <c r="AB633" i="2" s="1"/>
  <c r="AA775" i="2"/>
  <c r="AB775" i="2" s="1"/>
  <c r="AA327" i="2"/>
  <c r="AB327" i="2" s="1"/>
  <c r="AA241" i="2"/>
  <c r="AB241" i="2" s="1"/>
  <c r="AA798" i="2"/>
  <c r="AB798" i="2" s="1"/>
  <c r="AA760" i="2"/>
  <c r="AB760" i="2" s="1"/>
  <c r="AA499" i="2"/>
  <c r="AB499" i="2" s="1"/>
  <c r="AA235" i="2"/>
  <c r="AB235" i="2" s="1"/>
  <c r="AA782" i="2"/>
  <c r="AB782" i="2" s="1"/>
  <c r="AA98" i="2"/>
  <c r="AB98" i="2" s="1"/>
  <c r="AA275" i="2"/>
  <c r="AB275" i="2" s="1"/>
  <c r="AA269" i="2"/>
  <c r="AB269" i="2" s="1"/>
  <c r="AA140" i="2"/>
  <c r="AB140" i="2" s="1"/>
  <c r="AA554" i="2"/>
  <c r="AB554" i="2" s="1"/>
  <c r="AA377" i="2"/>
  <c r="AB377" i="2" s="1"/>
  <c r="AA610" i="2"/>
  <c r="AB610" i="2" s="1"/>
  <c r="AA448" i="2"/>
  <c r="AB448" i="2" s="1"/>
  <c r="AA301" i="2"/>
  <c r="AB301" i="2" s="1"/>
  <c r="AA336" i="2"/>
  <c r="AB336" i="2" s="1"/>
  <c r="AA225" i="2"/>
  <c r="AB225" i="2" s="1"/>
  <c r="AA733" i="2"/>
  <c r="AB733" i="2" s="1"/>
  <c r="AA643" i="2"/>
  <c r="AB643" i="2" s="1"/>
  <c r="AA111" i="2"/>
  <c r="AB111" i="2" s="1"/>
  <c r="AA206" i="2"/>
  <c r="AB206" i="2" s="1"/>
  <c r="AA751" i="2"/>
  <c r="AB751" i="2" s="1"/>
  <c r="AA487" i="2"/>
  <c r="AB487" i="2" s="1"/>
  <c r="AA596" i="2"/>
  <c r="AB596" i="2" s="1"/>
  <c r="AA277" i="2"/>
  <c r="AB277" i="2" s="1"/>
  <c r="AA501" i="2"/>
  <c r="AB501" i="2" s="1"/>
  <c r="AA484" i="2"/>
  <c r="AB484" i="2" s="1"/>
  <c r="AA509" i="2"/>
  <c r="AB509" i="2" s="1"/>
  <c r="AA755" i="2"/>
  <c r="AB755" i="2" s="1"/>
  <c r="AA279" i="2"/>
  <c r="AB279" i="2" s="1"/>
  <c r="AA324" i="2"/>
  <c r="AB324" i="2" s="1"/>
  <c r="AA263" i="2"/>
  <c r="AB263" i="2" s="1"/>
  <c r="AA549" i="2"/>
  <c r="AB549" i="2" s="1"/>
  <c r="AA766" i="2"/>
  <c r="AB766" i="2" s="1"/>
  <c r="AA415" i="2"/>
  <c r="AB415" i="2" s="1"/>
  <c r="AA195" i="2"/>
  <c r="AB195" i="2" s="1"/>
  <c r="AA743" i="2"/>
  <c r="AB743" i="2" s="1"/>
  <c r="AA297" i="2"/>
  <c r="AB297" i="2" s="1"/>
  <c r="AA323" i="2"/>
  <c r="AB323" i="2" s="1"/>
  <c r="AA572" i="2"/>
  <c r="AB572" i="2" s="1"/>
  <c r="AA504" i="2"/>
  <c r="AB504" i="2" s="1"/>
  <c r="AA265" i="2"/>
  <c r="AB265" i="2" s="1"/>
  <c r="AA663" i="2"/>
  <c r="AB663" i="2" s="1"/>
  <c r="AA399" i="2"/>
  <c r="AB399" i="2" s="1"/>
  <c r="AA676" i="2"/>
  <c r="AB676" i="2" s="1"/>
  <c r="AA561" i="2"/>
  <c r="AB561" i="2" s="1"/>
  <c r="AA740" i="2"/>
  <c r="AB740" i="2" s="1"/>
  <c r="AA365" i="2"/>
  <c r="AB365" i="2" s="1"/>
  <c r="AA626" i="2"/>
  <c r="AB626" i="2" s="1"/>
  <c r="AA700" i="2"/>
  <c r="AB700" i="2" s="1"/>
  <c r="AA160" i="2"/>
  <c r="AB160" i="2" s="1"/>
  <c r="AA529" i="2"/>
  <c r="AB529" i="2" s="1"/>
  <c r="AA483" i="2"/>
  <c r="AB483" i="2" s="1"/>
  <c r="AA429" i="2"/>
  <c r="AB429" i="2" s="1"/>
  <c r="AA505" i="2"/>
  <c r="AB505" i="2" s="1"/>
  <c r="AA690" i="2"/>
  <c r="AB690" i="2" s="1"/>
  <c r="AA474" i="2"/>
  <c r="AB474" i="2" s="1"/>
  <c r="AA318" i="2"/>
  <c r="AB318" i="2" s="1"/>
  <c r="AA293" i="2"/>
  <c r="AB293" i="2" s="1"/>
  <c r="AA632" i="2"/>
  <c r="AB632" i="2" s="1"/>
  <c r="AA586" i="2"/>
  <c r="AB586" i="2" s="1"/>
  <c r="AA793" i="2"/>
  <c r="AB793" i="2" s="1"/>
  <c r="AA792" i="2"/>
  <c r="AB792" i="2" s="1"/>
  <c r="AA302" i="2"/>
  <c r="AB302" i="2" s="1"/>
  <c r="AA328" i="2"/>
  <c r="AB328" i="2" s="1"/>
  <c r="AA623" i="2"/>
  <c r="AB623" i="2" s="1"/>
  <c r="AA573" i="2"/>
  <c r="AB573" i="2" s="1"/>
  <c r="AA452" i="2"/>
  <c r="AB452" i="2" s="1"/>
  <c r="AA255" i="2"/>
  <c r="AB255" i="2" s="1"/>
  <c r="AA284" i="2"/>
  <c r="AB284" i="2" s="1"/>
  <c r="AA638" i="2"/>
  <c r="AB638" i="2" s="1"/>
  <c r="AA570" i="2"/>
  <c r="AB570" i="2" s="1"/>
  <c r="AA424" i="2"/>
  <c r="AB424" i="2" s="1"/>
  <c r="AA292" i="2"/>
  <c r="AB292" i="2" s="1"/>
  <c r="AA674" i="2"/>
  <c r="AB674" i="2" s="1"/>
  <c r="AA527" i="2"/>
  <c r="AB527" i="2" s="1"/>
  <c r="AA272" i="2"/>
  <c r="AB272" i="2" s="1"/>
  <c r="AA513" i="2"/>
  <c r="AB513" i="2" s="1"/>
  <c r="AA188" i="2"/>
  <c r="AB188" i="2" s="1"/>
  <c r="AA15" i="2"/>
  <c r="AA342" i="2"/>
  <c r="AB342" i="2" s="1"/>
  <c r="AA428" i="2"/>
  <c r="AB428" i="2" s="1"/>
  <c r="AA587" i="2"/>
  <c r="AB587" i="2" s="1"/>
  <c r="AA332" i="2"/>
  <c r="AB332" i="2" s="1"/>
  <c r="AA423" i="2"/>
  <c r="AB423" i="2" s="1"/>
  <c r="AA416" i="2"/>
  <c r="AB416" i="2" s="1"/>
  <c r="AA128" i="2"/>
  <c r="AB128" i="2" s="1"/>
  <c r="AA420" i="2"/>
  <c r="AB420" i="2" s="1"/>
  <c r="AA620" i="2"/>
  <c r="AB620" i="2" s="1"/>
  <c r="AA260" i="2"/>
  <c r="AB260" i="2" s="1"/>
  <c r="AA26" i="2"/>
  <c r="AB26" i="2" s="1"/>
  <c r="AA709" i="2"/>
  <c r="AB709" i="2" s="1"/>
  <c r="AA271" i="2"/>
  <c r="AB271" i="2" s="1"/>
  <c r="AA307" i="2"/>
  <c r="AB307" i="2" s="1"/>
  <c r="AA665" i="2"/>
  <c r="AB665" i="2" s="1"/>
  <c r="AA339" i="2"/>
  <c r="AB339" i="2" s="1"/>
  <c r="AA357" i="2"/>
  <c r="AB357" i="2" s="1"/>
  <c r="AA456" i="2"/>
  <c r="AB456" i="2" s="1"/>
  <c r="AA442" i="2"/>
  <c r="AB442" i="2" s="1"/>
  <c r="AA672" i="2"/>
  <c r="AB672" i="2" s="1"/>
  <c r="AA430" i="2"/>
  <c r="AB430" i="2" s="1"/>
  <c r="AA651" i="2"/>
  <c r="AB651" i="2" s="1"/>
  <c r="AA401" i="2"/>
  <c r="AB401" i="2" s="1"/>
  <c r="AA354" i="2"/>
  <c r="AB354" i="2" s="1"/>
  <c r="AA199" i="2"/>
  <c r="AB199" i="2" s="1"/>
  <c r="AA689" i="2"/>
  <c r="AB689" i="2" s="1"/>
  <c r="AA779" i="2"/>
  <c r="AB779" i="2" s="1"/>
  <c r="AA692" i="2"/>
  <c r="AB692" i="2" s="1"/>
  <c r="AA664" i="2"/>
  <c r="AB664" i="2" s="1"/>
  <c r="AA599" i="2"/>
  <c r="AB599" i="2" s="1"/>
  <c r="AA282" i="2"/>
  <c r="AB282" i="2" s="1"/>
  <c r="AA449" i="2"/>
  <c r="AB449" i="2" s="1"/>
  <c r="AA214" i="2"/>
  <c r="AB214" i="2" s="1"/>
  <c r="AA807" i="2"/>
  <c r="AB807" i="2" s="1"/>
  <c r="AA744" i="2"/>
  <c r="AB744" i="2" s="1"/>
  <c r="AA559" i="2"/>
  <c r="AB559" i="2" s="1"/>
  <c r="AA418" i="2"/>
  <c r="AB418" i="2" s="1"/>
  <c r="AA400" i="2"/>
  <c r="AB400" i="2" s="1"/>
  <c r="AA465" i="2"/>
  <c r="AB465" i="2" s="1"/>
  <c r="AA685" i="2"/>
  <c r="AB685" i="2" s="1"/>
  <c r="AA647" i="2"/>
  <c r="AB647" i="2" s="1"/>
  <c r="AA583" i="2"/>
  <c r="AB583" i="2" s="1"/>
  <c r="AA543" i="2"/>
  <c r="AB543" i="2" s="1"/>
  <c r="AA532" i="2"/>
  <c r="AB532" i="2" s="1"/>
  <c r="AA209" i="2"/>
  <c r="AB209" i="2" s="1"/>
  <c r="AA711" i="2"/>
  <c r="AB711" i="2" s="1"/>
  <c r="AA388" i="2"/>
  <c r="AB388" i="2" s="1"/>
  <c r="AA967" i="2"/>
  <c r="AB967" i="2" s="1"/>
  <c r="AA556" i="2"/>
  <c r="AB556" i="2" s="1"/>
  <c r="AA490" i="2"/>
  <c r="AB490" i="2" s="1"/>
  <c r="AA682" i="2"/>
  <c r="AB682" i="2" s="1"/>
  <c r="AA524" i="2"/>
  <c r="AB524" i="2" s="1"/>
  <c r="AA634" i="2"/>
  <c r="AB634" i="2" s="1"/>
  <c r="AA313" i="2"/>
  <c r="AB313" i="2" s="1"/>
  <c r="AA843" i="2"/>
  <c r="AB843" i="2" s="1"/>
  <c r="AA472" i="2"/>
  <c r="AB472" i="2" s="1"/>
  <c r="AA675" i="2"/>
  <c r="AB675" i="2" s="1"/>
  <c r="AA661" i="2"/>
  <c r="AB661" i="2" s="1"/>
  <c r="AA467" i="2"/>
  <c r="AB467" i="2" s="1"/>
  <c r="AA539" i="2"/>
  <c r="AB539" i="2" s="1"/>
  <c r="AA374" i="2"/>
  <c r="AB374" i="2" s="1"/>
  <c r="AA525" i="2"/>
  <c r="AB525" i="2" s="1"/>
  <c r="AA900" i="2"/>
  <c r="AB900" i="2" s="1"/>
  <c r="AA796" i="2"/>
  <c r="AB796" i="2" s="1"/>
  <c r="AA459" i="2"/>
  <c r="AB459" i="2" s="1"/>
  <c r="AA628" i="2"/>
  <c r="AB628" i="2" s="1"/>
  <c r="AA772" i="2"/>
  <c r="AB772" i="2" s="1"/>
  <c r="AA468" i="2"/>
  <c r="AB468" i="2" s="1"/>
  <c r="AA612" i="2"/>
  <c r="AB612" i="2" s="1"/>
  <c r="AA77" i="2"/>
  <c r="AB77" i="2" s="1"/>
  <c r="AA563" i="2"/>
  <c r="AB563" i="2" s="1"/>
  <c r="AA860" i="2"/>
  <c r="AB860" i="2" s="1"/>
  <c r="AA576" i="2"/>
  <c r="AB576" i="2" s="1"/>
  <c r="AA710" i="2"/>
  <c r="AB710" i="2" s="1"/>
  <c r="AA408" i="2"/>
  <c r="AB408" i="2" s="1"/>
  <c r="AA698" i="2"/>
  <c r="AB698" i="2" s="1"/>
  <c r="AA355" i="2"/>
  <c r="AB355" i="2" s="1"/>
  <c r="AA730" i="2"/>
  <c r="AB730" i="2" s="1"/>
  <c r="AA517" i="2"/>
  <c r="AB517" i="2" s="1"/>
  <c r="AA783" i="2"/>
  <c r="AB783" i="2" s="1"/>
  <c r="AA732" i="2"/>
  <c r="AB732" i="2" s="1"/>
  <c r="AA308" i="2"/>
  <c r="AB308" i="2" s="1"/>
  <c r="AA601" i="2"/>
  <c r="AB601" i="2" s="1"/>
  <c r="AA577" i="2"/>
  <c r="AB577" i="2" s="1"/>
  <c r="AA844" i="2"/>
  <c r="AB844" i="2" s="1"/>
  <c r="AA304" i="2"/>
  <c r="AB304" i="2" s="1"/>
  <c r="AA485" i="2"/>
  <c r="AB485" i="2" s="1"/>
  <c r="AA463" i="2"/>
  <c r="AB463" i="2" s="1"/>
  <c r="AA268" i="2"/>
  <c r="AB268" i="2" s="1"/>
  <c r="AA956" i="2"/>
  <c r="AB956" i="2" s="1"/>
  <c r="AA438" i="2"/>
  <c r="AB438" i="2" s="1"/>
  <c r="AA631" i="2"/>
  <c r="AB631" i="2" s="1"/>
  <c r="AA951" i="2"/>
  <c r="AB951" i="2" s="1"/>
  <c r="AA650" i="2"/>
  <c r="AB650" i="2" s="1"/>
  <c r="AA705" i="2"/>
  <c r="AB705" i="2" s="1"/>
  <c r="AA724" i="2"/>
  <c r="AB724" i="2" s="1"/>
  <c r="AA771" i="2"/>
  <c r="AB771" i="2" s="1"/>
  <c r="AA548" i="2"/>
  <c r="AB548" i="2" s="1"/>
  <c r="AA582" i="2"/>
  <c r="AB582" i="2" s="1"/>
  <c r="AA536" i="2"/>
  <c r="AB536" i="2" s="1"/>
  <c r="AA652" i="2"/>
  <c r="AB652" i="2" s="1"/>
  <c r="AA544" i="2"/>
  <c r="AB544" i="2" s="1"/>
  <c r="AA759" i="2"/>
  <c r="AB759" i="2" s="1"/>
  <c r="AA113" i="2"/>
  <c r="AB113" i="2" s="1"/>
  <c r="AA412" i="2"/>
  <c r="AB412" i="2" s="1"/>
  <c r="AA850" i="2"/>
  <c r="AB850" i="2" s="1"/>
  <c r="AA858" i="2"/>
  <c r="AB858" i="2" s="1"/>
  <c r="AA310" i="2"/>
  <c r="AB310" i="2" s="1"/>
  <c r="AA865" i="2"/>
  <c r="AB865" i="2" s="1"/>
  <c r="AA745" i="2"/>
  <c r="AB745" i="2" s="1"/>
  <c r="AA688" i="2"/>
  <c r="AB688" i="2" s="1"/>
  <c r="AA540" i="2"/>
  <c r="AB540" i="2" s="1"/>
  <c r="AA846" i="2"/>
  <c r="AB846" i="2" s="1"/>
  <c r="AA910" i="2"/>
  <c r="AB910" i="2" s="1"/>
  <c r="AA335" i="2"/>
  <c r="AB335" i="2" s="1"/>
  <c r="AA346" i="2"/>
  <c r="AB346" i="2" s="1"/>
  <c r="AA476" i="2"/>
  <c r="AB476" i="2" s="1"/>
  <c r="AA358" i="2"/>
  <c r="AB358" i="2" s="1"/>
  <c r="AA875" i="2"/>
  <c r="AB875" i="2" s="1"/>
  <c r="AA836" i="2"/>
  <c r="AB836" i="2" s="1"/>
  <c r="AA827" i="2"/>
  <c r="AB827" i="2" s="1"/>
  <c r="AA677" i="2"/>
  <c r="AB677" i="2" s="1"/>
  <c r="AA804" i="2"/>
  <c r="AB804" i="2" s="1"/>
  <c r="AA727" i="2"/>
  <c r="AB727" i="2" s="1"/>
  <c r="AA607" i="2"/>
  <c r="AB607" i="2" s="1"/>
  <c r="AA722" i="2"/>
  <c r="AB722" i="2" s="1"/>
  <c r="AA871" i="2"/>
  <c r="AB871" i="2" s="1"/>
  <c r="AA614" i="2"/>
  <c r="AB614" i="2" s="1"/>
  <c r="AA659" i="2"/>
  <c r="AB659" i="2" s="1"/>
  <c r="AA595" i="2"/>
  <c r="AB595" i="2" s="1"/>
  <c r="AA800" i="2"/>
  <c r="AB800" i="2" s="1"/>
  <c r="AA852" i="2"/>
  <c r="AB852" i="2" s="1"/>
  <c r="AA364" i="2"/>
  <c r="AB364" i="2" s="1"/>
  <c r="AA695" i="2"/>
  <c r="AB695" i="2" s="1"/>
  <c r="AA687" i="2"/>
  <c r="AB687" i="2" s="1"/>
  <c r="AA912" i="2"/>
  <c r="AB912" i="2" s="1"/>
  <c r="AA455" i="2"/>
  <c r="AB455" i="2" s="1"/>
  <c r="AA644" i="2"/>
  <c r="AB644" i="2" s="1"/>
  <c r="AA585" i="2"/>
  <c r="AB585" i="2" s="1"/>
  <c r="AA715" i="2"/>
  <c r="AB715" i="2" s="1"/>
  <c r="AA849" i="2"/>
  <c r="AB849" i="2" s="1"/>
  <c r="AA528" i="2"/>
  <c r="AB528" i="2" s="1"/>
  <c r="AA797" i="2"/>
  <c r="AB797" i="2" s="1"/>
  <c r="AA824" i="2"/>
  <c r="AB824" i="2" s="1"/>
  <c r="AA811" i="2"/>
  <c r="AB811" i="2" s="1"/>
  <c r="AA859" i="2"/>
  <c r="AB859" i="2" s="1"/>
  <c r="AA372" i="2"/>
  <c r="AB372" i="2" s="1"/>
  <c r="AA526" i="2"/>
  <c r="AB526" i="2" s="1"/>
  <c r="AA624" i="2"/>
  <c r="AB624" i="2" s="1"/>
  <c r="AA461" i="2"/>
  <c r="AB461" i="2" s="1"/>
  <c r="AA479" i="2"/>
  <c r="AB479" i="2" s="1"/>
  <c r="AA833" i="2"/>
  <c r="AB833" i="2" s="1"/>
  <c r="AA916" i="2"/>
  <c r="AB916" i="2" s="1"/>
  <c r="AA815" i="2"/>
  <c r="AB815" i="2" s="1"/>
  <c r="AA776" i="2"/>
  <c r="AB776" i="2" s="1"/>
  <c r="AA835" i="2"/>
  <c r="AB835" i="2" s="1"/>
  <c r="AA679" i="2"/>
  <c r="AB679" i="2" s="1"/>
  <c r="AA882" i="2"/>
  <c r="AB882" i="2" s="1"/>
  <c r="AA909" i="2"/>
  <c r="AB909" i="2" s="1"/>
  <c r="AA580" i="2"/>
  <c r="AB580" i="2" s="1"/>
  <c r="AA446" i="2"/>
  <c r="AB446" i="2" s="1"/>
  <c r="AA895" i="2"/>
  <c r="AB895" i="2" s="1"/>
  <c r="AA919" i="2"/>
  <c r="AB919" i="2" s="1"/>
  <c r="AA552" i="2"/>
  <c r="AB552" i="2" s="1"/>
  <c r="AA834" i="2"/>
  <c r="AB834" i="2" s="1"/>
  <c r="AA645" i="2"/>
  <c r="AB645" i="2" s="1"/>
  <c r="AA925" i="2"/>
  <c r="AB925" i="2" s="1"/>
  <c r="AA868" i="2"/>
  <c r="AB868" i="2" s="1"/>
  <c r="AA435" i="2"/>
  <c r="AB435" i="2" s="1"/>
  <c r="AA669" i="2"/>
  <c r="AB669" i="2" s="1"/>
  <c r="AA666" i="2"/>
  <c r="AB666" i="2" s="1"/>
  <c r="AA565" i="2"/>
  <c r="AB565" i="2" s="1"/>
  <c r="AA702" i="2"/>
  <c r="AB702" i="2" s="1"/>
  <c r="AA921" i="2"/>
  <c r="AB921" i="2" s="1"/>
  <c r="AA790" i="2"/>
  <c r="AB790" i="2" s="1"/>
  <c r="AA908" i="2"/>
  <c r="AB908" i="2" s="1"/>
  <c r="AA708" i="2"/>
  <c r="AB708" i="2" s="1"/>
  <c r="AA379" i="2"/>
  <c r="AB379" i="2" s="1"/>
  <c r="AA367" i="2"/>
  <c r="AB367" i="2" s="1"/>
  <c r="AA837" i="2"/>
  <c r="AB837" i="2" s="1"/>
  <c r="AA896" i="2"/>
  <c r="AB896" i="2" s="1"/>
  <c r="AA808" i="2"/>
  <c r="AB808" i="2" s="1"/>
  <c r="AA803" i="2"/>
  <c r="AB803" i="2" s="1"/>
  <c r="AA381" i="2"/>
  <c r="AB381" i="2" s="1"/>
  <c r="AA894" i="2"/>
  <c r="AB894" i="2" s="1"/>
  <c r="AA847" i="2"/>
  <c r="AB847" i="2" s="1"/>
  <c r="AA918" i="2"/>
  <c r="AB918" i="2" s="1"/>
  <c r="AA816" i="2"/>
  <c r="AB816" i="2" s="1"/>
  <c r="AA856" i="2"/>
  <c r="AB856" i="2" s="1"/>
  <c r="AA639" i="2"/>
  <c r="AB639" i="2" s="1"/>
  <c r="AA693" i="2"/>
  <c r="AB693" i="2" s="1"/>
  <c r="AA841" i="2"/>
  <c r="AB841" i="2" s="1"/>
  <c r="AA794" i="2"/>
  <c r="AB794" i="2" s="1"/>
  <c r="AA830" i="2"/>
  <c r="AB830" i="2" s="1"/>
  <c r="AA857" i="2"/>
  <c r="AB857" i="2" s="1"/>
  <c r="AA881" i="2"/>
  <c r="AB881" i="2" s="1"/>
  <c r="AA845" i="2"/>
  <c r="AB845" i="2" s="1"/>
  <c r="AA890" i="2"/>
  <c r="AB890" i="2" s="1"/>
  <c r="AA938" i="2"/>
  <c r="AB938" i="2" s="1"/>
  <c r="AA390" i="2"/>
  <c r="AB390" i="2" s="1"/>
  <c r="AA950" i="2"/>
  <c r="AB950" i="2" s="1"/>
  <c r="AA940" i="2"/>
  <c r="AB940" i="2" s="1"/>
  <c r="AA826" i="2"/>
  <c r="AB826" i="2" s="1"/>
  <c r="AA507" i="2"/>
  <c r="AB507" i="2" s="1"/>
  <c r="AA716" i="2"/>
  <c r="AB716" i="2" s="1"/>
  <c r="AA825" i="2"/>
  <c r="AB825" i="2" s="1"/>
  <c r="AA822" i="2"/>
  <c r="AB822" i="2" s="1"/>
  <c r="AA943" i="2"/>
  <c r="AB943" i="2" s="1"/>
  <c r="AA813" i="2"/>
  <c r="AB813" i="2" s="1"/>
  <c r="AA482" i="2"/>
  <c r="AB482" i="2" s="1"/>
  <c r="AA671" i="2"/>
  <c r="AB671" i="2" s="1"/>
  <c r="AA947" i="2"/>
  <c r="AB947" i="2" s="1"/>
  <c r="AA957" i="2"/>
  <c r="AB957" i="2" s="1"/>
  <c r="AA923" i="2"/>
  <c r="AB923" i="2" s="1"/>
  <c r="AA854" i="2"/>
  <c r="AB854" i="2" s="1"/>
  <c r="AA578" i="2"/>
  <c r="AB578" i="2" s="1"/>
  <c r="AA902" i="2"/>
  <c r="AB902" i="2" s="1"/>
  <c r="AA934" i="2"/>
  <c r="AB934" i="2" s="1"/>
  <c r="AA840" i="2"/>
  <c r="AB840" i="2" s="1"/>
  <c r="AA861" i="2"/>
  <c r="AB861" i="2" s="1"/>
  <c r="AA853" i="2"/>
  <c r="AB853" i="2" s="1"/>
  <c r="AA866" i="2"/>
  <c r="AB866" i="2" s="1"/>
  <c r="AA530" i="2"/>
  <c r="AB530" i="2" s="1"/>
  <c r="AA765" i="2"/>
  <c r="AB765" i="2" s="1"/>
  <c r="AA778" i="2"/>
  <c r="AB778" i="2" s="1"/>
  <c r="AA763" i="2"/>
  <c r="AB763" i="2" s="1"/>
  <c r="AA955" i="2"/>
  <c r="AB955" i="2" s="1"/>
  <c r="AA694" i="2"/>
  <c r="AB694" i="2" s="1"/>
  <c r="AA877" i="2"/>
  <c r="AB877" i="2" s="1"/>
  <c r="AA699" i="2"/>
  <c r="AB699" i="2" s="1"/>
  <c r="AA862" i="2"/>
  <c r="AB862" i="2" s="1"/>
  <c r="AA952" i="2"/>
  <c r="AB952" i="2" s="1"/>
  <c r="AA941" i="2"/>
  <c r="AB941" i="2" s="1"/>
  <c r="AA756" i="2"/>
  <c r="AB756" i="2" s="1"/>
  <c r="AA789" i="2"/>
  <c r="AB789" i="2" s="1"/>
  <c r="AA863" i="2"/>
  <c r="AB863" i="2" s="1"/>
  <c r="AA750" i="2"/>
  <c r="AB750" i="2" s="1"/>
  <c r="AA968" i="2"/>
  <c r="AB968" i="2" s="1"/>
  <c r="AA786" i="2"/>
  <c r="AB786" i="2" s="1"/>
  <c r="AA814" i="2"/>
  <c r="AB814" i="2" s="1"/>
  <c r="AA888" i="2"/>
  <c r="AB888" i="2" s="1"/>
  <c r="AA932" i="2"/>
  <c r="AB932" i="2" s="1"/>
  <c r="AA949" i="2"/>
  <c r="AB949" i="2" s="1"/>
  <c r="AA971" i="2"/>
  <c r="AB971" i="2" s="1"/>
  <c r="AA930" i="2"/>
  <c r="AB930" i="2" s="1"/>
  <c r="AA683" i="2"/>
  <c r="AB683" i="2" s="1"/>
  <c r="AA777" i="2"/>
  <c r="AB777" i="2" s="1"/>
  <c r="AA899" i="2"/>
  <c r="AB899" i="2" s="1"/>
  <c r="AA603" i="2"/>
  <c r="AB603" i="2" s="1"/>
  <c r="AA922" i="2"/>
  <c r="AB922" i="2" s="1"/>
  <c r="AA927" i="2"/>
  <c r="AB927" i="2" s="1"/>
  <c r="AA773" i="2"/>
  <c r="AB773" i="2" s="1"/>
  <c r="AA820" i="2"/>
  <c r="AB820" i="2" s="1"/>
  <c r="AA737" i="2"/>
  <c r="AB737" i="2" s="1"/>
  <c r="AA870" i="2"/>
  <c r="AB870" i="2" s="1"/>
  <c r="AA944" i="2"/>
  <c r="AB944" i="2" s="1"/>
  <c r="AA427" i="2"/>
  <c r="AB427" i="2" s="1"/>
  <c r="AA817" i="2"/>
  <c r="AB817" i="2" s="1"/>
  <c r="AA884" i="2"/>
  <c r="AB884" i="2" s="1"/>
  <c r="AA812" i="2"/>
  <c r="AB812" i="2" s="1"/>
  <c r="AA915" i="2"/>
  <c r="AB915" i="2" s="1"/>
  <c r="AA805" i="2"/>
  <c r="AB805" i="2" s="1"/>
  <c r="AA879" i="2"/>
  <c r="AB879" i="2" s="1"/>
  <c r="AA933" i="2"/>
  <c r="AB933" i="2" s="1"/>
  <c r="AA878" i="2"/>
  <c r="AB878" i="2" s="1"/>
  <c r="AA839" i="2"/>
  <c r="AB839" i="2" s="1"/>
  <c r="AA898" i="2"/>
  <c r="AB898" i="2" s="1"/>
  <c r="AA723" i="2"/>
  <c r="AB723" i="2" s="1"/>
  <c r="AA970" i="2"/>
  <c r="AB970" i="2" s="1"/>
  <c r="AA942" i="2"/>
  <c r="AB942" i="2" s="1"/>
  <c r="AA821" i="2"/>
  <c r="AB821" i="2" s="1"/>
  <c r="AA749" i="2"/>
  <c r="AB749" i="2" s="1"/>
  <c r="AA864" i="2"/>
  <c r="AB864" i="2" s="1"/>
  <c r="AA842" i="2"/>
  <c r="AB842" i="2" s="1"/>
  <c r="AA867" i="2"/>
  <c r="AB867" i="2" s="1"/>
  <c r="AA891" i="2"/>
  <c r="AB891" i="2" s="1"/>
  <c r="AA649" i="2"/>
  <c r="AB649" i="2" s="1"/>
  <c r="AA914" i="2"/>
  <c r="AB914" i="2" s="1"/>
  <c r="AA907" i="2"/>
  <c r="AB907" i="2" s="1"/>
  <c r="AA886" i="2"/>
  <c r="AB886" i="2" s="1"/>
  <c r="AA903" i="2"/>
  <c r="AB903" i="2" s="1"/>
  <c r="AA478" i="2"/>
  <c r="AB478" i="2" s="1"/>
  <c r="AA873" i="2"/>
  <c r="AB873" i="2" s="1"/>
  <c r="AA961" i="2"/>
  <c r="AB961" i="2" s="1"/>
  <c r="AA855" i="2"/>
  <c r="AB855" i="2" s="1"/>
  <c r="AA721" i="2"/>
  <c r="AB721" i="2" s="1"/>
  <c r="AA781" i="2"/>
  <c r="AB781" i="2" s="1"/>
  <c r="AA987" i="2"/>
  <c r="AB987" i="2" s="1"/>
  <c r="AA972" i="2"/>
  <c r="AB972" i="2" s="1"/>
  <c r="AA701" i="2"/>
  <c r="AB701" i="2" s="1"/>
  <c r="AA823" i="2"/>
  <c r="AB823" i="2" s="1"/>
  <c r="AA757" i="2"/>
  <c r="AB757" i="2" s="1"/>
  <c r="AA901" i="2"/>
  <c r="AB901" i="2" s="1"/>
  <c r="AA555" i="2"/>
  <c r="AB555" i="2" s="1"/>
  <c r="AA939" i="2"/>
  <c r="AB939" i="2" s="1"/>
  <c r="AA893" i="2"/>
  <c r="AB893" i="2" s="1"/>
  <c r="AA945" i="2"/>
  <c r="AB945" i="2" s="1"/>
  <c r="AA978" i="2"/>
  <c r="AB978" i="2" s="1"/>
  <c r="AA547" i="2"/>
  <c r="AB547" i="2" s="1"/>
  <c r="AA986" i="2"/>
  <c r="AB986" i="2" s="1"/>
  <c r="AA215" i="2"/>
  <c r="AB215" i="2" s="1"/>
  <c r="AA885" i="2"/>
  <c r="AB885" i="2" s="1"/>
  <c r="AA963" i="2"/>
  <c r="AB963" i="2" s="1"/>
  <c r="AA931" i="2"/>
  <c r="AB931" i="2" s="1"/>
  <c r="AA958" i="2"/>
  <c r="AB958" i="2" s="1"/>
  <c r="AA828" i="2"/>
  <c r="AB828" i="2" s="1"/>
  <c r="AA988" i="2"/>
  <c r="AB988" i="2" s="1"/>
  <c r="AA658" i="2"/>
  <c r="AB658" i="2" s="1"/>
  <c r="AA785" i="2"/>
  <c r="AB785" i="2" s="1"/>
  <c r="AA904" i="2"/>
  <c r="AB904" i="2" s="1"/>
  <c r="AA926" i="2"/>
  <c r="AB926" i="2" s="1"/>
  <c r="AA913" i="2"/>
  <c r="AB913" i="2" s="1"/>
  <c r="AA989" i="2"/>
  <c r="AB989" i="2" s="1"/>
  <c r="AA991" i="2"/>
  <c r="AB991" i="2" s="1"/>
  <c r="AA806" i="2"/>
  <c r="AB806" i="2" s="1"/>
  <c r="AA725" i="2"/>
  <c r="AB725" i="2" s="1"/>
  <c r="AA635" i="2"/>
  <c r="AB635" i="2" s="1"/>
  <c r="AA946" i="2"/>
  <c r="AB946" i="2" s="1"/>
  <c r="AA883" i="2"/>
  <c r="AB883" i="2" s="1"/>
  <c r="AA959" i="2"/>
  <c r="AB959" i="2" s="1"/>
  <c r="AA954" i="2"/>
  <c r="AB954" i="2" s="1"/>
  <c r="AA977" i="2"/>
  <c r="AB977" i="2" s="1"/>
  <c r="AA994" i="2"/>
  <c r="AB994" i="2" s="1"/>
  <c r="AA984" i="2"/>
  <c r="AB984" i="2" s="1"/>
  <c r="AA887" i="2"/>
  <c r="AB887" i="2" s="1"/>
  <c r="AA974" i="2"/>
  <c r="AB974" i="2" s="1"/>
  <c r="AA953" i="2"/>
  <c r="AB953" i="2" s="1"/>
  <c r="AA960" i="2"/>
  <c r="AB960" i="2" s="1"/>
  <c r="AA948" i="2"/>
  <c r="AB948" i="2" s="1"/>
  <c r="AA965" i="2"/>
  <c r="AB965" i="2" s="1"/>
  <c r="AA964" i="2"/>
  <c r="AB964" i="2" s="1"/>
  <c r="AA993" i="2"/>
  <c r="AB993" i="2" s="1"/>
  <c r="AA646" i="2"/>
  <c r="AB646" i="2" s="1"/>
  <c r="AA905" i="2"/>
  <c r="AB905" i="2" s="1"/>
  <c r="AA735" i="2"/>
  <c r="AB735" i="2" s="1"/>
  <c r="AA973" i="2"/>
  <c r="AB973" i="2" s="1"/>
  <c r="AA451" i="2"/>
  <c r="AB451" i="2" s="1"/>
  <c r="AA707" i="2"/>
  <c r="AB707" i="2" s="1"/>
  <c r="AA928" i="2"/>
  <c r="AB928" i="2" s="1"/>
  <c r="AA906" i="2"/>
  <c r="AB906" i="2" s="1"/>
  <c r="AA969" i="2"/>
  <c r="AB969" i="2" s="1"/>
  <c r="AA995" i="2"/>
  <c r="AB995" i="2" s="1"/>
  <c r="AA880" i="2"/>
  <c r="AB880" i="2" s="1"/>
  <c r="AA869" i="2"/>
  <c r="AB869" i="2" s="1"/>
  <c r="AA920" i="2"/>
  <c r="AB920" i="2" s="1"/>
  <c r="AA935" i="2"/>
  <c r="AB935" i="2" s="1"/>
  <c r="AA976" i="2"/>
  <c r="AB976" i="2" s="1"/>
  <c r="AA980" i="2"/>
  <c r="AB980" i="2" s="1"/>
  <c r="AA889" i="2"/>
  <c r="AB889" i="2" s="1"/>
  <c r="AA829" i="2"/>
  <c r="AB829" i="2" s="1"/>
  <c r="AA838" i="2"/>
  <c r="AB838" i="2" s="1"/>
  <c r="AA625" i="2"/>
  <c r="AB625" i="2" s="1"/>
  <c r="AA747" i="2"/>
  <c r="AB747" i="2" s="1"/>
  <c r="AA897" i="2"/>
  <c r="AB897" i="2" s="1"/>
  <c r="AA929" i="2"/>
  <c r="AB929" i="2" s="1"/>
  <c r="AA985" i="2"/>
  <c r="AB985" i="2" s="1"/>
  <c r="AA872" i="2"/>
  <c r="AB872" i="2" s="1"/>
  <c r="AA656" i="2"/>
  <c r="AB656" i="2" s="1"/>
  <c r="AA832" i="2"/>
  <c r="AB832" i="2" s="1"/>
  <c r="AA983" i="2"/>
  <c r="AB983" i="2" s="1"/>
  <c r="AA874" i="2"/>
  <c r="AB874" i="2" s="1"/>
  <c r="AA981" i="2"/>
  <c r="AB981" i="2" s="1"/>
  <c r="AA780" i="2"/>
  <c r="AB780" i="2" s="1"/>
  <c r="AA966" i="2"/>
  <c r="AB966" i="2" s="1"/>
  <c r="AA992" i="2"/>
  <c r="AB992" i="2" s="1"/>
  <c r="AA1001" i="2"/>
  <c r="AB1001" i="2" s="1"/>
  <c r="AA990" i="2"/>
  <c r="AB990" i="2" s="1"/>
  <c r="AA1000" i="2"/>
  <c r="AB1000" i="2" s="1"/>
  <c r="AA911" i="2"/>
  <c r="AB911" i="2" s="1"/>
  <c r="AA892" i="2"/>
  <c r="AB892" i="2" s="1"/>
  <c r="AA924" i="2"/>
  <c r="AB924" i="2" s="1"/>
  <c r="AA936" i="2"/>
  <c r="AB936" i="2" s="1"/>
  <c r="AA917" i="2"/>
  <c r="AB917" i="2" s="1"/>
  <c r="AA975" i="2"/>
  <c r="AB975" i="2" s="1"/>
  <c r="AA982" i="2"/>
  <c r="AB982" i="2" s="1"/>
  <c r="AA848" i="2"/>
  <c r="AB848" i="2" s="1"/>
  <c r="AA979" i="2"/>
  <c r="AB979" i="2" s="1"/>
  <c r="AA997" i="2"/>
  <c r="AB997" i="2" s="1"/>
  <c r="AA937" i="2"/>
  <c r="AB937" i="2" s="1"/>
  <c r="AA132" i="2"/>
  <c r="AB132" i="2" s="1"/>
  <c r="AA818" i="2"/>
  <c r="AB818" i="2" s="1"/>
  <c r="AA696" i="2"/>
  <c r="AB696" i="2" s="1"/>
  <c r="AA998" i="2"/>
  <c r="AB998" i="2" s="1"/>
  <c r="AA494" i="2"/>
  <c r="AB494" i="2" s="1"/>
  <c r="AA999" i="2"/>
  <c r="AB999" i="2" s="1"/>
  <c r="AA493" i="2"/>
  <c r="AB493" i="2" s="1"/>
  <c r="AA175" i="2"/>
  <c r="AB175" i="2" s="1"/>
  <c r="AA876" i="2"/>
  <c r="AB876" i="2" s="1"/>
  <c r="AA996" i="2"/>
  <c r="AB996" i="2" s="1"/>
  <c r="AB15" i="2" l="1"/>
  <c r="B7" i="1"/>
  <c r="B9" i="1" s="1"/>
  <c r="B10" i="1" l="1"/>
  <c r="B11" i="1"/>
  <c r="B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FC89C0-F25C-4412-A7AD-423A8098E088}" keepAlive="1" name="Query - Twitter- datasets" description="Connection to the 'Twitter- datasets' query in the workbook." type="5" refreshedVersion="8" background="1" saveData="1">
    <dbPr connection="Provider=Microsoft.Mashup.OleDb.1;Data Source=$Workbook$;Location=&quot;Twitter- datasets&quot;;Extended Properties=&quot;&quot;" command="SELECT * FROM [Twitter- datasets]"/>
  </connection>
  <connection id="2" xr16:uid="{1042C3E3-31C0-4AE1-A462-9E80452188A6}" keepAlive="1" name="Query - Twitter- datasets (2)" description="Connection to the 'Twitter- datasets (2)' query in the workbook." type="5" refreshedVersion="8" background="1" saveData="1">
    <dbPr connection="Provider=Microsoft.Mashup.OleDb.1;Data Source=$Workbook$;Location=&quot;Twitter- datasets (2)&quot;;Extended Properties=&quot;&quot;" command="SELECT * FROM [Twitter- datasets (2)]"/>
  </connection>
</connections>
</file>

<file path=xl/sharedStrings.xml><?xml version="1.0" encoding="utf-8"?>
<sst xmlns="http://schemas.openxmlformats.org/spreadsheetml/2006/main" count="30198" uniqueCount="5362">
  <si>
    <t>id</t>
  </si>
  <si>
    <t>user_posted</t>
  </si>
  <si>
    <t>name</t>
  </si>
  <si>
    <t>description</t>
  </si>
  <si>
    <t>date_posted</t>
  </si>
  <si>
    <t>photos</t>
  </si>
  <si>
    <t>url</t>
  </si>
  <si>
    <t>tagged_users</t>
  </si>
  <si>
    <t>replies</t>
  </si>
  <si>
    <t>reposts</t>
  </si>
  <si>
    <t>likes</t>
  </si>
  <si>
    <t>views</t>
  </si>
  <si>
    <t>external_url</t>
  </si>
  <si>
    <t>hashtags</t>
  </si>
  <si>
    <t>followers</t>
  </si>
  <si>
    <t>biography</t>
  </si>
  <si>
    <t>posts_count</t>
  </si>
  <si>
    <t>profile_image_link</t>
  </si>
  <si>
    <t>following</t>
  </si>
  <si>
    <t>is_verified</t>
  </si>
  <si>
    <t>quotes</t>
  </si>
  <si>
    <t>bookmarks</t>
  </si>
  <si>
    <t>parent_post_details</t>
  </si>
  <si>
    <t>external_image_urls</t>
  </si>
  <si>
    <t>videos</t>
  </si>
  <si>
    <t>quoted_post</t>
  </si>
  <si>
    <t>Glo███ews███</t>
  </si>
  <si>
    <t>Com o fim da ditadura Assad, muitos sírios consideram voltar para casa. 12 milhões fugiram desde o início da guerra civil, há 13 anos. Países europeus estão revendo políticas de refúgio a sírios.
➡ Assista à #GloboNews:</t>
  </si>
  <si>
    <t>"2024-12-15T22:51:08.000Z"</t>
  </si>
  <si>
    <t>null</t>
  </si>
  <si>
    <t>https://x.com/GloboNews/status/1868428607451799983</t>
  </si>
  <si>
    <t>http://glo.bo/39WjXAu</t>
  </si>
  <si>
    <t>["GloboNews","GloboNewsInternacional"]</t>
  </si>
  <si>
    <t>Nunca desliga</t>
  </si>
  <si>
    <t>https://pbs.twimg.com/profile_images/1559102712435933185/mYnEVnNs_normal.jpg</t>
  </si>
  <si>
    <t>{"post_id":null,"profile_id":null,"profile_name":null}</t>
  </si>
  <si>
    <t>[{"duration":148167,"video_url":"https://video.twimg.com/amplify_video/1868428486072754176/vid/avc1/1920x1080/mbs1ZCAD9yOxeEoe.mp4?tag=16"}]</t>
  </si>
  <si>
    <t>{"data_posted":null,"description":null,"photos":null,"post_id":null,"profile_id":null,"profile_name":null,"url":null,"videos":null}</t>
  </si>
  <si>
    <t>bil███ard███</t>
  </si>
  <si>
    <t>Brian Austin Green Tells MGK to ‘Grow Up’ After Musician’s Split From Megan Fox: ‘She’s Pregnant’</t>
  </si>
  <si>
    <t>"2024-12-15T05:00:11.000Z"</t>
  </si>
  <si>
    <t>https://x.com/billboard/status/1868159094567121215</t>
  </si>
  <si>
    <t>https://www.billboard.com/music/music-news/brian-austin-green-reacts-megan-fox-machine-gun-kelly-split-1235856363/?utm_campaign=trueanthem&amp;utm_medium=social&amp;utm_source=twitter</t>
  </si>
  <si>
    <t>@billboardcharts • @billboardhiphop • @billboardlatin • @billboardfamily • @billboardpro • @shopbillboard • @billboarddance • @billboardpride</t>
  </si>
  <si>
    <t>https://pbs.twimg.com/profile_images/1696577202496966657/FhNkxqHF_normal.jpg</t>
  </si>
  <si>
    <t>["https://pbs.twimg.com/card_img/1867636129563860992/-o2NDovA?format=jpg&amp;name=orig"]</t>
  </si>
  <si>
    <t>TNT███rts███</t>
  </si>
  <si>
    <t>TNT███ort███R</t>
  </si>
  <si>
    <t>VENCE O PSG NO CLÁSSICO! 💪🇫🇷 Nossa @claalbuquerque traz os detalhes de mais um triunfo do time da capital, dessa vez contra o Lyon, pela #Ligue1 e destaca a atuação de uma jovem promessa da equipe comandada por Luis Enrique!</t>
  </si>
  <si>
    <t>"2024-12-16T00:22:14.000Z"</t>
  </si>
  <si>
    <t>https://x.com/TNTSportsBR/status/1868451534708883739</t>
  </si>
  <si>
    <t>[{"biography":null,"followers":null,"following":null,"is_verified":null,"profile_id":"29627623","profile_name":"Clara Albuquerque","url":"https://x.com/claalbuquerque"}]</t>
  </si>
  <si>
    <t/>
  </si>
  <si>
    <t>["Ligue1"]</t>
  </si>
  <si>
    <t>⚽️ É muito mais Champions na Max, com TODOS os jogos ao vivo!
👇🏻Assine e assista clicando no link👇🏻</t>
  </si>
  <si>
    <t>https://pbs.twimg.com/profile_images/1807013047975768065/8sm_IGpw_normal.jpg</t>
  </si>
  <si>
    <t>[{"duration":94861,"video_url":"https://video.twimg.com/ext_tw_video/1868451336020205569/pu/vid/avc1/720x1280/tW3zs5KZmhVY4hfX.mp4?tag=12"}]</t>
  </si>
  <si>
    <t>ÍDOLO E AGORA PRESIDENTE! 🇦🇷🇦🇷 O ex-atacante Diego Milito foi confirmado como novo presidente do Racing!
🗞️ @TNTSportsAR</t>
  </si>
  <si>
    <t>"2024-12-15T23:41:54.000Z"</t>
  </si>
  <si>
    <t>["https://pbs.twimg.com/media/Ge4JhOgXcAAQy5K.jpg"]</t>
  </si>
  <si>
    <t>https://x.com/TNTSportsBR/status/1868441382022717466</t>
  </si>
  <si>
    <t>[{"biography":null,"followers":null,"following":null,"is_verified":null,"profile_id":"854784383982723072","profile_name":"TNT Sports Argentina","url":"https://x.com/TNTSportsAR"}]</t>
  </si>
  <si>
    <t>.@DanielaLima_ : cirurgia de Lula travou negociações para reforma ministerial, que ficou para início de 2025.
➡ Assista à #GloboNews:</t>
  </si>
  <si>
    <t>"2024-12-15T22:10:01.000Z"</t>
  </si>
  <si>
    <t>https://x.com/GloboNews/status/1868418260892565925</t>
  </si>
  <si>
    <t>[{"biography":null,"followers":null,"following":null,"is_verified":null,"profile_id":"67743025","profile_name":"Daniela Lima","url":"https://x.com/DanielaLima_"}]</t>
  </si>
  <si>
    <t>["GloboNews","EspecialDeDomingo"]</t>
  </si>
  <si>
    <t>[{"duration":127067,"video_url":"https://video.twimg.com/amplify_video/1868416595443257344/vid/avc1/1920x1080/j3wvrSbeafwli783.mp4?tag=16"}]</t>
  </si>
  <si>
    <t>Começou hoje a segunda fase da Fuvest, vestibular que define os estudantes aprovados para estudar na USP.
➡ Assista à #GloboNews:</t>
  </si>
  <si>
    <t>"2024-12-15T19:41:41.000Z"</t>
  </si>
  <si>
    <t>https://x.com/GloboNews/status/1868380932962418758</t>
  </si>
  <si>
    <t>["GloboNews"]</t>
  </si>
  <si>
    <t>[{"duration":110434,"video_url":"https://video.twimg.com/amplify_video/1868380820777406464/vid/avc1/1920x1080/e1o7uUreqVAr9UwC.mp4?tag=16"}]</t>
  </si>
  <si>
    <t>Taylor Swift’s ‘The Tortured Poets Department’ Logs 17th Week at No. 1 on Billboard 200</t>
  </si>
  <si>
    <t>"2024-12-15T20:02:02.000Z"</t>
  </si>
  <si>
    <t>https://x.com/billboard/status/1868386052634784163</t>
  </si>
  <si>
    <t>https://www.billboard.com/music/chart-beat/taylor-swift-tortured-poets-department-17th-week-number-one-billboard-200-chart-1235857250/?taid=675f35ba474c59000133b642&amp;utm_campaign=trueanthem&amp;utm_medium=social&amp;utm_source=twitter</t>
  </si>
  <si>
    <t>["https://pbs.twimg.com/card_img/1868069417310994432/YvDeRYWS?format=jpg&amp;name=orig"]</t>
  </si>
  <si>
    <t>As atrizes Fernanda Torres e Fernanda Montenegro são destaque em uma matéria do New York Times. O jornal fala sobre a chance de Oscar de "Ainda estou aqui", primeiro filme original do Globoplay.
➡ Assista à #GloboNews:</t>
  </si>
  <si>
    <t>"2024-12-15T18:26:30.000Z"</t>
  </si>
  <si>
    <t>https://x.com/GloboNews/status/1868362011253301608</t>
  </si>
  <si>
    <t>[{"duration":106800,"video_url":"https://video.twimg.com/amplify_video/1868361928646471681/vid/avc1/1920x1080/hnvWgqAh9MVLH_Gq.mp4?tag=16"}]</t>
  </si>
  <si>
    <t>Blink-182’s Tom DeLonge Shares His Theory on New Jersey Drone Sightings</t>
  </si>
  <si>
    <t>"2024-12-16T00:30:11.000Z"</t>
  </si>
  <si>
    <t>https://x.com/billboard/status/1868453532929552384</t>
  </si>
  <si>
    <t>https://www.billboard.com/music/music-news/blink-182-tom-delonge-new-jersey-drone-sightings-reaction-1235857206/?utm_campaign=trueanthem&amp;utm_medium=social&amp;utm_source=twitter</t>
  </si>
  <si>
    <t>["https://pbs.twimg.com/card_img/1867120836962029568/-16tEbpB?format=jpg&amp;name=orig"]</t>
  </si>
  <si>
    <t>Taylor Swift’s Birthday Gift to Fans: A Quiet Release of These Behind-the-Scenes Videos</t>
  </si>
  <si>
    <t>"2024-12-15T23:00:21.000Z"</t>
  </si>
  <si>
    <t>https://x.com/billboard/status/1868430929389105388</t>
  </si>
  <si>
    <t>https://www.billboard.com/music/pop/taylor-swift-birthday-35-behind-the-scenes-videos-eras-archive-1235857085/?utm_campaign=trueanthem&amp;utm_medium=social&amp;utm_source=twitter</t>
  </si>
  <si>
    <t>["https://pbs.twimg.com/card_img/1868023434690625537/BTGXSVLl?format=jpg&amp;name=orig"]</t>
  </si>
  <si>
    <t>SEVENTEEN Talk BBMAs Performance, DJ Khaled Collab &amp;amp; More | Billboard Music Awards 2024</t>
  </si>
  <si>
    <t>"2024-12-15T00:00:41.000Z"</t>
  </si>
  <si>
    <t>https://x.com/billboard/status/1868083722471235914</t>
  </si>
  <si>
    <t>https://www.billboard.com/video/seventeen-talk-bbmas-performance-dj-khaled-collab-and-more/?utm_campaign=trueanthem&amp;utm_medium=social&amp;utm_source=twitter</t>
  </si>
  <si>
    <t>["https://pbs.twimg.com/card_img/1867345602104934400/ZjPjmjvb?format=jpg&amp;name=orig"]</t>
  </si>
  <si>
    <t>SEVENTEEN on How They Feel About Being on the Billboard Charts, How Much CARATs Mean to Them | Billboard Music Awards 2024</t>
  </si>
  <si>
    <t>"2024-12-15T02:30:18.000Z"</t>
  </si>
  <si>
    <t>https://x.com/billboard/status/1868121373425516847</t>
  </si>
  <si>
    <t>https://www.billboard.com/video/seventeen-how-much-carats-mean-billboard-music-awards-2024-interview/?utm_campaign=trueanthem&amp;utm_medium=social&amp;utm_source=twitter</t>
  </si>
  <si>
    <t>["https://pbs.twimg.com/card_img/1867346570292699136/jbNGlz9A?format=jpg&amp;name=orig"]</t>
  </si>
  <si>
    <t>"Esse caminho que chegou no Braga Netto agora foi a questão da grana", diz Eliane Cantanhêde.
➡ Assista à #GloboNews:</t>
  </si>
  <si>
    <t>"2024-12-15T21:27:57.000Z"</t>
  </si>
  <si>
    <t>https://x.com/GloboNews/status/1868407672376058098</t>
  </si>
  <si>
    <t>[{"duration":248834,"video_url":"https://video.twimg.com/amplify_video/1868407497276469248/vid/avc1/1920x1080/ZrgZHW8bVtkU4Tbv.mp4?tag=16"}]</t>
  </si>
  <si>
    <t>O Ministério da Defesa anunciou que mulheres que completarem 18 anos em 2025 poderão fazer o alistamento militar voluntário. Ao todo, serão 1,5 mil vagas entre Exército, Marinha e Aeronáutica.
➡ Assista à #GloboNews:</t>
  </si>
  <si>
    <t>"2024-12-15T19:52:15.000Z"</t>
  </si>
  <si>
    <t>https://x.com/GloboNews/status/1868383589420707992</t>
  </si>
  <si>
    <t>[{"duration":122267,"video_url":"https://video.twimg.com/amplify_video/1868383493664698368/vid/avc1/1920x1080/kqIMqEyJb103tJAG.mp4?tag=16"}]</t>
  </si>
  <si>
    <t>Lula teve alta neste domingo (15). O presidente estava internado desde segunda (9) em São Paulo, onde passou por uma cirurgia para drenar um hematoma na cabeça — ainda em decorrência da queda que sofreu em casa, em outubro.
➡ Assista à #GloboNews:</t>
  </si>
  <si>
    <t>"2024-12-15T17:47:29.000Z"</t>
  </si>
  <si>
    <t>https://x.com/GloboNews/status/1868352193499197494</t>
  </si>
  <si>
    <t>[{"duration":73134,"video_url":"https://video.twimg.com/amplify_video/1868352125371043840/vid/avc1/1920x1080/yrKgWlcZ7NWjt33j.mp4?tag=16"}]</t>
  </si>
  <si>
    <t>Stray Kids Accepts the Top Global K-Pop Artist | Billboard Music Awards 2024</t>
  </si>
  <si>
    <t>"2024-12-15T02:00:11.000Z"</t>
  </si>
  <si>
    <t>https://x.com/billboard/status/1868113795878461891</t>
  </si>
  <si>
    <t>https://www.billboard.com/video/stray-kids-accepts-billboard-music-awards-top-global-k-pop-artist/?utm_campaign=trueanthem&amp;utm_medium=social&amp;utm_source=twitter</t>
  </si>
  <si>
    <t>["https://pbs.twimg.com/card_img/1867403483823190019/FKkzMoHu?format=jpg&amp;name=orig"]</t>
  </si>
  <si>
    <t>TEMOS UMA BRIGA POR TÍTULO NA ESPANHA? 👀🇪🇸 Com a derrota do Barcelona para o Leganés, os blaugranas perderam a gordura que tinham no topo da tabela e agora Real e Atlético encostaram! Nosso @marcelobechler analisou o resultado e o momento do Barça! 🔵🔴 #LaLiga</t>
  </si>
  <si>
    <t>"2024-12-16T01:08:22.000Z"</t>
  </si>
  <si>
    <t>https://x.com/TNTSportsBR/status/1868463142856180087</t>
  </si>
  <si>
    <t>[{"biography":null,"followers":null,"following":null,"is_verified":null,"profile_id":"1117661756145512448","profile_name":"Machado","url":"https://x.com/marcelobechler"}]</t>
  </si>
  <si>
    <t>["LaLiga"]</t>
  </si>
  <si>
    <t>[{"duration":97330,"video_url":"https://video.twimg.com/ext_tw_video/1868462982113513472/pu/vid/avc1/720x1280/zNVx6Wj2WQaJr_mK.mp4?tag=12"}]</t>
  </si>
  <si>
    <t>FOI UMA HONRA, IMPERADOR! 👏👏👏
Hoje o Adriano Imperador se despediu dos gramados em um jogo comemorativo no Maracanã! Que carreira fod@, com passagem por quatro clubes no Brasil e grande destaque na Internazionale e na #SeleçãoBrasileira!</t>
  </si>
  <si>
    <t>"2024-12-15T22:22:15.000Z"</t>
  </si>
  <si>
    <t>["https://pbs.twimg.com/media/Ge33TDEX0AAfgjZ.jpg"]</t>
  </si>
  <si>
    <t>https://x.com/TNTSportsBR/status/1868421338333077960</t>
  </si>
  <si>
    <t>["SeleçãoBrasileira"]</t>
  </si>
  <si>
    <t>Milhões de sírios deixaram o país devido à guerra e agora não sabem mais se vão poder permanecer na Europa — onde países estão revendo políticas de refúgio — ou se podem retornar em segurança para Síria.
➡ Assista à #GloboNews:</t>
  </si>
  <si>
    <t>"2024-12-15T22:56:32.000Z"</t>
  </si>
  <si>
    <t>https://x.com/GloboNews/status/1868429967177957452</t>
  </si>
  <si>
    <t>[{"duration":78067,"video_url":"https://video.twimg.com/amplify_video/1868429881698107392/vid/avc1/1920x1080/roA3wcViAOLzJ39p.mp4?tag=16"}]</t>
  </si>
  <si>
    <t>O #EspecialDeDomingo está no ar.
➡ Assista à #GloboNews:</t>
  </si>
  <si>
    <t>"2024-12-15T21:02:24.000Z"</t>
  </si>
  <si>
    <t>https://x.com/GloboNews/status/1868401245876085034</t>
  </si>
  <si>
    <t>["EspecialDeDomingo","GloboNews"]</t>
  </si>
  <si>
    <t>[{"duration":70467,"video_url":"https://video.twimg.com/amplify_video/1868401155937574912/vid/avc1/1920x1080/_ijsMhcQlUdXoCVs.mp4?tag=16"}]</t>
  </si>
  <si>
    <t>MUITA DIFERENÇA ENTRE OS CAMPEÕES! 😱💰 
Enquanto o Botafogo recebeu um prêmio de cerca de R$ 48 milhões pelo título do Brasileirão Betano, o Vélez foi campeão argentino e levou 500 mil dólares, cerca de R$ 3 milhões na conversão atual. #BrasileirãoBetano</t>
  </si>
  <si>
    <t>"2024-12-16T01:30:36.000Z"</t>
  </si>
  <si>
    <t>["https://pbs.twimg.com/media/Ge4iaGGWAAAVySv.jpg"]</t>
  </si>
  <si>
    <t>https://x.com/TNTSportsBR/status/1868468740171673945</t>
  </si>
  <si>
    <t>["BrasileirãoBetano"]</t>
  </si>
  <si>
    <t>O BOCA JUNIORS ESTARÁ NA LIBERTADORES 2025! 🔵🟡
Depois de ficar fora da #Libertadores2024, o Boca conseguiu a classificação para a edição 2025 depois do título do Vélez, no Campeonato Argentino.</t>
  </si>
  <si>
    <t>"2024-12-16T00:30:13.000Z"</t>
  </si>
  <si>
    <t>["https://pbs.twimg.com/media/Ge4Udo6WYAAUhU9.jpg"]</t>
  </si>
  <si>
    <t>https://x.com/TNTSportsBR/status/1868453542400254164</t>
  </si>
  <si>
    <t>["Libertadores2024"]</t>
  </si>
  <si>
    <t>VALE TUDO PELO PRIMEIRO LUGAR DO GRUPO! ⚔️🏆 Real Madrid e Chelsea vão duelar pela liderança da chave! É JOGÃO nesta terça-feira, AO VIVO na @streammaxbr (</t>
  </si>
  <si>
    <t>"2024-12-16T00:00:00.000Z"</t>
  </si>
  <si>
    <t>["https://pbs.twimg.com/media/Ge36FKJW0AAM3HV.jpg"]</t>
  </si>
  <si>
    <t>https://x.com/TNTSportsBR/status/1868445939360321723</t>
  </si>
  <si>
    <t>[{"biography":null,"followers":null,"following":null,"is_verified":null,"profile_id":"1267893920970801152","profile_name":"Max Brasil","url":"https://x.com/StreamMaxBR"}]</t>
  </si>
  <si>
    <t>https://bit.ly/3OZv0Q6</t>
  </si>
  <si>
    <t>["CasaDaChampionsFeminina"]</t>
  </si>
  <si>
    <t>.@miriamleitao comenta o fato de o presidente Lula não ter seguido o protocolo de transferir a função para seu vice, Geraldo Alckmin, durante internação hospitalar.
➡ Assista à #GloboNews:</t>
  </si>
  <si>
    <t>"2024-12-15T22:09:47.000Z"</t>
  </si>
  <si>
    <t>https://x.com/GloboNews/status/1868418200008012245</t>
  </si>
  <si>
    <t>[{"biography":null,"followers":null,"following":null,"is_verified":null,"profile_id":"16814640","profile_name":"Míriam Leitão","url":"https://x.com/miriamleitao"}]</t>
  </si>
  <si>
    <t>[{"duration":250334,"video_url":"https://video.twimg.com/amplify_video/1868417812177305601/vid/avc1/1920x1080/5pcZ_E0Xsc1gBVCZ.mp4?tag=16"}]</t>
  </si>
  <si>
    <t>"Apesar de ter muito CPF na onda do golpe, também há CPFs que entram para a história resistindo a esse golpe", diz Eliane Cantanhêde, sobre envolvimento de militares em trama golpista.
➡ Assista à #GloboNews:</t>
  </si>
  <si>
    <t>"2024-12-15T21:57:41.000Z"</t>
  </si>
  <si>
    <t>https://x.com/GloboNews/status/1868415158818603228</t>
  </si>
  <si>
    <t>[{"duration":267800,"video_url":"https://video.twimg.com/amplify_video/1868414955914948608/vid/avc1/1920x1080/N91qaNH6ocBl_pmB.mp4?tag=16"}]</t>
  </si>
  <si>
    <t>.@miriamleitao: "O que está se vendo agora, nunca se viu antes: o Exército dizer que está colaborando com as investigações. Antes, as Forças Armadas protegiam os seus. Dessa vez, a ideia é de que é preciso preservar a instituição".
➡ Assista: https://t.co/mgnXyoxnmY #EspecialDeDomingo #GloboNews</t>
  </si>
  <si>
    <t>"2024-12-15T21:53:40.000Z"</t>
  </si>
  <si>
    <t>https://x.com/GloboNews/status/1868414145973940591</t>
  </si>
  <si>
    <t>[{"duration":268934,"video_url":"https://video.twimg.com/ext_tw_video/1868413915568263168/pu/vid/avc1/1280x720/7GQ5__Ap7WRZMFtl.mp4?tag=12"}]</t>
  </si>
  <si>
    <t>.@miriamleitao fala sobre elementos que culminaram na prisão de Braga Netto, e diz que a PF analisa agora celulares e dezenas de pendrives apreendidos no sábado (14). "As investigações continuam, porque mais informações estão chegando".
➡ Assista à #GloboNews: https://t.co/mgnXyoxVcw #EspecialDeDomingo</t>
  </si>
  <si>
    <t>"2024-12-15T21:24:24.000Z"</t>
  </si>
  <si>
    <t>https://x.com/GloboNews/status/1868406779086074332</t>
  </si>
  <si>
    <t>[{"duration":164534,"video_url":"https://video.twimg.com/ext_tw_video/1868406640489164800/pu/vid/avc1/1280x720/FqaGcQZLwL2IARnF.mp4?tag=12"}]</t>
  </si>
  <si>
    <t>Friday Music Guide: New Music From Stray Kids, Bossman Dlow, Snoop Dogg &amp;amp; More</t>
  </si>
  <si>
    <t>"2024-12-15T04:30:08.000Z"</t>
  </si>
  <si>
    <t>https://x.com/billboard/status/1868151532622955003</t>
  </si>
  <si>
    <t>https://www.billboard.com/music/pop/friday-music-guide-stray-kids-bossman-dlow-snoop-dogg-1235856416/?utm_campaign=trueanthem&amp;utm_medium=social&amp;utm_source=twitter</t>
  </si>
  <si>
    <t>["https://pbs.twimg.com/card_img/1865210076203565057/m9mmbqO7?format=jpg&amp;name=orig"]</t>
  </si>
  <si>
    <t>SHOW DOS SPURS! 🐓🔥 O Tottenham AMASSOU o Southampton, fora de casa, pela #PremierLeague! Mais uma grande atuação de Maddison! 👏</t>
  </si>
  <si>
    <t>"2024-12-15T21:03:51.000Z"</t>
  </si>
  <si>
    <t>["https://pbs.twimg.com/media/Ge3lWlSWcAApiM8.jpg"]</t>
  </si>
  <si>
    <t>https://x.com/TNTSportsBR/status/1868401609354670201</t>
  </si>
  <si>
    <t>["PremierLeague"]</t>
  </si>
  <si>
    <t>The███nom███</t>
  </si>
  <si>
    <t>The███ono███t</t>
  </si>
  <si>
    <t>“It’s hard to be moral in three seconds.”  
On “The Weekend Intelligence”, @studersc asks Pastor Julian Lowe and philosopher @agnescallard: what happens when morality comes at a price?</t>
  </si>
  <si>
    <t>"2024-12-15T20:44:04.000Z"</t>
  </si>
  <si>
    <t>https://x.com/TheEconomist/status/1868396632397545516</t>
  </si>
  <si>
    <t>[{"biography":null,"followers":null,"following":null,"is_verified":null,"profile_id":"867668142","profile_name":"Stephanie Studer","url":"https://x.com/studersc"},{"biography":null,"followers":null,"following":null,"is_verified":null,"profile_id":"990004572964999168","profile_name":"Agnes Callard","url":"https://x.com/AgnesCallard"}]</t>
  </si>
  <si>
    <t>https://econ.st/4fAgEQN</t>
  </si>
  <si>
    <t>News and analysis with a global perspective. We’re here to help you understand the world around you. Subscribe here: https://t.co/RpUQAAnhog</t>
  </si>
  <si>
    <t>https://pbs.twimg.com/profile_images/1847280770743750656/0DkLNOPG_normal.jpg</t>
  </si>
  <si>
    <t>["https://pbs.twimg.com/card_img/1867872043514970112/Wm04khOV?format=jpg&amp;name=orig"]</t>
  </si>
  <si>
    <t>The unbelievable has become commonplace in recent years. What could happen in 2025? Here are a few scenarios to get you thinking:</t>
  </si>
  <si>
    <t>"2024-12-15T14:00:18.000Z"</t>
  </si>
  <si>
    <t>["https://pbs.twimg.com/media/Ge2EagsXMAAF4NW.png"]</t>
  </si>
  <si>
    <t>https://x.com/TheEconomist/status/1868295017485189120</t>
  </si>
  <si>
    <t>https://econ.st/3ZPCYRD</t>
  </si>
  <si>
    <t>Much like voters in the rest of the world, Germans are fed up with their government. Three charts help explain the situation in Europe’s largest economy</t>
  </si>
  <si>
    <t>"2024-12-15T11:25:26.000Z"</t>
  </si>
  <si>
    <t>https://x.com/TheEconomist/status/1868256046847820114</t>
  </si>
  <si>
    <t>https://econ.st/49AwGZk</t>
  </si>
  <si>
    <t>["https://pbs.twimg.com/card_img/1867819837428215808/TMjENkGg?format=png&amp;name=orig"]</t>
  </si>
  <si>
    <t>Adults have grown less literate over the past decade, new data suggest. One researcher speculates that many are getting much less practice than they used to at reading long and complex texts. 
Blame TikTok, perhaps</t>
  </si>
  <si>
    <t>"2024-12-15T10:50:30.000Z"</t>
  </si>
  <si>
    <t>https://x.com/TheEconomist/status/1868247253984420075</t>
  </si>
  <si>
    <t>https://econ.st/3ZsecWq</t>
  </si>
  <si>
    <t>["https://pbs.twimg.com/card_img/1866432231738114048/weCuzij3?format=jpg&amp;name=orig"]</t>
  </si>
  <si>
    <t>Cryptocurrencies are being increasingly institutionalised. 
In turn the asset class will become more ordinary, and more linked to the ups and downs of the regular financial world, which advocates had hoped to replace</t>
  </si>
  <si>
    <t>"2024-12-15T08:47:06.000Z"</t>
  </si>
  <si>
    <t>https://x.com/TheEconomist/status/1868216199751889180</t>
  </si>
  <si>
    <t>https://econ.st/3DeqCK0</t>
  </si>
  <si>
    <t>["https://pbs.twimg.com/card_img/1867164609297457152/jM4jFDfi?format=jpg&amp;name=orig"]</t>
  </si>
  <si>
    <t>Europe knows its armies need more cash. But clever tricks will be needed to fund defence expenditure without crossing the various red lines of different countries</t>
  </si>
  <si>
    <t>"2024-12-15T07:00:14.000Z"</t>
  </si>
  <si>
    <t>["https://pbs.twimg.com/media/Ge0kRcRWwAA1-_U.jpg"]</t>
  </si>
  <si>
    <t>https://x.com/TheEconomist/status/1868189305014813099</t>
  </si>
  <si>
    <t>https://econ.st/3BtZ2Yy</t>
  </si>
  <si>
    <t>Donald Trump’s picks for the Federal Trade Commission and Department of Justice will mostly make corporate deals easier. 
Objections to a merger because of its effect on union workers, for example, are less likely to be raised under the new regime</t>
  </si>
  <si>
    <t>"2024-12-15T03:19:46.000Z"</t>
  </si>
  <si>
    <t>https://x.com/TheEconomist/status/1868133824644645296</t>
  </si>
  <si>
    <t>https://econ.st/3VFB3wn</t>
  </si>
  <si>
    <t>["https://pbs.twimg.com/card_img/1867214175308574720/cFUVY1mU?format=jpg&amp;name=orig"]</t>
  </si>
  <si>
    <t>These are the world’s most expensive cities</t>
  </si>
  <si>
    <t>"2024-12-15T00:18:32.000Z"</t>
  </si>
  <si>
    <t>https://x.com/TheEconomist/status/1868088216164671670</t>
  </si>
  <si>
    <t>https://econ.st/49DVShr</t>
  </si>
  <si>
    <t>["https://pbs.twimg.com/card_img/1866979866568167428/R2fahqqv?format=png&amp;name=orig"]</t>
  </si>
  <si>
    <t>Met███ole███</t>
  </si>
  <si>
    <t>➡️ Reitora da UnB suspende youtuber Wilker Leão das aulas por 60 dias
O youtuber Wilker Leão é acusado de gravar e divulgar debates do ambiente acadêmico sem autorização, provocando ofensas nas redes sociais
Leia na coluna de @lilian_tahan e @tr_isadora:</t>
  </si>
  <si>
    <t>"2024-12-15T23:15:00.000Z"</t>
  </si>
  <si>
    <t>["https://pbs.twimg.com/media/Ge2bGKHWwAAqWdj.png"]</t>
  </si>
  <si>
    <t>https://x.com/Metropoles/status/1868434613682737214</t>
  </si>
  <si>
    <t>[{"biography":null,"followers":null,"following":null,"is_verified":null,"profile_id":"195474607","profile_name":"Lilian Tahan","url":"https://x.com/lilian_tahan"},{"biography":null,"followers":null,"following":null,"is_verified":null,"profile_id":"987393535497383936","profile_name":"Isadora Teixeira","url":"https://x.com/tr_isadora"}]</t>
  </si>
  <si>
    <t>https://curt.link/VxQPQ</t>
  </si>
  <si>
    <t>📱 O seu portal de notícias. Tudo sobre política, saúde, justiça, comportamento, entretenimento. Confira os fatos relevantes do país e do mundo em tempo real.</t>
  </si>
  <si>
    <t>https://pbs.twimg.com/profile_images/1642966741138415647/fHdgQUGl_normal.jpg</t>
  </si>
  <si>
    <t>➡️ Temendo protestos, corte militar gasta R$ 75 mil com armamentos
Com julgamentos de militares envolvidos em atos antidemocráticos no horizonte, STM abriu licitação para comprar espingardas e munição
Leia na coluna @igorgadelham:</t>
  </si>
  <si>
    <t>"2024-12-15T20:30:00.000Z"</t>
  </si>
  <si>
    <t>["https://pbs.twimg.com/media/Ge2IA8ZXcAA-a2F.png"]</t>
  </si>
  <si>
    <t>https://x.com/Metropoles/status/1868393090936885567</t>
  </si>
  <si>
    <t>[{"biography":null,"followers":null,"following":null,"is_verified":null,"profile_id":"780846744615530496","profile_name":"Igor Gadelha","url":"https://x.com/igorgadelham"}]</t>
  </si>
  <si>
    <t>https://curt.link/CJPHh</t>
  </si>
  <si>
    <t>⏯️Paulo Vieira debocha da prisão de Braga Netto ao vivo na Globo
Durante a apresentação do Melhores do Ano, do Domingão, o humorista fez uma piada com a prisão do general
Leia na coluna da @OliveiraFabia_:</t>
  </si>
  <si>
    <t>"2024-12-15T20:28:06.000Z"</t>
  </si>
  <si>
    <t>https://x.com/Metropoles/status/1868392613260538144</t>
  </si>
  <si>
    <t>[{"biography":null,"followers":null,"following":null,"is_verified":null,"profile_id":"1121108752873283589","profile_name":"Fábia Oliveira","url":"https://x.com/OliveiraFabia_"}]</t>
  </si>
  <si>
    <t>https://curt.link/PQutR</t>
  </si>
  <si>
    <t>[{"duration":12053,"video_url":"https://video.twimg.com/ext_tw_video/1868392577835077632/pu/vid/avc1/1024x576/ky75nXf2-ezfDdUy.mp4?tag=12"}]</t>
  </si>
  <si>
    <t>NHL</t>
  </si>
  <si>
    <t>Another dub for the @utahhockeyclub! ✅</t>
  </si>
  <si>
    <t>"2024-12-09T03:11:35.000Z"</t>
  </si>
  <si>
    <t>["https://pbs.twimg.com/media/GeU2ZbmWAAAwhwF.jpg"]</t>
  </si>
  <si>
    <t>https://x.com/NHL/status/1865957435204108730</t>
  </si>
  <si>
    <t>[{"biography":null,"followers":null,"following":null,"is_verified":null,"profile_id":"1778101138421850112","profile_name":"Utah Hockey Club","url":"https://x.com/utahhockeyclub"}]</t>
  </si>
  <si>
    <t>Your home for hockey.
🔄: @NHLGIFs
🏆: @StanleyCup
🗣️: @PR_NHL
📈: @NHLFantasy
📺: @espn, @NHL_On_TNT, @SportsOnPrimeCA, @Sportsnet, @NHLNetwork</t>
  </si>
  <si>
    <t>https://pbs.twimg.com/profile_images/1862728438399799297/3aEXtQ0d_normal.jpg</t>
  </si>
  <si>
    <t>Rep███los███</t>
  </si>
  <si>
    <t>Rep███arl███A. █████████</t>
  </si>
  <si>
    <t>🚨 FOX NEWS EXCLUSIVE —&amp;gt; Rep. Gimenez warns China is 'greatest threat' to US, Trump admin will 'project strength' to CCP</t>
  </si>
  <si>
    <t>"2024-12-15T16:31:00.000Z"</t>
  </si>
  <si>
    <t>https://x.com/RepCarlos/status/1868332945162842288</t>
  </si>
  <si>
    <t>https://www.foxnews.com/politics/rep-gimenez-warns-china-greatest-threat-us-trump-admin-project-strength-ccp</t>
  </si>
  <si>
    <t>U.S. Congressman | Armed Services, Homeland Security, &amp; Select Committee on China | Vice-Chair of RG2 | Firefighter &amp; Mayor of Miami-Dade #FL28</t>
  </si>
  <si>
    <t>https://pbs.twimg.com/profile_images/1752376536903131137/MSZ37MII_normal.jpg</t>
  </si>
  <si>
    <t>["https://pbs.twimg.com/card_img/1867268334665801728/OFtPcUXI?format=jpg&amp;name=orig"]</t>
  </si>
  <si>
    <t>NBA</t>
  </si>
  <si>
    <t>@Bucks @hornets @MiamiHEAT @nuggets @OrlandoMagic @spurs @memgrizz @warriors @SacramentoKings @HoustonRockets Anthony Davis dominates the paint as the @Lakers win in LA!
D'Angelo Russell: 28 PTS, 14 AST
Rui Hachimura: 23 PTS (9-13 FGM), 4 STL</t>
  </si>
  <si>
    <t>"2024-12-09T06:06:29.000Z"</t>
  </si>
  <si>
    <t>["https://pbs.twimg.com/media/GeVeZ1iW4AAETRw.jpg"]</t>
  </si>
  <si>
    <t>https://x.com/NBA/status/1866001453992530185</t>
  </si>
  <si>
    <t>[{"biography":null,"followers":null,"following":null,"is_verified":null,"profile_id":"15900167","profile_name":"Milwaukee Bucks","url":"https://x.com/Bucks"},{"biography":null,"followers":null,"following":null,"is_verified":null,"profile_id":"21308488","profile_name":"Charlotte Hornets","url":"https://x.com/hornets"},{"biography":null,"followers":null,"following":null,"is_verified":null,"profile_id":"11026952","profile_name":"Miami HEAT","url":"https://x.com/MiamiHEAT"},{"biography":null,"followers":null,"following":null,"is_verified":null,"profile_id":"26074296","profile_name":"Denver Nuggets","url":"https://x.com/nuggets"},{"biography":null,"followers":null,"following":null,"is_verified":null,"profile_id":"19537303","profile_name":"Orlando Magic","url":"https://x.com/OrlandoMagic"},{"biography":null,"followers":null,"following":null,"is_verified":null,"profile_id":"18371803","profile_name":"San Antonio Spurs","url":"https://x.com/spurs"},{"biography":null,"followers":null,"following":null,"is_verified":null,"profile_id":"7117962","profile_name":"Memphis Grizzlies","url":"https://x.com/memgrizz"},{"biography":null,"followers":null,"following":null,"is_verified":null,"profile_id":"26270913","profile_name":"Golden State Warriors","url":"https://x.com/warriors"},{"biography":null,"followers":null,"following":null,"is_verified":null,"profile_id":"667563","profile_name":"Sacramento Kings","url":"https://x.com/SacramentoKings"},{"biography":null,"followers":null,"following":null,"is_verified":null,"profile_id":"19077044","profile_name":"Houston Rockets","url":"https://x.com/HoustonRockets"},{"biography":null,"followers":null,"following":null,"is_verified":null,"profile_id":"20346956","profile_name":"Los Angeles Lakers","url":"https://x.com/Lakers"}]</t>
  </si>
  <si>
    <t>The #EmiratesNBACup Championship Game will take place Tuesday, 12/17 in Vegas! 🏆 8:30pm/et on ABC: Bucks/Thunder</t>
  </si>
  <si>
    <t>https://pbs.twimg.com/profile_images/1868174380468981760/m0FEipd2_normal.jpg</t>
  </si>
  <si>
    <t>{"post_id":"1865997739303063765","profile_id":"19923144","profile_name":"NBA"}</t>
  </si>
  <si>
    <t>acm███n</t>
  </si>
  <si>
    <t>AC ███an</t>
  </si>
  <si>
    <t>A masterpiece 🏟️🫶
#MilanGenoa #ACMilanWorthEveryMinute #SempreMilan</t>
  </si>
  <si>
    <t>"2024-12-15T20:15:18.000Z"</t>
  </si>
  <si>
    <t>["https://pbs.twimg.com/media/Ge3aM4RWEAA7QpG.jpg"]</t>
  </si>
  <si>
    <t>https://x.com/acmilan/status/1868389391317799412</t>
  </si>
  <si>
    <t>["MilanGenoa","ACMilanWorthEveryMinute","SempreMilan"]</t>
  </si>
  <si>
    <t>❤🖤 125 years together, worth every minute ❤🖤 
#SempreMilan since 1899! 🔙 
Arabic: @acmilanar | Portuguese: @acmilanbr | #MilanYouth: @acmilanyouth</t>
  </si>
  <si>
    <t>https://pbs.twimg.com/profile_images/1848748720050868225/FQY9F6Hn_normal.jpg</t>
  </si>
  <si>
    <t>And here they are! 👋
#MilanGenoa #SempreMilan 
Brought to you by @OffWht</t>
  </si>
  <si>
    <t>"2024-12-15T19:14:17.000Z"</t>
  </si>
  <si>
    <t>["https://pbs.twimg.com/media/Ge3ME3NXIAA4ssN.jpg","https://pbs.twimg.com/media/Ge3MHQjWMAABA-8.jpg"]</t>
  </si>
  <si>
    <t>https://x.com/acmilan/status/1868374036247634224</t>
  </si>
  <si>
    <t>[{"biography":null,"followers":null,"following":null,"is_verified":null,"profile_id":"1390520113","profile_name":"Off-White™","url":"https://x.com/OffWht"}]</t>
  </si>
  <si>
    <t>["MilanGenoa","SempreMilan"]</t>
  </si>
  <si>
    <t>SLB███ica███</t>
  </si>
  <si>
    <t>SL ███fic███</t>
  </si>
  <si>
    <t>#SLBenficaFem | 1️⃣1️⃣ 𝗜𝗡𝗜𝗖𝗜𝗔𝗟!
#LojasEspacoCasa #Europcar #Glassdrive #Auditiv @adidasfootball</t>
  </si>
  <si>
    <t>"2024-12-15T10:52:14.000Z"</t>
  </si>
  <si>
    <t>["https://pbs.twimg.com/media/Ge1SbwEWMAAuqyR.jpg"]</t>
  </si>
  <si>
    <t>https://x.com/SLBenfica/status/1868247691215728739</t>
  </si>
  <si>
    <t>[{"biography":null,"followers":null,"following":null,"is_verified":null,"profile_id":"219683269","profile_name":"adidas Football","url":"https://x.com/adidasfootball"}]</t>
  </si>
  <si>
    <t>["SLBenficaFem","LojasEspacoCasa","Europcar","Glassdrive","Auditiv"]</t>
  </si>
  <si>
    <t>Twitter Oficial do 𝗦𝗽𝗼𝗿𝘁 𝗟𝗶𝘀𝗯𝗼𝗮 𝗲 𝗕𝗲𝗻𝗳𝗶𝗰𝗮 
English account: @SLBenfica_EN 🇬🇧🇺🇸
Modalidades: @ModalidadesSLB 🏑🏀</t>
  </si>
  <si>
    <t>https://pbs.twimg.com/profile_images/1845888754898161664/8uDsALMU_normal.jpg</t>
  </si>
  <si>
    <t>{"post_id":"1868234548301148466","profile_id":"21390437","profile_name":"SLBenfica"}</t>
  </si>
  <si>
    <t>⚽ 17' GOOOLOOOOOOO!!!! AMDOUNI!!!!!
#AVSSLB • 0-1 • #LigaPortugalBetclic</t>
  </si>
  <si>
    <t>"2024-12-15T18:18:24.000Z"</t>
  </si>
  <si>
    <t>["https://pbs.twimg.com/media/Ge2_XxMXIAAfMp6.jpg"]</t>
  </si>
  <si>
    <t>https://x.com/SLBenfica/status/1868359970929958933</t>
  </si>
  <si>
    <t>["AVSSLB","LigaPortugalBetclic"]</t>
  </si>
  <si>
    <t>slb███ica███</t>
  </si>
  <si>
    <t>🚨 TEAM NEWS! 🚨
#AVSSLB • #LigaPortugalBetclic</t>
  </si>
  <si>
    <t>"2024-12-15T17:05:07.000Z"</t>
  </si>
  <si>
    <t>["https://pbs.twimg.com/media/Ge2utM1XIAAJ3ij.jpg"]</t>
  </si>
  <si>
    <t>https://x.com/slbenfica_en/status/1868341530202984778</t>
  </si>
  <si>
    <t>SL Benfica's Official Twitter account.</t>
  </si>
  <si>
    <t>https://pbs.twimg.com/profile_images/1845888824863236096/gHzX4v6V_normal.jpg</t>
  </si>
  <si>
    <t>Nor███rnI███and███</t>
  </si>
  <si>
    <t>Nor███rn ███lan███</t>
  </si>
  <si>
    <t>All six of our @FIFAWorldCup qualifiers will have a 7:45pm kick-off ⚽️ #FIFAWorldCup 
Away venues and ticket details will be announced in due course 🏟️🎟️ #GAWA</t>
  </si>
  <si>
    <t>"2024-12-15T14:08:45.000Z"</t>
  </si>
  <si>
    <t>https://x.com/NorthernIreland/status/1868297144634875962</t>
  </si>
  <si>
    <t>[{"biography":null,"followers":null,"following":null,"is_verified":null,"profile_id":"138372303","profile_name":"FIFA World Cup","url":"https://x.com/FIFAWorldCup"}]</t>
  </si>
  <si>
    <t>https://www.irishfa.com/news/2024/december/northern-ireland-to-begin-world-cup-qualifiers-with-two-away-fixtures</t>
  </si>
  <si>
    <t>["FIFAWorldCup","GAWA"]</t>
  </si>
  <si>
    <t>Home of the Green and White Army 🟢⚪️ #GAWA</t>
  </si>
  <si>
    <t>https://pbs.twimg.com/profile_images/1836159722757541888/AJX9QrXy_normal.jpg</t>
  </si>
  <si>
    <t>["https://pbs.twimg.com/card_img/1868295699613290496/nsj2JIml?format=png&amp;name=orig"]</t>
  </si>
  <si>
    <t>BCF███men███</t>
  </si>
  <si>
    <t>Bir███gha███ity█████████</t>
  </si>
  <si>
    <t>Meeting the Quinns! 🥰
#BCFC</t>
  </si>
  <si>
    <t>"2024-12-15T13:36:16.000Z"</t>
  </si>
  <si>
    <t>["https://pbs.twimg.com/media/Ge1-6kuXAAARZoo.jpg","https://pbs.twimg.com/media/Ge1-6k0XEAAgZ7G.jpg"]</t>
  </si>
  <si>
    <t>https://x.com/BCFCWomen/status/1868288970351845798</t>
  </si>
  <si>
    <t>["BCFC"]</t>
  </si>
  <si>
    <t>Official 𝕏 account of #BCFC Women.</t>
  </si>
  <si>
    <t>https://pbs.twimg.com/profile_images/1857476135254122496/znl6TmmB_normal.jpg</t>
  </si>
  <si>
    <t>Bar███ysW███</t>
  </si>
  <si>
    <t>Bar███ys ███en'█████████eag███</t>
  </si>
  <si>
    <t>KO: Two games get underway across the country. 
Both games are LIVE on YouTube:</t>
  </si>
  <si>
    <t>"2024-12-15T14:00:32.000Z"</t>
  </si>
  <si>
    <t>["https://pbs.twimg.com/media/Ge2DecgXsAANlYQ.jpg"]</t>
  </si>
  <si>
    <t>https://x.com/BarclaysWSL/status/1868295078399431121</t>
  </si>
  <si>
    <t>https://www.youtube.com/@BarclaysWSL</t>
  </si>
  <si>
    <t>["BarclaysWSL"]</t>
  </si>
  <si>
    <t>The home of top-flight women's football in England! 🤩
Subscribe to our brand-new BWSL YouTube Channel! 📺 #BarclaysWSL</t>
  </si>
  <si>
    <t>https://pbs.twimg.com/profile_images/1605171595160555521/NKG9mgxv_normal.jpg</t>
  </si>
  <si>
    <t>"VER A SELEÇÃO DE HOJE É UM POUCO TRISTE!" 😳🇧🇷 Romário mandou essa aí ao falar sobre a má fase da #SeleçãoBrasileira, mas se mostrou esperançoso com a melhoria após o retorno de Neymar! 🙏</t>
  </si>
  <si>
    <t>"2024-12-15T20:10:38.000Z"</t>
  </si>
  <si>
    <t>https://x.com/TNTSportsBR/status/1868388217147539935</t>
  </si>
  <si>
    <t>[{"duration":47881,"video_url":"https://video.twimg.com/ext_tw_video/1868388166299734016/pu/vid/avc1/720x1280/zgDAPYvE9mdmLlGO.mp4?tag=12"}]</t>
  </si>
  <si>
    <t>MANCHESTER É VERMELHO! 🔴🔥 O City achou que estava com a vitória garantida, mas o United mostrou que é gigante e buscou a virada na casa do rival com dois gols no finalzinho! Crise para Pep Guardiola e festa do lado vermelho! #PremierLeague</t>
  </si>
  <si>
    <t>"2024-12-15T18:58:44.000Z"</t>
  </si>
  <si>
    <t>["https://pbs.twimg.com/media/Ge3IkOLWMAAtR8a.jpg","https://pbs.twimg.com/media/Ge3IlZiW4AElN6Y.jpg","https://pbs.twimg.com/media/Ge3Im6aWIAARuDq.jpg"]</t>
  </si>
  <si>
    <t>https://x.com/TNTSportsBR/status/1868370122198364508</t>
  </si>
  <si>
    <t>É O TREM COM DESTINO SANTOS? 👀 Zé Rafael, volante do Palmeiras, deve ser o novo reforço do Peixe para as próximas temporadas. O jogador chegaria ao Alvinegro por empréstimo de 1 ano. 
🗞️: @DonRicardinho</t>
  </si>
  <si>
    <t>"2024-12-15T19:22:50.000Z"</t>
  </si>
  <si>
    <t>["https://pbs.twimg.com/media/Ge3OMbnXkAARnmQ.jpg"]</t>
  </si>
  <si>
    <t>https://x.com/TNTSportsBR/status/1868376188651196917</t>
  </si>
  <si>
    <t>[{"biography":null,"followers":null,"following":null,"is_verified":null,"profile_id":"1570868056221519872","profile_name":"Ricardinho Martins","url":"https://x.com/DonRicardinho"}]</t>
  </si>
  <si>
    <t>ote███</t>
  </si>
  <si>
    <t>O T███o</t>
  </si>
  <si>
    <t>Sada Cruzeiro chega a 55 títulos desde 2010 com a conquista do Mundial de Clubes de Vôlei
Confira a lista de títulos do clube nos últimos 14 anos</t>
  </si>
  <si>
    <t>"2024-12-15T20:05:59.000Z"</t>
  </si>
  <si>
    <t>https://x.com/otempo/status/1868387045305180485</t>
  </si>
  <si>
    <t>https://www.otempo.com.br/sports/volei/2024/12/15/sada-cruzeiro-chega-a-55-titulos-desde-2010-com-a-conquista-do-mundial-de-clubes-de-volei</t>
  </si>
  <si>
    <t>Perfil oficial do jornal O Tempo, de Belo Horizonte, Minas Gerais.</t>
  </si>
  <si>
    <t>https://pbs.twimg.com/profile_images/1623114146458791936/N7peJ_jC_normal.jpg</t>
  </si>
  <si>
    <t>["https://pbs.twimg.com/card_img/1868387020365602816/BkQ7JFvB?format=jpg&amp;name=orig"]</t>
  </si>
  <si>
    <t>Com 13 conquistas individuais, Wallace se credencia como um dos maiores do vôlei mundial
Wallace também possui quatro Mundiais de Clubes pelo Sada Cruzeiro</t>
  </si>
  <si>
    <t>"2024-12-15T20:08:33.000Z"</t>
  </si>
  <si>
    <t>https://x.com/otempo/status/1868387691492237364</t>
  </si>
  <si>
    <t>https://www.otempo.com.br/sports/volei/2024/12/15/com-13-conquistas-individuais-wallace-se-credencia-como-um-dos-maiores-do-volei-mundial</t>
  </si>
  <si>
    <t>["https://pbs.twimg.com/card_img/1868387666007293952/eLekK1rC?format=jpg&amp;name=orig"]</t>
  </si>
  <si>
    <t>Before Tulsi Gabbard started calling the Democratic Party an “elitist cabal of warmongers”, she belonged to it. Vogue even called her an “embodiment of the Obama era”.
Now she is Donald Trump’s pick to be his director of national intelligence</t>
  </si>
  <si>
    <t>"2024-12-15T22:55:08.000Z"</t>
  </si>
  <si>
    <t>https://x.com/TheEconomist/status/1868429614248251398</t>
  </si>
  <si>
    <t>https://econ.st/49Hk56D</t>
  </si>
  <si>
    <t>["https://pbs.twimg.com/card_img/1867932331798913024/fB4Xgwqv?format=jpg&amp;name=orig"]</t>
  </si>
  <si>
    <t>France’s president made his choice after, reportedly, François Bayrou threatened to pull out of the centrist coalition. But he is likely to find it just as difficult as his predecessor did to produce a new budget for 2025</t>
  </si>
  <si>
    <t>"2024-12-15T19:30:01.000Z"</t>
  </si>
  <si>
    <t>https://x.com/TheEconomist/status/1868377996626735370</t>
  </si>
  <si>
    <t>https://econ.st/4fn5L4l</t>
  </si>
  <si>
    <t>["https://pbs.twimg.com/card_img/1867572759020097536/FrM0qulW?format=jpg&amp;name=orig"]</t>
  </si>
  <si>
    <t>Europeans are hoping they can spend more on defence without giving up the good life. Can it be done?</t>
  </si>
  <si>
    <t>"2024-12-15T19:17:04.000Z"</t>
  </si>
  <si>
    <t>https://x.com/TheEconomist/status/1868374736088015133</t>
  </si>
  <si>
    <t>https://econ.st/4gvLWZO</t>
  </si>
  <si>
    <t>["https://pbs.twimg.com/card_img/1867212273061638144/nE39ITgh?format=jpg&amp;name=orig"]</t>
  </si>
  <si>
    <t>China’s nationalists genuinely admire aspects of Donald Trump. They like his strongman image and the conservative social views he professes.
Many even brush off the president-elect’s threat of huge tariffs on Chinese goods. We explore why</t>
  </si>
  <si>
    <t>"2024-12-15T14:57:51.000Z"</t>
  </si>
  <si>
    <t>https://x.com/TheEconomist/status/1868309504036585876</t>
  </si>
  <si>
    <t>https://econ.st/4gjapSc</t>
  </si>
  <si>
    <t>["https://pbs.twimg.com/card_img/1866299828608860160/qs7Rk2nj?format=jpg&amp;name=orig"]</t>
  </si>
  <si>
    <t>Things have changed</t>
  </si>
  <si>
    <t>"2024-12-15T10:20:17.000Z"</t>
  </si>
  <si>
    <t>https://x.com/TheEconomist/status/1868239648859799686</t>
  </si>
  <si>
    <t>https://econ.st/49AuAso</t>
  </si>
  <si>
    <t>["https://pbs.twimg.com/card_img/1865062651006517248/7wDDrHhB?format=jpg&amp;name=orig"]</t>
  </si>
  <si>
    <t>Excuses are running out for the British economy. Growth has been sluggish for over a decade. But now the tumult appears to be over. Will the country be able to sustain its recovery throughout 2025? We explain</t>
  </si>
  <si>
    <t>"2024-12-15T09:33:03.000Z"</t>
  </si>
  <si>
    <t>https://x.com/TheEconomist/status/1868227762097434843</t>
  </si>
  <si>
    <t>https://econ.st/3ZylxVn</t>
  </si>
  <si>
    <t>["https://pbs.twimg.com/card_img/1867427153693810688/PFjueUNa?format=jpg&amp;name=orig"]</t>
  </si>
  <si>
    <t>Generative AI can write copy and draw images; the technology is also making it easier to target consumers with the right ad. 
It could eliminate 7.5% of America’s advertising jobs by 2030, one research firm predicts</t>
  </si>
  <si>
    <t>"2024-12-15T05:45:42.000Z"</t>
  </si>
  <si>
    <t>https://x.com/TheEconomist/status/1868170549085503771</t>
  </si>
  <si>
    <t>https://econ.st/3DbtQxP</t>
  </si>
  <si>
    <t>["https://pbs.twimg.com/card_img/1867213932110168064/S3x4JBLF?format=jpg&amp;name=orig"]</t>
  </si>
  <si>
    <t>Wherever Donald Trump takes America in the next four years will be felt for decades to come. Discover more in The World Ahead</t>
  </si>
  <si>
    <t>"2024-12-15T00:34:48.000Z"</t>
  </si>
  <si>
    <t>https://x.com/TheEconomist/status/1868092307888538074</t>
  </si>
  <si>
    <t>https://econ.st/4g4RIBQ</t>
  </si>
  <si>
    <t>["https://pbs.twimg.com/card_img/1866386260987916288/ZmNVqTRT?format=jpg&amp;name=orig"]</t>
  </si>
  <si>
    <t>➡️ Lula mostra curativos na cabeça após cirurgias de emergência em SP
Presidente recebeu alta médica neste domingo (15/12). Ele sofreu um hemorragia intracraniana e passou por dois procedimentos cirúrgicos
Leia:</t>
  </si>
  <si>
    <t>"2024-12-16T01:32:48.000Z"</t>
  </si>
  <si>
    <t>["https://pbs.twimg.com/media/Ge4i6XPXkAAjH1p.png"]</t>
  </si>
  <si>
    <t>https://x.com/Metropoles/status/1868469294671302915</t>
  </si>
  <si>
    <t>https://curt.link/wTecu</t>
  </si>
  <si>
    <t>➡️ Braga Netto é 1º general 4 estrelas preso: saiba poder da patente
Braga Netto é o primeiro general quatro estrelas preso desde o pós-ditadura. Ele foi indiciado pela PF acusado de trama golpista
Leia:</t>
  </si>
  <si>
    <t>"2024-12-15T21:45:00.000Z"</t>
  </si>
  <si>
    <t>["https://pbs.twimg.com/media/Ge2M1bzWkAAl_UU.png"]</t>
  </si>
  <si>
    <t>https://x.com/Metropoles/status/1868411964172759230</t>
  </si>
  <si>
    <t>https://curt.link/JgYNQ</t>
  </si>
  <si>
    <t>➡️ Vivendo "fora do sistema" em Paris 
Casal vive em miniapartmento que eles chamam de "biosfera urbana": um ambiente autossuficiente onde quase tudo é feito à mão. Em 26 metros quadrados, tem espaço para cozinhar, comer e cultivar plantas. 
➡️ Veja no vídeo da @dw_brasil, parceira do Metrópoles</t>
  </si>
  <si>
    <t>"2024-12-15T17:49:09.000Z"</t>
  </si>
  <si>
    <t>https://x.com/Metropoles/status/1868352610878562538</t>
  </si>
  <si>
    <t>[{"biography":null,"followers":null,"following":null,"is_verified":null,"profile_id":"6135602","profile_name":"DW Brasil","url":"https://x.com/dw_brasil"}]</t>
  </si>
  <si>
    <t>[{"duration":47760,"video_url":"https://video.twimg.com/ext_tw_video/1868352529102254080/pu/vid/avc1/720x1280/MWdF_Cd2DUA0hNAk.mp4?tag=12"}]</t>
  </si>
  <si>
    <t>➡️ Funcionário da Globo morre após ser confundido com miliciano em bar
Jhonata Lima Almeida, de 30 anos, era montador nos estúdios Globo e estava em um bar em Nova Iguaçu quando foi baleado
Leia:</t>
  </si>
  <si>
    <t>"2024-12-15T17:29:28.000Z"</t>
  </si>
  <si>
    <t>["https://pbs.twimg.com/media/Ge20R9JXgAAjzo0.png"]</t>
  </si>
  <si>
    <t>https://x.com/Metropoles/status/1868347656956940654</t>
  </si>
  <si>
    <t>https://curt.link/tveYf</t>
  </si>
  <si>
    <t>➡️ Bar comunista é apedrejado em SP e dono cita “luta contra o fascismo”
Recém-inaugurado na Mooca, zona leste de SP, pub comunista foi apedrejado nessa semana e proprietário procurou a polícia
Leia:</t>
  </si>
  <si>
    <t>"2024-12-15T20:26:19.000Z"</t>
  </si>
  <si>
    <t>https://x.com/Metropoles/status/1868392165086289958</t>
  </si>
  <si>
    <t>https://curt.link/yTUge</t>
  </si>
  <si>
    <t>[{"duration":55722,"video_url":"https://video.twimg.com/ext_tw_video/1868392112137424896/pu/vid/avc1/720x1280/EYCjhATU0LTuQTC0.mp4?tag=12"}]</t>
  </si>
  <si>
    <t>➡️RJ: funcionários serão demitidos após homem morrer na espera de UPA
Paciente de 32 anos morreu após esperar por atendimento em uma UPA da Cidade de Deus, zona oeste do Rio. PCERJ investiga o caso
Leia:</t>
  </si>
  <si>
    <t>"2024-12-15T00:37:43.000Z"</t>
  </si>
  <si>
    <t>["https://pbs.twimg.com/media/GezMtoTXoAAh421.png"]</t>
  </si>
  <si>
    <t>https://x.com/Metropoles/status/1868093041678106666</t>
  </si>
  <si>
    <t>https://curt.link/jpwNK</t>
  </si>
  <si>
    <t>Rep███baj███</t>
  </si>
  <si>
    <t>Rep███alu███arb██████</t>
  </si>
  <si>
    <t>.@POTUS and @SecretaryPete ensured you get a refund for cancelled or heavily delayed flights.
Now there's talk of repealing those rules.
Really?
Is Donald Trump so petty that he's fine letting you foot the bill when an airline leaves you behind?</t>
  </si>
  <si>
    <t>"2024-12-16T00:17:36.000Z"</t>
  </si>
  <si>
    <t>https://x.com/RepCarbajal/status/1868450367786111379</t>
  </si>
  <si>
    <t>[{"biography":null,"followers":null,"following":null,"is_verified":null,"profile_id":"1349149096909668363","profile_name":"President Biden","url":"https://x.com/POTUS"},{"biography":null,"followers":null,"following":null,"is_verified":null,"profile_id":"1356958547603513346","profile_name":"Secretary Pete Buttigieg","url":"https://x.com/SecretaryPete"}]</t>
  </si>
  <si>
    <t>https://www.axios.com/2024/11/28/trump-airline-refunds</t>
  </si>
  <si>
    <t>Father, husband and veteran proudly representing California’s 24th District. Working to protect the environment, improve our economy, and support our veterans.</t>
  </si>
  <si>
    <t>https://pbs.twimg.com/profile_images/1547321189764419588/hyoV_iLL_normal.jpg</t>
  </si>
  <si>
    <t>["https://pbs.twimg.com/card_img/1867289017022316544/XiuPxZ4i?format=jpg&amp;name=orig"]</t>
  </si>
  <si>
    <t>Fab███ioR███no</t>
  </si>
  <si>
    <t>Fab███io ███ano███</t>
  </si>
  <si>
    <t>🔴⚫️🏆 Bayer Leverkusen win the Bundesliga title for the FIRST time in their history!
74 goals scored, 19 goals conceded, ZERO defeats.
Insane job by Xabi Alonso and this group of fantastic players.
Congratulations, @bayer04fussball! ✨</t>
  </si>
  <si>
    <t>"2024-04-14T17:20:33.000Z"</t>
  </si>
  <si>
    <t>["https://pbs.twimg.com/media/GLJEvNmW0AAGDv8.jpg"]</t>
  </si>
  <si>
    <t>https://x.com/FabrizioRomano/status/1779560388859760867</t>
  </si>
  <si>
    <t>[{"biography":null,"followers":null,"following":null,"is_verified":null,"profile_id":"180720589","profile_name":"Bayer 04 Leverkusen","url":"https://x.com/bayer04fussball"}]</t>
  </si>
  <si>
    <t>Here we go! © fabrizio.romano93@gmail.com 📩</t>
  </si>
  <si>
    <t>https://pbs.twimg.com/profile_images/1741753635158024192/j0m8Ucvv_normal.jpg</t>
  </si>
  <si>
    <t>🤩 @T_Reijnders</t>
  </si>
  <si>
    <t>"2024-12-15T20:59:58.000Z"</t>
  </si>
  <si>
    <t>["https://pbs.twimg.com/media/Ge3kXFAWkAA9Rcf.jpg"]</t>
  </si>
  <si>
    <t>https://x.com/acmilan/status/1868400631917998495</t>
  </si>
  <si>
    <t>[{"biography":null,"followers":null,"following":null,"is_verified":null,"profile_id":"1681337486939676672","profile_name":"Tijjani Reijnders","url":"https://x.com/T_Reijnders"}]</t>
  </si>
  <si>
    <t>🔛 Rola a bola na Vila das Aves! 💪
#AVSSLB • #LigaPortugalBetclic</t>
  </si>
  <si>
    <t>"2024-12-15T18:01:08.000Z"</t>
  </si>
  <si>
    <t>["https://pbs.twimg.com/media/Ge27LFcWQAAbBYB.jpg"]</t>
  </si>
  <si>
    <t>https://x.com/SLBenfica/status/1868355626104922315</t>
  </si>
  <si>
    <t>Kir███ceC███</t>
  </si>
  <si>
    <t>CUP███KIR███</t>
  </si>
  <si>
    <t>Double trouble (and for once we're not talking about @DanTicktum)</t>
  </si>
  <si>
    <t>"2024-12-15T10:00:02.000Z"</t>
  </si>
  <si>
    <t>["https://pbs.twimg.com/media/GesV9gDWUAAkq4R.jpg"]</t>
  </si>
  <si>
    <t>https://x.com/KiroRaceCo/status/1868234554160623935</t>
  </si>
  <si>
    <t>[{"biography":null,"followers":null,"following":null,"is_verified":null,"profile_id":"2221276261","profile_name":"Dan Ticktum","url":"https://x.com/DanTicktum"}]</t>
  </si>
  <si>
    <t>Official account of CUPRA KIRO competing in the ABB FIA Formula E World Championship</t>
  </si>
  <si>
    <t>https://pbs.twimg.com/profile_images/1863871964709892096/dJGNyof4_normal.jpg</t>
  </si>
  <si>
    <t>The first player to 200 #BarclaysWSL appearances!
Jordan Nobbs 🤩</t>
  </si>
  <si>
    <t>"2024-12-15T14:02:09.000Z"</t>
  </si>
  <si>
    <t>["https://pbs.twimg.com/media/Ge2EiT6WgAAgA6o.jpg"]</t>
  </si>
  <si>
    <t>https://x.com/BarclaysWSL/status/1868295486626513400</t>
  </si>
  <si>
    <t>That first half in numbers! 🔢
#BarclaysWSL</t>
  </si>
  <si>
    <t>"2024-12-15T13:23:59.000Z"</t>
  </si>
  <si>
    <t>["https://pbs.twimg.com/media/Ge178OIXoAA8JuO.jpg"]</t>
  </si>
  <si>
    <t>https://x.com/BarclaysWSL/status/1868285878130688200</t>
  </si>
  <si>
    <t>The stats are in following a dominant half from @ManUtdWomen 🫡
#BarclaysWSL</t>
  </si>
  <si>
    <t>"2024-12-15T15:01:41.000Z"</t>
  </si>
  <si>
    <t>["https://pbs.twimg.com/media/Ge2ScjqW4AAaArC.jpg"]</t>
  </si>
  <si>
    <t>https://x.com/BarclaysWSL/status/1868310468072501279</t>
  </si>
  <si>
    <t>[{"biography":null,"followers":null,"following":null,"is_verified":null,"profile_id":"977180963846443013","profile_name":"Manchester United Women","url":"https://x.com/ManUtdWomen"}]</t>
  </si>
  <si>
    <t>QUE LOUCURA! 😳 O City vencia até os 88 do segundo tempo, mas o United foi buscar uma virada HISTÓRICA! É, Guardiola... 👀 #PremierLeague</t>
  </si>
  <si>
    <t>"2024-12-15T18:30:56.000Z"</t>
  </si>
  <si>
    <t>["https://pbs.twimg.com/media/Ge3CIP2XcAAPpLH.jpg"]</t>
  </si>
  <si>
    <t>https://x.com/TNTSportsBR/status/1868363125801808049</t>
  </si>
  <si>
    <t>People in Asia sleep later, shorter and less well</t>
  </si>
  <si>
    <t>"2024-12-16T02:34:32.000Z"</t>
  </si>
  <si>
    <t>https://x.com/TheEconomist/status/1868484827139170738</t>
  </si>
  <si>
    <t>https://econ.st/3VEEljs</t>
  </si>
  <si>
    <t>["https://pbs.twimg.com/card_img/1867680014910550016/u6_OPuIR?format=png&amp;name=orig"]</t>
  </si>
  <si>
    <t>On “The Weekend Intelligence” podcast @studersc travels across America in search of what it means to be a Good Samaritan. On the way, she speaks to philosopher @agnescallard, as well as a pastor and a lawyer</t>
  </si>
  <si>
    <t>"2024-12-16T02:16:03.000Z"</t>
  </si>
  <si>
    <t>https://x.com/TheEconomist/status/1868480178201997805</t>
  </si>
  <si>
    <t>https://econ.st/41zU7Ab</t>
  </si>
  <si>
    <t>The number of people in Latin America and the Caribbean opening their first bank account has been growing faster than the global rate in recent years. Financial institutions will aim to keep up the momentum in 2025</t>
  </si>
  <si>
    <t>"2024-12-15T23:35:02.000Z"</t>
  </si>
  <si>
    <t>https://x.com/TheEconomist/status/1868439657664454710</t>
  </si>
  <si>
    <t>https://econ.st/3CUvrrK</t>
  </si>
  <si>
    <t>["https://pbs.twimg.com/card_img/1866159393764478976/VyFHYRRU?format=jpg&amp;name=orig"]</t>
  </si>
  <si>
    <t>Abu Hassan al-Hamawi is largely responsible for his group’s sweeping conquest of much of Syria in recent weeks. 
Sipping tea and wearing a Kalashnikov, the military commander sat down to speak with us:</t>
  </si>
  <si>
    <t>"2024-12-15T19:28:02.000Z"</t>
  </si>
  <si>
    <t>https://x.com/TheEconomist/status/1868377495684202695</t>
  </si>
  <si>
    <t>https://econ.st/49DRlvr</t>
  </si>
  <si>
    <t>["https://pbs.twimg.com/card_img/1867590955462754304/Q2z4rW-N?format=jpg&amp;name=orig"]</t>
  </si>
  <si>
    <t>There is something enigmatic about Tulsi Gabbard, who may soon run America’s spy agencies. It is not just a matter of first impressions. It is also her convictions. 
Some are batty enough to make a right-thinking person squirm</t>
  </si>
  <si>
    <t>"2024-12-15T18:55:02.000Z"</t>
  </si>
  <si>
    <t>https://x.com/TheEconomist/status/1868369192270913804</t>
  </si>
  <si>
    <t>https://econ.st/3ZApW9h</t>
  </si>
  <si>
    <t>With packed restaurants and throngs of shoppers, Madrid is enjoying a palpable pre-Christmas buzz. The rest of Spain’s economy is basking in it too.
But how long can the good times last?</t>
  </si>
  <si>
    <t>"2024-12-15T18:13:04.000Z"</t>
  </si>
  <si>
    <t>https://x.com/TheEconomist/status/1868358629679612260</t>
  </si>
  <si>
    <t>https://econ.st/3VCiZ6s</t>
  </si>
  <si>
    <t>["https://pbs.twimg.com/card_img/1867212076411682816/mLPtxoZl?format=jpg&amp;name=orig"]</t>
  </si>
  <si>
    <t>“It made me want to basically smash my phone.” 
How a Chinese hacking group reportedly targeted American politicians:</t>
  </si>
  <si>
    <t>"2024-12-15T15:49:03.000Z"</t>
  </si>
  <si>
    <t>https://x.com/TheEconomist/status/1868322388531687504</t>
  </si>
  <si>
    <t>https://econ.st/4ggyYzw</t>
  </si>
  <si>
    <t>["https://pbs.twimg.com/card_img/1867213393800622080/C0o_v-ty?format=jpg&amp;name=orig"]</t>
  </si>
  <si>
    <t>Romania’s constitutional court has annulled the country’s presidential election after a crankish candidate illegally exploited social-media algorithms.
There is little doubt that this was the case, but there were other factors for his success</t>
  </si>
  <si>
    <t>"2024-12-15T09:19:02.000Z"</t>
  </si>
  <si>
    <t>https://x.com/TheEconomist/status/1868224234666746110</t>
  </si>
  <si>
    <t>https://econ.st/41wSbIo</t>
  </si>
  <si>
    <t>["https://pbs.twimg.com/card_img/1867212227784192001/XhVjkB9Z?format=jpg&amp;name=orig"]</t>
  </si>
  <si>
    <t>Does an elusive handshake await Donald Trump and Ayatollah Ali Khamenei in 2025? 
The question may depend on whether Iran’s supreme leader can stomach such a photo-op</t>
  </si>
  <si>
    <t>"2024-12-15T08:19:05.000Z"</t>
  </si>
  <si>
    <t>https://x.com/TheEconomist/status/1868209147730124877</t>
  </si>
  <si>
    <t>https://econ.st/3Zw2oDv</t>
  </si>
  <si>
    <t>["https://pbs.twimg.com/card_img/1866491678732738560/5bqvuArg?format=jpg&amp;name=orig"]</t>
  </si>
  <si>
    <t>➡️ Esperma de salmão no rosto: entenda tratamento de Virginia Fonseca
O esperma de salmão vem sendo muito utilizado em clínicas de estética para promover o rejuvenescimento da pele
Leia:</t>
  </si>
  <si>
    <t>"2024-12-15T22:15:00.000Z"</t>
  </si>
  <si>
    <t>["https://pbs.twimg.com/media/Ge2Zu7KW8AAaVhH.png"]</t>
  </si>
  <si>
    <t>https://x.com/Metropoles/status/1868419513928257985</t>
  </si>
  <si>
    <t>https://curt.link/QBIKq</t>
  </si>
  <si>
    <t>➡️ Após 6 dias internado, Lula recebe alta da equipe médica neste domingo
Desde que foi internado em 9/12, Lula foi submetido a dois procedimentos cirúrgicos no Hospital Sírio Libanês, no centro de SP
Leia:</t>
  </si>
  <si>
    <t>"2024-12-15T14:20:19.000Z"</t>
  </si>
  <si>
    <t>["https://pbs.twimg.com/media/Ge2I6rfWwAEOtgR.png"]</t>
  </si>
  <si>
    <t>https://x.com/Metropoles/status/1868300056287404335</t>
  </si>
  <si>
    <t>https://curt.link/QbtlJ</t>
  </si>
  <si>
    <t>Lig███VAM███</t>
  </si>
  <si>
    <t>Lig███BVA███</t>
  </si>
  <si>
    <t>¡¡¡SIGUE VIVO EL BICAMPEÓN!!🦅🦅
De manera dramática, el @ClubAmerica derrotó al Cruz Azul y avanzó a la Gran Final de #NuestraFiesta, donde buscará el tricampeonato ante @Rayados.</t>
  </si>
  <si>
    <t>"2024-12-09T03:19:35.000Z"</t>
  </si>
  <si>
    <t>["https://pbs.twimg.com/media/GeU4Kt1XIAA5TqF.jpg"]</t>
  </si>
  <si>
    <t>https://x.com/LigaBBVAMX/status/1865959449720213791</t>
  </si>
  <si>
    <t>[{"biography":null,"followers":null,"following":null,"is_verified":null,"profile_id":"122211977","profile_name":"Club América","url":"https://x.com/ClubAmerica"},{"biography":null,"followers":null,"following":null,"is_verified":null,"profile_id":"86437426","profile_name":"Rayados","url":"https://x.com/Rayados"}]</t>
  </si>
  <si>
    <t>["NuestraFiesta"]</t>
  </si>
  <si>
    <t>Te tqm, Liga BBVA MX. 🥰 Soy un fan más haciéndola de CM. Como dice la chaviza, es la liga más mágica del continente. ✨⚽
Cuenta corporativa ➡️ @LigaBBVAMXCorp</t>
  </si>
  <si>
    <t>https://pbs.twimg.com/profile_images/1853440816137510912/a14K-9q2_normal.jpg</t>
  </si>
  <si>
    <t>Cov███Sho███</t>
  </si>
  <si>
    <t>H I███tto███</t>
  </si>
  <si>
    <t>***UPDATE***
Guide To Iran's Navy &amp;amp; IRGC's Drone Carriers, Forward Base Ships, and Covert Intelligence Ships -&amp;gt;</t>
  </si>
  <si>
    <t>"2024-12-15T08:55:35.000Z"</t>
  </si>
  <si>
    <t>["https://pbs.twimg.com/media/Ge0-QbxX0AEMTzg.jpg","https://pbs.twimg.com/media/Ge0-S2xWIAAwXQU.jpg","https://pbs.twimg.com/media/Ge0-VaDXIAABa08.jpg","https://pbs.twimg.com/media/Ge0-agdXAAADPwf.jpg"]</t>
  </si>
  <si>
    <t>https://x.com/CovertShores/status/1868218335890198660</t>
  </si>
  <si>
    <t>http://www.hisutton.com/Iran-Navy-IRGC-Forward-Base-Ships.html</t>
  </si>
  <si>
    <t>["OSINT"]</t>
  </si>
  <si>
    <t>Independent Defense Analysis, Unconventional Naval Warfare, author, submarines, #OSINT, illustrations. Mostly typos</t>
  </si>
  <si>
    <t>https://pbs.twimg.com/profile_images/1681257086586585088/BDYhidN1_normal.jpg</t>
  </si>
  <si>
    <t>@Bucks @hornets @MiamiHEAT Nikola Jokić follows up his career-high 56 points last night with 48 tonight as the @nuggets win!
Michael Porter Jr.: 26 PTS (12-17 FGM)
Christian Braun: 17 PTS (7-11 FGM), 8 REB
Julian Strawther: 13 PTS (5-6 FGM)</t>
  </si>
  <si>
    <t>"2024-12-09T04:48:14.000Z"</t>
  </si>
  <si>
    <t>["https://pbs.twimg.com/media/GeVK6aDXMAEn0oP.jpg"]</t>
  </si>
  <si>
    <t>https://x.com/NBA/status/1865981758518313344</t>
  </si>
  <si>
    <t>[{"biography":null,"followers":null,"following":null,"is_verified":null,"profile_id":"15900167","profile_name":"Milwaukee Bucks","url":"https://x.com/Bucks"},{"biography":null,"followers":null,"following":null,"is_verified":null,"profile_id":"21308488","profile_name":"Charlotte Hornets","url":"https://x.com/hornets"},{"biography":null,"followers":null,"following":null,"is_verified":null,"profile_id":"11026952","profile_name":"Miami HEAT","url":"https://x.com/MiamiHEAT"},{"biography":null,"followers":null,"following":null,"is_verified":null,"profile_id":"26074296","profile_name":"Denver Nuggets","url":"https://x.com/nuggets"}]</t>
  </si>
  <si>
    <t>{"post_id":"1865977140178571325","profile_id":"19923144","profile_name":"NBA"}</t>
  </si>
  <si>
    <t>@Bucks @hornets @MiamiHEAT @nuggets Goga Bitadze grabs 9 offensive boards as the @OrlandoMagic improve to 10-0 at home!
Jalen Suggs: 26 PTS (14 in the 4Q)
Cole Anthony: 14 PTS, 2 BLK</t>
  </si>
  <si>
    <t>"2024-12-09T04:56:19.000Z"</t>
  </si>
  <si>
    <t>["https://pbs.twimg.com/media/GeVN62EWEAAbn7b.jpg"]</t>
  </si>
  <si>
    <t>https://x.com/NBA/status/1865983794068795687</t>
  </si>
  <si>
    <t>[{"biography":null,"followers":null,"following":null,"is_verified":null,"profile_id":"15900167","profile_name":"Milwaukee Bucks","url":"https://x.com/Bucks"},{"biography":null,"followers":null,"following":null,"is_verified":null,"profile_id":"21308488","profile_name":"Charlotte Hornets","url":"https://x.com/hornets"},{"biography":null,"followers":null,"following":null,"is_verified":null,"profile_id":"11026952","profile_name":"Miami HEAT","url":"https://x.com/MiamiHEAT"},{"biography":null,"followers":null,"following":null,"is_verified":null,"profile_id":"26074296","profile_name":"Denver Nuggets","url":"https://x.com/nuggets"},{"biography":null,"followers":null,"following":null,"is_verified":null,"profile_id":"19537303","profile_name":"Orlando Magic","url":"https://x.com/OrlandoMagic"}]</t>
  </si>
  <si>
    <t>{"post_id":"1865981758518313344","profile_id":"19923144","profile_name":"NBA"}</t>
  </si>
  <si>
    <t>@Bucks @hornets @MiamiHEAT @nuggets @OrlandoMagic @spurs Jaren Jackson Jr. does it on both ends as the @memgrizz win for the 9th time in 10 games!
Santi Aldama: 19 PTS, 5 AST, 3 BLK
Jay Huff: 17 PTS
Scotty Pippen Jr.: 14 PTS, 12 AST</t>
  </si>
  <si>
    <t>"2024-12-09T05:06:27.000Z"</t>
  </si>
  <si>
    <t>["https://pbs.twimg.com/media/GeVPoUVWUAAPvT9.jpg"]</t>
  </si>
  <si>
    <t>https://x.com/NBA/status/1865986344238870996</t>
  </si>
  <si>
    <t>[{"biography":null,"followers":null,"following":null,"is_verified":null,"profile_id":"15900167","profile_name":"Milwaukee Bucks","url":"https://x.com/Bucks"},{"biography":null,"followers":null,"following":null,"is_verified":null,"profile_id":"21308488","profile_name":"Charlotte Hornets","url":"https://x.com/hornets"},{"biography":null,"followers":null,"following":null,"is_verified":null,"profile_id":"11026952","profile_name":"Miami HEAT","url":"https://x.com/MiamiHEAT"},{"biography":null,"followers":null,"following":null,"is_verified":null,"profile_id":"26074296","profile_name":"Denver Nuggets","url":"https://x.com/nuggets"},{"biography":null,"followers":null,"following":null,"is_verified":null,"profile_id":"19537303","profile_name":"Orlando Magic","url":"https://x.com/OrlandoMagic"},{"biography":null,"followers":null,"following":null,"is_verified":null,"profile_id":"18371803","profile_name":"San Antonio Spurs","url":"https://x.com/spurs"},{"biography":null,"followers":null,"following":null,"is_verified":null,"profile_id":"7117962","profile_name":"Memphis Grizzlies","url":"https://x.com/memgrizz"}]</t>
  </si>
  <si>
    <t>{"post_id":"1865985070282018904","profile_id":"19923144","profile_name":"NBA"}</t>
  </si>
  <si>
    <t>No way through in the first 45 at San Siro ⏸️
#MilanGenoa #SempreMilan 
Brought to you by @Bitpanda_global</t>
  </si>
  <si>
    <t>"2024-12-15T20:37:01.000Z"</t>
  </si>
  <si>
    <t>["https://pbs.twimg.com/media/Ge3fNFkXEAAcXkD.jpg"]</t>
  </si>
  <si>
    <t>https://x.com/acmilan/status/1868394856189722814</t>
  </si>
  <si>
    <t>[{"biography":null,"followers":null,"following":null,"is_verified":null,"profile_id":"2425772784","profile_name":"Bitpanda","url":"https://x.com/Bitpanda_global"}]</t>
  </si>
  <si>
    <t>🌡️💨
#AVSSLB • #LigaPortugalBetclic</t>
  </si>
  <si>
    <t>"2024-12-15T17:56:09.000Z"</t>
  </si>
  <si>
    <t>["https://pbs.twimg.com/media/Ge26O_FWQAAGI41.jpg","https://pbs.twimg.com/media/Ge26QStWQAE_lHo.jpg","https://pbs.twimg.com/media/Ge26QSqWsAAYNTR.jpg"]</t>
  </si>
  <si>
    <t>https://x.com/SLBenfica/status/1868354374407274725</t>
  </si>
  <si>
    <t>#SLBenficaFem | 🤩 Vitória na 1.ª mão dos 𝙦𝙪𝙖𝙧𝙩𝙤𝙨 𝙙𝙚 𝙛𝙞𝙣𝙖𝙡 da #TaçadaLigaFeminina!
⚽ Cristina Martín-Prieto &amp;amp; Chandra Davidson.
#LojasEspacoCasa #Europcar #Glassdrive #Auditiv @adidasfootball</t>
  </si>
  <si>
    <t>"2024-12-15T12:50:07.000Z"</t>
  </si>
  <si>
    <t>["https://pbs.twimg.com/media/Ge10VhxXAAALhfN.jpg"]</t>
  </si>
  <si>
    <t>https://x.com/SLBenfica/status/1868277356885835813</t>
  </si>
  <si>
    <t>["SLBenficaFem","TaçadaLigaFeminina","LojasEspacoCasa","Europcar","Glassdrive","Auditiv"]</t>
  </si>
  <si>
    <t>{"post_id":"1868267849376313555","profile_id":"21390437","profile_name":"SLBenfica"}</t>
  </si>
  <si>
    <t>Pro███sWo███CSA███</t>
  </si>
  <si>
    <t>Pro███s W███n</t>
  </si>
  <si>
    <t>Smile everyone!😁
A "Historic Moment" in Women's Test Match Cricket for South Africa🇿🇦🏏
#AlwaysRising #WozaNawe
#BePartOfIt #SAvENG</t>
  </si>
  <si>
    <t>"2024-12-15T08:25:49.000Z"</t>
  </si>
  <si>
    <t>["https://pbs.twimg.com/media/Ge03W2uXAAA0BOm.jpg"]</t>
  </si>
  <si>
    <t>https://x.com/ProteasWomenCSA/status/1868210843445604691</t>
  </si>
  <si>
    <t>["AlwaysRising","WozaNawe","BePartOfIt","SAvENG"]</t>
  </si>
  <si>
    <t>Welcome to the official handle of girls and women's cricket in South Africa.
#AlwaysRising 
#WozaNawe</t>
  </si>
  <si>
    <t>https://pbs.twimg.com/profile_images/1866034724629577728/Ze5gN3PC_normal.jpg</t>
  </si>
  <si>
    <t>Sco███ndN███</t>
  </si>
  <si>
    <t>Sco███nd ███ion█████████</t>
  </si>
  <si>
    <t>🎂 Happy Birthday to @amygallacherr 🏴󠁧󠁢󠁳󠁣󠁴󠁿
#SWNT</t>
  </si>
  <si>
    <t>"2024-12-15T08:01:00.000Z"</t>
  </si>
  <si>
    <t>["https://pbs.twimg.com/media/GemR0-nWgAA7az1.jpg"]</t>
  </si>
  <si>
    <t>https://x.com/ScotlandNT/status/1868204598626062765</t>
  </si>
  <si>
    <t>[{"biography":null,"followers":null,"following":null,"is_verified":null,"profile_id":"479670250","profile_name":"Amy Gallacher","url":"https://x.com/amygallacherr"}]</t>
  </si>
  <si>
    <t>["SWNT"]</t>
  </si>
  <si>
    <t>The official Twitter account of the Scotland National Teams 🏴󠁧󠁢󠁳󠁣󠁴󠁿</t>
  </si>
  <si>
    <t>https://pbs.twimg.com/profile_images/1701911666747662336/O2E8IiBY_normal.jpg</t>
  </si>
  <si>
    <t>KRC███kof███ial███</t>
  </si>
  <si>
    <t>KRC███nk</t>
  </si>
  <si>
    <t>Starting XI locked in for the clash in Brugge 💪
#mijnploeg  #krcgenk</t>
  </si>
  <si>
    <t>"2024-12-15T11:34:07.000Z"</t>
  </si>
  <si>
    <t>["https://pbs.twimg.com/media/Ge1i9blXoAA_I18.jpg"]</t>
  </si>
  <si>
    <t>https://x.com/KRCGenkofficial/status/1868258230712905872</t>
  </si>
  <si>
    <t>["mijnploeg","krcgenk"]</t>
  </si>
  <si>
    <t>Official Twitter of KRC Genk, #mijnploeg. 👧 @krcgenkladies 🎮 @krcgenkesports</t>
  </si>
  <si>
    <t>https://pbs.twimg.com/profile_images/1792659529861136384/i-BMnhqY_normal.jpg</t>
  </si>
  <si>
    <t>AVW███ffi███l</t>
  </si>
  <si>
    <t>Ast███Vil███Wom███</t>
  </si>
  <si>
    <t>Let's go, Maz ✊
88' 🟣 3-1 ⚪️ // #BarclaysWSL</t>
  </si>
  <si>
    <t>"2024-12-15T15:50:11.000Z"</t>
  </si>
  <si>
    <t>["https://pbs.twimg.com/media/Ge2diNcWEAAkD7A.jpg"]</t>
  </si>
  <si>
    <t>https://x.com/AVWFCOfficial/status/1868322672414961995</t>
  </si>
  <si>
    <t>Home of Aston Villa Women 💜</t>
  </si>
  <si>
    <t>https://pbs.twimg.com/profile_images/1859975707356491776/YQWZ4J18_normal.jpg</t>
  </si>
  <si>
    <t>Manchester United's number eight 🔥
#BarclaysWSL @ManUtdWomen</t>
  </si>
  <si>
    <t>"2024-12-15T14:23:49.000Z"</t>
  </si>
  <si>
    <t>["https://pbs.twimg.com/media/Ge2IaWyWoAA8FGE.jpg"]</t>
  </si>
  <si>
    <t>https://x.com/BarclaysWSL/status/1868300938223771962</t>
  </si>
  <si>
    <t>Ending the calendar year with three points 🤩
#BarclaysWSL @ManUtdWomen</t>
  </si>
  <si>
    <t>"2024-12-15T18:18:00.000Z"</t>
  </si>
  <si>
    <t>["https://pbs.twimg.com/media/Ge2jR4IWYAAuuu8.jpg"]</t>
  </si>
  <si>
    <t>https://x.com/BarclaysWSL/status/1868359870640173406</t>
  </si>
  <si>
    <t>❤️⚪
#AVSSLB • #LigaPortugalBetclic</t>
  </si>
  <si>
    <t>"2024-12-15T21:59:11.000Z"</t>
  </si>
  <si>
    <t>["https://pbs.twimg.com/media/Ge3uWBbXAAA4_u8.jpg"]</t>
  </si>
  <si>
    <t>https://x.com/SLBenfica/status/1868415536239153250</t>
  </si>
  <si>
    <t>Health and long life correlate unsurprisingly with GDP per capita. But southern Europe is outperforming the usual link between wealth and health</t>
  </si>
  <si>
    <t>"2024-12-15T21:32:05.000Z"</t>
  </si>
  <si>
    <t>https://x.com/TheEconomist/status/1868408713582727202</t>
  </si>
  <si>
    <t>https://econ.st/49AfH9E</t>
  </si>
  <si>
    <t>["https://pbs.twimg.com/card_img/1866656571553468416/rmNcN8KD?format=jpg&amp;name=orig"]</t>
  </si>
  <si>
    <t>Since 2020, the global economy has been pummelled by a succession of shocks: the pandemic, a fiscal spending bonanza, an inflation spike, the invasion of Ukraine and more. As the dust settles, what has changed? Read more in The World Ahead</t>
  </si>
  <si>
    <t>"2024-12-15T13:42:01.000Z"</t>
  </si>
  <si>
    <t>https://x.com/TheEconomist/status/1868290419886350624</t>
  </si>
  <si>
    <t>https://econ.st/4eSiQ5G</t>
  </si>
  <si>
    <t>["https://pbs.twimg.com/card_img/1866731337388003331/y0Y6CHrz?format=jpg&amp;name=orig"]</t>
  </si>
  <si>
    <t>The loss of the key port of Tartus on Syria’s coast could soon hobble the Russian navy. 
Without it, the Kremlin’s naval operations in the Mediterranean are likely to become shorter, more expensive and more sporadic</t>
  </si>
  <si>
    <t>"2024-12-15T13:21:29.000Z"</t>
  </si>
  <si>
    <t>https://x.com/TheEconomist/status/1868285248804393080</t>
  </si>
  <si>
    <t>https://econ.st/41roqss</t>
  </si>
  <si>
    <t>["https://pbs.twimg.com/card_img/1866498126346870784/S576kBIK?format=jpg&amp;name=orig"]</t>
  </si>
  <si>
    <t>Georgia’s pro-Russia government is walking a fine line as it tries to crack down on protesters, but not so brutally as to provoke an uprising</t>
  </si>
  <si>
    <t>"2024-12-15T18:58:07.000Z"</t>
  </si>
  <si>
    <t>https://x.com/TheEconomist/status/1868369968380682330</t>
  </si>
  <si>
    <t>https://econ.st/4fs7beg</t>
  </si>
  <si>
    <t>["https://pbs.twimg.com/card_img/1868366080705490944/735kZbE2?format=jpg&amp;name=orig"]</t>
  </si>
  <si>
    <t>A dozen years ago Spain was a byword for economic failure. How that has changed. 
By our reckoning, it is now on course to be the best-performing rich-world economy of 2024 across a range of measures. Still, the country must not rest easy</t>
  </si>
  <si>
    <t>"2024-12-15T09:13:11.000Z"</t>
  </si>
  <si>
    <t>https://x.com/TheEconomist/status/1868222764546462155</t>
  </si>
  <si>
    <t>https://econ.st/49DAc53</t>
  </si>
  <si>
    <t>["https://pbs.twimg.com/card_img/1867211330073010176/DcTARZI2?format=jpg&amp;name=orig"]</t>
  </si>
  <si>
    <t>Tales of corruption are not new to Bangladesh. But never before has it been so widespread and pervasive, one expert reckons.
Fixing things, while the country rebuilds its institutions, will be tricky</t>
  </si>
  <si>
    <t>"2024-12-15T05:28:16.000Z"</t>
  </si>
  <si>
    <t>https://x.com/TheEconomist/status/1868166161977753652</t>
  </si>
  <si>
    <t>https://econ.st/4fcfLgN</t>
  </si>
  <si>
    <t>["https://pbs.twimg.com/card_img/1867213055412584448/HhnvhH12?format=jpg&amp;name=orig"]</t>
  </si>
  <si>
    <t>The U-bend of life—and why it begins at 46</t>
  </si>
  <si>
    <t>"2024-12-15T03:40:25.000Z"</t>
  </si>
  <si>
    <t>https://x.com/TheEconomist/status/1868139022570156415</t>
  </si>
  <si>
    <t>https://econ.st/49IZ4Zl</t>
  </si>
  <si>
    <t>["https://pbs.twimg.com/card_img/1867082384450998272/I7pnUSBV?format=jpg&amp;name=orig"]</t>
  </si>
  <si>
    <t>➡️ “Vivo, inteiro e com mais vontade de trabalhar”, diz Lula após alta
Presidente Lula teve alta hospitalar neste domingo (15/12), após 6 dias internado por causa de cirurgia para conter uma hemorragia na cabeça
Leia:</t>
  </si>
  <si>
    <t>"2024-12-15T16:49:54.000Z"</t>
  </si>
  <si>
    <t>https://x.com/Metropoles/status/1868337699708424547</t>
  </si>
  <si>
    <t>https://curt.link/grXSi</t>
  </si>
  <si>
    <t>[{"duration":31207,"video_url":"https://video.twimg.com/ext_tw_video/1868337667231920128/pu/vid/avc1/1280x720/WUKiIvaQgfa5VxiU.mp4?tag=12"}]</t>
  </si>
  <si>
    <t>➡️ O vídeo que complica Braga Netto nas investigações da PF
A Polícia Federal usou um diálogo de Braga Netto, registrado em vídeo, para reforçar a acusação de que o general teria atuado por um golpe
Leia na coluna @PauloCappelli_ :</t>
  </si>
  <si>
    <t>"2024-12-15T11:24:36.000Z"</t>
  </si>
  <si>
    <t>https://x.com/Metropoles/status/1868255837543870553</t>
  </si>
  <si>
    <t>[{"biography":null,"followers":null,"following":null,"is_verified":null,"profile_id":"1092426810292342788","profile_name":"Paulo Cappelli","url":"https://x.com/PauloCappelli_"}]</t>
  </si>
  <si>
    <t>https://curt.link/xBHOt</t>
  </si>
  <si>
    <t>[{"duration":44992,"video_url":"https://video.twimg.com/ext_tw_video/1868255716491862016/pu/vid/avc1/720x1278/vL4lZrGA8iiYj2jd.mp4?tag=12"}]</t>
  </si>
  <si>
    <t>➡️ Rodrigo Constantino: saiba quais são os sintomas de câncer na língua
Comunicador Rodrigo Constantino revelou que está lutando contra um câncer de boca que teria começado na língua
Leia:</t>
  </si>
  <si>
    <t>"2024-12-15T10:45:00.000Z"</t>
  </si>
  <si>
    <t>["https://pbs.twimg.com/media/GeyUePzWoAAMwD8.png"]</t>
  </si>
  <si>
    <t>https://x.com/Metropoles/status/1868245869864296515</t>
  </si>
  <si>
    <t>https://curt.link/xnZlE</t>
  </si>
  <si>
    <t>@Bucks @hornets @MiamiHEAT @nuggets @OrlandoMagic Wemby comes up big late to power the @spurs to victory!
Stephon Castle: 22 PTS
Charles Bassey: 16 PTS, 12 REB, 4 BLK
Chris Paul: 10 AST (moves to 2nd all-time)</t>
  </si>
  <si>
    <t>"2024-12-09T05:01:23.000Z"</t>
  </si>
  <si>
    <t>["https://pbs.twimg.com/media/GeVOsOFW4AAtl0j.jpg"]</t>
  </si>
  <si>
    <t>https://x.com/NBA/status/1865985070282018904</t>
  </si>
  <si>
    <t>[{"biography":null,"followers":null,"following":null,"is_verified":null,"profile_id":"15900167","profile_name":"Milwaukee Bucks","url":"https://x.com/Bucks"},{"biography":null,"followers":null,"following":null,"is_verified":null,"profile_id":"21308488","profile_name":"Charlotte Hornets","url":"https://x.com/hornets"},{"biography":null,"followers":null,"following":null,"is_verified":null,"profile_id":"11026952","profile_name":"Miami HEAT","url":"https://x.com/MiamiHEAT"},{"biography":null,"followers":null,"following":null,"is_verified":null,"profile_id":"26074296","profile_name":"Denver Nuggets","url":"https://x.com/nuggets"},{"biography":null,"followers":null,"following":null,"is_verified":null,"profile_id":"19537303","profile_name":"Orlando Magic","url":"https://x.com/OrlandoMagic"},{"biography":null,"followers":null,"following":null,"is_verified":null,"profile_id":"18371803","profile_name":"San Antonio Spurs","url":"https://x.com/spurs"}]</t>
  </si>
  <si>
    <t>{"post_id":"1865983794068795687","profile_id":"19923144","profile_name":"NBA"}</t>
  </si>
  <si>
    <t>In an alternate universe perhaps we'd be smashing sixes... 🏏
#MilanGenoa #ACMilanWorthEveryMinute #SempreMilan</t>
  </si>
  <si>
    <t>"2024-12-15T20:43:08.000Z"</t>
  </si>
  <si>
    <t>["https://pbs.twimg.com/media/Ge3gYpOXsAA1PK4.jpg"]</t>
  </si>
  <si>
    <t>https://x.com/acmilan/status/1868396393716421040</t>
  </si>
  <si>
    <t>Join us LIVE from San Siro on our app! 🔜📲
The celebration of 125 years of history begins at 19:45 CET ❤️🖤 
#MilanGenoa #ACMilanWorthEveryMinute #SempreMilan</t>
  </si>
  <si>
    <t>"2024-12-15T18:32:00.000Z"</t>
  </si>
  <si>
    <t>https://x.com/acmilan/status/1868363392819605760</t>
  </si>
  <si>
    <t>https://acmi.land/ACMilan-App</t>
  </si>
  <si>
    <t>⏹ Termina a partida.
#AVSSLB • #LigaPortugalBetclic</t>
  </si>
  <si>
    <t>"2024-12-15T19:58:56.000Z"</t>
  </si>
  <si>
    <t>["https://pbs.twimg.com/media/Ge3WUv7X0AAkHb7.jpg"]</t>
  </si>
  <si>
    <t>https://x.com/SLBenfica/status/1868385273714983122</t>
  </si>
  <si>
    <t>Ars███lWF███</t>
  </si>
  <si>
    <t>Ars███l W███n</t>
  </si>
  <si>
    <t>🟣 𝗠𝗔𝗧𝗖𝗛𝘿𝘼𝙔 🔵
🆚 Liverpool
🕜 2:30pm (UK)
🏆 @BarclaysWSL
🏟️ St Helens Stadium</t>
  </si>
  <si>
    <t>"2024-12-15T09:00:00.000Z"</t>
  </si>
  <si>
    <t>["https://pbs.twimg.com/media/Ge0fwBDWoAABb1B.jpg"]</t>
  </si>
  <si>
    <t>https://x.com/ArsenalWFC/status/1868219446138999067</t>
  </si>
  <si>
    <t>[{"biography":null,"followers":null,"following":null,"is_verified":null,"profile_id":"273665871","profile_name":"Barclays Women's Super League","url":"https://x.com/BarclaysWSL"}]</t>
  </si>
  <si>
    <t>The home of Arsenal Women 🏡</t>
  </si>
  <si>
    <t>https://pbs.twimg.com/profile_images/1867639436789305344/r3fPR8sb_normal.jpg</t>
  </si>
  <si>
    <t>rsc███erl███t</t>
  </si>
  <si>
    <t>RSC███der███ht</t>
  </si>
  <si>
    <t>Le dimanche, c'est le foot. 🟣⚪️ #STVAND</t>
  </si>
  <si>
    <t>"2024-12-15T07:40:59.000Z"</t>
  </si>
  <si>
    <t>["https://pbs.twimg.com/media/Ge0s9DrXcAAu9mz.jpg"]</t>
  </si>
  <si>
    <t>https://x.com/rscanderlecht/status/1868199559077458076</t>
  </si>
  <si>
    <t>["STVAND"]</t>
  </si>
  <si>
    <t>Noblesse Oblige ♔
@rscaneerpede | @rscawomen | @rscafutsal | @rscaesports</t>
  </si>
  <si>
    <t>https://pbs.twimg.com/profile_images/1687466854531338240/-rar7Bjv_normal.jpg</t>
  </si>
  <si>
    <t>Ast███art███1</t>
  </si>
  <si>
    <t>Ast███Mar███ Ar█████████eam███</t>
  </si>
  <si>
    <t>In a first-of-its-kind event for an #F1 team, Aston Martin Aramco welcomed singer-songwriter @AndrewCushin to the AMRTC to perform a special set for team members to mark the official launch of our new 'The Soundcheck' initiative.
Click below to find out more.</t>
  </si>
  <si>
    <t>"2024-12-15T15:40:43.000Z"</t>
  </si>
  <si>
    <t>https://x.com/AstonMartinF1/status/1868320288175440281</t>
  </si>
  <si>
    <t>[{"biography":null,"followers":null,"following":null,"is_verified":null,"profile_id":"1178325651096506369","profile_name":"Andrew Cushin","url":"https://x.com/AndrewCushin"}]</t>
  </si>
  <si>
    <t>https://www.astonmartinf1.com/en-GB/news/feature/launching-the-soundcheck-at-amr-technology-campus-with-andrew-cushin</t>
  </si>
  <si>
    <t>["F1"]</t>
  </si>
  <si>
    <t>Updates from the Aston Martin Aramco Formula One® Team.</t>
  </si>
  <si>
    <t>https://pbs.twimg.com/profile_images/1572246279064887308/vgRs_Gnn_normal.jpg</t>
  </si>
  <si>
    <t>The final day of #BarclaysWSL action in 2024 is underway!
@EvertonWomen 🆚 @ManCityWomen 
Watch live on @BBCTwo</t>
  </si>
  <si>
    <t>"2024-12-15T12:31:33.000Z"</t>
  </si>
  <si>
    <t>["https://pbs.twimg.com/media/Ge1vHBeWgAAyNai.jpg"]</t>
  </si>
  <si>
    <t>https://x.com/BarclaysWSL/status/1868272685903671474</t>
  </si>
  <si>
    <t>[{"biography":null,"followers":null,"following":null,"is_verified":null,"profile_id":"485857070","profile_name":"Everton Women","url":"https://x.com/EvertonWomen"},{"biography":null,"followers":null,"following":null,"is_verified":null,"profile_id":"344643933","profile_name":"Manchester City Women","url":"https://x.com/ManCityWomen"},{"biography":null,"followers":null,"following":null,"is_verified":null,"profile_id":"1586183960","profile_name":"BBC Two","url":"https://x.com/BBCTwo"}]</t>
  </si>
  <si>
    <t>Celebrating 125 years with those who made it unforgettable ❤️🖤
#MilanGenoa #ACMilanWorthEveryMinute #SempreMilan 
Brought to you by @emirates</t>
  </si>
  <si>
    <t>"2024-12-15T20:32:29.000Z"</t>
  </si>
  <si>
    <t>["https://pbs.twimg.com/media/Ge3eE9UXEAM-ccS.jpg","https://pbs.twimg.com/media/Ge3eGF9W0AA38Dw.jpg"]</t>
  </si>
  <si>
    <t>https://x.com/acmilan/status/1868393715091562989</t>
  </si>
  <si>
    <t>[{"biography":null,"followers":null,"following":null,"is_verified":null,"profile_id":"821045162","profile_name":"Emirates","url":"https://x.com/emirates"}]</t>
  </si>
  <si>
    <t>QUE ENCONTRO! ESSES CARAS SÃO LENDÁRIOS! 🔥
Ronaldo e Adriano se reencontraram no Maracanã no dia da despedida do Imperador! Esses caras fazem falta demais na nossa #SeleçãoBrasileira...</t>
  </si>
  <si>
    <t>"2024-12-15T20:33:33.000Z"</t>
  </si>
  <si>
    <t>["https://pbs.twimg.com/media/Ge3ea5jX0AA0ShG.jpg"]</t>
  </si>
  <si>
    <t>https://x.com/TNTSportsBR/status/1868393983002673179</t>
  </si>
  <si>
    <t>Nada como um dia após o outro, hein! 👀 Vale lembrar que essa música foi cantada inúmeras vezes pelos torcedores do City para Erik ten Hag. Vivemos o dia em que ela foi cantada para Pep Guardiola... 😳 #PremierLeague</t>
  </si>
  <si>
    <t>"2024-12-15T18:43:38.000Z"</t>
  </si>
  <si>
    <t>["https://pbs.twimg.com/media/Ge3EbuQWoAAvenx.jpg"]</t>
  </si>
  <si>
    <t>https://x.com/TNTSportsBR/status/1868366321534246995</t>
  </si>
  <si>
    <t>Lembra dele? 👀 Com passagens por grandes clubes como Porto, Fenerbahçe, Corinthians e Flamengo, Vítor Pereira pode estar deixando o Al-Shabab, da Arábia Saudita, para fechar com o Wolverhampton, que ocupa nesse momento a penúltima posição da #PremierLeague! Bom negócio?
Crédito: The Athletic</t>
  </si>
  <si>
    <t>"2024-12-15T18:04:07.000Z"</t>
  </si>
  <si>
    <t>["https://pbs.twimg.com/media/Ge28NsfWUAE_CXt.jpg"]</t>
  </si>
  <si>
    <t>https://x.com/TNTSportsBR/status/1868356376700887352</t>
  </si>
  <si>
    <t>A IMAGEM DOS SONHOS DO TORCEDOR DO CORINTHIANS! 😍😍🦅🦅 Imagina se isso aqui se torna realidade? 😱🔥 E A TAL DA APELAÇÃO!
Crédito: @ilustrapablo</t>
  </si>
  <si>
    <t>"2024-12-15T01:17:50.000Z"</t>
  </si>
  <si>
    <t>["https://pbs.twimg.com/media/GezRi3JWUAAFZas.jpg"]</t>
  </si>
  <si>
    <t>https://x.com/TNTSportsBR/status/1868103138919784459</t>
  </si>
  <si>
    <t>[{"biography":null,"followers":null,"following":null,"is_verified":null,"profile_id":"1206289532733345792","profile_name":"Pablo | Ilustrador","url":"https://x.com/ilustrapablo"}]</t>
  </si>
  <si>
    <t>India’s rise will probably not shock the world economy like China did. Learn why in The World Ahead</t>
  </si>
  <si>
    <t>"2024-12-16T02:00:10.000Z"</t>
  </si>
  <si>
    <t>["https://pbs.twimg.com/media/Ge4pLqDWgAAu8Ov.jpg"]</t>
  </si>
  <si>
    <t>https://x.com/TheEconomist/status/1868476178643800236</t>
  </si>
  <si>
    <t>https://econ.st/3ZrS920</t>
  </si>
  <si>
    <t>Tulsi Gabbard is the Democratic apostate and apologist for Vladimir Putin who may soon run America’s spy agencies. We explain her career to date in our weekend profile</t>
  </si>
  <si>
    <t>"2024-12-16T01:18:08.000Z"</t>
  </si>
  <si>
    <t>https://x.com/TheEconomist/status/1868465600277713361</t>
  </si>
  <si>
    <t>https://econ.st/49E1Mzl</t>
  </si>
  <si>
    <t>“Just because the messenger is kooky doesn't mean there aren't any good ideas.”
@SachaNauta says it’s worth taking Robert F. Kennedy junior seriously, on our “Checks and Balance” podcast</t>
  </si>
  <si>
    <t>"2024-12-16T00:23:28.000Z"</t>
  </si>
  <si>
    <t>https://x.com/TheEconomist/status/1868451842243314160</t>
  </si>
  <si>
    <t>[{"biography":null,"followers":null,"following":null,"is_verified":null,"profile_id":"938895739","profile_name":"Sacha Nauta","url":"https://x.com/SachaNauta"}]</t>
  </si>
  <si>
    <t>https://econ.st/4iw3zdH</t>
  </si>
  <si>
    <t>["https://pbs.twimg.com/card_img/1867639652561129472/vNUO_8XG?format=jpg&amp;name=orig"]</t>
  </si>
  <si>
    <t>Most autocrats at least pretend to be in the business of democracy. Until recently that was true of Nicaragua’s Daniel Ortega. But last month he ripped off the mask</t>
  </si>
  <si>
    <t>"2024-12-16T00:04:23.000Z"</t>
  </si>
  <si>
    <t>https://x.com/TheEconomist/status/1868447039765266760</t>
  </si>
  <si>
    <t>https://econ.st/49vXGJv</t>
  </si>
  <si>
    <t>["https://pbs.twimg.com/card_img/1867212973476827136/P51Yg2Tz?format=jpg&amp;name=orig"]</t>
  </si>
  <si>
    <t>What happens at a Christmas bash organised by America’s right-wing tech bros? The Economist went to find out, before being thrown out</t>
  </si>
  <si>
    <t>"2024-12-15T23:12:05.000Z"</t>
  </si>
  <si>
    <t>https://x.com/TheEconomist/status/1868433879243071683</t>
  </si>
  <si>
    <t>https://econ.st/4iuwvTk</t>
  </si>
  <si>
    <t>["https://pbs.twimg.com/card_img/1866551968270872576/W3gzMrO5?format=jpg&amp;name=orig"]</t>
  </si>
  <si>
    <t>American officials are struggling to understand how deeply Chinese hackers have penetrated. The government does not know when it will be able to root them out</t>
  </si>
  <si>
    <t>"2024-12-15T17:00:55.000Z"</t>
  </si>
  <si>
    <t>https://x.com/TheEconomist/status/1868340473712046211</t>
  </si>
  <si>
    <t>https://econ.st/3ZTnyM0</t>
  </si>
  <si>
    <t>New research shows that tourism’s “carbon intensity”—the amount of emissions produced for every dollar spent—in 2019 was 30% higher than the global economy’s average.
And that is despite international attempts to reduce the industry’s environmental harm</t>
  </si>
  <si>
    <t>"2024-12-15T14:37:06.000Z"</t>
  </si>
  <si>
    <t>https://x.com/TheEconomist/status/1868304278504264129</t>
  </si>
  <si>
    <t>https://econ.st/3ZzMBSZ</t>
  </si>
  <si>
    <t>["https://pbs.twimg.com/card_img/1867214304295931904/VgCHKw7g?format=jpg&amp;name=orig"]</t>
  </si>
  <si>
    <t>China has already removed a few rags-to-riches micro-dramas from streaming platforms. But the industry could still find ways to skirt the regulations</t>
  </si>
  <si>
    <t>"2024-12-15T12:16:36.000Z"</t>
  </si>
  <si>
    <t>https://x.com/TheEconomist/status/1868268922807464102</t>
  </si>
  <si>
    <t>https://econ.st/4ffO72I</t>
  </si>
  <si>
    <t>["https://pbs.twimg.com/card_img/1867488382697582592/xCtsaoro?format=jpg&amp;name=orig"]</t>
  </si>
  <si>
    <t>On paper, Donald Trump’s return to the White House looks like Ukraine’s worst nightmare. But, surprisingly, many at the top of the country’s government and armed forces wanted him to win</t>
  </si>
  <si>
    <t>"2024-12-15T06:06:39.000Z"</t>
  </si>
  <si>
    <t>https://x.com/TheEconomist/status/1868175819584962999</t>
  </si>
  <si>
    <t>https://econ.st/3BtSb1m</t>
  </si>
  <si>
    <t>["https://pbs.twimg.com/card_img/1867196874286940160/bljkuLei?format=jpg&amp;name=orig"]</t>
  </si>
  <si>
    <t>Indonesia’s growth rate has been around 5% for most of the past three decades. Unless reforms can gain momentum, it may remain stuck at that level in the coming years. We explain why in “The World Ahead”</t>
  </si>
  <si>
    <t>"2024-12-15T02:12:02.000Z"</t>
  </si>
  <si>
    <t>https://x.com/TheEconomist/status/1868116779513315389</t>
  </si>
  <si>
    <t>https://econ.st/4f85lin</t>
  </si>
  <si>
    <t>["https://pbs.twimg.com/card_img/1867524049120972800/RLJsmfDn?format=jpg&amp;name=orig"]</t>
  </si>
  <si>
    <t>The fight over reproductive rights in America looks set to shift from political to legal arenas. Most likely, access to abortion will continue to diverge in 2025</t>
  </si>
  <si>
    <t>"2024-12-15T01:42:33.000Z"</t>
  </si>
  <si>
    <t>https://x.com/TheEconomist/status/1868109360175493145</t>
  </si>
  <si>
    <t>https://econ.st/4f83nyv</t>
  </si>
  <si>
    <t>["https://pbs.twimg.com/card_img/1866539132811345921/1Uy1liJx?format=jpg&amp;name=orig"]</t>
  </si>
  <si>
    <t>Why spend time learning a new language when your phone is already fluent in it?</t>
  </si>
  <si>
    <t>"2024-12-15T02:00:15.000Z"</t>
  </si>
  <si>
    <t>["https://pbs.twimg.com/media/GezfnK-WsAAnApR.jpg"]</t>
  </si>
  <si>
    <t>https://x.com/TheEconomist/status/1868113814857691629</t>
  </si>
  <si>
    <t>https://econ.st/49AGMJO</t>
  </si>
  <si>
    <t>With Donald Trump set to upend global trade, economics and geopolitics, our future-gazing annual issue is a handy guide to what the year ahead has in store</t>
  </si>
  <si>
    <t>"2024-12-15T01:07:15.000Z"</t>
  </si>
  <si>
    <t>["https://pbs.twimg.com/media/GezTey7WEAAZPsf.jpg"]</t>
  </si>
  <si>
    <t>https://x.com/TheEconomist/status/1868100473741312380</t>
  </si>
  <si>
    <t>https://econ.st/3B1ncts</t>
  </si>
  <si>
    <t>➡️ Largadas em pátio, ambulâncias novas do Samu-DF nunca foram às ruas
Catorze viaturas esperam contratação de seguro por parte da Secretaria de Saúde. Atendimento de pacientes fica prejudicado sem novos carros
Leia:</t>
  </si>
  <si>
    <t>"2024-12-15T15:15:00.000Z"</t>
  </si>
  <si>
    <t>["https://pbs.twimg.com/media/Ge1mPyiXYAAZoI1.png"]</t>
  </si>
  <si>
    <t>https://x.com/Metropoles/status/1868313817492418673</t>
  </si>
  <si>
    <t>https://curt.link/cHkqO</t>
  </si>
  <si>
    <t>➡️ Influencer e doutor em funk pela USP é ameaçado de morte por mensagens
O professor de música clássica Thiago de Souza compartilhou em suas redes que recebeu mensagens com ameaças de morte pelo WhatsApp
Leia:</t>
  </si>
  <si>
    <t>"2024-12-15T03:00:02.000Z"</t>
  </si>
  <si>
    <t>["https://pbs.twimg.com/media/GeySweXWkAA4tOo.png"]</t>
  </si>
  <si>
    <t>https://x.com/Metropoles/status/1868128856479236193</t>
  </si>
  <si>
    <t>https://curt.link/wkmvZ</t>
  </si>
  <si>
    <t>➡️ Fiat Uno passa em enchente e deixa Jeep Renegade para trás
Um Fiat Uno passou com tudo em uma rua alagada de Sorocaba, São Paulo, e deixou um Jeep Renegade para trás
Leia:</t>
  </si>
  <si>
    <t>"2024-12-15T02:20:00.000Z"</t>
  </si>
  <si>
    <t>["https://pbs.twimg.com/media/GeyR4uBW0AArZl-.png"]</t>
  </si>
  <si>
    <t>https://x.com/Metropoles/status/1868118782469918989</t>
  </si>
  <si>
    <t>https://curt.link/XVLcc</t>
  </si>
  <si>
    <t>A glimpse of the future on this historic night 🫂
#MilanGenoa #ACMilanWorthEveryMinute #SempreMilan</t>
  </si>
  <si>
    <t>"2024-12-15T21:14:13.000Z"</t>
  </si>
  <si>
    <t>["https://pbs.twimg.com/media/Ge3np2JWYAAo3Oa.jpg"]</t>
  </si>
  <si>
    <t>https://x.com/acmilan/status/1868404216525697243</t>
  </si>
  <si>
    <t>#SLBenficaFem | 1-0 | ⚽ 29' GOOOOOLOOOOOOO!!! CRISTINA MARTÍN-PRIETO!
#TaçadaLigaFeminina</t>
  </si>
  <si>
    <t>"2024-12-15T11:29:37.000Z"</t>
  </si>
  <si>
    <t>["https://pbs.twimg.com/media/Ge1h6eyXQAA5eWt.jpg"]</t>
  </si>
  <si>
    <t>https://x.com/SLBenfica/status/1868257098427203919</t>
  </si>
  <si>
    <t>["SLBenficaFem","TaçadaLigaFeminina"]</t>
  </si>
  <si>
    <t>{"post_id":"1868249656767217891","profile_id":"21390437","profile_name":"SLBenfica"}</t>
  </si>
  <si>
    <t>@adidasfootball #SLBenficaFem | 2-0 | ⚽ 56' GOOOOOLOOOOOOO!!! CHANDRA DAVIDSON!  
#TaçadaLigaFeminina</t>
  </si>
  <si>
    <t>"2024-12-15T12:12:20.000Z"</t>
  </si>
  <si>
    <t>["https://pbs.twimg.com/media/Ge1rsntWwAAF3kj.jpg"]</t>
  </si>
  <si>
    <t>https://x.com/SLBenfica/status/1868267849376313555</t>
  </si>
  <si>
    <t>{"post_id":"1868261698949550445","profile_id":"21390437","profile_name":"SLBenfica"}</t>
  </si>
  <si>
    <t>⏸ Em vantagem ao intervalo!
#AVSSLB • #LigaPortugalBetclic</t>
  </si>
  <si>
    <t>"2024-12-15T18:51:30.000Z"</t>
  </si>
  <si>
    <t>["https://pbs.twimg.com/media/Ge3G26tWgAAzHJ6.jpg"]</t>
  </si>
  <si>
    <t>https://x.com/SLBenfica/status/1868368300134277302</t>
  </si>
  <si>
    <t>Seven consecutive victories. We keep on moving - together ✊
@MastercardUK 🤝</t>
  </si>
  <si>
    <t>"2024-12-15T19:43:00.000Z"</t>
  </si>
  <si>
    <t>["https://pbs.twimg.com/media/Ge3SZ0EX0AAly6G.jpg"]</t>
  </si>
  <si>
    <t>https://x.com/ArsenalWFC/status/1868381262999896289</t>
  </si>
  <si>
    <t>[{"biography":null,"followers":null,"following":null,"is_verified":null,"profile_id":"409176513","profile_name":"MastercardUK","url":"https://x.com/MastercardUK"}]</t>
  </si>
  <si>
    <t>KAA███t</t>
  </si>
  <si>
    <t>KAA███nt</t>
  </si>
  <si>
    <t>FT 1-1 | #GNTCER #JPL</t>
  </si>
  <si>
    <t>"2024-12-15T20:07:53.000Z"</t>
  </si>
  <si>
    <t>["https://pbs.twimg.com/media/Ge3X26lW8AA5hGE.jpg"]</t>
  </si>
  <si>
    <t>https://x.com/KAAGent/status/1868387525729137023</t>
  </si>
  <si>
    <t>["GNTCER","JPL"]</t>
  </si>
  <si>
    <t>Official account of KAA Gent | 4x Belgian Cupwinners 1964-1984-2010-2022 | Supercup Winners 2015 | Belgian Champions 2014-2015 | #COBW</t>
  </si>
  <si>
    <t>https://pbs.twimg.com/profile_images/634664595534147584/kJGzhgD5_normal.jpg</t>
  </si>
  <si>
    <t>kbe███cho███</t>
  </si>
  <si>
    <t>K. ███rsc███ V.███</t>
  </si>
  <si>
    <t>Get your ᴍᴀᴛᴄʜᴡᴏʀɴꜱʜɪʀᴛ via</t>
  </si>
  <si>
    <t>"2024-12-15T08:59:03.000Z"</t>
  </si>
  <si>
    <t>["https://pbs.twimg.com/media/Ge0_d6BW8AAwh9u.jpg","https://pbs.twimg.com/media/Ge0_d6CXwAAoehp.jpg"]</t>
  </si>
  <si>
    <t>https://x.com/kbeerschotva/status/1868219207449510309</t>
  </si>
  <si>
    <t>https://www.matchwornshirt.com/nl/category/beerschot</t>
  </si>
  <si>
    <t>["WeAre13"]</t>
  </si>
  <si>
    <t>Official Account of K. Beerschot V.A. | 7x Belgian Champions 🏅 | 3x Cup winners 🏆 | Jupiler Pro League Club | #WeAre13</t>
  </si>
  <si>
    <t>https://pbs.twimg.com/profile_images/1717553656789114880/qiraDp9S_normal.jpg</t>
  </si>
  <si>
    <t>What's behind door number four... 👀
Today's #IAMUnwrapped prize is a @globe_trotterUK factory tour and custom carry-on case, perfect for festive getaways!
Click below to enter.</t>
  </si>
  <si>
    <t>"2024-12-15T19:33:43.000Z"</t>
  </si>
  <si>
    <t>https://x.com/AstonMartinF1/status/1868378927150047406</t>
  </si>
  <si>
    <t>[{"biography":null,"followers":null,"following":null,"is_verified":null,"profile_id":"121457542","profile_name":"GLOBE-TROTTER","url":"https://x.com/globe_trotterUK"}]</t>
  </si>
  <si>
    <t>https://astonmartinf1.adventcalendaronline.com/</t>
  </si>
  <si>
    <t>["IAMUnwrapped"]</t>
  </si>
  <si>
    <t>Born in 2007, kitted out like it's 1899 ❤️‍🔥
#MilanGenoa #ACMilanWorthEveryMinute #SempreMilan</t>
  </si>
  <si>
    <t>"2024-12-15T20:26:46.000Z"</t>
  </si>
  <si>
    <t>["https://pbs.twimg.com/media/Ge3ci2cWwAMTTOO.jpg"]</t>
  </si>
  <si>
    <t>https://x.com/acmilan/status/1868392278144016435</t>
  </si>
  <si>
    <t>FT: @ArsenalWFC head home with all three points!
#BarclaysWSL</t>
  </si>
  <si>
    <t>"2024-12-15T16:26:59.000Z"</t>
  </si>
  <si>
    <t>["https://pbs.twimg.com/media/Ge2l7nCXgAAaPLg.jpg"]</t>
  </si>
  <si>
    <t>https://x.com/BarclaysWSL/status/1868331933920530898</t>
  </si>
  <si>
    <t>[{"biography":null,"followers":null,"following":null,"is_verified":null,"profile_id":"256551011","profile_name":"Arsenal Women","url":"https://x.com/ArsenalWFC"}]</t>
  </si>
  <si>
    <t>{"post_id":"1868314983022338429","profile_id":"273665871","profile_name":"BarclaysWSL"}</t>
  </si>
  <si>
    <t>🎶 Today's pre-match playlist...
Chosen by our number 14, @DomselaarDaphne 🧤</t>
  </si>
  <si>
    <t>"2024-12-15T11:00:01.000Z"</t>
  </si>
  <si>
    <t>["https://pbs.twimg.com/media/Ge0jbN-WAAAMm_N.jpg"]</t>
  </si>
  <si>
    <t>https://x.com/ArsenalWFC/status/1868249648009273533</t>
  </si>
  <si>
    <t>[{"biography":null,"followers":null,"following":null,"is_verified":null,"profile_id":"1110516895525023744","profile_name":"Daphne van Domselaar","url":"https://x.com/DomselaarDaphne"}]</t>
  </si>
  <si>
    <t>Gvardiol vai dando uma importante vitória ao City de Pep Guardiola até aqui no clássico de Manchester! 🔵🔥#PremierLeague</t>
  </si>
  <si>
    <t>"2024-12-15T17:22:39.000Z"</t>
  </si>
  <si>
    <t>["https://pbs.twimg.com/media/Ge2x3O4XUAAWBDI.jpg"]</t>
  </si>
  <si>
    <t>https://x.com/TNTSportsBR/status/1868345940622676233</t>
  </si>
  <si>
    <t>Which is the most democratic country in the world? Explore the latest democracy index</t>
  </si>
  <si>
    <t>"2024-12-15T15:53:04.000Z"</t>
  </si>
  <si>
    <t>https://x.com/TheEconomist/status/1868323396636778723</t>
  </si>
  <si>
    <t>https://econ.st/49J1JSY</t>
  </si>
  <si>
    <t>["https://pbs.twimg.com/card_img/1866982196164300800/ZZ4ZSfsw?format=png&amp;name=orig"]</t>
  </si>
  <si>
    <t>British politics is in danger. Many parties are facing poor approval ratings. Denial is common</t>
  </si>
  <si>
    <t>"2024-12-15T13:05:22.000Z"</t>
  </si>
  <si>
    <t>https://x.com/TheEconomist/status/1868281193692606872</t>
  </si>
  <si>
    <t>https://econ.st/4gixhRZ</t>
  </si>
  <si>
    <t>["https://pbs.twimg.com/card_img/1866910791821074432/BlYoBAHW?format=jpg&amp;name=orig"]</t>
  </si>
  <si>
    <t>Of the world’s 20 fastest-growing economies in 2025, nine will be in Africa, reckons the IMF. At the same time, resource-intensive countries have a lower GDP per person today than they did a decade ago.
This tells the story of two Africas:</t>
  </si>
  <si>
    <t>"2024-12-15T11:40:58.000Z"</t>
  </si>
  <si>
    <t>https://x.com/TheEconomist/status/1868259956782256291</t>
  </si>
  <si>
    <t>https://econ.st/4fT0X86</t>
  </si>
  <si>
    <t>["https://pbs.twimg.com/card_img/1866842451824021504/aFFGAWB-?format=jpg&amp;name=orig"]</t>
  </si>
  <si>
    <t>The rise of emasculated directors is coinciding with that of absentee ones. Most are physically present at board meetings but too many appear disengaged. One reason for this might be overcommitment</t>
  </si>
  <si>
    <t>"2024-12-15T10:35:23.000Z"</t>
  </si>
  <si>
    <t>https://x.com/TheEconomist/status/1868243451684311151</t>
  </si>
  <si>
    <t>https://econ.st/4giw11q</t>
  </si>
  <si>
    <t>Some economists now worry that inflation, having come down sharply since mid-2022, is stalling at around 3% in America.
Optimists blame these uncomfortable figures on inevitable volatility. But the case for concern is broader</t>
  </si>
  <si>
    <t>"2024-12-15T08:54:06.000Z"</t>
  </si>
  <si>
    <t>https://x.com/TheEconomist/status/1868217962454204731</t>
  </si>
  <si>
    <t>https://econ.st/3DhwLVN</t>
  </si>
  <si>
    <t>["https://pbs.twimg.com/card_img/1867214451583176704/0S4QHM-U?format=jpg&amp;name=orig"]</t>
  </si>
  <si>
    <t>A turn away from youthful idealism towards tough-on-crime candidates seems likely in Chile’s upcoming general election. It is not the only country where stronger security policies are gaining growing support</t>
  </si>
  <si>
    <t>"2024-12-15T08:11:48.000Z"</t>
  </si>
  <si>
    <t>https://x.com/TheEconomist/status/1868207314865410145</t>
  </si>
  <si>
    <t>https://econ.st/3Bjv7lU</t>
  </si>
  <si>
    <t>["https://pbs.twimg.com/card_img/1866497418461589504/NiGyvuDC?format=jpg&amp;name=orig"]</t>
  </si>
  <si>
    <t>Saturn has always had something of a double character. As the planet’s rings vanish during 2025, so too does the constancy Galileo thought he observed in the most striking member of the Sun’s orbiting family</t>
  </si>
  <si>
    <t>"2024-12-15T07:56:45.000Z"</t>
  </si>
  <si>
    <t>https://x.com/TheEconomist/status/1868203529392845272</t>
  </si>
  <si>
    <t>https://econ.st/3OLeB11</t>
  </si>
  <si>
    <t>["https://pbs.twimg.com/card_img/1868474882675367936/f2lAiXXR?format=jpg&amp;name=orig"]</t>
  </si>
  <si>
    <t>➡️ Rodrigo Constantino: conheça os fatores de risco para o câncer de boca
O comunicador Rodrigo Constantino está esperando biópsia para confirmar o diagnóstico de câncer de boca. Sintomas começaram na língua
Leia:</t>
  </si>
  <si>
    <t>"2024-12-15T22:00:01.000Z"</t>
  </si>
  <si>
    <t>["https://pbs.twimg.com/media/Ge2M7_NWUAAA-wL.png"]</t>
  </si>
  <si>
    <t>https://x.com/Metropoles/status/1868415745077510377</t>
  </si>
  <si>
    <t>https://curt.link/mxfnC</t>
  </si>
  <si>
    <t>➡️ Como sobreviver ao endividamento nas festas de fim de ano
Cerca de 77% das famílias estão endividadas. Segundo pesquisa, o resultado ocorre devido à alta no uso do crédito para compras de fim de ano
Leia:</t>
  </si>
  <si>
    <t>"2024-12-15T18:30:00.000Z"</t>
  </si>
  <si>
    <t>["https://pbs.twimg.com/media/Ge1kxTOXMAAhl08.png"]</t>
  </si>
  <si>
    <t>https://x.com/Metropoles/status/1868362891595800881</t>
  </si>
  <si>
    <t>https://curt.link/edwhs</t>
  </si>
  <si>
    <t>⏯️“Estava me sentindo estranho”, diz Lula ao receber alta do hospital
O presidente Lula ficou seis dias internado e passou por dois procedimentos cirúrgicos no Hospital Sírio-Libanês, no centro de São Paulo
Leia:</t>
  </si>
  <si>
    <t>"2024-12-15T16:07:44.000Z"</t>
  </si>
  <si>
    <t>https://x.com/Metropoles/status/1868327087280713986</t>
  </si>
  <si>
    <t>https://curt.link/HmPRX</t>
  </si>
  <si>
    <t>[{"duration":78854,"video_url":"https://video.twimg.com/ext_tw_video/1868326578280681472/pu/vid/avc1/1280x720/snM3f2osc3L4krbt.mp4?tag=12"}]</t>
  </si>
  <si>
    <t>➡️ Com recesso, cassação de Brazão deve voltar à estaca zero na Câmara
Casa deve ter só mais cinco dias de trabalho em 2024 e, se não votar o processo contra o deputado na próxima semana, ação perderá validade
Leia:</t>
  </si>
  <si>
    <t>"2024-12-15T13:30:00.000Z"</t>
  </si>
  <si>
    <t>["https://pbs.twimg.com/media/Ge1alH_XgAALCtq.png"]</t>
  </si>
  <si>
    <t>https://x.com/Metropoles/status/1868287395503685646</t>
  </si>
  <si>
    <t>https://curt.link/lpJqQ</t>
  </si>
  <si>
    <t>⏯️“Ninguém atendeu”: pacientes se indignam após homem morrer em UPA
Os funcionários que estavam de plantão em UPA do Rio serão demitidos, conforme informou o secretário municipal de Saúde, Daniel Soranz
Leia:</t>
  </si>
  <si>
    <t>"2024-12-15T15:12:23.000Z"</t>
  </si>
  <si>
    <t>https://x.com/Metropoles/status/1868313159477735656</t>
  </si>
  <si>
    <t>https://curt.link/CaMet</t>
  </si>
  <si>
    <t>[{"duration":82350,"video_url":"https://video.twimg.com/ext_tw_video/1868312949577650177/pu/vid/avc1/720x1280/SQqVVKWhqW9_ZV6k.mp4?tag=12"}]</t>
  </si>
  <si>
    <t>Rep███i</t>
  </si>
  <si>
    <t>Con███ssw███n C█████████</t>
  </si>
  <si>
    <t>President Biden has the power to enshrine gender equality in the Constitution before he leaves office. All he needs to do is sign it.
I spoke with @WashingtonPost about my push with @RepPressley urging @POTUS to #PublishTheERA ⬇️</t>
  </si>
  <si>
    <t>"2024-12-15T16:47:32.000Z"</t>
  </si>
  <si>
    <t>https://x.com/RepCori/status/1868337105233129951</t>
  </si>
  <si>
    <t>[{"biography":null,"followers":null,"following":null,"is_verified":null,"profile_id":"2467791","profile_name":"The Washington Post","url":"https://x.com/washingtonpost"},{"biography":null,"followers":null,"following":null,"is_verified":null,"profile_id":"1080584229510172678","profile_name":"Congresswoman Ayanna Pressley","url":"https://x.com/RepPressley"},{"biography":null,"followers":null,"following":null,"is_verified":null,"profile_id":"1349149096909668363","profile_name":"President Biden","url":"https://x.com/POTUS"}]</t>
  </si>
  <si>
    <t>https://www.washingtonpost.com/politics/2024/12/15/equal-rights-amendment-biden/</t>
  </si>
  <si>
    <t>["PublishTheERA"]</t>
  </si>
  <si>
    <t>Doing the most for MO-01 (STL)—starting with those with the greatest need. Politician + Activist = Politivist. Member, @HouseJudiciary, @OversightDems. She/her.</t>
  </si>
  <si>
    <t>https://pbs.twimg.com/profile_images/1352693777895485457/hGX2jRBe_normal.jpg</t>
  </si>
  <si>
    <t>["https://pbs.twimg.com/card_img/1868327065155493888/1ur8bH2D?format=jpg&amp;name=orig"]</t>
  </si>
  <si>
    <t>Rep███cyM███</t>
  </si>
  <si>
    <t>Rep███anc███ace███</t>
  </si>
  <si>
    <t>Last week, we welcomed Uno—the first of nearly 4,000 beagles rescued from one of Dr. Fauci’s testing facilities. 
Huge thanks to @WhiteCoatWaste for your work to end federally funded experiments on animals and help them all!</t>
  </si>
  <si>
    <t>"2024-12-15T20:00:38.000Z"</t>
  </si>
  <si>
    <t>["https://pbs.twimg.com/media/Ge3W5G4XEAAqCtQ.jpg"]</t>
  </si>
  <si>
    <t>https://x.com/RepNancyMace/status/1868385699335901637</t>
  </si>
  <si>
    <t>[{"biography":null,"followers":null,"following":null,"is_verified":null,"profile_id":"248859211","profile_name":"White Coat Waste Project 🥼🗑️","url":"https://x.com/WhiteCoatWaste"}]</t>
  </si>
  <si>
    <t>From Waffle House ➡ The Citadel ➡ US House. Working hard serving South Carolina. #SC01 #LowcountryFirst @GOPoversight @HASCRepublicans</t>
  </si>
  <si>
    <t>https://pbs.twimg.com/profile_images/1592954456483762181/uhnU3tIp_normal.jpg</t>
  </si>
  <si>
    <t>Rep███ove███</t>
  </si>
  <si>
    <t>Rep███im ███ove███</t>
  </si>
  <si>
    <t>Heading on @MSNBC around 11:25 this morning to talk about my call for @POTUS to pardon environmental lawyer Steven Donziger—he took on Chevron &amp;amp; won a $9.5 billion case, then faced a vicious campaign of corporate retaliation designed to destroy his life.</t>
  </si>
  <si>
    <t>"2024-12-15T16:07:12.000Z"</t>
  </si>
  <si>
    <t>https://x.com/RepMcGovern/status/1868326956577522043</t>
  </si>
  <si>
    <t>[{"biography":null,"followers":null,"following":null,"is_verified":null,"profile_id":"2836421","profile_name":"MSNBC","url":"https://x.com/MSNBC"},{"biography":null,"followers":null,"following":null,"is_verified":null,"profile_id":"1349149096909668363","profile_name":"President Biden","url":"https://x.com/POTUS"}]</t>
  </si>
  <si>
    <t>https://www.theguardian.com/commentisfree/2024/dec/13/president-biden-stand-up-to-chevron-and-pardon-steven-donziger</t>
  </si>
  <si>
    <t>Lisa's husband. Patrick &amp; Molly's dad. Serving #MA02 &amp; working to #EndHungerNow. Top Dem on @RulesDemocrats. Co-Chair @TLhumanrights. Member of @CECCgov. he/him</t>
  </si>
  <si>
    <t>https://pbs.twimg.com/profile_images/1553032233799360512/E1Y69xeF_normal.jpg</t>
  </si>
  <si>
    <t>["https://pbs.twimg.com/card_img/1867531886135758848/3bu-QTZ2?format=jpg&amp;name=orig"]</t>
  </si>
  <si>
    <t>afc███anc███</t>
  </si>
  <si>
    <t>#As███Qua███ier███</t>
  </si>
  <si>
    <t>1️⃣ 𝗛𝗢𝗨𝗥 𝗧𝗢 𝗚𝗢
Tune in to #ACQ2027 Final Round Draw as 2️⃣4️⃣ sides learn their opponents en route to #AsianCup2027 🇸🇦 Saudi Arabia! 
Watch Live 👇</t>
  </si>
  <si>
    <t>"2024-12-09T05:59:48.000Z"</t>
  </si>
  <si>
    <t>https://x.com/afcasiancup/status/1865999768633110985</t>
  </si>
  <si>
    <t>https://www.youtube.com/live/P_28DFZ5mVA?si=uk5kUDEMQzjj2twC</t>
  </si>
  <si>
    <t>["ACQ2027","AsianCup2027"]</t>
  </si>
  <si>
    <t>The Official AFC Asian Cup™ account on X</t>
  </si>
  <si>
    <t>https://pbs.twimg.com/profile_images/1809143655313403904/RWIK5xaC_normal.jpg</t>
  </si>
  <si>
    <t>Not long to go until kick-off now! 🔜
#MilanGenoa #SempreMilan  Brought to you by @play_eFootball</t>
  </si>
  <si>
    <t>"2024-12-15T19:33:56.000Z"</t>
  </si>
  <si>
    <t>["https://pbs.twimg.com/media/Ge3QaRcWQAA-_UY.jpg","https://pbs.twimg.com/media/Ge3QaRaXgAABRlL.jpg"]</t>
  </si>
  <si>
    <t>https://x.com/acmilan/status/1868378979163361629</t>
  </si>
  <si>
    <t>[{"biography":null,"followers":null,"following":null,"is_verified":null,"profile_id":"95411613","profile_name":"eFootball","url":"https://x.com/play_eFootball"}]</t>
  </si>
  <si>
    <t>Full time.
#MilanGenoa #SempreMilan
Brought to you by @Bitpanda_global</t>
  </si>
  <si>
    <t>"2024-12-15T21:46:18.000Z"</t>
  </si>
  <si>
    <t>["https://pbs.twimg.com/media/Ge3vEWWW0AA61mV.jpg"]</t>
  </si>
  <si>
    <t>https://x.com/acmilan/status/1868412290480926845</t>
  </si>
  <si>
    <t>🏹
#AVSSLB • #LigaPortugalBetclic</t>
  </si>
  <si>
    <t>"2024-12-15T18:33:34.000Z"</t>
  </si>
  <si>
    <t>["https://pbs.twimg.com/media/Ge3Cz_vXUAAfGZo.jpg"]</t>
  </si>
  <si>
    <t>https://x.com/SLBenfica/status/1868363791169397226</t>
  </si>
  <si>
    <t>Clu███ugg███</t>
  </si>
  <si>
    <t>Clu███rug███KV</t>
  </si>
  <si>
    <t>Our house. Our points. 🥰👊 #CLUGNK</t>
  </si>
  <si>
    <t>"2024-12-15T14:21:17.000Z"</t>
  </si>
  <si>
    <t>["https://pbs.twimg.com/media/Ge2I9lUWcAAvGpJ.jpg"]</t>
  </si>
  <si>
    <t>https://x.com/ClubBrugge/status/1868300301155119461</t>
  </si>
  <si>
    <t>["CLUGNK"]</t>
  </si>
  <si>
    <t>The official account of Club Brugge. 𝟭𝟵 times Champion of Belgium.🏆 Questions? https://t.co/hw2kuDvIP2</t>
  </si>
  <si>
    <t>https://pbs.twimg.com/profile_images/1816386150455496704/5dfk0_QE_normal.jpg</t>
  </si>
  <si>
    <t>Starting vs Sint-Truiden. 🟣⚪️ #STVAND</t>
  </si>
  <si>
    <t>"2024-12-15T16:35:17.000Z"</t>
  </si>
  <si>
    <t>["https://pbs.twimg.com/media/Ge2n2sPW8AA3lFR.jpg"]</t>
  </si>
  <si>
    <t>https://x.com/rscanderlecht/status/1868334022453317752</t>
  </si>
  <si>
    <t>𝙃𝙖𝙥𝙥𝙮 𝙗𝙞𝙧𝙩𝙝𝙙𝙖𝙮, 𝙕𝙡𝙖𝙩𝙖𝙣! 🥳🎉
Enjoy your 41st birthday and thank you for the great memories!  157 games, 31 goals, 28 assists &amp;amp; 🏆 (Cupwinner 2010) 
#COBW #OLEARYSGENT</t>
  </si>
  <si>
    <t>["https://pbs.twimg.com/media/Gesn9kXWkAA5cOh.jpg"]</t>
  </si>
  <si>
    <t>https://x.com/KAAGent/status/1868219447950954914</t>
  </si>
  <si>
    <t>["COBW","OLEARYSGENT"]</t>
  </si>
  <si>
    <t>Har███uin███</t>
  </si>
  <si>
    <t>Har███uin███���</t>
  </si>
  <si>
    <t>You're not ready for this 🎆
#BigGame16 🔜🔥
🎟️</t>
  </si>
  <si>
    <t>"2024-12-15T17:00:01.000Z"</t>
  </si>
  <si>
    <t>["https://pbs.twimg.com/media/Ge1HYGoXIAAxyaS.jpg"]</t>
  </si>
  <si>
    <t>https://x.com/Harlequins/status/1868340245294444925</t>
  </si>
  <si>
    <t>[{"biography":null,"followers":null,"following":null,"is_verified":null,"profile_id":"197367030","profile_name":"Charles Stanley Wealth Managers","url":"https://x.com/_CharlesStanley"}]</t>
  </si>
  <si>
    <t>http://www.eticketing.co.uk/harlequins/</t>
  </si>
  <si>
    <t>["BigGame16","COYQ"]</t>
  </si>
  <si>
    <t>🃏 #COYQ</t>
  </si>
  <si>
    <t>https://pbs.twimg.com/profile_images/1856267732309692416/lO2MB40L_normal.jpg</t>
  </si>
  <si>
    <t>Haa███Tea███</t>
  </si>
  <si>
    <t>Mon███ram███as █████████</t>
  </si>
  <si>
    <t>Enjoying Esteban's first time in our colors 🤩
#HaasF1 #F1 | @OconEsteban</t>
  </si>
  <si>
    <t>"2024-12-15T10:30:00.000Z"</t>
  </si>
  <si>
    <t>["https://pbs.twimg.com/media/GescscsXgAAh4_v.jpg","https://pbs.twimg.com/media/GescuNmWwAAUMs5.jpg","https://pbs.twimg.com/media/GescvzGWwAE1imw.jpg","https://pbs.twimg.com/media/GescwsOWMAAY3DU.jpg"]</t>
  </si>
  <si>
    <t>https://x.com/HaasF1Team/status/1868242094869110787</t>
  </si>
  <si>
    <t>[{"biography":null,"followers":null,"following":null,"is_verified":null,"profile_id":"490756890","profile_name":"Esteban Ocon","url":"https://x.com/OconEsteban"}]</t>
  </si>
  <si>
    <t>["HaasF1","F1"]</t>
  </si>
  <si>
    <t>America's #F1 team.</t>
  </si>
  <si>
    <t>https://pbs.twimg.com/profile_images/1861474960734113793/6oNJOriy_normal.jpg</t>
  </si>
  <si>
    <t>Day 1 at Mangaung Oval was pure magic! 🏏📸
The Proteas Women stepped onto the field with pride, determination, and that unstoppable #AlwaysRising spirit! 💪🇿🇦 
The journey has just begun – let’s keep backing our ladies as they take on England in this historic Test match!
#WozaNawe #BePartOfIt</t>
  </si>
  <si>
    <t>"2024-12-15T18:28:31.000Z"</t>
  </si>
  <si>
    <t>["https://pbs.twimg.com/media/Ge3BujZXkAAiZo9.jpg","https://pbs.twimg.com/media/Ge3BujZX0AAMD3V.jpg","https://pbs.twimg.com/media/Ge3BujcWIAALqMf.jpg","https://pbs.twimg.com/media/Ge3BujZXAAAPcWC.jpg"]</t>
  </si>
  <si>
    <t>https://x.com/ProteasWomenCSA/status/1868362516801151192</t>
  </si>
  <si>
    <t>["AlwaysRising"]</t>
  </si>
  <si>
    <t>NOSSA SELEÇÃO PRECISA DE UM ARTILHEIRO! ⚽🔥 
Quem foi o melhor no #BrasileirãoBetano?</t>
  </si>
  <si>
    <t>"2024-12-15T21:28:27.000Z"</t>
  </si>
  <si>
    <t>["https://pbs.twimg.com/media/Ge3q3_OXcAAz1x-.jpg"]</t>
  </si>
  <si>
    <t>https://x.com/TNTSportsBR/status/1868407798415134766</t>
  </si>
  <si>
    <t>A fifth of adults in rich countries do no better in maths and reading than might be expected of a primary-school child, new data suggest.
What to do? We outline two tasks ahead:</t>
  </si>
  <si>
    <t>"2024-12-16T01:35:37.000Z"</t>
  </si>
  <si>
    <t>https://x.com/TheEconomist/status/1868470001604133131</t>
  </si>
  <si>
    <t>https://econ.st/3BpBnZq</t>
  </si>
  <si>
    <t>["https://pbs.twimg.com/card_img/1867211469055516672/MgXBiEmn?format=jpg&amp;name=orig"]</t>
  </si>
  <si>
    <t>Syrian rebels are restoring order in Damascus after the fall of Bashar al-Assad. Life in the capital is slowly resuming</t>
  </si>
  <si>
    <t>"2024-12-15T20:55:03.000Z"</t>
  </si>
  <si>
    <t>https://x.com/TheEconomist/status/1868399395969851542</t>
  </si>
  <si>
    <t>https://econ.st/4fiuXZL</t>
  </si>
  <si>
    <t>["https://pbs.twimg.com/card_img/1866568440057610240/T7o2Lan1?format=jpg&amp;name=orig"]</t>
  </si>
  <si>
    <t>On Monday Germany’s chancellor will hold a parliamentary confidence vote that he is almost certain to lose. Here’s what you need to know</t>
  </si>
  <si>
    <t>"2024-12-15T20:09:04.000Z"</t>
  </si>
  <si>
    <t>https://x.com/TheEconomist/status/1868387820898771023</t>
  </si>
  <si>
    <t>https://econ.st/3ZSexmF</t>
  </si>
  <si>
    <t>Researchers have found that a competent manager had about twice as much impact on a team’s performance as a competent worker. They also discovered which traits were associated with good and bad managerial performance</t>
  </si>
  <si>
    <t>https://x.com/TheEconomist/status/1868377495101198592</t>
  </si>
  <si>
    <t>https://econ.st/49DxkoV</t>
  </si>
  <si>
    <t>["https://pbs.twimg.com/card_img/1867232251160805376/5BZnIJ8G?format=jpg&amp;name=orig"]</t>
  </si>
  <si>
    <t>Syria will fail if it becomes an arena for the rivalries of outside powers. It is more likely to prosper if it is left alone. And only if it prospers will millions of refugees choose to return home</t>
  </si>
  <si>
    <t>"2024-12-15T19:14:03.000Z"</t>
  </si>
  <si>
    <t>https://x.com/TheEconomist/status/1868373978110153028</t>
  </si>
  <si>
    <t>https://econ.st/3ORQ1vz</t>
  </si>
  <si>
    <t>["https://pbs.twimg.com/card_img/1867211283080052736/EC2fJPDy?format=jpg&amp;name=orig"]</t>
  </si>
  <si>
    <t>In 2025, how might President Donald Trump face up to an increasingly dangerous world? Find out in “The World Ahead”</t>
  </si>
  <si>
    <t>"2024-12-15T17:12:08.000Z"</t>
  </si>
  <si>
    <t>https://x.com/TheEconomist/status/1868343296218558507</t>
  </si>
  <si>
    <t>https://econ.st/4gj7uZv</t>
  </si>
  <si>
    <t>["https://pbs.twimg.com/card_img/1864094689399320576/r66DS-a7?format=jpg&amp;name=orig"]</t>
  </si>
  <si>
    <t>Some once hoped that “cricket diplomacy” could thaw India-Pakistan relations, replicating the success of “ping-pong diplomacy” between America and China. Now, that seems unthinkable</t>
  </si>
  <si>
    <t>"2024-12-15T08:32:07.000Z"</t>
  </si>
  <si>
    <t>https://x.com/TheEconomist/status/1868212428200140810</t>
  </si>
  <si>
    <t>https://econ.st/3BtMHDW</t>
  </si>
  <si>
    <t>["https://pbs.twimg.com/card_img/1867197848694951936/vqtLtEvZ?format=jpg&amp;name=orig"]</t>
  </si>
  <si>
    <t>Panjim, the capital of the Indian state of Goa, is known for its pretty churches and Indo-Portuguese homes. But 20 years ago it looked filthy. 
Its waste system is today cited as an example of “best practices” for other cities to follow</t>
  </si>
  <si>
    <t>"2024-12-15T04:34:20.000Z"</t>
  </si>
  <si>
    <t>https://x.com/TheEconomist/status/1868152589411287197</t>
  </si>
  <si>
    <t>https://econ.st/4ivnaux</t>
  </si>
  <si>
    <t>["https://pbs.twimg.com/card_img/1867203204905107456/VA9cpcRN?format=jpg&amp;name=orig"]</t>
  </si>
  <si>
    <t>Turmeric is killing people. Developing countries—especially India—should learn from Bangladesh’s open, pragmatic attempts to prevent this from happening</t>
  </si>
  <si>
    <t>"2024-12-15T03:03:38.000Z"</t>
  </si>
  <si>
    <t>https://x.com/TheEconomist/status/1868129765007249862</t>
  </si>
  <si>
    <t>https://econ.st/41wKu50</t>
  </si>
  <si>
    <t>["https://pbs.twimg.com/card_img/1868170352733589505/vqZjSEKY?format=jpg&amp;name=orig"]</t>
  </si>
  <si>
    <t>Rep███apa███</t>
  </si>
  <si>
    <t>Rep███ram███ Ja██████</t>
  </si>
  <si>
    <t>The climate crisis is here and now, and every single day that goes by where we don’t take action, it is getting worse.
We cannot wait. We must take bold, immediate steps to save our planet and our people.</t>
  </si>
  <si>
    <t>"2024-12-15T15:58:58.000Z"</t>
  </si>
  <si>
    <t>https://x.com/RepJayapal/status/1868324882846761097</t>
  </si>
  <si>
    <t>https://www.npr.org/2024/12/10/nx-s1-5215967/arctic-tundra-contributes-climate-warming-pollution-report-finds</t>
  </si>
  <si>
    <t>Congresswoman, lifelong organizer, mom. Proudly serving WA-07. Chair of @USProgressives, Member of @HouseJudiciary, @EdWorkforceDems. She/her.</t>
  </si>
  <si>
    <t>https://pbs.twimg.com/profile_images/978268908057751552/LdIDc0tc_normal.jpg</t>
  </si>
  <si>
    <t>["https://pbs.twimg.com/card_img/1866515719615094785/Cb4qksKE?format=jpg&amp;name=orig"]</t>
  </si>
  <si>
    <t>Rep███Gol███n</t>
  </si>
  <si>
    <t>Rep███an ███dma███</t>
  </si>
  <si>
    <t>I spent this week preserving an essential piece of NYC history, demanding accountability for the mail theft occurring in #NY10, and discussing strategies to combat food insecurity with @RepMcGovern.
Check out the week’s highlights below.</t>
  </si>
  <si>
    <t>"2024-12-15T21:10:28.000Z"</t>
  </si>
  <si>
    <t>["https://pbs.twimg.com/media/Ge3m3_cWkAA1oWG.jpg"]</t>
  </si>
  <si>
    <t>https://x.com/RepDanGoldman/status/1868403274061414481</t>
  </si>
  <si>
    <t>[{"biography":null,"followers":null,"following":null,"is_verified":null,"profile_id":"242426145","profile_name":"Rep. Jim McGovern","url":"https://x.com/RepMcGovern"}]</t>
  </si>
  <si>
    <t>["NY10"]</t>
  </si>
  <si>
    <t>Congressman for New York's 10th District in the House of Representatives</t>
  </si>
  <si>
    <t>https://pbs.twimg.com/profile_images/1612460750630518785/GlrrEjFZ_normal.jpg</t>
  </si>
  <si>
    <t>Rep███end███</t>
  </si>
  <si>
    <t>Rep███ob ███end███</t>
  </si>
  <si>
    <t>Today, we celebrate #BillOfRightsDay, a reminder of the foundational principles that protect our freedoms and rights as Americans. As we reflect on these values, @HouseDemocrats are committed to upholding and defending them for future generations.</t>
  </si>
  <si>
    <t>"2024-12-15T15:11:26.000Z"</t>
  </si>
  <si>
    <t>["https://pbs.twimg.com/media/Ge2UstkWsAA1Nim.jpg"]</t>
  </si>
  <si>
    <t>https://x.com/RepMenendez/status/1868312919970369831</t>
  </si>
  <si>
    <t>[{"biography":null,"followers":null,"following":null,"is_verified":null,"profile_id":"43963249","profile_name":"House Democrats","url":"https://x.com/HouseDemocrats"}]</t>
  </si>
  <si>
    <t>["BillOfRightsDay"]</t>
  </si>
  <si>
    <t>Olivia and Robert's second favorite parent. Husband to Alex. Congressman for #NJ08 - the district with the best people and food no questions asked.</t>
  </si>
  <si>
    <t>https://pbs.twimg.com/profile_images/1639358266986618897/XZ4At_ZD_normal.jpg</t>
  </si>
  <si>
    <t>Met deze 1⃣1⃣ gaan we voor een derde thuiszege in negen dagen 🔵⚪️
#COBW #GNTCER #JPL</t>
  </si>
  <si>
    <t>"2024-12-15T17:15:50.000Z"</t>
  </si>
  <si>
    <t>["https://pbs.twimg.com/media/Ge2uZIyWIAAYcC2.jpg"]</t>
  </si>
  <si>
    <t>https://x.com/KAAGent/status/1868344227001987406</t>
  </si>
  <si>
    <t>["COBW","GNTCER","JPL"]</t>
  </si>
  <si>
    <t>From @jeppeboys school to the @ChampionsCup 🤝
#COYQ #HARvSTO</t>
  </si>
  <si>
    <t>"2024-12-15T14:00:01.000Z"</t>
  </si>
  <si>
    <t>["https://pbs.twimg.com/media/Ge1D91DWgAAIzfS.jpg","https://pbs.twimg.com/media/Ge1EHNYW4AAlVCz.jpg"]</t>
  </si>
  <si>
    <t>https://x.com/Harlequins/status/1868294948954783900</t>
  </si>
  <si>
    <t>[{"biography":null,"followers":null,"following":null,"is_verified":null,"profile_id":"80086545","profile_name":"Jeppe Boys","url":"https://x.com/jeppeboys"},{"biography":null,"followers":null,"following":null,"is_verified":null,"profile_id":"206587913","profile_name":"Investec Champions Cup","url":"https://x.com/ChampionsCup"}]</t>
  </si>
  <si>
    <t>["COYQ","HARvSTO"]</t>
  </si>
  <si>
    <t>Leading by example 🫡
#BarclaysWSL @ManUtdWomen @MayaLeTissier</t>
  </si>
  <si>
    <t>["https://pbs.twimg.com/media/Ge2i-adXQAA5WAq.jpg"]</t>
  </si>
  <si>
    <t>https://x.com/BarclaysWSL/status/1868381261695508703</t>
  </si>
  <si>
    <t>[{"biography":null,"followers":null,"following":null,"is_verified":null,"profile_id":"977180963846443013","profile_name":"Manchester United Women","url":"https://x.com/ManUtdWomen"},{"biography":null,"followers":null,"following":null,"is_verified":null,"profile_id":"1029076404531593216","profile_name":"Maya Le Tissier","url":"https://x.com/MayaLeTissier"}]</t>
  </si>
  <si>
    <t>The final #BarclaysWSL table of 2024! 👀</t>
  </si>
  <si>
    <t>"2024-12-15T16:43:00.000Z"</t>
  </si>
  <si>
    <t>["https://pbs.twimg.com/media/Ge2n-dYW0AAglIe.jpg"]</t>
  </si>
  <si>
    <t>https://x.com/BarclaysWSL/status/1868335963300106319</t>
  </si>
  <si>
    <t>We are underway in the final #BarclaysWSL game of 2024 😢
@LiverpoolFCW 🆚 @ArsenalWFC</t>
  </si>
  <si>
    <t>"2024-12-15T14:31:26.000Z"</t>
  </si>
  <si>
    <t>["https://pbs.twimg.com/media/Ge2LaGeXkAAjqAS.jpg"]</t>
  </si>
  <si>
    <t>https://x.com/BarclaysWSL/status/1868302853598777367</t>
  </si>
  <si>
    <t>[{"biography":null,"followers":null,"following":null,"is_verified":null,"profile_id":"248664300","profile_name":"Liverpool FC Women","url":"https://x.com/LiverpoolFCW"},{"biography":null,"followers":null,"following":null,"is_verified":null,"profile_id":"256551011","profile_name":"Arsenal Women","url":"https://x.com/ArsenalWFC"}]</t>
  </si>
  <si>
    <t>Perhaps the biggest geopolitical question prompted by Bashar al-Assad’s fall is what it means for Israel. The new regime is unlikely to pose a direct threat, says a former military-intelligence chief. Israel seems to be acting on the opposite assumption</t>
  </si>
  <si>
    <t>"2024-12-15T16:33:09.000Z"</t>
  </si>
  <si>
    <t>https://x.com/TheEconomist/status/1868333485561123210</t>
  </si>
  <si>
    <t>https://econ.st/4gAmfHI</t>
  </si>
  <si>
    <t>["https://pbs.twimg.com/card_img/1867211587712405504/rWVKMQeG?format=jpg&amp;name=orig"]</t>
  </si>
  <si>
    <t>➡️ “Só acordei no dia seguinte”, diz Lula após cirurgias de emergência
Presidente recebeu alta médica neste domingo (15/12). Ele sofreu um hemorragia intracraniana e passou por dois procedimentos cirúrgicos
Leia:</t>
  </si>
  <si>
    <t>"2024-12-15T23:52:04.000Z"</t>
  </si>
  <si>
    <t>["https://pbs.twimg.com/media/Ge4L1-zXQAAhS-U.png"]</t>
  </si>
  <si>
    <t>https://x.com/Metropoles/status/1868443940225216655</t>
  </si>
  <si>
    <t>https://curt.link/KgVRh</t>
  </si>
  <si>
    <t>➡️ William Bonner comenta sobre aposentadoria e abençoa César Tralli
O apresentador respondeu sobre rumores que César Tralli poderia ficar no seu lugar
Leia:</t>
  </si>
  <si>
    <t>"2024-12-15T21:56:26.000Z"</t>
  </si>
  <si>
    <t>https://x.com/Metropoles/status/1868414840378634568</t>
  </si>
  <si>
    <t>[{"biography":null,"followers":null,"following":null,"is_verified":null,"profile_id":"15292534","profile_name":"Hugo Gloss","url":"https://x.com/HugoGloss"},{"biography":null,"followers":null,"following":null,"is_verified":null,"profile_id":"1443946613085454341","profile_name":"MyHoodbr","url":"https://x.com/MyHoodbr"}]</t>
  </si>
  <si>
    <t>https://curt.link/ILfta</t>
  </si>
  <si>
    <t>[{"duration":47391,"video_url":"https://video.twimg.com/ext_tw_video/1868414692021923840/pu/vid/avc1/720x1280/Ip6mfLeA5yjscIii.mp4?tag=12"}]</t>
  </si>
  <si>
    <t>➡️ Rayssa Leal vence etapa do Mundial de Skate e conquista tri inédito
Em uma final de alto nível, Rayssa Leal conquistou seu terceiro título consecutivo. Ela ficou à frente das japonesas Coco Yoshizawa e Yumeka
Leia:</t>
  </si>
  <si>
    <t>"2024-12-15T15:32:06.000Z"</t>
  </si>
  <si>
    <t>["https://pbs.twimg.com/media/Ge2Za8rXMAI1Gkh.png"]</t>
  </si>
  <si>
    <t>https://x.com/Metropoles/status/1868318120454344922</t>
  </si>
  <si>
    <t>https://curt.link/GSoPO</t>
  </si>
  <si>
    <t>➡️ Concurso dos Correios com 3,5 mil vagas é neste domingo; saiba tudo
Aplicação das provas para mais de 1 milhão de candidatos ocorre neste domingo (15/12) em cidades de todo o país
Leia:</t>
  </si>
  <si>
    <t>"2024-12-15T12:15:00.000Z"</t>
  </si>
  <si>
    <t>["https://pbs.twimg.com/media/Ge1nPd1XEAEMaDB.png"]</t>
  </si>
  <si>
    <t>https://x.com/Metropoles/status/1868268519256719543</t>
  </si>
  <si>
    <t>https://curt.link/GaKfL</t>
  </si>
  <si>
    <t>➡️ “Deus foi generoso ao cuidar de mim quando caí no banheiro”, diz Lula
Lula passou por dois procedimentos cirúrgicos na cabeça e ficou seis dias internado no Hospital Sírio-Libanês, em São Paulo
Leia na coluna @lilian_tahan e @tr_isadora :</t>
  </si>
  <si>
    <t>"2024-12-15T15:01:20.000Z"</t>
  </si>
  <si>
    <t>["https://pbs.twimg.com/media/Ge2SYlrWIAAmsnt.png"]</t>
  </si>
  <si>
    <t>https://x.com/Metropoles/status/1868310380709294591</t>
  </si>
  <si>
    <t>https://curt.link/MGWrE</t>
  </si>
  <si>
    <t>LaL███</t>
  </si>
  <si>
    <t>LAL███</t>
  </si>
  <si>
    <t>Gracias por tu fútbol, @luisnani. 🤝
💫🤸‍♂ ¡Mucha suerte en tu nueva etapa!
#LALIGAEASPORTS | @valenciacf</t>
  </si>
  <si>
    <t>"2024-12-09T05:00:01.000Z"</t>
  </si>
  <si>
    <t>["https://pbs.twimg.com/media/GeUXPSdXIAAIkIR.jpg"]</t>
  </si>
  <si>
    <t>https://x.com/LaLiga/status/1865984723761123788</t>
  </si>
  <si>
    <t>[{"biography":null,"followers":null,"following":null,"is_verified":null,"profile_id":"252753618","profile_name":"Nani","url":"https://x.com/luisnani"},{"biography":null,"followers":null,"following":null,"is_verified":null,"profile_id":"109312021","profile_name":"Valencia CF","url":"https://x.com/valenciacf"}]</t>
  </si>
  <si>
    <t>["LALIGAEASPORTS"]</t>
  </si>
  <si>
    <t>⚽️ LALIGA EA SPORTS &amp; LALIGA HYPERMOTION  🌍 #EarnItOnThePitch</t>
  </si>
  <si>
    <t>https://pbs.twimg.com/profile_images/1865692791516352512/lccvCyOR_normal.jpg</t>
  </si>
  <si>
    <t>Let the festivities commence. Into 'em, Rossoneri! 💪
#MilanGenoa #ACMilanWorthEveryMinute #SempreMilan
Brought to you by @emirates</t>
  </si>
  <si>
    <t>"2024-12-15T19:49:58.000Z"</t>
  </si>
  <si>
    <t>["https://pbs.twimg.com/media/Ge3UcN2WcAAzROF.jpg"]</t>
  </si>
  <si>
    <t>https://x.com/acmilan/status/1868383013962441215</t>
  </si>
  <si>
    <t>Your 125th-anniversary Milan XI 📋
#MilanGenoa #ACMilanWorthEveryMinute #SempreMilan 
Brought to you by 𝗞𝘂𝗺𝗵𝗼 𝗧𝗶𝗿𝗲</t>
  </si>
  <si>
    <t>"2024-12-15T18:43:06.000Z"</t>
  </si>
  <si>
    <t>["https://pbs.twimg.com/media/Ge3E944XcAAcGyc.jpg","https://pbs.twimg.com/media/Ge3E942WwAACcy1.jpg"]</t>
  </si>
  <si>
    <t>https://x.com/acmilan/status/1868366190021849091</t>
  </si>
  <si>
    <t>Three Dutch icons. One unforgettable legacy ♾️👑
#MilanGenoa #ACMilanWorthEveryMinute #SempreMilan</t>
  </si>
  <si>
    <t>"2024-12-15T18:42:03.000Z"</t>
  </si>
  <si>
    <t>["https://pbs.twimg.com/media/Ge3DWRKXgAAhjon.jpg"]</t>
  </si>
  <si>
    <t>https://x.com/acmilan/status/1868365924270801040</t>
  </si>
  <si>
    <t>From Lanarkshire to Milano, happy birthday Lo Squalo 🦈
#SempreMilan</t>
  </si>
  <si>
    <t>"2024-12-15T08:00:02.000Z"</t>
  </si>
  <si>
    <t>["https://pbs.twimg.com/media/Gexj0apWIAAnpci.jpg"]</t>
  </si>
  <si>
    <t>https://x.com/acmilan/status/1868204353154412586</t>
  </si>
  <si>
    <t>["SempreMilan"]</t>
  </si>
  <si>
    <t>Honoring the legends, with @Emirates by our side 🏆✈️ 
Hall of Fame inductees take center stage as we celebrate 125 years of #ACMilan! 🔴⚫ 
#Emirates #FlyBetter #SempreMilan</t>
  </si>
  <si>
    <t>"2024-12-15T19:30:53.000Z"</t>
  </si>
  <si>
    <t>["https://pbs.twimg.com/media/Ge3P8ERXYAAa6m1.jpg"]</t>
  </si>
  <si>
    <t>https://x.com/acmilan/status/1868378212402897367</t>
  </si>
  <si>
    <t>["ACMilan","Emirates","FlyBetter","SempreMilan"]</t>
  </si>
  <si>
    <t>⁠Sporting wint op Stayen. 🟣⚪️ #STVAND</t>
  </si>
  <si>
    <t>"2024-12-15T19:41:17.000Z"</t>
  </si>
  <si>
    <t>["https://pbs.twimg.com/media/Ge3SaCJXkAAAS18.jpg"]</t>
  </si>
  <si>
    <t>https://x.com/rscanderlecht/status/1868380832437604421</t>
  </si>
  <si>
    <t>red███lra███g</t>
  </si>
  <si>
    <t>Ora███ Re███ull█████████</t>
  </si>
  <si>
    <t>Throwing it back to Bahrain Testing ⏪😎
#F1 || @Max33Verstappen</t>
  </si>
  <si>
    <t>"2024-12-15T11:59:52.000Z"</t>
  </si>
  <si>
    <t>["https://pbs.twimg.com/media/Ge1owmzXsAACrje.jpg","https://pbs.twimg.com/media/Ge1owmyW0AAyEjp.jpg","https://pbs.twimg.com/media/Ge1owmyXUAAjUuL.jpg"]</t>
  </si>
  <si>
    <t>https://x.com/redbullracing/status/1868264710065234126</t>
  </si>
  <si>
    <t>[{"biography":null,"followers":null,"following":null,"is_verified":null,"profile_id":"556260847","profile_name":"Max Verstappen","url":"https://x.com/Max33Verstappen"}]</t>
  </si>
  <si>
    <t>M4X VERSTAPPEN. FOUR TIME CHAMP. #GivesYouWiiings</t>
  </si>
  <si>
    <t>https://pbs.twimg.com/profile_images/1860585749621485568/mt8LuUQU_normal.jpg</t>
  </si>
  <si>
    <t>HT: @ArsenalWFC lead at the break!
#BarclaysWSL</t>
  </si>
  <si>
    <t>"2024-12-15T15:19:38.000Z"</t>
  </si>
  <si>
    <t>["https://pbs.twimg.com/media/Ge2WgvQW0AA0Kh7.jpg"]</t>
  </si>
  <si>
    <t>https://x.com/BarclaysWSL/status/1868314983022338429</t>
  </si>
  <si>
    <t>{"post_id":"1868302853598777367","profile_id":"273665871","profile_name":"BarclaysWSL"}</t>
  </si>
  <si>
    <t>The #BarclaysWSL action taking place today! 👊</t>
  </si>
  <si>
    <t>"2024-12-15T09:30:00.000Z"</t>
  </si>
  <si>
    <t>["https://pbs.twimg.com/media/GeXr2D5XIAkKrzM.jpg"]</t>
  </si>
  <si>
    <t>https://x.com/BarclaysWSL/status/1868226996850897407</t>
  </si>
  <si>
    <t>Che███aFC███</t>
  </si>
  <si>
    <t>Che███a F███ome███</t>
  </si>
  <si>
    <t>Congratulations on your Chelsea debut, @AlejandraBern00! 🤩</t>
  </si>
  <si>
    <t>"2024-12-15T12:37:03.000Z"</t>
  </si>
  <si>
    <t>["https://pbs.twimg.com/media/Ge1xXN7XEAA_Xl2.jpg"]</t>
  </si>
  <si>
    <t>https://x.com/ChelseaFCW/status/1868274069205815481</t>
  </si>
  <si>
    <t>[{"biography":null,"followers":null,"following":null,"is_verified":null,"profile_id":"1154697810954149893","profile_name":"alejandraabernabe","url":"https://x.com/alejandrabern00"}]</t>
  </si>
  <si>
    <t>Come and watch the Chels. 🎟️👇</t>
  </si>
  <si>
    <t>https://pbs.twimg.com/profile_images/1856392259823951873/QNvWT4m2_normal.jpg</t>
  </si>
  <si>
    <t>Man███y</t>
  </si>
  <si>
    <t>Man███ste███ity███</t>
  </si>
  <si>
    <t>77. CITY SUB | Grealish comes on for Doku 🔄
🩵 1-0 🔴 #ManCity</t>
  </si>
  <si>
    <t>"2024-12-15T18:10:18.000Z"</t>
  </si>
  <si>
    <t>["https://pbs.twimg.com/media/Ge29ohfWgAIXTLf.jpg"]</t>
  </si>
  <si>
    <t>https://x.com/ManCity/status/1868357933723259329</t>
  </si>
  <si>
    <t>["ManCity"]</t>
  </si>
  <si>
    <t>WATCH TOGETHER: 4-IN-A-ROW 🍿</t>
  </si>
  <si>
    <t>https://pbs.twimg.com/profile_images/1856263834400358400/RysToJDu_normal.png</t>
  </si>
  <si>
    <t>Looking for the breakthrough 🔐
🩵 0-0 🔴 #ManCity</t>
  </si>
  <si>
    <t>"2024-12-15T16:45:46.000Z"</t>
  </si>
  <si>
    <t>["https://pbs.twimg.com/media/Ge2pr3vWUAAPD7G.jpg"]</t>
  </si>
  <si>
    <t>https://x.com/ManCity/status/1868336659995185193</t>
  </si>
  <si>
    <t>Man███</t>
  </si>
  <si>
    <t>Man███ste███nit███</t>
  </si>
  <si>
    <t>⌚️ Approaching the hour mark in the derby.
#MUFC || #MCIMUN</t>
  </si>
  <si>
    <t>"2024-12-15T17:50:14.000Z"</t>
  </si>
  <si>
    <t>["https://pbs.twimg.com/media/Ge24u0SXYAAeIrW.jpg","https://pbs.twimg.com/media/Ge24wwCXcAAfB_9.jpg"]</t>
  </si>
  <si>
    <t>https://x.com/ManUtd/status/1868352885282550009</t>
  </si>
  <si>
    <t>["MUFC","MCIMUN"]</t>
  </si>
  <si>
    <t>’Tis the season to gift United! 🎁🎄</t>
  </si>
  <si>
    <t>https://pbs.twimg.com/profile_images/1856418426496880640/iIvJaO5T_normal.png</t>
  </si>
  <si>
    <t>Counting down to the Manchester derby 🔴
🤳 @Snapdragon
#MUFC || #ShotOnSnapdragon</t>
  </si>
  <si>
    <t>"2024-12-15T14:51:00.000Z"</t>
  </si>
  <si>
    <t>["https://pbs.twimg.com/media/Ge2N4RlWcAAznhO.jpg"]</t>
  </si>
  <si>
    <t>https://x.com/ManUtd/status/1868307777648566638</t>
  </si>
  <si>
    <t>[{"biography":null,"followers":null,"following":null,"is_verified":null,"profile_id":"18238788","profile_name":"Snapdragon","url":"https://x.com/Snapdragon"}]</t>
  </si>
  <si>
    <t>["MUFC","ShotOnSnapdragon"]</t>
  </si>
  <si>
    <t>Ready.
#MUFC || #MCIMUN</t>
  </si>
  <si>
    <t>"2024-12-15T14:32:15.000Z"</t>
  </si>
  <si>
    <t>["https://pbs.twimg.com/media/Ge2JqL0WoAAqBaw.jpg"]</t>
  </si>
  <si>
    <t>https://x.com/ManUtd/status/1868303061258518617</t>
  </si>
  <si>
    <t>▶️ UP THE REDS 🔴
#MUFC || #MCIMUN</t>
  </si>
  <si>
    <t>"2024-12-15T16:31:33.000Z"</t>
  </si>
  <si>
    <t>https://x.com/ManUtd/status/1868333081767338166</t>
  </si>
  <si>
    <t>https://www.manutd.com/en/matches/matchcenter?matchId=2444625</t>
  </si>
  <si>
    <t>Man███yWo███</t>
  </si>
  <si>
    <t>Man███ste███ity█████████</t>
  </si>
  <si>
    <t>Work to do for City.
🍬 2-0 🩵 #ManCity</t>
  </si>
  <si>
    <t>"2024-12-15T13:17:00.000Z"</t>
  </si>
  <si>
    <t>["https://pbs.twimg.com/media/Ge16cT-W0AALv6J.jpg"]</t>
  </si>
  <si>
    <t>https://x.com/ManCityWomen/status/1868284124353454244</t>
  </si>
  <si>
    <t>Official account of Manchester City Women 🩵
🏆 1x WSL
🏆 3x Women’s FA Cup
🏆 4x FA Women’s League Cup</t>
  </si>
  <si>
    <t>https://pbs.twimg.com/profile_images/1856262696011755520/VOcg8JqD_normal.jpg</t>
  </si>
  <si>
    <t>🔄 Ruben shuffles his pack as we enter the closing stages.
#MUFC || #MCIMUN</t>
  </si>
  <si>
    <t>"2024-12-15T18:12:59.000Z"</t>
  </si>
  <si>
    <t>["https://pbs.twimg.com/media/Ge2-ImoXYAAfuLI.jpg"]</t>
  </si>
  <si>
    <t>https://x.com/ManUtd/status/1868358608003678594</t>
  </si>
  <si>
    <t>Come on you 𝐁𝐥𝐮𝐞𝐬! 💙🖤 👊 #CLUGNK</t>
  </si>
  <si>
    <t>"2024-12-15T11:15:00.000Z"</t>
  </si>
  <si>
    <t>https://x.com/ClubBrugge/status/1868253419317653970</t>
  </si>
  <si>
    <t>https://www.clubbrugge.be/nl/match/clu-gnk-15-12-2024</t>
  </si>
  <si>
    <t>In the blue corner for #MCIMNU 🩵
XI | Ederson, Walker (C), Dias, Gvardiol, Gundogan, De Bruyne, Bernardo, Nunes, Foden, Doku, Haaland
SUBS | Ortega Moreno, Stones, Kovacic, Grealish, Savinho, Simpson-Pusey, Mubama, O'Reilly, McAtee
#ManCity | @etihad</t>
  </si>
  <si>
    <t>"2024-12-15T15:15:01.000Z"</t>
  </si>
  <si>
    <t>["https://pbs.twimg.com/media/Ge2RXW8XgAAsdIq.jpg"]</t>
  </si>
  <si>
    <t>https://x.com/ManCity/status/1868313821796069772</t>
  </si>
  <si>
    <t>[{"biography":null,"followers":null,"following":null,"is_verified":null,"profile_id":"45621423","profile_name":"Etihad Airways","url":"https://x.com/etihad"}]</t>
  </si>
  <si>
    <t>["MCIMNU","ManCity"]</t>
  </si>
  <si>
    <t>Into the final stages ⏱️
🩵 1-0 🔴 #ManCity</t>
  </si>
  <si>
    <t>"2024-12-15T18:18:27.000Z"</t>
  </si>
  <si>
    <t>["https://pbs.twimg.com/media/Ge2_cdzXcAAchun.jpg"]</t>
  </si>
  <si>
    <t>https://x.com/ManCity/status/1868359983567442165</t>
  </si>
  <si>
    <t>FULL-TIME | Defeat in the derby. 
🩵 1-2 🔴 #ManCity | @okx</t>
  </si>
  <si>
    <t>"2024-12-15T18:29:36.000Z"</t>
  </si>
  <si>
    <t>["https://pbs.twimg.com/media/Ge3BuIMWgAAo_y_.jpg"]</t>
  </si>
  <si>
    <t>https://x.com/ManCity/status/1868362790584590580</t>
  </si>
  <si>
    <t>[{"biography":null,"followers":null,"following":null,"is_verified":null,"profile_id":"867617849208037377","profile_name":"OKX","url":"https://x.com/okx"}]</t>
  </si>
  <si>
    <t>Searching for a breakthrough 🔍
#MUFC || #MCIMUN</t>
  </si>
  <si>
    <t>"2024-12-15T17:05:05.000Z"</t>
  </si>
  <si>
    <t>["https://pbs.twimg.com/media/Ge2ugg1XsAA7KtO.jpg"]</t>
  </si>
  <si>
    <t>https://x.com/ManUtd/status/1868341523554992300</t>
  </si>
  <si>
    <t>Grab your popcorn for this one: today's match highlights have landed 🍿
#MUFC || #MCIMUN</t>
  </si>
  <si>
    <t>"2024-12-15T20:37:00.000Z"</t>
  </si>
  <si>
    <t>https://x.com/ManUtd/status/1868394851336966642</t>
  </si>
  <si>
    <t>https://www.manutd.com/en/videos/detail/Short-match-highlights-Manchester-City-v-Man-Utd-15-December-2024</t>
  </si>
  <si>
    <t>Goodnight, Reds ✌️
#MUFC || #MCIMUN</t>
  </si>
  <si>
    <t>"2024-12-15T23:01:00.000Z"</t>
  </si>
  <si>
    <t>["https://pbs.twimg.com/media/Ge3KJRiXoAAubsV.jpg","https://pbs.twimg.com/media/Ge3KLhEWkAAch1M.jpg"]</t>
  </si>
  <si>
    <t>https://x.com/ManUtd/status/1868431090844876946</t>
  </si>
  <si>
    <t>Loud and proud — what an away end today, Reds 🔊
#MUFC || #MCIMUN</t>
  </si>
  <si>
    <t>"2024-12-15T21:22:00.000Z"</t>
  </si>
  <si>
    <t>["https://pbs.twimg.com/media/Ge3WlIXWQAA1liT.jpg"]</t>
  </si>
  <si>
    <t>https://x.com/ManUtd/status/1868406175915466819</t>
  </si>
  <si>
    <t>Get in there! The Reds are level late on! 🔴
#MUFC || #MCIMUN</t>
  </si>
  <si>
    <t>"2024-12-15T18:21:21.000Z"</t>
  </si>
  <si>
    <t>["https://pbs.twimg.com/media/Ge3AEyuXIAAQk9W.jpg"]</t>
  </si>
  <si>
    <t>https://x.com/ManUtd/status/1868360715850989772</t>
  </si>
  <si>
    <t>{"data_posted":"2012-04-20T15:17:43.000Z","description":"BRUNO FROM THE SPOT!!!💪","photos":null,"post_id":"1868360575107072058","profile_id":"ManUtd","profile_name":"Manchester United","url":"https://x.com/ManUtd/status/1868360575107072058","videos":null}</t>
  </si>
  <si>
    <t>On the road! 🛣️
#ManCity | @Gatorade</t>
  </si>
  <si>
    <t>["https://pbs.twimg.com/media/GeyZKQnXEAARFFg.jpg"]</t>
  </si>
  <si>
    <t>https://x.com/ManCityWomen/status/1868226996322656630</t>
  </si>
  <si>
    <t>[{"biography":null,"followers":null,"following":null,"is_verified":null,"profile_id":"34369690","profile_name":"Gatorade","url":"https://x.com/Gatorade"}]</t>
  </si>
  <si>
    <t>63. CITY SUB | Another change 🔁
🍬 2-0 🩵 #ManCity</t>
  </si>
  <si>
    <t>"2024-12-15T13:50:24.000Z"</t>
  </si>
  <si>
    <t>["https://pbs.twimg.com/media/Ge2CIYHWAAAnOrb.jpg"]</t>
  </si>
  <si>
    <t>https://x.com/ManCityWomen/status/1868292528761606490</t>
  </si>
  <si>
    <t>Man███Wom███</t>
  </si>
  <si>
    <t>Man███ste███nit█████████</t>
  </si>
  <si>
    <t>Grace's goal has us ahead at the break 💪
#MUWomen</t>
  </si>
  <si>
    <t>"2024-12-15T14:52:33.000Z"</t>
  </si>
  <si>
    <t>https://x.com/ManUtdWomen/status/1868308167781974126</t>
  </si>
  <si>
    <t>https://www.manutd.com/en/news/women</t>
  </si>
  <si>
    <t>["MUWomen"]</t>
  </si>
  <si>
    <t>Explore our Christmas deals on United Store now 🛍️⤵️</t>
  </si>
  <si>
    <t>https://pbs.twimg.com/profile_images/1856421977373741056/jWwLjKK5_normal.jpg</t>
  </si>
  <si>
    <t>Just over half an hour played and we’re still searching for an opener 🔎
#MUWomen</t>
  </si>
  <si>
    <t>"2024-12-15T14:35:04.000Z"</t>
  </si>
  <si>
    <t>["https://pbs.twimg.com/media/Ge2MYEYWEAAAiqT.jpg"]</t>
  </si>
  <si>
    <t>https://x.com/ManUtdWomen/status/1868303770251362392</t>
  </si>
  <si>
    <t>Rach is unable to continue 🔁
80' 🟣 2-1 ⚪️ // #BarclaysWSL</t>
  </si>
  <si>
    <t>"2024-12-15T15:41:54.000Z"</t>
  </si>
  <si>
    <t>["https://pbs.twimg.com/media/Ge2bqm0WsAAgEuI.jpg"]</t>
  </si>
  <si>
    <t>https://x.com/AVWFCOfficial/status/1868320589087420478</t>
  </si>
  <si>
    <t>Behind enemy lines 📍
🧵 adidas LNY x #MUFC
#MCIMUN</t>
  </si>
  <si>
    <t>"2024-12-15T15:40:28.000Z"</t>
  </si>
  <si>
    <t>https://x.com/ManUtd/status/1868320227844620506</t>
  </si>
  <si>
    <t>https://store.manutd.com/en-gb/c/fashion/collections/adidas-lny-x-manchester-united?t=y&amp;utm_source=twitter&amp;utm_medium=link_post&amp;utm_campaign=muwebsite</t>
  </si>
  <si>
    <t>High praise for @AmadDiallo_19 from the captain 🫶
#MUFC || #MCIMUN</t>
  </si>
  <si>
    <t>"2024-12-15T20:16:00.000Z"</t>
  </si>
  <si>
    <t>https://x.com/ManUtd/status/1868389566496817300</t>
  </si>
  <si>
    <t>[{"biography":null,"followers":null,"following":null,"is_verified":null,"profile_id":"1338814116455182336","profile_name":"Amad","url":"https://x.com/Amaddiallo_19"}]</t>
  </si>
  <si>
    <t>👏 @GabsGeorge on the attack!
#MUWomen</t>
  </si>
  <si>
    <t>"2024-12-15T15:27:16.000Z"</t>
  </si>
  <si>
    <t>["https://pbs.twimg.com/media/Ge2YUnKX0AAUSFt.jpg","https://pbs.twimg.com/media/Ge2YUnTW4AAe9ZG.jpg"]</t>
  </si>
  <si>
    <t>https://x.com/ManUtdWomen/status/1868316905687412789</t>
  </si>
  <si>
    <t>[{"biography":null,"followers":null,"following":null,"is_verified":null,"profile_id":"254624579","profile_name":"Gabby George","url":"https://x.com/gabsgeorge"}]</t>
  </si>
  <si>
    <t>LFC</t>
  </si>
  <si>
    <t>Liv███ool███</t>
  </si>
  <si>
    <t>'We showed the character we have' - Cody Gakpo on #LIVFUL 💬</t>
  </si>
  <si>
    <t>"2024-12-15T09:31:20.000Z"</t>
  </si>
  <si>
    <t>https://x.com/LFC/status/1868227333368512760</t>
  </si>
  <si>
    <t>https://www.liverpoolfc.com/news/we-showed-character-we-have-cody-gakpo-fulham-draw</t>
  </si>
  <si>
    <t>["LIVFUL"]</t>
  </si>
  <si>
    <t>Official X account of Liverpool Football Club 🔴 Stop The Hate, Report It. #RedTogether ✊ @LFCHelp 💻</t>
  </si>
  <si>
    <t>https://pbs.twimg.com/profile_images/1856268307868844032/lbdn4-vK_normal.jpg</t>
  </si>
  <si>
    <t>What’s your Manchester derby score prediction? 🔮
#ManCity | @betway</t>
  </si>
  <si>
    <t>"2024-12-15T13:11:56.000Z"</t>
  </si>
  <si>
    <t>["https://pbs.twimg.com/media/Ge15WE5WkAAQTgH.jpg"]</t>
  </si>
  <si>
    <t>https://x.com/ManCity/status/1868282846823264742</t>
  </si>
  <si>
    <t>[{"biography":null,"followers":null,"following":null,"is_verified":null,"profile_id":"700894208","profile_name":"betway","url":"https://x.com/betway"}]</t>
  </si>
  <si>
    <t>A first #BarclaysWSL victory over Manchester City!
What a way to finish the year for @EvertonWomen!</t>
  </si>
  <si>
    <t>"2024-12-15T17:37:00.000Z"</t>
  </si>
  <si>
    <t>["https://pbs.twimg.com/media/Ge2M7_2WsAAKjSo.jpg"]</t>
  </si>
  <si>
    <t>https://x.com/BarclaysWSL/status/1868349552853451025</t>
  </si>
  <si>
    <t>[{"biography":null,"followers":null,"following":null,"is_verified":null,"profile_id":"485857070","profile_name":"Everton Women","url":"https://x.com/EvertonWomen"}]</t>
  </si>
  <si>
    <t>It's just what we do 🔴
#MUFC || #MCIMUN</t>
  </si>
  <si>
    <t>"2024-12-15T18:51:36.000Z"</t>
  </si>
  <si>
    <t>["https://pbs.twimg.com/media/Ge3G9J1XYAAXLd3.jpg"]</t>
  </si>
  <si>
    <t>https://x.com/ManUtd/status/1868368328416510441</t>
  </si>
  <si>
    <t>Absolute scenes.
#MUFC || #MCIMUN</t>
  </si>
  <si>
    <t>"2024-12-15T18:24:01.000Z"</t>
  </si>
  <si>
    <t>["https://pbs.twimg.com/media/Ge3AquFXoAAxs-S.jpg"]</t>
  </si>
  <si>
    <t>https://x.com/ManUtd/status/1868361384897151487</t>
  </si>
  <si>
    <t>{"data_posted":"2012-04-20T15:17:43.000Z","description":"AMAAAAAAAAAAAAAAAAADDDDDDDD","photos":null,"post_id":"1868361112594587928","profile_id":"ManUtd","profile_name":"Manchester United","url":"https://x.com/ManUtd/status/1868361112594587928","videos":null}</t>
  </si>
  <si>
    <t>Lio███ses███</t>
  </si>
  <si>
    <t>The #WEURO2025 draw takes place tomorrow in Switzerland! 🔜
Details 🔗</t>
  </si>
  <si>
    <t>"2024-12-15T15:30:00.000Z"</t>
  </si>
  <si>
    <t>["https://pbs.twimg.com/media/Ge2M6vKXQAAMHMr.jpg"]</t>
  </si>
  <si>
    <t>https://x.com/Lionesses/status/1868317593221599421</t>
  </si>
  <si>
    <t>http://eng.football/mxu1up</t>
  </si>
  <si>
    <t>["WEURO2025"]</t>
  </si>
  <si>
    <t>Get tickets to England vs Spain, 26 February 2025 🏴󠁧󠁢󠁥󠁮󠁧󠁿🇪🇸 👇</t>
  </si>
  <si>
    <t>https://pbs.twimg.com/profile_images/1856693445462482944/hgGaKARY_normal.jpg</t>
  </si>
  <si>
    <t>💫 @Hinata_1509 
#MUWomen</t>
  </si>
  <si>
    <t>"2024-12-15T14:42:31.000Z"</t>
  </si>
  <si>
    <t>["https://pbs.twimg.com/media/Ge2OE5-WEAAfkRz.jpg"]</t>
  </si>
  <si>
    <t>https://x.com/ManUtdWomen/status/1868305641456140532</t>
  </si>
  <si>
    <t>[{"biography":null,"followers":null,"following":null,"is_verified":null,"profile_id":"1424286351336239113","profile_name":"宮澤ひなた","url":"https://x.com/hinata_1509"}]</t>
  </si>
  <si>
    <t>Finishing the calendar year with three points! ➕3️⃣
#MUWomen</t>
  </si>
  <si>
    <t>"2024-12-15T15:55:34.000Z"</t>
  </si>
  <si>
    <t>https://x.com/ManUtdWomen/status/1868324029079372073</t>
  </si>
  <si>
    <t>https://store.manutd.com/en-gb/c/kit/third?t=y&amp;utm_source=twitter&amp;utm_medium=post&amp;utm_campaign=ecom&amp;utm_content=muwvpalacemd</t>
  </si>
  <si>
    <t>Our Grace, our matchwinner 🫶
#MUWomen</t>
  </si>
  <si>
    <t>"2024-12-15T17:03:00.000Z"</t>
  </si>
  <si>
    <t>https://x.com/ManUtdWomen/status/1868340997148619258</t>
  </si>
  <si>
    <t>https://store.manutd.com/en-gb/c/shop-by-player/womens-team/clinton?t=y&amp;utm_source=twitter&amp;utm_medium=post&amp;utm_campaign=ecom&amp;utm_content=clintonpalacepotm</t>
  </si>
  <si>
    <t>DEADLOCK = BROKEN! 🔓⚽️
#MUWomen</t>
  </si>
  <si>
    <t>"2024-12-15T14:50:59.000Z"</t>
  </si>
  <si>
    <t>["https://pbs.twimg.com/media/Ge2P4LCW4AABLAK.jpg"]</t>
  </si>
  <si>
    <t>https://x.com/ManUtdWomen/status/1868307773425094713</t>
  </si>
  <si>
    <t>McL███nF1███</t>
  </si>
  <si>
    <t>McL███n</t>
  </si>
  <si>
    <t>How were you feeling this time last Sunday? 👀
#ThisTeam</t>
  </si>
  <si>
    <t>["https://pbs.twimg.com/media/Genhb0RWQAAxXs9.jpg","https://pbs.twimg.com/media/GenhnJMWQAARq4L.jpg"]</t>
  </si>
  <si>
    <t>https://x.com/McLarenF1/status/1868284121761386635</t>
  </si>
  <si>
    <t>["ThisTeam"]</t>
  </si>
  <si>
    <t>THIS TEAM HAS JUST WON IT. 🧡 2024 CONSTRUCTORS’ CHAMPIONS! 🏆</t>
  </si>
  <si>
    <t>https://pbs.twimg.com/profile_images/1865766127109820416/EGGL8SUG_normal.png</t>
  </si>
  <si>
    <t>dea███nde███n</t>
  </si>
  <si>
    <t>Dea███end███on</t>
  </si>
  <si>
    <t>What it means!! Let’s go!! I love this team💙❤️🔜🔛🔝 @CPFC</t>
  </si>
  <si>
    <t>"2024-12-15T17:12:43.000Z"</t>
  </si>
  <si>
    <t>["https://pbs.twimg.com/media/Ge2wdVZXQAEeqNl.jpg"]</t>
  </si>
  <si>
    <t>https://x.com/deanhenderson/status/1868343442642006395</t>
  </si>
  <si>
    <t>[{"biography":null,"followers":null,"following":null,"is_verified":null,"profile_id":"85307509","profile_name":"Crystal Palace F.C.","url":"https://x.com/CPFC"}]</t>
  </si>
  <si>
    <t>@CPFC and @England ⚽️ 🔜🔛🔝 info@deanhendersonofficial.com</t>
  </si>
  <si>
    <t>https://pbs.twimg.com/profile_images/1779538100181401600/W8HAN0ep_normal.jpg</t>
  </si>
  <si>
    <t>Eve███nWo███</t>
  </si>
  <si>
    <t>Eve███n W███n</t>
  </si>
  <si>
    <t>🔵 Your Blues to take on Manchester City.
#COYB</t>
  </si>
  <si>
    <t>"2024-12-15T11:30:02.000Z"</t>
  </si>
  <si>
    <t>["https://pbs.twimg.com/media/Ge1hI75XwAAPiNR.jpg"]</t>
  </si>
  <si>
    <t>https://x.com/EvertonWomen/status/1868257205226725714</t>
  </si>
  <si>
    <t>["COYB"]</t>
  </si>
  <si>
    <t>The official X page of Everton Women, with news, fixture details, ticket offers and much, much more from the team. #COYB</t>
  </si>
  <si>
    <t>https://pbs.twimg.com/profile_images/1729579033464107008/u8MwPO-v_normal.jpg</t>
  </si>
  <si>
    <t>IT’S DERBY DAY 🔵⚔️🔴
#MUFC || #MCIMUN</t>
  </si>
  <si>
    <t>"2024-12-15T08:36:00.000Z"</t>
  </si>
  <si>
    <t>https://x.com/ManUtd/status/1868213405749809562</t>
  </si>
  <si>
    <t>https://store.manutd.com/en-gb/c/kit/authentic?t=y&amp;utm_source=twitter&amp;utm_medium=post&amp;utm_campaign=ecom&amp;utm_content=mancitymd</t>
  </si>
  <si>
    <t>Let's go boys ✊
#MUFC || #MCIMUN</t>
  </si>
  <si>
    <t>"2024-12-15T16:09:19.000Z"</t>
  </si>
  <si>
    <t>["https://pbs.twimg.com/media/Ge2h4SIWsAAh_SO.jpg","https://pbs.twimg.com/media/Ge2h6E5WAAAGh8o.jpg","https://pbs.twimg.com/media/Ge2h2dfWYAAMqAQ.jpg","https://pbs.twimg.com/media/Ge2h0VrXMAAXluW.jpg"]</t>
  </si>
  <si>
    <t>https://x.com/ManUtd/status/1868327488117706849</t>
  </si>
  <si>
    <t>What a feeling ❤️
#MUFC || #MCIMUN</t>
  </si>
  <si>
    <t>"2024-12-15T18:33:39.000Z"</t>
  </si>
  <si>
    <t>["https://pbs.twimg.com/media/Ge3C4ldXAAAz4ou.jpg","https://pbs.twimg.com/media/Ge3C6vLWgAA56ZL.jpg"]</t>
  </si>
  <si>
    <t>https://x.com/ManUtd/status/1868363808143507774</t>
  </si>
  <si>
    <t>Wrapping up the year in the @BarclaysWSL! 🙌
#ManCity</t>
  </si>
  <si>
    <t>"2024-12-15T09:00:01.000Z"</t>
  </si>
  <si>
    <t>["https://pbs.twimg.com/media/Ge0zGq9XwAASuPV.jpg"]</t>
  </si>
  <si>
    <t>https://x.com/ManCityWomen/status/1868219451537068299</t>
  </si>
  <si>
    <t>46. CITY SUB | Switch at the break 🔁
🍬 2-0 🩵 #ManCity</t>
  </si>
  <si>
    <t>"2024-12-15T13:33:32.000Z"</t>
  </si>
  <si>
    <t>["https://pbs.twimg.com/media/Ge1-FqCWAAAXLjA.jpg"]</t>
  </si>
  <si>
    <t>https://x.com/ManCityWomen/status/1868288281701671258</t>
  </si>
  <si>
    <t>68. CITY SUB | Kova returns replacing KDB 🔄
🩵 1-0 🔴 #ManCity</t>
  </si>
  <si>
    <t>"2024-12-15T18:01:31.000Z"</t>
  </si>
  <si>
    <t>["https://pbs.twimg.com/media/Ge27kd_W4AAgjsF.jpg"]</t>
  </si>
  <si>
    <t>https://x.com/ManCity/status/1868355723656110263</t>
  </si>
  <si>
    <t>Counting down to the derby! 👊
#ManCity | @Gatorade</t>
  </si>
  <si>
    <t>["https://pbs.twimg.com/media/Ge1ZBsxXoAApNLp.jpg"]</t>
  </si>
  <si>
    <t>https://x.com/ManCity/status/1868287393167782194</t>
  </si>
  <si>
    <t>Love it, Josko 🩵
🩵 1-0 🔴 #ManCity</t>
  </si>
  <si>
    <t>"2024-12-15T17:26:09.000Z"</t>
  </si>
  <si>
    <t>["https://pbs.twimg.com/media/Ge2ywvNWEAE3uwT.jpg"]</t>
  </si>
  <si>
    <t>https://x.com/ManCity/status/1868346822097609097</t>
  </si>
  <si>
    <t>For you that, Reds.
#MUFC || #MCIMUN</t>
  </si>
  <si>
    <t>"2024-12-15T18:45:54.000Z"</t>
  </si>
  <si>
    <t>["https://pbs.twimg.com/media/Ge3Djg-XIAAShfl.jpg"]</t>
  </si>
  <si>
    <t>https://x.com/ManUtd/status/1868366894883115448</t>
  </si>
  <si>
    <t>Up next: A @Carabao_Cup quarter-final on the south coast 👊</t>
  </si>
  <si>
    <t>"2024-12-15T20:20:00.000Z"</t>
  </si>
  <si>
    <t>["https://pbs.twimg.com/media/Ge1SmquWMAAmMf3.jpg"]</t>
  </si>
  <si>
    <t>https://x.com/LFC/status/1868390573041684919</t>
  </si>
  <si>
    <t>[{"biography":null,"followers":null,"following":null,"is_verified":null,"profile_id":"462495637","profile_name":"Carabao Cup","url":"https://x.com/Carabao_Cup"}]</t>
  </si>
  <si>
    <t>Who’s in your Fantasy United team for the derby? 🔥
Claim your free Player Trading Card pack and lock in your squad before the deadline ⌛
#MUFC</t>
  </si>
  <si>
    <t>https://x.com/ManUtd/status/1868284121669320713</t>
  </si>
  <si>
    <t>https://collectibles.manutd.com/claim/675860502b0bef4df1d60fb4</t>
  </si>
  <si>
    <t>["MUFC"]</t>
  </si>
  <si>
    <t>HT: The home side lead at the break!
#BarclaysWSL</t>
  </si>
  <si>
    <t>"2024-12-15T13:20:11.000Z"</t>
  </si>
  <si>
    <t>["https://pbs.twimg.com/media/Ge17JH2W4AAnGHi.jpg"]</t>
  </si>
  <si>
    <t>https://x.com/BarclaysWSL/status/1868284923271852257</t>
  </si>
  <si>
    <t>{"post_id":"1868272685903671474","profile_id":"273665871","profile_name":"BarclaysWSL"}</t>
  </si>
  <si>
    <t>A new look for warm-ups 💪
#MUFC || #MCIMUN</t>
  </si>
  <si>
    <t>"2024-12-15T15:22:28.000Z"</t>
  </si>
  <si>
    <t>https://x.com/ManUtd/status/1868315695496483290</t>
  </si>
  <si>
    <t>https://store.manutd.com/en-gb/p/manchester-united-x-adidas-lunar-new-year-jersey-black-3370?t=y&amp;utm_source=twitter&amp;utm_medium=link_post&amp;utm_campaign=muwebsite</t>
  </si>
  <si>
    <t>FT: @EvertonWomen claim a huge victory against Manchester City!
#BarclaysWSL</t>
  </si>
  <si>
    <t>"2024-12-15T14:23:32.000Z"</t>
  </si>
  <si>
    <t>["https://pbs.twimg.com/media/Ge2JRfEXkAA-aP5.jpg"]</t>
  </si>
  <si>
    <t>https://x.com/BarclaysWSL/status/1868300866345722297</t>
  </si>
  <si>
    <t>{"post_id":"1868284923271852257","profile_id":"273665871","profile_name":"BarclaysWSL"}</t>
  </si>
  <si>
    <t>▶️ Back under way for the second half. 
#MUFC || #MCIMUN</t>
  </si>
  <si>
    <t>"2024-12-15T17:38:37.000Z"</t>
  </si>
  <si>
    <t>https://x.com/ManUtd/status/1868349959931891925</t>
  </si>
  <si>
    <t>Together 💪
#MUFC || #MCIMUN</t>
  </si>
  <si>
    <t>"2024-12-15T19:21:51.000Z"</t>
  </si>
  <si>
    <t>["https://pbs.twimg.com/media/Ge3No-QWgAANHcO.jpg","https://pbs.twimg.com/media/Ge3NrMvXIAACvAp.jpg","https://pbs.twimg.com/media/Ge3N2eKXgAAHWLS.jpg","https://pbs.twimg.com/media/Ge3N5bSXUAAXOWh.jpg"]</t>
  </si>
  <si>
    <t>https://x.com/ManUtd/status/1868375941241848237</t>
  </si>
  <si>
    <t>"Oh what fun it is to see United win away..." 🎅
#MUFC || #MCIMUN</t>
  </si>
  <si>
    <t>"2024-12-15T20:01:00.000Z"</t>
  </si>
  <si>
    <t>["https://pbs.twimg.com/media/Ge3SS9sXIAASgfJ.jpg","https://pbs.twimg.com/media/Ge3SS9sWcAAlUYd.jpg","https://pbs.twimg.com/media/Ge3SS9sWEAAGv7N.jpg"]</t>
  </si>
  <si>
    <t>https://x.com/ManUtd/status/1868385791925268708</t>
  </si>
  <si>
    <t>Defeat.
🍬 2-1 🩵 #ManCity | @okx</t>
  </si>
  <si>
    <t>"2024-12-15T14:23:03.000Z"</t>
  </si>
  <si>
    <t>["https://pbs.twimg.com/media/Ge2JdjMXcAA5beD.jpg"]</t>
  </si>
  <si>
    <t>https://x.com/ManCityWomen/status/1868300744170012842</t>
  </si>
  <si>
    <t>🔄 The goal is Amad's last contribution of the day.
What a shift, @AmadDiallo_19 👏
#MUFC || #MCIMUN</t>
  </si>
  <si>
    <t>"2024-12-15T18:25:47.000Z"</t>
  </si>
  <si>
    <t>["https://pbs.twimg.com/media/Ge3BC5uXIAApvW5.jpg"]</t>
  </si>
  <si>
    <t>https://x.com/ManUtd/status/1868361830407528503</t>
  </si>
  <si>
    <t>36. @JoskoGvardiol4 nods home a @KevinDeBruyne cross to give us the lead!! 💪
🩵 1-0 🔴 #ManCity</t>
  </si>
  <si>
    <t>"2024-12-15T17:09:53.000Z"</t>
  </si>
  <si>
    <t>https://x.com/ManCity/status/1868342730876952995</t>
  </si>
  <si>
    <t>[{"biography":null,"followers":null,"following":null,"is_verified":null,"profile_id":"1635297619609288705","profile_name":"Joško Gvardiol","url":"https://x.com/JoskoGvardiol4"},{"biography":null,"followers":null,"following":null,"is_verified":null,"profile_id":"728592182","profile_name":"Kevin De Bruyne","url":"https://x.com/KevinDeBruyne"}]</t>
  </si>
  <si>
    <t>{"data_posted":"2008-04-28T19:28:08.000Z","description":"JOSKOOOOOOO!!!!!!!!!\n\n🩵 1-0 🔴 #ManCity https://t.co/6w4UfKXkBy","photos":null,"post_id":"1868342222061707402","profile_id":"ManCity","profile_name":"Manchester City","url":"https://x.com/ManCity/status/1868342222061707402","videos":[{"duration":5040,"url":"https://video.twimg.com/ext_tw_video/1868342168823218176/pu/vid/avc1/720x900/KAzchqqho_Pj7I-5.mp4?tag=12"}]}</t>
  </si>
  <si>
    <t>See you in 2️⃣0️⃣2️⃣5️⃣, Reds ❤️
Today, and always, thank you for your tremendous backing 👏
#MUWomen</t>
  </si>
  <si>
    <t>"2024-12-15T19:13:00.000Z"</t>
  </si>
  <si>
    <t>["https://pbs.twimg.com/media/Ge2l-ISa4AAh4bR.jpg","https://pbs.twimg.com/media/Ge2mBs8aYAAh7xM.jpg","https://pbs.twimg.com/media/Ge2l9Ooa8AAcM-s.jpg","https://pbs.twimg.com/media/Ge2l8YWXQAA1VMX.jpg"]</t>
  </si>
  <si>
    <t>https://x.com/ManUtdWomen/status/1868373711880851952</t>
  </si>
  <si>
    <t>An away day like no other 🏙️❤️‍🔥
Let's hear you loud and proud later, Reds — UNITED! ✊🇾🇪
#MUFC || #MCIMUN</t>
  </si>
  <si>
    <t>"2024-12-15T10:19:00.000Z"</t>
  </si>
  <si>
    <t>["https://pbs.twimg.com/media/Ger6h0iWsAAMDkX.jpg","https://pbs.twimg.com/media/Ger6h0pXIAAW1ON.jpg","https://pbs.twimg.com/media/Ger6m-YXEAAGujk.jpg","https://pbs.twimg.com/media/Ger6p_AWEAArXZt.jpg"]</t>
  </si>
  <si>
    <t>https://x.com/ManUtd/status/1868239326724948105</t>
  </si>
  <si>
    <t>Looking ahead to our last game of 2024. 🔜✨
#UWCL</t>
  </si>
  <si>
    <t>"2024-12-15T14:38:36.000Z"</t>
  </si>
  <si>
    <t>["https://pbs.twimg.com/media/Ge2NLluWQAEH9L5.jpg"]</t>
  </si>
  <si>
    <t>https://x.com/ChelseaFCW/status/1868304657090830718</t>
  </si>
  <si>
    <t>["UWCL"]</t>
  </si>
  <si>
    <t>All eyes on Manchester 👀
Where are you supporting us from? 🩵🗺️
#ManCity | @etihad</t>
  </si>
  <si>
    <t>["https://pbs.twimg.com/media/Ge1ZRyYWwAAaTTn.jpg"]</t>
  </si>
  <si>
    <t>https://x.com/ManCity/status/1868294947453173786</t>
  </si>
  <si>
    <t>⚔️
🩵 1-0 🔴 #ManCity</t>
  </si>
  <si>
    <t>"2024-12-15T17:45:33.000Z"</t>
  </si>
  <si>
    <t>["https://pbs.twimg.com/media/Ge23t1FXgAA9Ajm.jpg","https://pbs.twimg.com/media/Ge23y-GWgAA8-yf.jpg"]</t>
  </si>
  <si>
    <t>https://x.com/ManCity/status/1868351706091987038</t>
  </si>
  <si>
    <t>MANCHESTER. IS. RED. 🔴
#MUFC || #MCIMUN</t>
  </si>
  <si>
    <t>"2024-12-15T18:29:34.000Z"</t>
  </si>
  <si>
    <t>https://x.com/ManUtd/status/1868362781205889088</t>
  </si>
  <si>
    <t>An even start to the derby ⚖️
@AmadDiallo_19 ⚡️
#MUFC || #MCIMUN</t>
  </si>
  <si>
    <t>"2024-12-15T16:50:10.000Z"</t>
  </si>
  <si>
    <t>["https://pbs.twimg.com/media/Ge2q98jWsAA0S_O.jpg","https://pbs.twimg.com/media/Ge2q_uMXUAA_Pdi.jpg"]</t>
  </si>
  <si>
    <t>https://x.com/ManUtd/status/1868337766360334742</t>
  </si>
  <si>
    <t>🔄 United are forced into an early change.
#MUFC || #MCIMUN</t>
  </si>
  <si>
    <t>"2024-12-15T16:45:04.000Z"</t>
  </si>
  <si>
    <t>["https://pbs.twimg.com/media/Ge2p99WWQAAFAJx.jpg"]</t>
  </si>
  <si>
    <t>https://x.com/ManUtd/status/1868336482488074641</t>
  </si>
  <si>
    <t>Reporting for duty in the @adidasFootball Lunar New Year range 😮‍💨
#MUWomen</t>
  </si>
  <si>
    <t>"2024-12-15T13:12:17.000Z"</t>
  </si>
  <si>
    <t>https://x.com/ManUtdWomen/status/1868282937592127770</t>
  </si>
  <si>
    <t>https://store.manutd.com/en-gb/c/fashion/collections/adidas-lny-x-manchester-united?t=y&amp;utm_source=twitter&amp;utm_medium=post&amp;utm_campaign=ecom&amp;utm_content=womenmdlny</t>
  </si>
  <si>
    <t>Our final starting XI of the calendar year 👊
BRING ON UNITED! 🇾🇪
#MUWomen || #BarclaysWSL</t>
  </si>
  <si>
    <t>"2024-12-15T13:00:06.000Z"</t>
  </si>
  <si>
    <t>https://x.com/ManUtdWomen/status/1868279867965669736</t>
  </si>
  <si>
    <t>["MUWomen","BarclaysWSL"]</t>
  </si>
  <si>
    <t>These two 🫶
#MUWomen</t>
  </si>
  <si>
    <t>"2024-12-15T13:17:17.000Z"</t>
  </si>
  <si>
    <t>["https://pbs.twimg.com/media/Ge16kJuXsAAFKOo.jpg","https://pbs.twimg.com/media/Ge16kJtX0AA4Lzp.jpg"]</t>
  </si>
  <si>
    <t>https://x.com/ManUtdWomen/status/1868284194985767308</t>
  </si>
  <si>
    <t>Let's rise to the occasion ❤️‍🔥
#ACMilanWorthEveryMinute #MilanGenoa #SempreMilan</t>
  </si>
  <si>
    <t>["https://pbs.twimg.com/media/Gexm3sRXsAEDL0u.jpg"]</t>
  </si>
  <si>
    <t>https://x.com/acmilan/status/1868219445736304967</t>
  </si>
  <si>
    <t>["ACMilanWorthEveryMinute","MilanGenoa","SempreMilan"]</t>
  </si>
  <si>
    <t>Heating up at the Etihad 💪
#ManCity</t>
  </si>
  <si>
    <t>"2024-12-15T16:12:39.000Z"</t>
  </si>
  <si>
    <t>["https://pbs.twimg.com/media/Ge2ie-EXIAAMW6K.jpg"]</t>
  </si>
  <si>
    <t>https://x.com/ManCity/status/1868328324281319607</t>
  </si>
  <si>
    <t>Home 🩵🏡
#ManCity | #AsahiSuperDry</t>
  </si>
  <si>
    <t>"2024-12-15T15:37:02.000Z"</t>
  </si>
  <si>
    <t>["https://pbs.twimg.com/media/Ge2acbWWwAAMxfs.jpg","https://pbs.twimg.com/media/Ge2aiakWkAAuNn0.jpg","https://pbs.twimg.com/media/Ge2ajgIXYAAWeRi.jpg"]</t>
  </si>
  <si>
    <t>https://x.com/ManCity/status/1868319362488087015</t>
  </si>
  <si>
    <t>["ManCity","AsahiSuperDry"]</t>
  </si>
  <si>
    <t>IT’S DERBY DAY! 🩵
#ManCity</t>
  </si>
  <si>
    <t>"2024-12-15T09:06:01.000Z"</t>
  </si>
  <si>
    <t>["https://pbs.twimg.com/media/Ge1BDx6XEAA2_jd.jpg"]</t>
  </si>
  <si>
    <t>https://x.com/ManCity/status/1868220959515426969</t>
  </si>
  <si>
    <t>HALF-TIME | In the lead in the derby 💪
🩵 1-0 🔴 #ManCity</t>
  </si>
  <si>
    <t>"2024-12-15T17:21:19.000Z"</t>
  </si>
  <si>
    <t>["https://pbs.twimg.com/media/Ge2w_NjXYAArEbw.jpg"]</t>
  </si>
  <si>
    <t>https://x.com/ManCity/status/1868345605673930947</t>
  </si>
  <si>
    <t>⏸️ Behind at the interval.
#MUFC || #MCIMUN</t>
  </si>
  <si>
    <t>"2024-12-15T17:21:18.000Z"</t>
  </si>
  <si>
    <t>https://x.com/ManUtd/status/1868345602201010390</t>
  </si>
  <si>
    <t>Our Portuguese magnifico 🇵🇹
#MUFC || #MCIMUN</t>
  </si>
  <si>
    <t>"2024-12-15T22:33:00.000Z"</t>
  </si>
  <si>
    <t>https://x.com/ManUtd/status/1868424043918946683</t>
  </si>
  <si>
    <t>https://store.manutd.com/en-gb/c/kit/home?t=y&amp;utm_source=twitter&amp;utm_medium=link_post&amp;utm_campaign=muwebsite</t>
  </si>
  <si>
    <t>This afternoon's squad! 📋
XI | Keating, Aleixandri (C), Fowler, Roord, Kennedy, Ouahabi, Park, Casparij, Blindkilde Brown, Fujino, Hasegawa
SUBS | Yamashita, Coombs, Kelly, Prior, Murphy, O'Carroll, Davies
#ManCity | @etihad</t>
  </si>
  <si>
    <t>"2024-12-15T11:30:00.000Z"</t>
  </si>
  <si>
    <t>["https://pbs.twimg.com/media/Ge1a34vXEAACqX-.jpg"]</t>
  </si>
  <si>
    <t>https://x.com/ManCityWomen/status/1868257194870984845</t>
  </si>
  <si>
    <t>⏩ @Hinata_1509 on the move ⚡️
#MUWomen</t>
  </si>
  <si>
    <t>"2024-12-15T15:20:44.000Z"</t>
  </si>
  <si>
    <t>["https://pbs.twimg.com/media/Ge2W0v3X0AAlI8p.jpg","https://pbs.twimg.com/media/Ge2W0wEXsAAZ6t6.jpg","https://pbs.twimg.com/media/Ge2W0v_WoAAGVTR.jpg","https://pbs.twimg.com/media/Ge2W0v3XAAABo1O.jpg"]</t>
  </si>
  <si>
    <t>https://x.com/ManUtdWomen/status/1868315259158810715</t>
  </si>
  <si>
    <t>Back to it —  let’s finish the job 🫡
#MUWomen</t>
  </si>
  <si>
    <t>"2024-12-15T15:06:32.000Z"</t>
  </si>
  <si>
    <t>https://x.com/ManUtdWomen/status/1868311687646065001</t>
  </si>
  <si>
    <t>Appreciating our saving Grace 🤍
#MUWomen</t>
  </si>
  <si>
    <t>"2024-12-15T17:28:00.000Z"</t>
  </si>
  <si>
    <t>["https://pbs.twimg.com/media/Ge2u-bxXsAA9EUo.jpg"]</t>
  </si>
  <si>
    <t>https://x.com/ManUtdWomen/status/1868347287845408920</t>
  </si>
  <si>
    <t>Congratulations to our U21s, who beat Loughborough Lightning 3-0 to progress into the semi-finals of the FA WNL Plate 💪🇾🇪
#MUWomen || #MUAcademy</t>
  </si>
  <si>
    <t>"2024-12-15T18:05:00.000Z"</t>
  </si>
  <si>
    <t>["https://pbs.twimg.com/media/Ge2thdrWMAA-pO8.jpg"]</t>
  </si>
  <si>
    <t>https://x.com/ManUtdWomen/status/1868356599330517253</t>
  </si>
  <si>
    <t>["MUWomen","MUAcademy"]</t>
  </si>
  <si>
    <t>ESP███asi███</t>
  </si>
  <si>
    <t>ESP███ras███</t>
  </si>
  <si>
    <t>🚨🚨🚨
Botafogo já vê Artur Jorge fora; veja como técnico causou desconforto em viagem para o Rio 
▶️</t>
  </si>
  <si>
    <t>"2024-12-16T00:48:13.000Z"</t>
  </si>
  <si>
    <t>https://x.com/ESPNBrasil/status/1868458074203095475</t>
  </si>
  <si>
    <t>https://bit.ly/3BuHE65</t>
  </si>
  <si>
    <t>["FutebolNaESPN"]</t>
  </si>
  <si>
    <t>ESPN: o melhor do esporte você assiste aqui!</t>
  </si>
  <si>
    <t>https://pbs.twimg.com/profile_images/1224436194152345608/dCEm_D7K_normal.jpg</t>
  </si>
  <si>
    <t>["https://pbs.twimg.com/card_img/1868457603635765248/_C1qPIiv?format=jpg&amp;name=orig"]</t>
  </si>
  <si>
    <t>CNN███sil███</t>
  </si>
  <si>
    <t>CNN███asi███</t>
  </si>
  <si>
    <t>Não é o mercado que tem se preocupar com os gastos do governo, é o governo, diz Lula</t>
  </si>
  <si>
    <t>"2024-12-16T02:47:32.000Z"</t>
  </si>
  <si>
    <t>https://x.com/CNNBrasil/status/1868488101753954626</t>
  </si>
  <si>
    <t>https://www.cnnbrasil.com.br/politica/nao-e-o-mercado-que-tem-se-preocupar-com-os-gastos-do-governo-e-o-governo-diz-lula/?utm_source=social&amp;utm_medium=twitter&amp;utm_campaign=politica</t>
  </si>
  <si>
    <t>Pense bem, pense CNN.
Acompanhe também pelo canal 577, app ou site. 
⚽ @esportescnn
⚡️ @cnnpop
💰 @cnneconomia
💵 @nolucrocnn</t>
  </si>
  <si>
    <t>https://pbs.twimg.com/profile_images/1202609722257485824/NcFn6f7X_normal.jpg</t>
  </si>
  <si>
    <t>["https://pbs.twimg.com/card_img/1868488103234613249/uobVex9p?format=jpg&amp;name=orig"]</t>
  </si>
  <si>
    <t>GOL BRASILEIRO EM LALIGA 🇧🇷🔥 
Vitor Roque dá linda cabeçada e abre o placar para o Betis contra o Villarreal; VEJA
#LaLigaNaESPN #FutebolNaEspn</t>
  </si>
  <si>
    <t>"2024-12-15T18:46:36.000Z"</t>
  </si>
  <si>
    <t>https://x.com/ESPNBrasil/status/1868367069571338481</t>
  </si>
  <si>
    <t>https://buff.ly/4ggFTsb</t>
  </si>
  <si>
    <t>["LaLigaNaESPN","FutebolNaEspn"]</t>
  </si>
  <si>
    <t>["https://pbs.twimg.com/card_img/1868367070422806528/1yTig0OW?format=jpg&amp;name=orig"]</t>
  </si>
  <si>
    <t>QUE JOGO!
Manchester United aplica virada incrível pra cima do City, vence clássico na Premier League e joga rival na crise
➡️</t>
  </si>
  <si>
    <t>"2024-12-15T18:37:09.000Z"</t>
  </si>
  <si>
    <t>https://x.com/ESPNBrasil/status/1868364691317170434</t>
  </si>
  <si>
    <t>https://buff.ly/3P1gvus</t>
  </si>
  <si>
    <t>["FutebolNaESPN","PremierLeagueNaESPN"]</t>
  </si>
  <si>
    <t>["https://pbs.twimg.com/card_img/1868364691900104704/LcfFXyYG?format=jpg&amp;name=orig"]</t>
  </si>
  <si>
    <t>É CAMPEÃO! 🏆 
Veja a decisão de pênaltis que deu o título ao Celtic da Copa da Liga Escocesa contra o Rangers 
#FutebolNaESPN</t>
  </si>
  <si>
    <t>"2024-12-15T18:32:52.000Z"</t>
  </si>
  <si>
    <t>https://x.com/ESPNBrasil/status/1868363612173058135</t>
  </si>
  <si>
    <t>https://buff.ly/3VGSLjg</t>
  </si>
  <si>
    <t>["https://pbs.twimg.com/card_img/1868363613003517952/4GRIX3XC?format=jpg&amp;name=orig"]</t>
  </si>
  <si>
    <t>Irreconhecível! Como ficou o rosto de Colby Covington após ser castigado por Buckley no UFC 
#ESPNKnockOut</t>
  </si>
  <si>
    <t>"2024-12-15T06:46:24.000Z"</t>
  </si>
  <si>
    <t>https://x.com/ESPNBrasil/status/1868185823960580559</t>
  </si>
  <si>
    <t>https://buff.ly/3ZUQ8wT</t>
  </si>
  <si>
    <t>["ESPNKnockOut"]</t>
  </si>
  <si>
    <t>["https://pbs.twimg.com/card_img/1868185824925282304/deaqeOqd?format=jpg&amp;name=orig"]</t>
  </si>
  <si>
    <t>Só quem se sentiu representado pelo @ariaguiar nesses dois lances! 🙋‍♀️😂
👉 Assista ao jogo entre OKC e Rockets, pela semifinal da NBA Cup, AGORA, AO VIVO pelo #DisneyPlus! 
#NBANaESPN</t>
  </si>
  <si>
    <t>"2024-12-15T03:27:02.000Z"</t>
  </si>
  <si>
    <t>https://x.com/ESPNBrasil/status/1868135651272495506</t>
  </si>
  <si>
    <t>[{"biography":null,"followers":null,"following":null,"is_verified":null,"profile_id":"40546283","profile_name":"Ari Aguiar","url":"https://x.com/ariaguiar"}]</t>
  </si>
  <si>
    <t>["DisneyPlus","NBANaESPN"]</t>
  </si>
  <si>
    <t>[{"duration":39579,"video_url":"https://video.twimg.com/amplify_video/1868135447077040128/vid/avc1/720x1280/Bw6li4thVFLm50Ew.mp4?tag=14"}]</t>
  </si>
  <si>
    <t>Lula já pode voltar a trabalhar e avalia reunião ministerial ainda em 2024</t>
  </si>
  <si>
    <t>"2024-12-15T15:52:32.000Z"</t>
  </si>
  <si>
    <t>https://x.com/CNNBrasil/status/1868323262825947549</t>
  </si>
  <si>
    <t>https://www.cnnbrasil.com.br/politica/lula-ja-pode-voltar-a-trabalhar-e-avalia-reuniao-ministerial-ainda-em-2024/?utm_source=social&amp;utm_medium=twitter&amp;utm_campaign=politica</t>
  </si>
  <si>
    <t>["https://pbs.twimg.com/card_img/1868323264516296704/P4kRYMYk?format=jpg&amp;name=orig"]</t>
  </si>
  <si>
    <t>Faltam só 2 vagas! Veja todos os times garantidos na Libertadores 2025 
#LibertadoresNaESPN #FutebolNaESPN</t>
  </si>
  <si>
    <t>"2024-12-16T00:52:32.000Z"</t>
  </si>
  <si>
    <t>https://x.com/ESPNBrasil/status/1868459157918974320</t>
  </si>
  <si>
    <t>https://buff.ly/4fklXnb</t>
  </si>
  <si>
    <t>["LibertadoresNaESPN","FutebolNaESPN"]</t>
  </si>
  <si>
    <t>["https://pbs.twimg.com/card_img/1866478570463281152/5XqxmgVg?format=jpg&amp;name=orig"]</t>
  </si>
  <si>
    <t>São Paulo? Técnico do Porto explica situação de Wendell para 2025 
#FutebolNaESPN</t>
  </si>
  <si>
    <t>"2024-12-15T18:05:45.000Z"</t>
  </si>
  <si>
    <t>https://x.com/ESPNBrasil/status/1868356789680427453</t>
  </si>
  <si>
    <t>https://buff.ly/3OUD97U</t>
  </si>
  <si>
    <t>["https://pbs.twimg.com/card_img/1868356791588757505/pqhiAU9D?format=jpg&amp;name=orig"]</t>
  </si>
  <si>
    <t>Neymar no Santos? Cafu torce por retorno ao futebol brasileiro, mas 'escolhe' outro time para o craque: 'Podia, né?'
#FutebolNaESPN</t>
  </si>
  <si>
    <t>"2024-12-15T01:21:08.000Z"</t>
  </si>
  <si>
    <t>https://x.com/ESPNBrasil/status/1868103966816366975</t>
  </si>
  <si>
    <t>https://buff.ly/49KUgTq</t>
  </si>
  <si>
    <t>["https://pbs.twimg.com/card_img/1868103967844036608/MnmKbuqS?format=jpg&amp;name=orig"]</t>
  </si>
  <si>
    <t>Redação Fuvest 2025: tema é "as relações sociais por meio da solidariedade"</t>
  </si>
  <si>
    <t>"2024-12-15T18:07:32.000Z"</t>
  </si>
  <si>
    <t>https://x.com/CNNBrasil/status/1868357237984346622</t>
  </si>
  <si>
    <t>https://www.cnnbrasil.com.br/educacao/redacao-fuvest-2025-tema-e-as-relacoes-sociais-por-meio-da-solidariedade/?utm_source=social&amp;utm_medium=twitter&amp;utm_campaign=educacao</t>
  </si>
  <si>
    <t>["https://pbs.twimg.com/card_img/1866491015579742208/0YiPF-9D?format=jpg&amp;name=orig"]</t>
  </si>
  <si>
    <t>NA MIRA DE 4 CLUBES! 👀🎯
De saída do Palmeiras, Zé Rafael é alvo de quatro clubes para 2025; veja bastidores
▶️</t>
  </si>
  <si>
    <t>"2024-12-15T23:41:28.000Z"</t>
  </si>
  <si>
    <t>https://x.com/ESPNBrasil/status/1868441275588083804</t>
  </si>
  <si>
    <t>https://bit.ly/4gz9hd9</t>
  </si>
  <si>
    <t>["https://pbs.twimg.com/card_img/1866449878877917185/c_bJdCFV?format=jpg&amp;name=orig"]</t>
  </si>
  <si>
    <t>Zubeldia define Luciano: 'Seu vínculo é com o gol'
#FutebolNaESPN</t>
  </si>
  <si>
    <t>"2024-12-15T02:21:28.000Z"</t>
  </si>
  <si>
    <t>https://x.com/ESPNBrasil/status/1868119153690726472</t>
  </si>
  <si>
    <t>https://buff.ly/3OXslpw</t>
  </si>
  <si>
    <t>["https://pbs.twimg.com/card_img/1868119155573915648/SHhM4dzK?format=jpg&amp;name=orig"]</t>
  </si>
  <si>
    <t>Durante o WW deste domingo (15), o filósofo e escritor Denis Lerrer Rosenfield afirmou que o Partido dos Trabalhadores (PT), do presidente Luiz Inácio Lula da Silva, precisa dialogar com a sociedade em geral para ser competitivo nas eleições presidenciais de 2026. #WWEspecial</t>
  </si>
  <si>
    <t>"2024-12-16T02:25:28.000Z"</t>
  </si>
  <si>
    <t>https://x.com/CNNBrasil/status/1868482547711082614</t>
  </si>
  <si>
    <t>["WWEspecial"]</t>
  </si>
  <si>
    <t>[{"duration":150900,"video_url":"https://video.twimg.com/amplify_video/1868482396514922496/vid/avc1/1920x1080/5lASk4JvPtjLdqwh.mp4?tag=16"}]</t>
  </si>
  <si>
    <t>Por @luisamartins -- &amp;gt; STF estuda rever anistia a agentes da ditadura que ocultaram corpos</t>
  </si>
  <si>
    <t>"2024-12-15T18:05:13.000Z"</t>
  </si>
  <si>
    <t>https://x.com/CNNBrasil/status/1868356653835505745</t>
  </si>
  <si>
    <t>[{"biography":null,"followers":null,"following":null,"is_verified":null,"profile_id":"27863214","profile_name":"Luísa Martins","url":"https://x.com/luisamartins"}]</t>
  </si>
  <si>
    <t>https://cnnbr.app/short/c3014038443/</t>
  </si>
  <si>
    <t>["https://pbs.twimg.com/card_img/1866795394690322433/3o1qpV7o?format=jpg&amp;name=orig"]</t>
  </si>
  <si>
    <t>Adriano Imperador dá adeus ao futebol em tarde no Maracanã com gol de Romário, desfile de craques e muita emoção 
➡️</t>
  </si>
  <si>
    <t>"2024-12-15T22:11:48.000Z"</t>
  </si>
  <si>
    <t>https://x.com/ESPNBrasil/status/1868418707417919664</t>
  </si>
  <si>
    <t>https://buff.ly/3ZSPEHu</t>
  </si>
  <si>
    <t>["https://pbs.twimg.com/card_img/1868418708806246400/-FF2oUmZ?format=jpg&amp;name=orig"]</t>
  </si>
  <si>
    <t>Chelsea leva susto, mas vence Brentford e encosta em Liverpool na briga pela liderança da Premier League 
➡️</t>
  </si>
  <si>
    <t>"2024-12-15T21:03:11.000Z"</t>
  </si>
  <si>
    <t>https://x.com/ESPNBrasil/status/1868401441217429664</t>
  </si>
  <si>
    <t>https://buff.ly/3ZTePJM</t>
  </si>
  <si>
    <t>["https://pbs.twimg.com/card_img/1868401443192930304/huNjjGbr?format=jpg&amp;name=orig"]</t>
  </si>
  <si>
    <t>Jornal: City sonda Pogba para 2025, mas possível negociação passa por 'entrave' importante
➡️​</t>
  </si>
  <si>
    <t>"2024-12-15T17:32:59.000Z"</t>
  </si>
  <si>
    <t>https://x.com/ESPNBrasil/status/1868348543338967407</t>
  </si>
  <si>
    <t>https://buff.ly/3BrmTbx</t>
  </si>
  <si>
    <t>["https://pbs.twimg.com/card_img/1868348434731634688/9qXZPpP2?format=jpg&amp;name=orig"]</t>
  </si>
  <si>
    <t>SCHRODER NOS WARRIORS! 
Agora o time de Stephen Curry e Gui Santos vai deslanchar?
#NBAnaESPN</t>
  </si>
  <si>
    <t>"2024-12-15T01:32:00.000Z"</t>
  </si>
  <si>
    <t>https://x.com/ESPNBrasil/status/1868106702320525580</t>
  </si>
  <si>
    <t>https://buff.ly/3ZJm9qq</t>
  </si>
  <si>
    <t>["NBAnaESPN"]</t>
  </si>
  <si>
    <t>["https://pbs.twimg.com/card_img/1868106703289397248/dh9XiDjc?format=jpg&amp;name=orig"]</t>
  </si>
  <si>
    <t>Um homem foi atropelado por uma viatura da Polícia Militar em Sorocaba, interior de São Paulo. Os agentes foram embora sem prestar socorro à vítima. #AgoraCNN</t>
  </si>
  <si>
    <t>"2024-12-15T19:45:20.000Z"</t>
  </si>
  <si>
    <t>https://x.com/CNNBrasil/status/1868381849384325596</t>
  </si>
  <si>
    <t>["AgoraCNN"]</t>
  </si>
  <si>
    <t>[{"duration":39533,"video_url":"https://video.twimg.com/amplify_video/1868381806422048769/vid/avc1/1920x1080/c0koMXp7hL0gTZHl.mp4?tag=16"}]</t>
  </si>
  <si>
    <t>'Sabia que seria uma temporada difícil, mas não tanto'
Guardiola admite que não sabe como fazer City reagir
▶️</t>
  </si>
  <si>
    <t>"2024-12-15T20:57:32.000Z"</t>
  </si>
  <si>
    <t>https://x.com/ESPNBrasil/status/1868400020350967952</t>
  </si>
  <si>
    <t>https://bit.ly/4fseJO8</t>
  </si>
  <si>
    <t>["PremierLeagueNaESPN","FutebolNaESPN"]</t>
  </si>
  <si>
    <t>["https://pbs.twimg.com/card_img/1868399886112002048/rXH93B7x?format=jpg&amp;name=orig"]</t>
  </si>
  <si>
    <t>Palmeiras vence clube mexicano e ACERTA a contratação de Facundo Torres por cinco temporadas ✍️​✅ 
➡️​</t>
  </si>
  <si>
    <t>"2024-12-15T14:24:42.000Z"</t>
  </si>
  <si>
    <t>https://x.com/ESPNBrasil/status/1868301159707918428</t>
  </si>
  <si>
    <t>https://buff.ly/3VFL7p4</t>
  </si>
  <si>
    <t>["https://pbs.twimg.com/card_img/1866557801608224768/OzESurNP?format=jpg&amp;name=orig"]</t>
  </si>
  <si>
    <t>THUNDER IMPARÁVEL! ⚡ 
Eles conseguirão superar os Bucks na final?
#NBAnaESPN</t>
  </si>
  <si>
    <t>"2024-12-15T04:47:44.000Z"</t>
  </si>
  <si>
    <t>https://x.com/ESPNBrasil/status/1868155962571280602</t>
  </si>
  <si>
    <t>https://buff.ly/3ZCAvsz</t>
  </si>
  <si>
    <t>["https://pbs.twimg.com/card_img/1868155963397513216/_pkNGLUb?format=jpg&amp;name=orig"]</t>
  </si>
  <si>
    <t>Lamine Yamal e Raphinha deram a liga perfeita para embalar a temporada do Barcelona!
👉 Assista à Barcelona x Leganés, AO VIVO, neste domingo (15), às 17h, pelo #DisneyPlus Premium! Acesse:</t>
  </si>
  <si>
    <t>"2024-12-15T00:00:01.000Z"</t>
  </si>
  <si>
    <t>https://x.com/ESPNBrasil/status/1868083557031346218</t>
  </si>
  <si>
    <t>http://dis.la/LaLiga_Barcelona_Leganes_BR</t>
  </si>
  <si>
    <t>["DisneyPlus","LALIGAnaESPN"]</t>
  </si>
  <si>
    <t>[{"duration":84961,"video_url":"https://video.twimg.com/amplify_video/1867686854671142912/vid/avc1/720x1280/noY9SddzVBN9VRHd.mp4?tag=14"}]</t>
  </si>
  <si>
    <t>Vídeo: criminosos derrubam vítima durante arrastão em praia de Guarujá (SP)</t>
  </si>
  <si>
    <t>"2024-12-15T18:33:48.000Z"</t>
  </si>
  <si>
    <t>https://x.com/CNNBrasil/status/1868363847557366185</t>
  </si>
  <si>
    <t>https://www.cnnbrasil.com.br/nacional/sudeste/sp/video-criminosos-derrubam-vitima-durante-arrastao-em-praia-de-guaruja-sp/?utm_source=social&amp;utm_medium=twitter&amp;utm_campaign=sao-paulo</t>
  </si>
  <si>
    <t>["https://pbs.twimg.com/card_img/1868363849268699136/Pl8Ft882?format=jpg&amp;name=orig"]</t>
  </si>
  <si>
    <t>quem</t>
  </si>
  <si>
    <t>Quem</t>
  </si>
  <si>
    <t>Ex-BBB Amanda Meirelles e o namorado, Thiago Pannaforte, curtem viagem; vídeos</t>
  </si>
  <si>
    <t>"2024-12-15T22:30:00.000Z"</t>
  </si>
  <si>
    <t>https://x.com/quem/status/1868423290156622078</t>
  </si>
  <si>
    <t>https://revistaquem.globo.com/noticias/amor-e-sexo/noticia/2024/12/ex-bbb-amanda-meirelles-e-o-namorado-thiago-pannaforte-curtem-viagem-videos.ghtml?utm_source=twitter&amp;utm_medium=social&amp;utm_campaign=post</t>
  </si>
  <si>
    <t>Bem-vindos ao Twitter oficial da Quem! Agora em modo turbo só pensando nos Ensaios da Anitta!</t>
  </si>
  <si>
    <t>https://pbs.twimg.com/profile_images/1332372057800253442/CrWhlYl5_normal.jpg</t>
  </si>
  <si>
    <t>["https://pbs.twimg.com/card_img/1868407511574847488/l6KZdtpr?format=jpg&amp;name=orig"]</t>
  </si>
  <si>
    <t>O ministro Flávio Dino, do Supremo Tribunal Federal (STF), reconheceu um recurso do Ministério Público Federal (MPF) que busca derrubar a Lei da Anistia em casos de ocultação de corpos de cidadãos mortos pela ditadura militar. #CNNBrasilPrimeTime</t>
  </si>
  <si>
    <t>"2024-12-15T23:54:13.000Z"</t>
  </si>
  <si>
    <t>https://x.com/CNNBrasil/status/1868444483001425978</t>
  </si>
  <si>
    <t>["CNNBrasilPrimeTime"]</t>
  </si>
  <si>
    <t>[{"duration":87800,"video_url":"https://video.twimg.com/amplify_video/1868444395634081792/vid/avc1/1920x1080/T3nmrKxqNlg-N46X.mp4?tag=16"}]</t>
  </si>
  <si>
    <t>Lula deixa hospital após receber alta</t>
  </si>
  <si>
    <t>"2024-12-15T15:59:09.000Z"</t>
  </si>
  <si>
    <t>https://x.com/CNNBrasil/status/1868324927369052621</t>
  </si>
  <si>
    <t>https://www.cnnbrasil.com.br/politica/lula-deixa-hospital-apos-receber-alta/?utm_source=social&amp;utm_medium=twitter&amp;utm_campaign=politica</t>
  </si>
  <si>
    <t>["https://pbs.twimg.com/card_img/1868324928807727104/hZhBM0ya?format=jpg&amp;name=orig"]</t>
  </si>
  <si>
    <t>BOCA AO LADO DE CORINTHIANS E BAHIA NA LIBERTADORES!
Vélez é campeão argentino, e coloca River direto nos grupos e Boca ao lado de Corinthians e Bahia na Libertadores 
#LibertadoresNaESPN #ArgentinoNaESPN #FutebolNaESPN</t>
  </si>
  <si>
    <t>"2024-12-16T00:29:58.000Z"</t>
  </si>
  <si>
    <t>https://x.com/ESPNBrasil/status/1868453478911168857</t>
  </si>
  <si>
    <t>https://buff.ly/3ZK9VxM</t>
  </si>
  <si>
    <t>["LibertadoresNaESPN","ArgentinoNaESPN","FutebolNaESPN"]</t>
  </si>
  <si>
    <t>["https://pbs.twimg.com/card_img/1868453383968903168/nNLNTrcc?format=jpg&amp;name=orig"]</t>
  </si>
  <si>
    <t>Ela é absurda! 🇧🇷
Rayssa Leal conquista a SLS Super Crown em São Paulo!
#SkateNaESPN</t>
  </si>
  <si>
    <t>"2024-12-15T15:31:15.000Z"</t>
  </si>
  <si>
    <t>["https://pbs.twimg.com/media/Ge2ZOZ6XQAAal65.jpg"]</t>
  </si>
  <si>
    <t>https://x.com/ESPNBrasil/status/1868317907413037091</t>
  </si>
  <si>
    <t>["SkateNaESPN"]</t>
  </si>
  <si>
    <t>Artur Jorge, do Botafogo, diz que tem 'futuro em aberto' e admite propostas do futebol árabe: 'Muito tentadoras' 
➡️​</t>
  </si>
  <si>
    <t>"2024-12-15T15:15:36.000Z"</t>
  </si>
  <si>
    <t>https://x.com/ESPNBrasil/status/1868313968885830084</t>
  </si>
  <si>
    <t>https://buff.ly/4gc7WJm</t>
  </si>
  <si>
    <t>["https://pbs.twimg.com/card_img/1868313916020830208/y2g6vSGz?format=jpg&amp;name=orig"]</t>
  </si>
  <si>
    <t>'Não vejo mais aquela escrotidão de corrupção'
Romário aprova ideia de Ronaldo ser presidente da CBF, mas defende Ednaldo
👉</t>
  </si>
  <si>
    <t>"2024-12-15T20:31:18.000Z"</t>
  </si>
  <si>
    <t>https://x.com/ESPNBrasil/status/1868393419422454203</t>
  </si>
  <si>
    <t>https://bit.ly/3VFex78</t>
  </si>
  <si>
    <t>["https://pbs.twimg.com/card_img/1868393275142340609/h1Gu7T2V?format=jpg&amp;name=orig"]</t>
  </si>
  <si>
    <t>Real Madrid "culpa" arbitragem por tropeço
#FutebolNaESPN</t>
  </si>
  <si>
    <t>"2024-12-15T00:54:40.000Z"</t>
  </si>
  <si>
    <t>https://x.com/ESPNBrasil/status/1868097308459409549</t>
  </si>
  <si>
    <t>https://buff.ly/4izcQ4R</t>
  </si>
  <si>
    <t>["https://pbs.twimg.com/card_img/1868097244269871104/ZO20rG9s?format=jpg&amp;name=orig"]</t>
  </si>
  <si>
    <t>BNDES empresta R$ 1,1 bilhão para exportação de aviões da Embraer</t>
  </si>
  <si>
    <t>"2024-12-15T22:19:34.000Z"</t>
  </si>
  <si>
    <t>https://x.com/CNNBrasil/status/1868420663477702783</t>
  </si>
  <si>
    <t>https://www.cnnbrasil.com.br/economia/negocios/bndes-empresta-r-11-bilhao-para-exportacao-de-avioes-da-embraer/?utm_source=social&amp;utm_medium=twitter&amp;utm_campaign=negocios</t>
  </si>
  <si>
    <t>["https://pbs.twimg.com/card_img/1868420665247670272/SQeV8-3w?format=jpg&amp;name=orig"]</t>
  </si>
  <si>
    <t>Vídeo: mulher tenta atropelar esposa gestante de seu amante MT</t>
  </si>
  <si>
    <t>"2024-12-15T15:36:23.000Z"</t>
  </si>
  <si>
    <t>https://x.com/CNNBrasil/status/1868319199816253753</t>
  </si>
  <si>
    <t>https://www.cnnbrasil.com.br/nacional/centro-oeste/go/video-mulher-tenta-atropelar-esposa-gestante-de-seu-amante-mt/?utm_source=social&amp;utm_medium=twitter&amp;utm_campaign=goias</t>
  </si>
  <si>
    <t>["https://pbs.twimg.com/card_img/1868319201334562817/JHs2jt0M?format=png&amp;name=orig"]</t>
  </si>
  <si>
    <t>Em coletiva de imprensa, o médico pessoal do presidente Luiz Inácio Lula da Silva (PT), Dr. Roberto Kalil, afirmou que o petista deve permanecer em São Paulo até quinta-feira (19). #AgoraCNN</t>
  </si>
  <si>
    <t>"2024-12-15T15:04:21.000Z"</t>
  </si>
  <si>
    <t>https://x.com/CNNBrasil/status/1868311138003206369</t>
  </si>
  <si>
    <t>[{"duration":74467,"video_url":"https://video.twimg.com/amplify_video/1868311043920777216/vid/avc1/1920x1080/GccAf4kIU4r-b-hX.mp4?tag=16"}]</t>
  </si>
  <si>
    <t>Lula pode manter rotina, mas sem exercícios físicos, diz Dr. Kalil à CNN</t>
  </si>
  <si>
    <t>"2024-12-15T23:40:13.000Z"</t>
  </si>
  <si>
    <t>https://x.com/CNNBrasil/status/1868440958238355798</t>
  </si>
  <si>
    <t>https://www.cnnbrasil.com.br/politica/lula-pode-manter-rotina-mas-sem-exercicios-fisicos-diz-dr-kalil-a-cnn/?utm_source=social&amp;utm_medium=twitter&amp;utm_campaign=politica</t>
  </si>
  <si>
    <t>["https://pbs.twimg.com/card_img/1868440959748382720/XSNDhrpK?format=jpg&amp;name=orig"]</t>
  </si>
  <si>
    <t>Em entrevista coletiva, o presidente Luiz Inácio Lula da Silva (PT) falou sobre a prisão do general Walter Braga Netto e disse que ele tem todo o direito à presunção de inocência, mas que, se tentou planejar um golpe de Estado, deve ser punido. #AgoraCNN</t>
  </si>
  <si>
    <t>"2024-12-15T14:58:57.000Z"</t>
  </si>
  <si>
    <t>https://x.com/CNNBrasil/status/1868309777727554041</t>
  </si>
  <si>
    <t>[{"duration":101500,"video_url":"https://video.twimg.com/amplify_video/1868309661935362048/vid/avc1/1920x1080/VwGOrRGcKtIoQKpW.mp4?tag=16"}]</t>
  </si>
  <si>
    <t>tvg███o</t>
  </si>
  <si>
    <t>TV ███bo ███</t>
  </si>
  <si>
    <t>"Eu queria agradecer a Orixá, porque sem folha não tem vida e foi Orixá que levou essa novela do início ao fim!" 🤎 AXÉEE #MelhoresDoAno #Domingão</t>
  </si>
  <si>
    <t>"2024-12-15T23:08:02.000Z"</t>
  </si>
  <si>
    <t>https://x.com/tvglobo/status/1868432861658829065</t>
  </si>
  <si>
    <t>["MelhoresDoAno","Domingão"]</t>
  </si>
  <si>
    <t>oi, eu sou a Glô 😜</t>
  </si>
  <si>
    <t>https://pbs.twimg.com/profile_images/1863599216829792256/r5M1uKA8_normal.jpg</t>
  </si>
  <si>
    <t>[{"duration":27500,"video_url":"https://video.twimg.com/amplify_video/1868432291954905088/vid/avc1/1920x1080/DyCcMLfewphudVhT.mp4?tag=16"}]</t>
  </si>
  <si>
    <t>"Nós, eu e as minhas irmãs, nós temos o compromisso de dar continuidade a esse legado tão maravilhoso..." 🤍🤍🤍 @SBTonline #MelhoresDoAno #Domingão</t>
  </si>
  <si>
    <t>"2024-12-15T22:56:55.000Z"</t>
  </si>
  <si>
    <t>https://x.com/tvglobo/status/1868430064414494797</t>
  </si>
  <si>
    <t>[{"biography":null,"followers":null,"following":null,"is_verified":null,"profile_id":"20600456","profile_name":"SBT","url":"https://x.com/SBTonline"}]</t>
  </si>
  <si>
    <t>[{"duration":48919,"video_url":"https://video.twimg.com/amplify_video/1868428821877395457/vid/avc1/1920x1080/QSpQFgDCSszlGSLM.mp4?tag=16"}]</t>
  </si>
  <si>
    <t>O agradecimento da Patricia pro Luciano 🥰 @SBTonline #MelhoresDoAno #Domingão</t>
  </si>
  <si>
    <t>"2024-12-15T22:55:09.000Z"</t>
  </si>
  <si>
    <t>https://x.com/tvglobo/status/1868429618296000624</t>
  </si>
  <si>
    <t>[{"duration":60810,"video_url":"https://video.twimg.com/amplify_video/1868428309316689920/vid/avc1/1920x1080/LaRPrDEKB1N7D2sF.mp4?tag=16"}]</t>
  </si>
  <si>
    <t>CHAY SUEDE, NOSSO MAVIZINHO, É O "Ator de Novela" DO ANO 😍😍😍 #MelhoresDoAno #Domingão</t>
  </si>
  <si>
    <t>"2024-12-15T22:31:48.000Z"</t>
  </si>
  <si>
    <t>https://x.com/tvglobo/status/1868423741346099702</t>
  </si>
  <si>
    <t>[{"duration":17389,"video_url":"https://video.twimg.com/amplify_video/1868423392610705409/vid/avc1/1920x1080/Ao7kLH4iaQEbW5s5.mp4?tag=16"}]</t>
  </si>
  <si>
    <t>Ela falando da Zefa Leonel com muito amor! 🥹🥹🥹 #MelhoresDoAno #Domingão</t>
  </si>
  <si>
    <t>"2024-12-15T22:19:32.000Z"</t>
  </si>
  <si>
    <t>https://x.com/tvglobo/status/1868420657110728869</t>
  </si>
  <si>
    <t>[{"duration":119900,"video_url":"https://video.twimg.com/amplify_video/1868420475010883584/vid/avc1/1920x1080/yv4jqjlDP_qpJjZp.mp4?tag=16"}]</t>
  </si>
  <si>
    <t>TODOS EM UMA SÓ VOZ: EU ☝️ VOCÊ 🫵 E UMA CASINHA 🏠 @gloriagroove EU TE AMOOOO #MelhoresDoAno #Domingão</t>
  </si>
  <si>
    <t>"2024-12-15T21:13:56.000Z"</t>
  </si>
  <si>
    <t>https://x.com/tvglobo/status/1868404146849640694</t>
  </si>
  <si>
    <t>[{"biography":null,"followers":null,"following":null,"is_verified":null,"profile_id":"37289477","profile_name":"Gloria Groove","url":"https://x.com/gloriagroove"}]</t>
  </si>
  <si>
    <t>[{"duration":39700,"video_url":"https://video.twimg.com/amplify_video/1868403697769680896/vid/avc1/1920x1080/cVChpJ94G5NFx-28.mp4?tag=16"}]</t>
  </si>
  <si>
    <t>O prêmio de "Jornalismo" vai pro César Tralli 🏆🏆🏆 #MelhoresDoAno #Domingão</t>
  </si>
  <si>
    <t>"2024-12-15T20:37:03.000Z"</t>
  </si>
  <si>
    <t>https://x.com/tvglobo/status/1868394864259285067</t>
  </si>
  <si>
    <t>[{"duration":14819,"video_url":"https://video.twimg.com/amplify_video/1868394302440685568/vid/avc1/1920x1080/Qi-SDMwWPxS_v8IV.mp4?tag=16"}]</t>
  </si>
  <si>
    <t>NOSSO PRÍNCIPEEEE 🫶 #MelhoresDoAno #Domingão</t>
  </si>
  <si>
    <t>"2024-12-15T20:16:39.000Z"</t>
  </si>
  <si>
    <t>https://x.com/tvglobo/status/1868389731957907490</t>
  </si>
  <si>
    <t>[{"duration":6059,"video_url":"https://video.twimg.com/amplify_video/1868389571752255488/vid/avc1/1920x1080/8q5jkkDfo8SCGDZw.mp4?tag=16"}]</t>
  </si>
  <si>
    <t>A GG TÁ NA CASA 🤯 Quem tá torcendo para a @gloriagroove? #MelhoresDoAno #Domingão</t>
  </si>
  <si>
    <t>"2024-12-15T20:02:08.000Z"</t>
  </si>
  <si>
    <t>["https://pbs.twimg.com/media/Ge3XEYgXIAAZb9H.jpg"]</t>
  </si>
  <si>
    <t>https://x.com/tvglobo/status/1868386078685905233</t>
  </si>
  <si>
    <t>Daqui a pouco, tem o #MelhoresDoAno do @domingao 🏆 Vamos premiar os maiores nomes do Brasil! #Domingão</t>
  </si>
  <si>
    <t>"2024-12-15T19:25:04.000Z"</t>
  </si>
  <si>
    <t>["https://pbs.twimg.com/media/Ge3OvvlWYAAW_kT.jpg","https://pbs.twimg.com/media/Ge3OvuYWwAAZv_W.jpg"]</t>
  </si>
  <si>
    <t>https://x.com/tvglobo/status/1868376748481565179</t>
  </si>
  <si>
    <t>[{"biography":null,"followers":null,"following":null,"is_verified":null,"profile_id":"1432395185984573449","profile_name":"Domingão com Huck","url":"https://x.com/domingao"}]</t>
  </si>
  <si>
    <t>Avisa que é ela! @ehagabz, concorrendo na categoria 'Revelação do Ano', já chegou para o #MelhoresDoAno! #Domingão</t>
  </si>
  <si>
    <t>"2024-12-15T19:33:17.000Z"</t>
  </si>
  <si>
    <t>["https://pbs.twimg.com/media/Ge3QoSXXgAIIHMC.jpg","https://pbs.twimg.com/media/Ge3QoScWUAArPZJ.jpg"]</t>
  </si>
  <si>
    <t>https://x.com/tvglobo/status/1868378816789311986</t>
  </si>
  <si>
    <t>[{"biography":null,"followers":null,"following":null,"is_verified":null,"profile_id":"790389548","profile_name":"GABZ","url":"https://x.com/ehagabz"}]</t>
  </si>
  <si>
    <t>Ao Sinais Vitais, apresentado pelo Dr. Kalil, o pneumologista do Incor André Nathan falou sobre a importância no exercício físico e a limpeza do ambiente dos pacientes com asma para a prevenção da doença. #CNNSinaisVitais</t>
  </si>
  <si>
    <t>"2024-12-15T02:28:19.000Z"</t>
  </si>
  <si>
    <t>https://x.com/CNNBrasil/status/1868120875381215253</t>
  </si>
  <si>
    <t>["CNNSinaisVitais"]</t>
  </si>
  <si>
    <t>[{"duration":105167,"video_url":"https://video.twimg.com/amplify_video/1868120752609804288/vid/avc1/1920x1080/EdPTczDfGW7qip09.mp4?tag=16"}]</t>
  </si>
  <si>
    <t>MEUS RENASCIDOS 😭😭😭 #Renascer venceu a categoria "Novela" ❤️ #MelhoresDoAno #Domingão</t>
  </si>
  <si>
    <t>"2024-12-15T23:03:25.000Z"</t>
  </si>
  <si>
    <t>https://x.com/tvglobo/status/1868431700805476859</t>
  </si>
  <si>
    <t>["Renascer","MelhoresDoAno","Domingão"]</t>
  </si>
  <si>
    <t>[{"duration":46170,"video_url":"https://video.twimg.com/amplify_video/1868431253667733504/vid/avc1/1920x1080/0fLwX5xMURiIHuQy.mp4?tag=16"}]</t>
  </si>
  <si>
    <t>Luciano entregando um trófeu pra Patrícia 😭 Tô emocionada. gente! @SBTonline amiga, tá bem? #MelhoresDoAno #Domingão</t>
  </si>
  <si>
    <t>"2024-12-15T22:51:04.000Z"</t>
  </si>
  <si>
    <t>https://x.com/tvglobo/status/1868428592579010815</t>
  </si>
  <si>
    <t>[{"duration":30220,"video_url":"https://video.twimg.com/amplify_video/1868427581898305536/vid/avc1/1920x1080/CcUXdxr2hGMTr7MU.mp4?tag=16"}]</t>
  </si>
  <si>
    <t>Discurso lindo e inspirador do Paulo 💖 É SEU!!! ESSE PRÊMIO É TODO SEU!!! #MelhoresDoAno #Domingão</t>
  </si>
  <si>
    <t>"2024-12-15T21:59:32.000Z"</t>
  </si>
  <si>
    <t>https://x.com/tvglobo/status/1868415624248012808</t>
  </si>
  <si>
    <t>[{"duration":140329,"video_url":"https://video.twimg.com/amplify_video/1868415334274744320/vid/avc1/1920x1080/wQd8ePgFg_hlWfB5.mp4?tag=16"}]</t>
  </si>
  <si>
    <t>ELENCO DE MILHÕES 🌟🌟🌟 #MelhoresDoAno #Domingão</t>
  </si>
  <si>
    <t>"2024-12-15T21:47:46.000Z"</t>
  </si>
  <si>
    <t>https://x.com/tvglobo/status/1868412661609681275</t>
  </si>
  <si>
    <t>[{"duration":71590,"video_url":"https://video.twimg.com/amplify_video/1868412303827156993/vid/avc1/1920x1080/9-cKuJ25Vd3Zv08V.mp4?tag=16"}]</t>
  </si>
  <si>
    <t>Um discurso carregado de muita emoção 🥹 Temos muito orgulho do ARTISTA que cê é, Juan!!! #MelhoresDoAno #Domingão</t>
  </si>
  <si>
    <t>"2024-12-15T21:28:22.000Z"</t>
  </si>
  <si>
    <t>https://x.com/tvglobo/status/1868407777208483919</t>
  </si>
  <si>
    <t>[{"duration":113870,"video_url":"https://video.twimg.com/amplify_video/1868407483221364736/vid/avc1/1920x1080/MXGr_mAyWNG6isqW.mp4?tag=16"}]</t>
  </si>
  <si>
    <t>foi um dia histórico e uma homenagem linda! ❤️ @SBTonline ❤️ #MelhoresDoAno #Domingão</t>
  </si>
  <si>
    <t>"2024-12-16T00:23:24.000Z"</t>
  </si>
  <si>
    <t>["https://pbs.twimg.com/media/Ge4TCFQWsAASvc1.jpg"]</t>
  </si>
  <si>
    <t>https://x.com/tvglobo/status/1868451827131298043</t>
  </si>
  <si>
    <t>{"data_posted":"2009-02-11T16:27:31.000Z","description":"Patricia Abravanel recebe homenagem a Silvio Santos: \"Ele preparou cada uma de nós\"\n\nhttps://t.co/I1rODhskpN https://t.co/XyPRXq4FWs","photos":["https://pbs.twimg.com/media/Ge4LWW_WcAAXny9.jpg"],"post_id":"1868443376414069072","profile_id":"SBTonline","profile_name":"SBT","url":"https://x.com/SBTonline/status/1868443376414069072","videos":null}</t>
  </si>
  <si>
    <t>"Música do Ano" é "Dois Tristes" de Simone Mendes 🥳🥳🥳 VOCÊ MERECEEEEEE, COLEGUINHA #MelhoresDoAno #Domingão</t>
  </si>
  <si>
    <t>"2024-12-15T22:24:17.000Z"</t>
  </si>
  <si>
    <t>https://x.com/tvglobo/status/1868421849626939402</t>
  </si>
  <si>
    <t>[{"duration":40800,"video_url":"https://video.twimg.com/amplify_video/1868421441231712256/vid/avc1/1920x1080/hffR2pQu-0julnka.mp4?tag=16"}]</t>
  </si>
  <si>
    <t>QUE DIA HISTÓRICO ❤️ @SBTonline 
#MelhoresDoAno #Domingão</t>
  </si>
  <si>
    <t>"2024-12-15T22:51:23.000Z"</t>
  </si>
  <si>
    <t>["https://pbs.twimg.com/media/Ge39-IkW4AAaie0.jpg"]</t>
  </si>
  <si>
    <t>https://x.com/tvglobo/status/1868428670085234956</t>
  </si>
  <si>
    <t>É HOJE! Os maiores talentos da televisão brasileira estão aqui #MelhoresDoAno ao vivo no #Domingão!</t>
  </si>
  <si>
    <t>"2024-12-15T13:33:00.000Z"</t>
  </si>
  <si>
    <t>https://x.com/tvglobo/status/1868288148243087489</t>
  </si>
  <si>
    <t>[{"duration":44611,"video_url":"https://video.twimg.com/amplify_video/1867726572800593920/vid/avc1/1280x720/Dv15Neg_KuAX8hoa.mp4?tag=14"}]</t>
  </si>
  <si>
    <t>GENTE DO CÉUU 😱 A FILIPA TÁ GRAVIDA DO RUDÁ #ManiaDeVocê</t>
  </si>
  <si>
    <t>"2024-12-15T01:24:21.000Z"</t>
  </si>
  <si>
    <t>https://x.com/tvglobo/status/1868104779152425304</t>
  </si>
  <si>
    <t>["ManiaDeVocê"]</t>
  </si>
  <si>
    <t>[{"duration":31500,"video_url":"https://video.twimg.com/amplify_video/1868104591532834816/vid/avc1/1920x1080/zG3KcEagEoTizG_i.mp4?tag=16"}]</t>
  </si>
  <si>
    <t>Claro que ele ia mexer os pauzinhos dele, até descobrir que o Rudá tinha uma noiva 🤯🤯🤯 #ManiaDeVocê</t>
  </si>
  <si>
    <t>"2024-12-15T00:34:40.000Z"</t>
  </si>
  <si>
    <t>https://x.com/tvglobo/status/1868092274002763963</t>
  </si>
  <si>
    <t>[{"duration":51820,"video_url":"https://video.twimg.com/amplify_video/1868092105421135872/vid/avc1/1920x1080/DyVovTqmfzitEUX0.mp4?tag=16"}]</t>
  </si>
  <si>
    <t>Entenda a prisão de Braga Netto em 10 pontos</t>
  </si>
  <si>
    <t>"2024-12-15T08:39:59.000Z"</t>
  </si>
  <si>
    <t>https://x.com/CNNBrasil/status/1868214407425376717</t>
  </si>
  <si>
    <t>https://cnnbr.app/short/c2807067777/</t>
  </si>
  <si>
    <t>["https://pbs.twimg.com/card_img/1868214376764739585/Q4wtxPDM?format=jpg&amp;name=orig"]</t>
  </si>
  <si>
    <t>Asilados em embaixada na Venezuela dizem que bandeira do Brasil os protege, mas pedem urgência a Lula</t>
  </si>
  <si>
    <t>"2024-12-15T01:01:40.000Z"</t>
  </si>
  <si>
    <t>https://x.com/CNNBrasil/status/1868099071740719611</t>
  </si>
  <si>
    <t>https://www.cnnbrasil.com.br/internacional/asilados-em-embaixada-na-venezuela-dizem-que-bandeira-do-brasil-os-protege-mas-pedem-urgencia-a-lula/?utm_source=social&amp;utm_medium=twitter&amp;utm_campaign=internacional</t>
  </si>
  <si>
    <t>["https://pbs.twimg.com/card_img/1865588535882919937/-er8MmuU?format=jpg&amp;name=orig"]</t>
  </si>
  <si>
    <t>QUE FESTA LINDAAAAAAAAAA 🥹🥹🥹 #MelhoresDoAno chega ao fim, em grande estilo! QUE NOITEEE!!!! ✨✨✨ #Domingão</t>
  </si>
  <si>
    <t>"2024-12-15T23:28:57.000Z"</t>
  </si>
  <si>
    <t>https://x.com/tvglobo/status/1868438126286283142</t>
  </si>
  <si>
    <t>[{"duration":43050,"video_url":"https://video.twimg.com/amplify_video/1868437763734876160/vid/avc1/1920x1080/tm92tRoV9c2rtzfg.mp4?tag=16"}]</t>
  </si>
  <si>
    <t>Ô povo lindo e apaixonado ao som de "Só Você" 👀👀👀 #MelhoresDoAno #Domingão</t>
  </si>
  <si>
    <t>"2024-12-15T23:22:26.000Z"</t>
  </si>
  <si>
    <t>https://x.com/tvglobo/status/1868436482723033216</t>
  </si>
  <si>
    <t>[{"duration":31800,"video_url":"https://video.twimg.com/amplify_video/1868436028991713281/vid/avc1/1920x1080/PCNRBe2nGIspPA-U.mp4?tag=16"}]</t>
  </si>
  <si>
    <t>Agradecimento do nosso painho Marcos Palmeira 🥰 #MelhoresDoAno #Domingão</t>
  </si>
  <si>
    <t>"2024-12-15T23:05:55.000Z"</t>
  </si>
  <si>
    <t>https://x.com/tvglobo/status/1868432330005590054</t>
  </si>
  <si>
    <t>[{"duration":87570,"video_url":"https://video.twimg.com/amplify_video/1868432128439963648/vid/avc1/1920x1080/Fd9l4bEKatZDgfUC.mp4?tag=16"}]</t>
  </si>
  <si>
    <t>HIT ATEMPORAL 💃 Impossível ficar parada com a @ivetesangalo cantando "Macetando" 🅰️🅰️🅰️ #MelhoresDoAno #Domingão</t>
  </si>
  <si>
    <t>"2024-12-15T22:11:38.000Z"</t>
  </si>
  <si>
    <t>https://x.com/tvglobo/status/1868418665630060694</t>
  </si>
  <si>
    <t>[{"biography":null,"followers":null,"following":null,"is_verified":null,"profile_id":"14502789","profile_name":"Ivete Sangalo","url":"https://x.com/ivetesangalo"}]</t>
  </si>
  <si>
    <t>[{"duration":42070,"video_url":"https://video.twimg.com/amplify_video/1868418391880392704/vid/avc1/1920x1080/es-0hOa4UtgTtoJ2.mp4?tag=16"}]</t>
  </si>
  <si>
    <t>A ENTRADA DA MÃEEEEEEEEEEEEEEE 😱 #MelhoresDoAno #Domingão</t>
  </si>
  <si>
    <t>"2024-12-15T22:09:57.000Z"</t>
  </si>
  <si>
    <t>https://x.com/tvglobo/status/1868418243548893267</t>
  </si>
  <si>
    <t>[{"duration":43810,"video_url":"https://video.twimg.com/amplify_video/1868418092235124736/vid/avc1/1920x1080/fW0dZKiEKsW2AzK5.mp4?tag=16"}]</t>
  </si>
  <si>
    <t>AI, CARAMBA! 🥰 Daphne Bozaski levou o prêmio "Atriz Coadjuvante" ❤️✨ #MelhoresDoAno #Domingão</t>
  </si>
  <si>
    <t>"2024-12-15T20:55:12.000Z"</t>
  </si>
  <si>
    <t>https://x.com/tvglobo/status/1868399430983954821</t>
  </si>
  <si>
    <t>[{"duration":15280,"video_url":"https://video.twimg.com/amplify_video/1868398992666628096/vid/avc1/1920x1080/wSBPX9rUrujhqulA.mp4?tag=16"}]</t>
  </si>
  <si>
    <t>União Brasil não tem mais alma e nem ideal, diz Luciano Bivar ao WW</t>
  </si>
  <si>
    <t>"2024-12-15T01:23:28.000Z"</t>
  </si>
  <si>
    <t>https://x.com/CNNBrasil/status/1868104557999349927</t>
  </si>
  <si>
    <t>https://www.cnnbrasil.com.br/politica/uniao-brasil-nao-tem-mais-alma-e-nem-ideal-diz-luciano-bivar-ao-ww/?utm_source=social&amp;utm_medium=twitter&amp;utm_campaign=politica</t>
  </si>
  <si>
    <t>["https://pbs.twimg.com/card_img/1866662010907181056/fIIPY6TZ?format=jpg&amp;name=orig"]</t>
  </si>
  <si>
    <t>O que a Iza e a Beyoncé têm em comum além de serem DIVAS QUEENS? 👑 Simplesmente NALA 🤎 #Fantástico</t>
  </si>
  <si>
    <t>"2024-12-16T00:24:47.000Z"</t>
  </si>
  <si>
    <t>https://x.com/tvglobo/status/1868452175829184952</t>
  </si>
  <si>
    <t>["Fantástico"]</t>
  </si>
  <si>
    <t>[{"duration":52030,"video_url":"https://video.twimg.com/amplify_video/1868450853629169664/vid/avc1/1920x1080/5UzPop_FjPC5WjVH.mp4?tag=16"}]</t>
  </si>
  <si>
    <t>Encerrando o #MelhoresDoAno 2024 com Fábio Júnior no palco do #Domingão ✨✨✨ EU AMOOOO!</t>
  </si>
  <si>
    <t>"2024-12-15T23:11:23.000Z"</t>
  </si>
  <si>
    <t>https://x.com/tvglobo/status/1868433705292779789</t>
  </si>
  <si>
    <t>[{"duration":44930,"video_url":"https://video.twimg.com/amplify_video/1868433402342383618/vid/avc1/1920x1080/SfSds6vNLojIv0sm.mp4?tag=16"}]</t>
  </si>
  <si>
    <t>ESSA AQUI FAZ BATER O CORAÇÃO MAIS FORTE MESMO 🤍 #MelhoresDoAno #Domingão</t>
  </si>
  <si>
    <t>"2024-12-15T23:16:29.000Z"</t>
  </si>
  <si>
    <t>https://x.com/tvglobo/status/1868434986052858133</t>
  </si>
  <si>
    <t>[{"duration":45110,"video_url":"https://video.twimg.com/amplify_video/1868434715453071360/vid/avc1/1920x1080/-nMP4GBTGoy1Y7MG.mp4?tag=16"}]</t>
  </si>
  <si>
    <t>ÔI, ÔI ✈️✈️✈️ QUEM QUER DINHEIROOOO??? 🤭 @SBTonline obrigada pelos mimos, amoreee #MelhoresDoAno #Domingão</t>
  </si>
  <si>
    <t>"2024-12-15T22:59:00.000Z"</t>
  </si>
  <si>
    <t>https://x.com/tvglobo/status/1868430586404086042</t>
  </si>
  <si>
    <t>[{"duration":58660,"video_url":"https://video.twimg.com/amplify_video/1868429779281879040/vid/avc1/1920x1080/IEDmlDnwsbVw-eDw.mp4?tag=16"}]</t>
  </si>
  <si>
    <t>"Atriz de Novela" de 2024 é Andrea Beltrão ❤️ #MelhoresDoAno #Domingão</t>
  </si>
  <si>
    <t>"2024-12-15T22:18:02.000Z"</t>
  </si>
  <si>
    <t>https://x.com/tvglobo/status/1868420279451460022</t>
  </si>
  <si>
    <t>[{"duration":14760,"video_url":"https://video.twimg.com/amplify_video/1868419870271885312/vid/avc1/1920x1080/IpX0GqBJHpMUuB0N.mp4?tag=16"}]</t>
  </si>
  <si>
    <t>ELA PERFORMA ELAAAAA ✨✨✨ EU AMO O AO VIVOOO #MelhoresDoAno #Domingão</t>
  </si>
  <si>
    <t>"2024-12-15T20:38:44.000Z"</t>
  </si>
  <si>
    <t>https://x.com/tvglobo/status/1868395288479641651</t>
  </si>
  <si>
    <t>[{"duration":30530,"video_url":"https://video.twimg.com/amplify_video/1868392561640964096/vid/avc1/1920x1080/3vyaKAEjyOHWiMuK.mp4?tag=16"}]</t>
  </si>
  <si>
    <t>a @IveteSangalo falando que a @SimoneMendes tá toda molhadinha 🗣️🗣️🗣️🗣️🗣️ #MelhoresDoAno #Domingão</t>
  </si>
  <si>
    <t>"2024-12-15T20:31:07.000Z"</t>
  </si>
  <si>
    <t>https://x.com/tvglobo/status/1868393371951038934</t>
  </si>
  <si>
    <t>[{"biography":null,"followers":null,"following":null,"is_verified":null,"profile_id":"14502789","profile_name":"Ivete Sangalo","url":"https://x.com/ivetesangalo"},{"biography":null,"followers":null,"following":null,"is_verified":null,"profile_id":"86302441","profile_name":"Simone Mendes 💙","url":"https://x.com/SimoneMendes"}]</t>
  </si>
  <si>
    <t>[{"duration":10289,"video_url":"https://video.twimg.com/amplify_video/1868393136914857984/vid/avc1/1920x1080/yBqJ2xpMnZVRbo96.mp4?tag=16"}]</t>
  </si>
  <si>
    <t>A MÉRCIA PARECENDO UMA ADOLESCENTE 🗣️🗣️🗣️ Não aguentoooo #ManiaDeVocê</t>
  </si>
  <si>
    <t>"2024-12-15T00:26:08.000Z"</t>
  </si>
  <si>
    <t>https://x.com/tvglobo/status/1868090128742158682</t>
  </si>
  <si>
    <t>[{"duration":58970,"video_url":"https://video.twimg.com/amplify_video/1868090014921289728/vid/avc1/1920x1080/v75lJ7xFltw4WPZi.mp4?tag=16"}]</t>
  </si>
  <si>
    <t>Lula tem alta hospitalar neste domingo (15)</t>
  </si>
  <si>
    <t>"2024-12-15T14:17:33.000Z"</t>
  </si>
  <si>
    <t>https://x.com/CNNBrasil/status/1868299358782799883</t>
  </si>
  <si>
    <t>https://www.cnnbrasil.com.br/politica/lula-tem-alta-hospitalar-neste-domingo-15/?utm_source=social&amp;utm_medium=twitter&amp;utm_campaign=politica</t>
  </si>
  <si>
    <t>["https://pbs.twimg.com/card_img/1867783193597722627/QPlvRSWa?format=jpg&amp;name=orig"]</t>
  </si>
  <si>
    <t>Por @MiguelNicolelis: Os múltiplos furacões que estão varrendo o “American Dream” do mapa</t>
  </si>
  <si>
    <t>"2024-12-15T09:08:37.000Z"</t>
  </si>
  <si>
    <t>https://x.com/CNNBrasil/status/1868221616007917686</t>
  </si>
  <si>
    <t>[{"biography":null,"followers":null,"following":null,"is_verified":null,"profile_id":"237432120","profile_name":"Miguel Nicolelis","url":"https://x.com/MiguelNicolelis"}]</t>
  </si>
  <si>
    <t>https://cnnbr.app/short/c3314749067/</t>
  </si>
  <si>
    <t>["https://pbs.twimg.com/card_img/1868221619086528512/Z1BRRVUJ?format=jpg&amp;name=orig"]</t>
  </si>
  <si>
    <t>Eita como canta esse Chay 😂😂😂 #MelhoresDoAno #Domingão</t>
  </si>
  <si>
    <t>"2024-12-15T23:25:12.000Z"</t>
  </si>
  <si>
    <t>https://x.com/tvglobo/status/1868437179434770918</t>
  </si>
  <si>
    <t>[{"duration":7180,"video_url":"https://video.twimg.com/amplify_video/1868436956201222144/vid/avc1/1920x1080/mxcrHb11rjqgYyhc.mp4?tag=16"}]</t>
  </si>
  <si>
    <t>O PÓBI DO @FabioPorchat 🤣🤣🤣 #MelhoresDoAno #Domingão</t>
  </si>
  <si>
    <t>"2024-12-15T21:18:05.000Z"</t>
  </si>
  <si>
    <t>https://x.com/tvglobo/status/1868405190631526691</t>
  </si>
  <si>
    <t>[{"biography":null,"followers":null,"following":null,"is_verified":null,"profile_id":"33804533","profile_name":"Fabio Porchat","url":"https://x.com/FabioPorchat"}]</t>
  </si>
  <si>
    <t>[{"duration":24090,"video_url":"https://video.twimg.com/amplify_video/1868404959915466752/vid/avc1/1920x1080/QPYw7cLM9R80_YE9.mp4?tag=16"}]</t>
  </si>
  <si>
    <t>Discurso da nossa eterna Lupita 🤏 @daphnebozaski você é incríveeeeeeeeeeeeel!!! #MelhoresDoAno #Domingão</t>
  </si>
  <si>
    <t>"2024-12-15T20:56:51.000Z"</t>
  </si>
  <si>
    <t>https://x.com/tvglobo/status/1868399845632794880</t>
  </si>
  <si>
    <t>[{"biography":null,"followers":null,"following":null,"is_verified":null,"profile_id":"64927068","profile_name":"Daphne Bozaski","url":"https://x.com/daphnebozaski"}]</t>
  </si>
  <si>
    <t>[{"duration":112140,"video_url":"https://video.twimg.com/amplify_video/1868399550534135808/vid/avc1/1920x1080/x1qdZPPBaTptAZG1.mp4?tag=16"}]</t>
  </si>
  <si>
    <t>É DELEEEE 🤩 Vladimir Brichta levou o prêmio de "Ator Coadjuvante" 🤍🤍🤍 #MelhoresDoAno #Domingão</t>
  </si>
  <si>
    <t>"2024-12-15T21:00:01.000Z"</t>
  </si>
  <si>
    <t>https://x.com/tvglobo/status/1868400643519508537</t>
  </si>
  <si>
    <t>[{"duration":33540,"video_url":"https://video.twimg.com/amplify_video/1868400248613199872/vid/avc1/1920x1080/EVkgeKuNmqiMhuqe.mp4?tag=16"}]</t>
  </si>
  <si>
    <t>QUE HONRA, QUE DIA HISTÓRICO!!! 🥹🥹🥹 Patricia Abravanel representando o @SBTonline no palco do #Domingão 🫶 #MelhoresDoAno</t>
  </si>
  <si>
    <t>"2024-12-15T22:53:11.000Z"</t>
  </si>
  <si>
    <t>https://x.com/tvglobo/status/1868429125200777694</t>
  </si>
  <si>
    <t>["Domingão","MelhoresDoAno"]</t>
  </si>
  <si>
    <t>[{"duration":58220,"video_url":"https://video.twimg.com/amplify_video/1868426803846762496/vid/avc1/1920x1080/yZ1b7JazloBfaRnq.mp4?tag=16"}]</t>
  </si>
  <si>
    <t>AIIII COLEGUINHA 😩 Nessa sofre até quem não tá sofrendo... que vozeirão é esse, @SimoneMendes mirmã? 🥵🤍 #MelhoresDoAno #Domingão</t>
  </si>
  <si>
    <t>"2024-12-15T20:27:15.000Z"</t>
  </si>
  <si>
    <t>https://x.com/tvglobo/status/1868392399963066582</t>
  </si>
  <si>
    <t>[{"biography":null,"followers":null,"following":null,"is_verified":null,"profile_id":"86302441","profile_name":"Simone Mendes 💙","url":"https://x.com/SimoneMendes"}]</t>
  </si>
  <si>
    <t>[{"duration":38350,"video_url":"https://video.twimg.com/amplify_video/1868391843425099776/vid/avc1/1920x1080/b67a0bw3dO1XB1Lq.mp4?tag=16"}]</t>
  </si>
  <si>
    <t>ALÉM DE JORNALISTA, CANTORAAAAAAA 😱 @KarineAlves_tv que voz linda é essa que cê tava escondendo, heinnn? QUEM SABE FAZ AO VIVOOOO 🤌 #MelhoresDoAno #Domingão</t>
  </si>
  <si>
    <t>"2024-12-15T20:04:37.000Z"</t>
  </si>
  <si>
    <t>https://x.com/tvglobo/status/1868386704165392720</t>
  </si>
  <si>
    <t>[{"biography":null,"followers":null,"following":null,"is_verified":null,"profile_id":"177084547","profile_name":"Karine Alves","url":"https://x.com/KarineAlves_tv"}]</t>
  </si>
  <si>
    <t>[{"duration":70350,"video_url":"https://video.twimg.com/amplify_video/1868386601635598336/vid/avc1/1920x1080/8tr_3zBmHxqKGQ0I.mp4?tag=16"}]</t>
  </si>
  <si>
    <t>Karine Alves levou o "Profissional do Esporte" do #MelhoresDoAno 2024 🏆✨ Ela mereceu demais esse reconhecimento!!! #Domingão</t>
  </si>
  <si>
    <t>"2024-12-15T20:01:40.000Z"</t>
  </si>
  <si>
    <t>https://x.com/tvglobo/status/1868385958770717047</t>
  </si>
  <si>
    <t>[{"duration":21189,"video_url":"https://video.twimg.com/amplify_video/1868385293260484608/vid/avc1/1920x1080/tGTDLsJtNsjSKNLB.mp4?tag=16"}]</t>
  </si>
  <si>
    <t>Beijinho do Chay pra vocês, turma 💋 #MelhoresDoAno #Domingão</t>
  </si>
  <si>
    <t>"2024-12-15T22:36:06.000Z"</t>
  </si>
  <si>
    <t>https://x.com/tvglobo/status/1868424825582026967</t>
  </si>
  <si>
    <t>[{"duration":3139,"video_url":"https://video.twimg.com/amplify_video/1868424619092258816/vid/avc1/1920x1080/Nrhu1m22x5PVlv7b.mp4?tag=16"}]</t>
  </si>
  <si>
    <t>Paulo Vieira é o grande vencedor da categoria "Humor" ✨ #MelhoresDoAno #Domingão</t>
  </si>
  <si>
    <t>"2024-12-15T21:56:19.000Z"</t>
  </si>
  <si>
    <t>https://x.com/tvglobo/status/1868414811286999496</t>
  </si>
  <si>
    <t>[{"duration":23950,"video_url":"https://video.twimg.com/amplify_video/1868414552569696258/vid/avc1/1920x1080/hrh-RqqmR0Fw4u3C.mp4?tag=16"}]</t>
  </si>
  <si>
    <t>ELE MERECE, ELE MERECE, ELE MERECEEEEE ❤️ Juan Paiva levou o prêmio de "Ator de Série" #MelhoresDoAno #Domingão</t>
  </si>
  <si>
    <t>"2024-12-15T21:26:15.000Z"</t>
  </si>
  <si>
    <t>https://x.com/tvglobo/status/1868407245735653417</t>
  </si>
  <si>
    <t>[{"duration":31350,"video_url":"https://video.twimg.com/amplify_video/1868406892625620992/vid/avc1/1920x1080/EjVNlae36pKsHDHI.mp4?tag=16"}]</t>
  </si>
  <si>
    <t>DIOGO DEFANTE 🗣️🗣️🗣️ ELE AÍ DESCONHECE A PALAVRA LIMITE #MelhoresDoAno #Domingão</t>
  </si>
  <si>
    <t>"2024-12-15T21:04:39.000Z"</t>
  </si>
  <si>
    <t>https://x.com/tvglobo/status/1868401811880632781</t>
  </si>
  <si>
    <t>[{"duration":22750,"video_url":"https://video.twimg.com/amplify_video/1868401648290131968/vid/avc1/1920x1080/dKxQo9xVOO5djT2H.mp4?tag=16"}]</t>
  </si>
  <si>
    <t>VOCÊ É UM TALENTO E MERECE DEMAIS ESSE PRÊMIO, PRÍNCIPE 🫶🫶🫶 #MelhoresDoAno #Domingão</t>
  </si>
  <si>
    <t>"2024-12-15T22:34:46.000Z"</t>
  </si>
  <si>
    <t>https://x.com/tvglobo/status/1868424489781923940</t>
  </si>
  <si>
    <t>[{"duration":135880,"video_url":"https://video.twimg.com/amplify_video/1868424118439133184/vid/avc1/1920x1080/IRIauCWLTjvB448T.mp4?tag=16"}]</t>
  </si>
  <si>
    <t>"Cadê minha princesa?" 🗣️ O Mavi mais feliz que o próprio Rudá quando descobrir que vai ser pai #ManiaDeVocê</t>
  </si>
  <si>
    <t>"2024-12-15T01:27:33.000Z"</t>
  </si>
  <si>
    <t>https://x.com/tvglobo/status/1868105583250866302</t>
  </si>
  <si>
    <t>[{"duration":35370,"video_url":"https://video.twimg.com/amplify_video/1868105406519615488/vid/avc1/1920x1080/MRWqCMmeILKHU8Ag.mp4?tag=16"}]</t>
  </si>
  <si>
    <t>Iberê não é biruta 🫠 #ManiaDeVocê</t>
  </si>
  <si>
    <t>"2024-12-15T00:29:54.000Z"</t>
  </si>
  <si>
    <t>https://x.com/tvglobo/status/1868091076466090483</t>
  </si>
  <si>
    <t>[{"duration":47479,"video_url":"https://video.twimg.com/amplify_video/1868090907678945280/vid/avc1/1920x1080/E1EG7CprDSGW4EH4.mp4?tag=16"}]</t>
  </si>
  <si>
    <t>Golpe da falsa garota de programa fez mais de 30 vítimas no RJ; entenda o caso</t>
  </si>
  <si>
    <t>"2024-12-15T15:40:57.000Z"</t>
  </si>
  <si>
    <t>https://x.com/CNNBrasil/status/1868320349240095231</t>
  </si>
  <si>
    <t>https://www.cnnbrasil.com.br/nacional/sudeste/rj/golpe-da-falsa-garota-de-programa-fez-mais-de-30-vitimas-no-rj-entenda-o-caso/?utm_source=social&amp;utm_medium=twitter&amp;utm_campaign=rio-de-janeiro</t>
  </si>
  <si>
    <t>["https://pbs.twimg.com/card_img/1868320350863278082/r-6Cj1ro?format=jpg&amp;name=orig"]</t>
  </si>
  <si>
    <t>O general Walter Braga Netto só poderá receber visitas mediante autorização expressa do gabinete do ministro Alexandre de Moraes, do Supremo Tribunal Federal (STF). O militar foi preso no sábado (14) por tentar obstruir as provas do inquérito de golpe de Estado. #AgoraCNN</t>
  </si>
  <si>
    <t>"2024-12-15T12:38:37.000Z"</t>
  </si>
  <si>
    <t>https://x.com/CNNBrasil/status/1868274460937130280</t>
  </si>
  <si>
    <t>[{"duration":188234,"video_url":"https://video.twimg.com/amplify_video/1868274281458655233/vid/avc1/1920x1080/KkrXYNu51fbH6tmb.mp4?tag=16"}]</t>
  </si>
  <si>
    <t>A Procuradoria-Geral da União afirmou que a prisão preventiva de Walter Braga Netto evita interferências na investigação que apura o plano de golpe de Estado após o resultado das eleições de 2022. O general foi preso na manhã deste sábado (14).  #CNNBrasil</t>
  </si>
  <si>
    <t>"2024-12-15T00:01:01.000Z"</t>
  </si>
  <si>
    <t>https://x.com/CNNBrasil/status/1868083807112356082</t>
  </si>
  <si>
    <t>["CNNBrasil"]</t>
  </si>
  <si>
    <t>[{"duration":74067,"video_url":"https://video.twimg.com/amplify_video/1868083706302169089/vid/avc1/1920x1080/xvAymHc5q7HxvOSB.mp4?tag=16"}]</t>
  </si>
  <si>
    <t>Daniel e @Eliana cantando juntos no Especial de Natal do #TheMaskedSingerBr que acontece dia 22 de dezembro, aqui na minha telinha, TÁ IMPERDÍVEL 🤌 #Fantástico</t>
  </si>
  <si>
    <t>"2024-12-16T02:41:29.000Z"</t>
  </si>
  <si>
    <t>https://x.com/tvglobo/status/1868486577674207412</t>
  </si>
  <si>
    <t>[{"biography":null,"followers":null,"following":null,"is_verified":null,"profile_id":"20257409","profile_name":"Eliana Michaelichen","url":"https://x.com/Eliana"}]</t>
  </si>
  <si>
    <t>["TheMaskedSingerBr","Fantástico"]</t>
  </si>
  <si>
    <t>[{"duration":37480,"video_url":"https://video.twimg.com/amplify_video/1868474523017695232/vid/avc1/1920x1080/9AXe583lPxE-IVEU.mp4?tag=16"}]</t>
  </si>
  <si>
    <t>"Chegou o momento de homenagear o melhor dos melhores e não só do ano, mas de todos os tempos!" 🤍 @SBTonline e eu hoje estamos juntinhas transmitindo essa homenagem pra vocês! #MelhoresDoAno #Domingão</t>
  </si>
  <si>
    <t>"2024-12-15T22:47:04.000Z"</t>
  </si>
  <si>
    <t>https://x.com/tvglobo/status/1868427585207558407</t>
  </si>
  <si>
    <t>[{"duration":76760,"video_url":"https://video.twimg.com/amplify_video/1868426525856645120/vid/avc1/1920x1080/EFY6NxlgsvrKnOHf.mp4?tag=16"}]</t>
  </si>
  <si>
    <t>Todo mundo se acabando de dançar ao som de "Erro Gostoso" 💋💋💋 #MelhoresDoAno #Domingão</t>
  </si>
  <si>
    <t>"2024-12-15T22:28:52.000Z"</t>
  </si>
  <si>
    <t>https://x.com/tvglobo/status/1868423003605700616</t>
  </si>
  <si>
    <t>[{"duration":48790,"video_url":"https://video.twimg.com/amplify_video/1868422816296542208/vid/avc1/1920x1080/uKwduO5-NDlu7Bfq.mp4?tag=16"}]</t>
  </si>
  <si>
    <t>Ela começa o agradecimento fazendo a gente chorar e finaliza fazendo a gente rir 😂❤️ #MelhoresDoAno #Domingão</t>
  </si>
  <si>
    <t>"2024-12-15T22:26:27.000Z"</t>
  </si>
  <si>
    <t>https://x.com/tvglobo/status/1868422395045814601</t>
  </si>
  <si>
    <t>[{"duration":75160,"video_url":"https://video.twimg.com/amplify_video/1868422088106622976/vid/avc1/1920x1080/rwhlHgY-gy74GeKB.mp4?tag=16"}]</t>
  </si>
  <si>
    <t>Justiça 2 é grande premiada na categoria "Série do Ano" 🔥 #MelhoresDoAno #Domingão</t>
  </si>
  <si>
    <t>"2024-12-15T21:45:30.000Z"</t>
  </si>
  <si>
    <t>https://x.com/tvglobo/status/1868412092773978506</t>
  </si>
  <si>
    <t>[{"duration":29010,"video_url":"https://video.twimg.com/amplify_video/1868411855338680320/vid/avc1/1920x1080/emFL9I71fETgjRme.mp4?tag=16"}]</t>
  </si>
  <si>
    <t>ESTE ANO, a Marjorie é a vencedora do "Atriz de Série" 🤌🤌🤌 #MelhoresDoAno #Domingão</t>
  </si>
  <si>
    <t>"2024-12-15T21:22:01.000Z"</t>
  </si>
  <si>
    <t>https://x.com/tvglobo/status/1868406181556785630</t>
  </si>
  <si>
    <t>[{"duration":11260,"video_url":"https://video.twimg.com/amplify_video/1868405388854345728/vid/avc1/1920x1080/P4uzUY5HpkUTB7Li.mp4?tag=16"}]</t>
  </si>
  <si>
    <t>Fazendo gracinha como sempreeeee, o jeitinho deleeee 😂 Vlad, você é um ARTISTA completo, MUITO MERECIDO!!! #MelhoresDoAno #Domingão</t>
  </si>
  <si>
    <t>"2024-12-15T21:01:57.000Z"</t>
  </si>
  <si>
    <t>https://x.com/tvglobo/status/1868401132260729074</t>
  </si>
  <si>
    <t>[{"duration":85959,"video_url":"https://video.twimg.com/amplify_video/1868400794493403136/vid/avc1/1920x1080/j7yxdmFJkuKOWqL_.mp4?tag=16"}]</t>
  </si>
  <si>
    <t>Veveta rasgando elogios pra Simone 🥰🥰🥰 #MelhoresDoAno #Domingão</t>
  </si>
  <si>
    <t>"2024-12-15T20:31:05.000Z"</t>
  </si>
  <si>
    <t>https://x.com/tvglobo/status/1868393361125605739</t>
  </si>
  <si>
    <t>[{"duration":24660,"video_url":"https://video.twimg.com/amplify_video/1868393155537555457/vid/avc1/1920x1080/0cStBWm24Lni5UXT.mp4?tag=16"}]</t>
  </si>
  <si>
    <t>Discurso lindo da @LaBocchinox 🥹❤️ Você merece todo esse reconhecimento. maravilhosaaaaa #MelhoresDoAno #Domingão</t>
  </si>
  <si>
    <t>"2024-12-15T19:57:02.000Z"</t>
  </si>
  <si>
    <t>https://x.com/tvglobo/status/1868384794721042700</t>
  </si>
  <si>
    <t>[{"biography":null,"followers":null,"following":null,"is_verified":null,"profile_id":"1858503601393709056","profile_name":"Larissa Bocchino","url":"https://x.com/LaBocchinox"}]</t>
  </si>
  <si>
    <t>[{"duration":109580,"video_url":"https://video.twimg.com/amplify_video/1868384553129115648/vid/avc1/1920x1080/A-k3IQWsKZkFDrtV.mp4?tag=16"}]</t>
  </si>
  <si>
    <t>O grande desafio de Lula é mostrar que a economia vai bem, avalia Arko Advice ao WW Especial</t>
  </si>
  <si>
    <t>"2024-12-15T12:40:06.000Z"</t>
  </si>
  <si>
    <t>https://x.com/CNNBrasil/status/1868274836503490692</t>
  </si>
  <si>
    <t>https://www.cnnbrasil.com.br/politica/o-grande-desafio-de-lula-e-mostrar-que-a-economia-vai-bem-avalia-arko-advice-ao-ww-especial/?utm_source=social&amp;utm_medium=twitter&amp;utm_campaign=politica</t>
  </si>
  <si>
    <t>["https://pbs.twimg.com/card_img/1866863985863073792/cD52Gq2d?format=jpg&amp;name=orig"]</t>
  </si>
  <si>
    <t>PM do Rio de Janeiro muda de uniforme a partir de segunda-feira (16); confira</t>
  </si>
  <si>
    <t>"2024-12-15T09:36:30.000Z"</t>
  </si>
  <si>
    <t>https://x.com/CNNBrasil/status/1868228630721306824</t>
  </si>
  <si>
    <t>https://cnnbr.app/short/c1772840069/</t>
  </si>
  <si>
    <t>["https://pbs.twimg.com/card_img/1868228592963817473/nsrp1iRN?format=jpg&amp;name=orig"]</t>
  </si>
  <si>
    <t>Entenda o que é prisão preventiva e veja os próximos passos do caso Braga Netto</t>
  </si>
  <si>
    <t>"2024-12-15T01:48:06.000Z"</t>
  </si>
  <si>
    <t>https://x.com/CNNBrasil/status/1868110755867844967</t>
  </si>
  <si>
    <t>https://www.cnnbrasil.com.br/politica/entenda-o-que-e-prisao-preventiva-e-veja-os-proximos-passos-do-caso-braga-netto/?utm_source=social&amp;utm_medium=twitter&amp;utm_campaign=politica</t>
  </si>
  <si>
    <t>["https://pbs.twimg.com/card_img/1868110757495287808/kzEv6b_G?format=jpg&amp;name=orig"]</t>
  </si>
  <si>
    <t>"VIVA A BAHIA, TAMBÉM" 🤩🤩🤩 #MelhoresDoAno #Domingão</t>
  </si>
  <si>
    <t>"2024-12-15T23:04:39.000Z"</t>
  </si>
  <si>
    <t>https://x.com/tvglobo/status/1868432008973533481</t>
  </si>
  <si>
    <t>[{"duration":8109,"video_url":"https://video.twimg.com/amplify_video/1868431400984350720/vid/avc1/1920x1080/bZ5KXe6_n-vwpIh1.mp4?tag=16"}]</t>
  </si>
  <si>
    <t>CARINHA DO CHAY 🤏 #MelhoresDoAno #Domingão</t>
  </si>
  <si>
    <t>"2024-12-15T22:30:48.000Z"</t>
  </si>
  <si>
    <t>https://x.com/tvglobo/status/1868423490094641549</t>
  </si>
  <si>
    <t>[{"duration":2300,"video_url":"https://video.twimg.com/amplify_video/1868423142042988544/vid/avc1/1920x1080/S55MzunwuH4WBcxY.mp4?tag=16"}]</t>
  </si>
  <si>
    <t>POTÊNCIA DE MULHER, DE VOZZZZ, QUE ISSOOO @SimoneMendes 🤌🤌🤌 #MelhoresDoAno #Domingão</t>
  </si>
  <si>
    <t>"2024-12-15T22:28:00.000Z"</t>
  </si>
  <si>
    <t>https://x.com/tvglobo/status/1868422787066483008</t>
  </si>
  <si>
    <t>[{"duration":54230,"video_url":"https://video.twimg.com/amplify_video/1868422349827067904/vid/avc1/1920x1080/yc8BuGOjonk2MhgN.mp4?tag=16"}]</t>
  </si>
  <si>
    <t>AQUI FOI O JOÃO PEDRO ABRAÇANDO O PAINHO DELE 🥺💖 #MelhoresDoAno #Domingão</t>
  </si>
  <si>
    <t>"2024-12-15T21:29:29.000Z"</t>
  </si>
  <si>
    <t>https://x.com/tvglobo/status/1868408060953108810</t>
  </si>
  <si>
    <t>[{"duration":7650,"video_url":"https://video.twimg.com/amplify_video/1868407740525129729/vid/avc1/1920x1080/k4vaE9NxgmH2kjhm.mp4?tag=16"}]</t>
  </si>
  <si>
    <t>LINDA, PERFEITA &amp;amp; MARAVILHOSA ❤️ MARJORIE INSPIRADORA E TALENTOSÍSSIMA #MelhoresDoAno #Domingão</t>
  </si>
  <si>
    <t>"2024-12-15T21:23:48.000Z"</t>
  </si>
  <si>
    <t>https://x.com/tvglobo/status/1868406630603194872</t>
  </si>
  <si>
    <t>[{"duration":145140,"video_url":"https://video.twimg.com/amplify_video/1868406210229055488/vid/avc1/1920x1080/LdWakHBcw-fIwTuZ.mp4?tag=16"}]</t>
  </si>
  <si>
    <t>ELE MERECE MUITOOOO 😍 @CesarTralli, o último romântico, obrigada pelo seu profissionalismo, você é um acontecimento! #MelhoresDoAno #Domingão</t>
  </si>
  <si>
    <t>"2024-12-15T20:46:21.000Z"</t>
  </si>
  <si>
    <t>https://x.com/tvglobo/status/1868397206354407891</t>
  </si>
  <si>
    <t>[{"biography":null,"followers":null,"following":null,"is_verified":null,"profile_id":"380069148","profile_name":"Cesar Tralli","url":"https://x.com/CesarTralli"}]</t>
  </si>
  <si>
    <t>[{"duration":104140,"video_url":"https://video.twimg.com/amplify_video/1868394915320713217/vid/avc1/1920x1080/OL9eBBzHIJmoTNPx.mp4?tag=16"}]</t>
  </si>
  <si>
    <t>A 5ª temporada de #TheMaskedSingerBr tá chegando e a @Eliana tá vindo com tudo junto 🎭🎤 Vem descobrir tudo comigooo com esse spoiler da edição Especial de Natal ✨ #Fantástico</t>
  </si>
  <si>
    <t>"2024-12-16T02:41:13.000Z"</t>
  </si>
  <si>
    <t>https://x.com/tvglobo/status/1868486509344522443</t>
  </si>
  <si>
    <t>[{"duration":54310,"video_url":"https://video.twimg.com/amplify_video/1868473157926916096/vid/avc1/1920x1080/FE78RZQw1aVqkBo0.mp4?tag=16"}]</t>
  </si>
  <si>
    <t>Melhor Atriz da categoria "Revelação" é Larissa Bocchino! 🏆✨ NOSSA QUINOTAAA 💖 #MelhoresDoAno #Domingão</t>
  </si>
  <si>
    <t>"2024-12-15T19:54:52.000Z"</t>
  </si>
  <si>
    <t>https://x.com/tvglobo/status/1868384250451595599</t>
  </si>
  <si>
    <t>[{"duration":30409,"video_url":"https://video.twimg.com/amplify_video/1868383881516204032/vid/avc1/1920x1080/rAMYrtTi4ducEu7q.mp4?tag=16"}]</t>
  </si>
  <si>
    <t>Quase que a paranoia do Hugo acaba com o casamento dele 🥲 #ManiaDeVocê</t>
  </si>
  <si>
    <t>"2024-12-15T01:04:23.000Z"</t>
  </si>
  <si>
    <t>https://x.com/tvglobo/status/1868099752044179744</t>
  </si>
  <si>
    <t>[{"duration":75479,"video_url":"https://video.twimg.com/amplify_video/1868099308928516096/vid/avc1/1920x1080/Ve0S1YsOOdyfib6w.mp4?tag=16"}]</t>
  </si>
  <si>
    <t>Mavi com saudades da princesa dele 🤭 Vem que #ManiaDeVocê tá no ar!</t>
  </si>
  <si>
    <t>"2024-12-15T00:24:35.000Z"</t>
  </si>
  <si>
    <t>https://x.com/tvglobo/status/1868089739150029069</t>
  </si>
  <si>
    <t>[{"duration":60630,"video_url":"https://video.twimg.com/amplify_video/1868089370462306304/vid/avc1/1920x1080/eqUohgBGeOFLldFS.mp4?tag=16"}]</t>
  </si>
  <si>
    <t>Como vou ser triste com esse #AltasHoras mais que especial? Vem comigo, mô!</t>
  </si>
  <si>
    <t>https://x.com/tvglobo/status/1868083553910530281</t>
  </si>
  <si>
    <t>["AltasHoras"]</t>
  </si>
  <si>
    <t>[{"duration":60760,"video_url":"https://video.twimg.com/amplify_video/1867726608989134848/vid/avc1/1280x720/SBJuXgujyjGDdJns.mp4?tag=14"}]</t>
  </si>
  <si>
    <t>nyp███</t>
  </si>
  <si>
    <t>New███rk ███t</t>
  </si>
  <si>
    <t>Tedy Bruschi dumbfounded by Bill Belichick’s move to college: ‘What are we doing here?’</t>
  </si>
  <si>
    <t>"2024-12-16T02:03:14.000Z"</t>
  </si>
  <si>
    <t>["https://pbs.twimg.com/media/Ge4p4xlWgAABNsZ.jpg"]</t>
  </si>
  <si>
    <t>https://x.com/nypost/status/1868476952874537190</t>
  </si>
  <si>
    <t>https://trib.al/Wi6IWyb</t>
  </si>
  <si>
    <t>Breaking news &amp; features from The New York Post. Follow your favorite sections: @pagesix, @nypmetro, @nypostbiz, @nypostsports, @nypfashion, @nypostopinion</t>
  </si>
  <si>
    <t>https://pbs.twimg.com/profile_images/966372680306868224/60wfGe9e_normal.jpg</t>
  </si>
  <si>
    <t>Expert fears drones are a smokescreen by a foreign power: ‘We could very well get hit’</t>
  </si>
  <si>
    <t>"2024-12-15T18:11:14.000Z"</t>
  </si>
  <si>
    <t>["https://pbs.twimg.com/media/Ge292hZXwAAJE-4.jpg"]</t>
  </si>
  <si>
    <t>https://x.com/nypost/status/1868358167563837618</t>
  </si>
  <si>
    <t>https://trib.al/6ovBmSj</t>
  </si>
  <si>
    <t>Mitt Romney says Dems lost their base thanks to Bernie and Liz Warren: ‘I don’t know how they recover’</t>
  </si>
  <si>
    <t>"2024-12-15T17:35:47.000Z"</t>
  </si>
  <si>
    <t>["https://pbs.twimg.com/media/Ge21vTxXcAATAyp.jpg"]</t>
  </si>
  <si>
    <t>https://x.com/nypost/status/1868349247340290132</t>
  </si>
  <si>
    <t>https://trib.al/RvUNski</t>
  </si>
  <si>
    <t>MTA bus passenger shot as bullet rips through windshield, misses driver</t>
  </si>
  <si>
    <t>"2024-12-15T17:05:48.000Z"</t>
  </si>
  <si>
    <t>["https://pbs.twimg.com/media/Ge2u4KnWkAARm4G.jpg"]</t>
  </si>
  <si>
    <t>https://x.com/nypost/status/1868341702835962072</t>
  </si>
  <si>
    <t>https://trib.al/gMh239d</t>
  </si>
  <si>
    <t>Feds to deploy high-tech system to NY as drone swarms have experts baffled</t>
  </si>
  <si>
    <t>"2024-12-15T16:42:02.000Z"</t>
  </si>
  <si>
    <t>["https://pbs.twimg.com/media/Ge2pb5bWYAAiLKR.jpg"]</t>
  </si>
  <si>
    <t>https://x.com/nypost/status/1868335720282067089</t>
  </si>
  <si>
    <t>https://trib.al/pFgPJVJ</t>
  </si>
  <si>
    <t>Candace Owens named ‘Antisemite of the Year’ by StopAntisemitism: ‘Poisonous hater’</t>
  </si>
  <si>
    <t>"2024-12-15T15:50:50.000Z"</t>
  </si>
  <si>
    <t>["https://pbs.twimg.com/media/Ge2dt4jXQAAxSmz.jpg"]</t>
  </si>
  <si>
    <t>https://x.com/nypost/status/1868322834675568863</t>
  </si>
  <si>
    <t>https://trib.al/3nQQoOy</t>
  </si>
  <si>
    <t>Jets to interview Jon Robinson, ESPN’s Louis Riddick for GM job</t>
  </si>
  <si>
    <t>"2024-12-15T14:19:47.000Z"</t>
  </si>
  <si>
    <t>["https://pbs.twimg.com/media/Ge2I4UxXoAAZunV.jpg"]</t>
  </si>
  <si>
    <t>https://x.com/nypost/status/1868299924191813930</t>
  </si>
  <si>
    <t>https://trib.al/NIy8kB8</t>
  </si>
  <si>
    <t>NJ senator says feds are too ‘fearful’ of public reaction to tell the truth about mysterious drones</t>
  </si>
  <si>
    <t>"2024-12-15T13:33:12.000Z"</t>
  </si>
  <si>
    <t>["https://pbs.twimg.com/media/Ge1-Nu4WEAAr4kM.jpg"]</t>
  </si>
  <si>
    <t>https://x.com/nypost/status/1868288197479817263</t>
  </si>
  <si>
    <t>https://trib.al/kTJyxJW</t>
  </si>
  <si>
    <t>How to watch the ‘Yellowstone’ series finale: Start time and what to know</t>
  </si>
  <si>
    <t>"2024-12-15T12:02:48.000Z"</t>
  </si>
  <si>
    <t>["https://pbs.twimg.com/media/Ge1phjeX0AAFE5P.jpg"]</t>
  </si>
  <si>
    <t>https://x.com/nypost/status/1868265448376058170</t>
  </si>
  <si>
    <t>https://trib.al/V4DNPGD</t>
  </si>
  <si>
    <t>Finance expert, son of Florida judge accused of sucker-punching NYC eye doc, 2 health-care staffers in NJ</t>
  </si>
  <si>
    <t>"2024-12-15T11:02:22.000Z"</t>
  </si>
  <si>
    <t>["https://pbs.twimg.com/media/Ge1bsa3XUAAWCGh.jpg"]</t>
  </si>
  <si>
    <t>https://x.com/nypost/status/1868250241608098117</t>
  </si>
  <si>
    <t>https://trib.al/C5Aw89J</t>
  </si>
  <si>
    <t>UK cop who filmed solo sex act at work while in uniform is banned from force</t>
  </si>
  <si>
    <t>"2024-12-15T06:17:40.000Z"</t>
  </si>
  <si>
    <t>["https://pbs.twimg.com/media/Ge0aiCGXwAAYk3W.jpg"]</t>
  </si>
  <si>
    <t>https://x.com/nypost/status/1868178594943431110</t>
  </si>
  <si>
    <t>https://trib.al/BO8CYj4</t>
  </si>
  <si>
    <t>Dad diagnosed with tongue cancer after wife noticed ‘uneven’ face</t>
  </si>
  <si>
    <t>"2024-12-15T05:24:25.000Z"</t>
  </si>
  <si>
    <t>["https://pbs.twimg.com/media/Ge0OWBhWkAADyws.jpg"]</t>
  </si>
  <si>
    <t>https://x.com/nypost/status/1868165194930680016</t>
  </si>
  <si>
    <t>https://trib.al/2vtrcTI</t>
  </si>
  <si>
    <t>Navy upsets No. 22 Army with dominant win thanks to huge day from Blake Horvath</t>
  </si>
  <si>
    <t>"2024-12-15T00:03:22.000Z"</t>
  </si>
  <si>
    <t>["https://pbs.twimg.com/media/GezE2-PWkAAK-gg.jpg"]</t>
  </si>
  <si>
    <t>https://x.com/nypost/status/1868084396655263960</t>
  </si>
  <si>
    <t>https://trib.al/VSVSJY9</t>
  </si>
  <si>
    <t>Adams’ top aide Ingrid Lewis-Martin expected to be indicted as probes swirl: sources</t>
  </si>
  <si>
    <t>"2024-12-15T22:26:09.000Z"</t>
  </si>
  <si>
    <t>["https://pbs.twimg.com/media/Ge34MxzWwAAdfhl.jpg"]</t>
  </si>
  <si>
    <t>https://x.com/nypost/status/1868422321607774264</t>
  </si>
  <si>
    <t>https://trib.al/s3FquAQ</t>
  </si>
  <si>
    <t>MTA’s pop-up store sells MetroCard machines and other strange items — but buyers have to act fast</t>
  </si>
  <si>
    <t>"2024-12-15T21:40:23.000Z"</t>
  </si>
  <si>
    <t>["https://pbs.twimg.com/media/Ge3tuZgXsAAO7xp.jpg"]</t>
  </si>
  <si>
    <t>https://x.com/nypost/status/1868410804594155593</t>
  </si>
  <si>
    <t>https://trib.al/OhtugZC</t>
  </si>
  <si>
    <t>Throuple reveals how they handle ‘awkward’ Christmas dinners with their families</t>
  </si>
  <si>
    <t>"2024-12-15T20:44:00.000Z"</t>
  </si>
  <si>
    <t>["https://pbs.twimg.com/media/Ge3g0WhWQAALUBf.jpg"]</t>
  </si>
  <si>
    <t>https://x.com/nypost/status/1868396613141426686</t>
  </si>
  <si>
    <t>https://trib.al/Z8CsTDQ</t>
  </si>
  <si>
    <t>Elon Musk’s mom praises Dems for warming up to new Trump admin agency DOGE: Waste is ‘out of control’</t>
  </si>
  <si>
    <t>"2024-12-15T19:00:30.000Z"</t>
  </si>
  <si>
    <t>["https://pbs.twimg.com/media/Ge3JIMCXYAA3sy3.jpg"]</t>
  </si>
  <si>
    <t>https://x.com/nypost/status/1868370565574070695</t>
  </si>
  <si>
    <t>https://trib.al/1dCQype</t>
  </si>
  <si>
    <t>YouTube singer arrested in Iran after performing online concert while not wearing hijab</t>
  </si>
  <si>
    <t>"2024-12-15T18:29:58.000Z"</t>
  </si>
  <si>
    <t>["https://pbs.twimg.com/media/Ge3CJGxWIAASBvK.jpg"]</t>
  </si>
  <si>
    <t>https://x.com/nypost/status/1868362884499055046</t>
  </si>
  <si>
    <t>https://trib.al/pBQWpeP</t>
  </si>
  <si>
    <t>King Charles is ‘furious’ with Prince Andrew over Chinese spy drama that ‘looks bad’ for royal family</t>
  </si>
  <si>
    <t>"2024-12-15T18:56:00.000Z"</t>
  </si>
  <si>
    <t>["https://pbs.twimg.com/media/Ge3IGeEXEAADk9D.jpg"]</t>
  </si>
  <si>
    <t>https://x.com/nypost/status/1868369435943116921</t>
  </si>
  <si>
    <t>https://trib.al/b5YelMw</t>
  </si>
  <si>
    <t>"2024-12-15T17:16:47.000Z"</t>
  </si>
  <si>
    <t>["https://pbs.twimg.com/media/Ge2xZA6XUAA-X5I.jpg"]</t>
  </si>
  <si>
    <t>https://x.com/nypost/status/1868344466114830396</t>
  </si>
  <si>
    <t>https://trib.al/eMUVtHk</t>
  </si>
  <si>
    <t>Family living on sailboat plan to spend minimalist Christmas at sea with fresh fish, seashell gifts</t>
  </si>
  <si>
    <t>"2024-12-15T15:09:02.000Z"</t>
  </si>
  <si>
    <t>["https://pbs.twimg.com/media/Ge2UJuwX0AAz1cR.jpg"]</t>
  </si>
  <si>
    <t>https://x.com/nypost/status/1868312318372712553</t>
  </si>
  <si>
    <t>https://trib.al/l0G3z0t</t>
  </si>
  <si>
    <t>Quentin Tarantino compares ‘Yellowstone’ to ‘a soap opera’ with no ‘payoff’</t>
  </si>
  <si>
    <t>"2024-12-15T14:29:15.000Z"</t>
  </si>
  <si>
    <t>["https://pbs.twimg.com/media/Ge2LC5pX0AA5O3t.jpg"]</t>
  </si>
  <si>
    <t>https://x.com/nypost/status/1868302304966762777</t>
  </si>
  <si>
    <t>https://trib.al/GjndqyE</t>
  </si>
  <si>
    <t>Hooligans terrorize motorists, target car with baby on board in chaotic Florida street takeover</t>
  </si>
  <si>
    <t>"2024-12-15T03:04:06.000Z"</t>
  </si>
  <si>
    <t>["https://pbs.twimg.com/media/GezuOdiXgAEJC26.jpg"]</t>
  </si>
  <si>
    <t>https://x.com/nypost/status/1868129879864062233</t>
  </si>
  <si>
    <t>https://trib.al/gUxWaod</t>
  </si>
  <si>
    <t>Bill Belichick receives roaring ovation during North Carolina basketball game</t>
  </si>
  <si>
    <t>"2024-12-15T01:46:24.000Z"</t>
  </si>
  <si>
    <t>["https://pbs.twimg.com/media/GezccSiWAAAgX5Q.jpg"]</t>
  </si>
  <si>
    <t>https://x.com/nypost/status/1868110326291427583</t>
  </si>
  <si>
    <t>https://trib.al/PUygBLP</t>
  </si>
  <si>
    <t>Cha███rli███24</t>
  </si>
  <si>
    <t>Mac███ham███lin███</t>
  </si>
  <si>
    <t>What a morning, was called by my HS Coach &amp;amp; learned ⁦I was named the 2024 Ohio HS softball catcher of the year!! Thank you ⁦@JohnnyBench_5⁩ #hardworkpaysoff ⁦@coach_crowell⁩ ⁦@mysha_sataraka⁩ ⁦@ABaggetta⁩ ⁦@lexxx_20⁩ ⁦</t>
  </si>
  <si>
    <t>"2024-06-27T01:36:35.000Z"</t>
  </si>
  <si>
    <t>https://x.com/Chamberlin2024/status/1806139531093258466</t>
  </si>
  <si>
    <t>[{"biography":null,"followers":null,"following":null,"is_verified":null,"profile_id":"267560004","profile_name":"Johnny Bench","url":"https://x.com/JohnnyBench_5"},{"biography":null,"followers":null,"following":null,"is_verified":null,"profile_id":"262428933","profile_name":"Clarisa Crowell","url":"https://x.com/coach_crowell"},{"biography":null,"followers":null,"following":null,"is_verified":null,"profile_id":"1345141729456885761","profile_name":"Mysha Sataraka","url":"https://x.com/mysha_sataraka"},{"biography":null,"followers":null,"following":null,"is_verified":null,"profile_id":"41133192","profile_name":"Adrianna Baggetta","url":"https://x.com/ABaggetta"},{"biography":null,"followers":null,"following":null,"is_verified":null,"profile_id":"1482112652","profile_name":"Alexis Gallagher","url":"https://x.com/lexxx_20"}]</t>
  </si>
  <si>
    <t>https://www.mlb.com/press-release/2024-johnny-bench-awards-winners?partnerID=web_article-share</t>
  </si>
  <si>
    <t>["hardworkpaysoff"]</t>
  </si>
  <si>
    <t>Penn State Softball 🦁 💙 Class of 2028</t>
  </si>
  <si>
    <t>https://pbs.twimg.com/profile_images/1709288037635575808/IFUcCq74_normal.jpg</t>
  </si>
  <si>
    <t>["https://pbs.twimg.com/card_img/1866910384784896001/3vnhde_7?format=jpg&amp;name=orig"]</t>
  </si>
  <si>
    <t>Homeland Security chief Mayorkas blames drone uproar on recent FAA flight-rule change</t>
  </si>
  <si>
    <t>"2024-12-15T22:54:11.000Z"</t>
  </si>
  <si>
    <t>["https://pbs.twimg.com/media/Ge3-naNXwAA9nF2.jpg"]</t>
  </si>
  <si>
    <t>https://x.com/nypost/status/1868429375764308329</t>
  </si>
  <si>
    <t>https://trib.al/AZdP8k6</t>
  </si>
  <si>
    <t>Isaiah Simmons lauds Shedeur Sanders’ ability to ‘transform things’ if Giants draft him</t>
  </si>
  <si>
    <t>"2024-12-15T23:38:24.000Z"</t>
  </si>
  <si>
    <t>["https://pbs.twimg.com/media/Ge4IvDEWYAAX_qN.jpg"]</t>
  </si>
  <si>
    <t>https://x.com/nypost/status/1868440501860413557</t>
  </si>
  <si>
    <t>https://trib.al/J8fmwsb</t>
  </si>
  <si>
    <t>The change Paige Spiranac looks to make to posts in new year after ‘overthinking’ things in 2024</t>
  </si>
  <si>
    <t>"2024-12-15T22:06:31.000Z"</t>
  </si>
  <si>
    <t>["https://pbs.twimg.com/media/Ge3ztNbXEAAoTo0.jpg"]</t>
  </si>
  <si>
    <t>https://x.com/nypost/status/1868417381015458091</t>
  </si>
  <si>
    <t>https://trib.al/72l8XGF</t>
  </si>
  <si>
    <t>Former MLB star and Yankees World Series hero Johnny Damon recalls hate he received over Donald Trump friendship: ‘Just can not understand that’</t>
  </si>
  <si>
    <t>"2024-12-15T20:17:51.000Z"</t>
  </si>
  <si>
    <t>["https://pbs.twimg.com/media/Ge3a1VIWcAABT9b.jpg"]</t>
  </si>
  <si>
    <t>https://x.com/nypost/status/1868390033058680957</t>
  </si>
  <si>
    <t>https://trib.al/q0uphNe</t>
  </si>
  <si>
    <t>Aaron Rodgers, Davante Adams turn back the clock as Jets get rare win over Jaguars</t>
  </si>
  <si>
    <t>"2024-12-15T21:30:51.000Z"</t>
  </si>
  <si>
    <t>["https://pbs.twimg.com/media/Ge3rityXgAAvMWL.jpg"]</t>
  </si>
  <si>
    <t>https://x.com/nypost/status/1868408404303118558</t>
  </si>
  <si>
    <t>https://trib.al/4Zeog0g</t>
  </si>
  <si>
    <t>Sydney Sweeney calls out body shamers by exposing cruel comments, posting workout montage</t>
  </si>
  <si>
    <t>"2024-12-15T16:56:06.000Z"</t>
  </si>
  <si>
    <t>["https://pbs.twimg.com/media/Ge2sp8cWEAAuFUy.jpg"]</t>
  </si>
  <si>
    <t>https://x.com/nypost/status/1868339259402224029</t>
  </si>
  <si>
    <t>https://trib.al/fLk9hrZ</t>
  </si>
  <si>
    <t>Scientists warn against ‘unthinkable’ deep sea mining plans that will ‘destroy’ ocean: ‘No recovery’</t>
  </si>
  <si>
    <t>"2024-12-15T15:55:38.000Z"</t>
  </si>
  <si>
    <t>["https://pbs.twimg.com/media/Ge2e0NcXwAAR5kM.jpg"]</t>
  </si>
  <si>
    <t>https://x.com/nypost/status/1868324042387706017</t>
  </si>
  <si>
    <t>https://trib.al/JdjzbeK</t>
  </si>
  <si>
    <t>Storms across US bring heavy snow in NY, dangerous ice and a tornado in California</t>
  </si>
  <si>
    <t>"2024-12-15T10:11:47.000Z"</t>
  </si>
  <si>
    <t>["https://pbs.twimg.com/media/Ge1QHZFXcAETy8r.jpg"]</t>
  </si>
  <si>
    <t>https://x.com/nypost/status/1868237510565929190</t>
  </si>
  <si>
    <t>https://trib.al/UrLJjhe</t>
  </si>
  <si>
    <t>Ex-CIA staffer offers ‘unsettling’ theory behind drones as feds dismiss concerns as ‘overreaction’</t>
  </si>
  <si>
    <t>"2024-12-15T05:47:57.000Z"</t>
  </si>
  <si>
    <t>["https://pbs.twimg.com/media/Ge0Tuj2XYAAj3Jr.jpg"]</t>
  </si>
  <si>
    <t>https://x.com/nypost/status/1868171114037293324</t>
  </si>
  <si>
    <t>https://trib.al/3t8qXIr</t>
  </si>
  <si>
    <t>Inside the new beachfront Drone Command Center monitoring New Jersey’s skies</t>
  </si>
  <si>
    <t>"2024-12-15T00:17:39.000Z"</t>
  </si>
  <si>
    <t>["https://pbs.twimg.com/media/GezIIYIWsAAJ416.jpg"]</t>
  </si>
  <si>
    <t>https://x.com/nypost/status/1868087994508304821</t>
  </si>
  <si>
    <t>https://trib.al/lpiuepx</t>
  </si>
  <si>
    <t>Elderly straphanger injured in random Herald Square subway shove</t>
  </si>
  <si>
    <t>"2024-12-15T22:42:17.000Z"</t>
  </si>
  <si>
    <t>["https://pbs.twimg.com/media/Ge375BfWMAACclX.jpg"]</t>
  </si>
  <si>
    <t>https://x.com/nypost/status/1868426380146245785</t>
  </si>
  <si>
    <t>https://trib.al/qgAo9GB</t>
  </si>
  <si>
    <t>Man tried to return overdue book 50 years late — but the library wasn’t buying it</t>
  </si>
  <si>
    <t>"2024-12-15T23:54:29.000Z"</t>
  </si>
  <si>
    <t>["https://pbs.twimg.com/media/Ge4MarVXkAAoUvW.jpg"]</t>
  </si>
  <si>
    <t>https://x.com/nypost/status/1868444550315848013</t>
  </si>
  <si>
    <t>https://trib.al/Eobfpyv</t>
  </si>
  <si>
    <t>Charlamagne tha God gives reality check to people celebrating UnitedHealthcare CEO’s killing: ‘Why are you happy’</t>
  </si>
  <si>
    <t>"2024-12-15T21:57:11.000Z"</t>
  </si>
  <si>
    <t>["https://pbs.twimg.com/media/Ge3xke3XMAAk9V5.jpg"]</t>
  </si>
  <si>
    <t>https://x.com/nypost/status/1868415032121311531</t>
  </si>
  <si>
    <t>https://trib.al/0WDtwGt</t>
  </si>
  <si>
    <t>Mayorkas blames drone uproar on recent FAA flight-rule change: ‘We know of no foreign involvement’</t>
  </si>
  <si>
    <t>"2024-12-15T21:42:43.000Z"</t>
  </si>
  <si>
    <t>["https://pbs.twimg.com/media/Ge3uQclXQAA97aU.jpg"]</t>
  </si>
  <si>
    <t>https://x.com/nypost/status/1868411389250875520</t>
  </si>
  <si>
    <t>https://trib.al/2cyczVO</t>
  </si>
  <si>
    <t>NY pol issues challenge to White House over ‘unsettling’ drone mystery: ‘Completely unacceptable</t>
  </si>
  <si>
    <t>"2024-12-15T21:16:34.000Z"</t>
  </si>
  <si>
    <t>["https://pbs.twimg.com/media/Ge3oRgAWUAAgnW2.jpg"]</t>
  </si>
  <si>
    <t>https://x.com/nypost/status/1868404810543747264</t>
  </si>
  <si>
    <t>https://trib.al/he4sTnA</t>
  </si>
  <si>
    <t>Socialist clothing company founder creating ‘most wanted CEOs’ playing cards in wake of UnitedHealthcare shooting</t>
  </si>
  <si>
    <t>"2024-12-15T21:09:32.000Z"</t>
  </si>
  <si>
    <t>["https://pbs.twimg.com/media/Ge3mqeFWMAAf_wZ.jpg"]</t>
  </si>
  <si>
    <t>https://x.com/nypost/status/1868403040438403569</t>
  </si>
  <si>
    <t>https://trib.al/lwJrQEG</t>
  </si>
  <si>
    <t>Caitlin Clark’s brother appears to respond to Mystics co-owner’s criticism of Time cover</t>
  </si>
  <si>
    <t>"2024-12-16T00:36:52.000Z"</t>
  </si>
  <si>
    <t>["https://pbs.twimg.com/media/Ge4WHaSXEAACuhb.jpg"]</t>
  </si>
  <si>
    <t>https://x.com/nypost/status/1868455214564466874</t>
  </si>
  <si>
    <t>https://trib.al/sKZpt2Q</t>
  </si>
  <si>
    <t>Taylor Swift appears to skip Travis Kelce’s Chiefs game vs. Browns in his native Ohio</t>
  </si>
  <si>
    <t>"2024-12-15T18:20:33.000Z"</t>
  </si>
  <si>
    <t>["https://pbs.twimg.com/media/Ge2_--LXYAARMjR.jpg"]</t>
  </si>
  <si>
    <t>https://x.com/nypost/status/1868360512683000305</t>
  </si>
  <si>
    <t>https://trib.al/axoRgb5</t>
  </si>
  <si>
    <t>Bill Belichick showered with odd ‘Eagles’ chant at UNC basketball game</t>
  </si>
  <si>
    <t>"2024-12-15T17:22:04.000Z"</t>
  </si>
  <si>
    <t>["https://pbs.twimg.com/media/Ge2ymOxWoAAWhh8.jpg"]</t>
  </si>
  <si>
    <t>https://x.com/nypost/status/1868345793863655799</t>
  </si>
  <si>
    <t>https://trib.al/SCSID8J</t>
  </si>
  <si>
    <t>Miserable Browns running it back with $230 million bust Deshaun Watson in 2025</t>
  </si>
  <si>
    <t>"2024-12-15T15:46:15.000Z"</t>
  </si>
  <si>
    <t>["https://pbs.twimg.com/media/Ge2cqykXIAA1Gre.jpg"]</t>
  </si>
  <si>
    <t>https://x.com/nypost/status/1868321681825042559</t>
  </si>
  <si>
    <t>https://trib.al/WPsLV64</t>
  </si>
  <si>
    <t>Pollster Ann Selzer hits back at criticisms over infamous Iowa survey: ‘They are accusing me of a crime’</t>
  </si>
  <si>
    <t>"2024-12-15T20:10:58.000Z"</t>
  </si>
  <si>
    <t>["https://pbs.twimg.com/media/Ge3ZQjrXgAA2Puq.jpg"]</t>
  </si>
  <si>
    <t>https://x.com/nypost/status/1868388301167563217</t>
  </si>
  <si>
    <t>https://trib.al/ydCwnlD</t>
  </si>
  <si>
    <t>Waiter fired after comments about refusing service to some Trump officials</t>
  </si>
  <si>
    <t>"2024-12-15T00:52:58.000Z"</t>
  </si>
  <si>
    <t>["https://pbs.twimg.com/media/GezQNmUXkAAU3My.jpg"]</t>
  </si>
  <si>
    <t>https://x.com/nypost/status/1868096879621288402</t>
  </si>
  <si>
    <t>https://trib.al/8u53AcQ</t>
  </si>
  <si>
    <t>Dim███r</t>
  </si>
  <si>
    <t>DIM███R</t>
  </si>
  <si>
    <t>¡𝗟𝗶𝘀𝘁𝗼𝘀 𝗹𝗼𝘀 𝗳𝗶𝗻𝗮𝗹𝗶𝘀𝘁𝗮𝘀! ¿𝗤𝘂𝗶𝗲́𝗻 𝘀𝗲𝗿𝗮́ 𝗲𝗹 𝗰𝗮𝗺𝗽𝗲𝗼́𝗻 𝗱𝗲𝗹 𝘀𝗲𝗴𝘂𝗻𝗱𝗼 𝘀𝗲𝗺𝗲𝘀𝘁𝗿𝗲? 🤩👏
📸 Revive los mejores momentos de la Fecha 6 de la #LigaBetPlayDIMAYOR II-2024 en nuestra #GaleríaEspecial
#LaPasiónDeMillones</t>
  </si>
  <si>
    <t>"2024-12-09T03:35:57.000Z"</t>
  </si>
  <si>
    <t>["https://pbs.twimg.com/media/GeU7-bzXgAAracO.jpg","https://pbs.twimg.com/media/GeU7-iAXcAAJvMh.jpg","https://pbs.twimg.com/media/GeU7-fzWsAAPoEY.jpg","https://pbs.twimg.com/media/GeU7-k5WsAAR32n.jpg"]</t>
  </si>
  <si>
    <t>https://x.com/Dimayor/status/1865963569885462646</t>
  </si>
  <si>
    <t>["LigaBetPlayDIMAYOR","GaleríaEspecial","LaPasiónDeMillones"]</t>
  </si>
  <si>
    <t>Cuenta oficial de la División Mayor del Fútbol Colombiano - 𝐃𝐈𝐌𝐀𝐘𝐎𝐑 || LigaBetPlay🏆LigaFemeninaBetPlay🏆 TorneoBetPlay🏆 CopaBetPlay🏆 || 𝟐𝟎𝟐𝟒 ||</t>
  </si>
  <si>
    <t>https://pbs.twimg.com/profile_images/1741738883782500353/WefLAabU_normal.jpg</t>
  </si>
  <si>
    <t>Thank you @JohnnyBench_5 for a great day! It’s an honor to win such a prestigious award!
#benchawards</t>
  </si>
  <si>
    <t>"2024-07-31T03:18:21.000Z"</t>
  </si>
  <si>
    <t>["https://pbs.twimg.com/media/GTyPrBXWQAAPs9O.jpg"]</t>
  </si>
  <si>
    <t>https://x.com/Chamberlin2024/status/1818486327991468033</t>
  </si>
  <si>
    <t>[{"biography":null,"followers":null,"following":null,"is_verified":null,"profile_id":"267560004","profile_name":"Johnny Bench","url":"https://x.com/JohnnyBench_5"}]</t>
  </si>
  <si>
    <t>["benchawards"]</t>
  </si>
  <si>
    <t>Dunkin’s Staten Island Ferry snack bar aims for ‘end of year’ grand opening — sans alcohol</t>
  </si>
  <si>
    <t>"2024-12-16T00:13:11.000Z"</t>
  </si>
  <si>
    <t>["https://pbs.twimg.com/media/Ge4Qsh2XIAApO0z.jpg"]</t>
  </si>
  <si>
    <t>https://x.com/nypost/status/1868449254705954914</t>
  </si>
  <si>
    <t>https://trib.al/PquLCC0</t>
  </si>
  <si>
    <t>Israeli jets obliterate Syrian weapon stockpiles in devastating weekend blitz</t>
  </si>
  <si>
    <t>"2024-12-15T22:28:19.000Z"</t>
  </si>
  <si>
    <t>["https://pbs.twimg.com/media/Ge34skcX0AA0QfR.jpg"]</t>
  </si>
  <si>
    <t>https://x.com/nypost/status/1868422867936817160</t>
  </si>
  <si>
    <t>https://trib.al/4sTpJoq</t>
  </si>
  <si>
    <t>Did Bill Belichick Just Miss Out on the Jets Job Opportunity?</t>
  </si>
  <si>
    <t>"2024-12-15T23:59:05.000Z"</t>
  </si>
  <si>
    <t>["https://pbs.twimg.com/media/Ge4NeDrXEAEg-SX.jpg"]</t>
  </si>
  <si>
    <t>https://x.com/nypost/status/1868445708199596198</t>
  </si>
  <si>
    <t>https://trib.al/c2ewFJA</t>
  </si>
  <si>
    <t>‘Kraven the Hunter’ flops while ‘Moana 2’ tops the box office again</t>
  </si>
  <si>
    <t>"2024-12-15T22:01:46.000Z"</t>
  </si>
  <si>
    <t>["https://pbs.twimg.com/media/Ge3ynnhXoAA5LCB.jpg"]</t>
  </si>
  <si>
    <t>https://x.com/nypost/status/1868416186024640976</t>
  </si>
  <si>
    <t>https://trib.al/Mn9ejYa</t>
  </si>
  <si>
    <t>Chris Christie says drones flew over his NJ home, too — and rips DHS chief Mayorkas for claiming nothing ‘unusual’: ‘It’s just wrong!’</t>
  </si>
  <si>
    <t>"2024-12-15T20:32:01.000Z"</t>
  </si>
  <si>
    <t>["https://pbs.twimg.com/media/Ge3eE3lXcAAv9u7.jpg"]</t>
  </si>
  <si>
    <t>https://x.com/nypost/status/1868393598422548766</t>
  </si>
  <si>
    <t>https://trib.al/HRGTmTa</t>
  </si>
  <si>
    <t>Indiana girl, 8, receives lifesaving heart transplant just in time for the holidays</t>
  </si>
  <si>
    <t>"2024-12-16T00:34:29.000Z"</t>
  </si>
  <si>
    <t>["https://pbs.twimg.com/media/Ge4VkmaXEAA6t22.jpg"]</t>
  </si>
  <si>
    <t>https://x.com/nypost/status/1868454617215836520</t>
  </si>
  <si>
    <t>https://trib.al/yW7bwss</t>
  </si>
  <si>
    <t>Bernie Sanders warns of ‘dangerous’ precedent from Biden’s ‘very wide open’ pardon of son Hunter</t>
  </si>
  <si>
    <t>"2024-12-15T19:43:14.000Z"</t>
  </si>
  <si>
    <t>["https://pbs.twimg.com/media/Ge3S6SXXkAAq--4.jpg"]</t>
  </si>
  <si>
    <t>https://x.com/nypost/status/1868381322382569729</t>
  </si>
  <si>
    <t>https://trib.al/BgHZ9HQ</t>
  </si>
  <si>
    <t>2 men arrested after manning ‘hazardous drone operation’ near Boston’s Logan Airport</t>
  </si>
  <si>
    <t>"2024-12-16T02:45:29.000Z"</t>
  </si>
  <si>
    <t>["https://pbs.twimg.com/media/Ge4zjk0XMAAX2nq.jpg"]</t>
  </si>
  <si>
    <t>https://x.com/nypost/status/1868487583929401721</t>
  </si>
  <si>
    <t>https://trib.al/tywutam</t>
  </si>
  <si>
    <t>Three women found dead in home in grisly Ohio mystery</t>
  </si>
  <si>
    <t>"2024-12-15T18:06:24.000Z"</t>
  </si>
  <si>
    <t>["https://pbs.twimg.com/media/Ge28v1YWYAA1b5v.jpg"]</t>
  </si>
  <si>
    <t>https://x.com/nypost/status/1868356953056878762</t>
  </si>
  <si>
    <t>https://trib.al/342b3VC</t>
  </si>
  <si>
    <t>Tim Walz thought his lack of wealth was ‘real flex’ against Trump: ‘How in the world did we lose to a billionaire?</t>
  </si>
  <si>
    <t>"2024-12-15T15:02:10.000Z"</t>
  </si>
  <si>
    <t>["https://pbs.twimg.com/media/Ge2SlKaW0AAakpP.jpg"]</t>
  </si>
  <si>
    <t>https://x.com/nypost/status/1868310589950263764</t>
  </si>
  <si>
    <t>https://trib.al/8wSQE2D</t>
  </si>
  <si>
    <t>Jets vs. Jaguars: Preview, prediction, what to watch for</t>
  </si>
  <si>
    <t>"2024-12-15T12:16:53.000Z"</t>
  </si>
  <si>
    <t>["https://pbs.twimg.com/media/Ge1swB8WgAA7DcW.jpg"]</t>
  </si>
  <si>
    <t>https://x.com/nypost/status/1868268995410903307</t>
  </si>
  <si>
    <t>https://trib.al/83Xq295</t>
  </si>
  <si>
    <t>Cops in one of America’s most remote states beg for feds’ help over Tren de Aragua infiltration</t>
  </si>
  <si>
    <t>"2024-12-15T17:10:13.000Z"</t>
  </si>
  <si>
    <t>["https://pbs.twimg.com/media/Ge2v45nXgAAl4S0.jpg"]</t>
  </si>
  <si>
    <t>https://x.com/nypost/status/1868342814670537183</t>
  </si>
  <si>
    <t>https://trib.al/PxXjD3a</t>
  </si>
  <si>
    <t>Car decked out in Christmas lights pulled over by cops as they warn against showy stunt</t>
  </si>
  <si>
    <t>"2024-12-15T04:49:47.000Z"</t>
  </si>
  <si>
    <t>["https://pbs.twimg.com/media/Ge0GalGXEAAk3sR.jpg"]</t>
  </si>
  <si>
    <t>https://x.com/nypost/status/1868156476767850624</t>
  </si>
  <si>
    <t>https://trib.al/Na1ET8B</t>
  </si>
  <si>
    <t>Travis Hunter wins Heisman Trophy as rare two-way star</t>
  </si>
  <si>
    <t>"2024-12-15T02:03:26.000Z"</t>
  </si>
  <si>
    <t>["https://pbs.twimg.com/media/GezgVyiWsAAjlFj.jpg"]</t>
  </si>
  <si>
    <t>https://x.com/nypost/status/1868114612807229736</t>
  </si>
  <si>
    <t>https://trib.al/e9GsCZx</t>
  </si>
  <si>
    <t>‘Yellowstone’ Season 5 series finale reveals Dutton Ranch’s fate — and ends with a major death</t>
  </si>
  <si>
    <t>"2024-12-16T03:04:00.000Z"</t>
  </si>
  <si>
    <t>["https://pbs.twimg.com/media/Ge43yxeXUAAWWAt.jpg"]</t>
  </si>
  <si>
    <t>https://x.com/nypost/status/1868492243796942930</t>
  </si>
  <si>
    <t>https://trib.al/tRqziaZ</t>
  </si>
  <si>
    <t>Macaulay Culkin considered buying $5 million ‘Home Alone’ house and turning into a ‘fun house’</t>
  </si>
  <si>
    <t>"2024-12-15T20:48:37.000Z"</t>
  </si>
  <si>
    <t>["https://pbs.twimg.com/media/Ge3h39LXMAAAXjt.jpg"]</t>
  </si>
  <si>
    <t>https://x.com/nypost/status/1868397774212886749</t>
  </si>
  <si>
    <t>https://trib.al/f9v22VE</t>
  </si>
  <si>
    <t>What is brain rot? The science behind what obsessive scrolling does to our brains</t>
  </si>
  <si>
    <t>"2024-12-15T19:31:24.000Z"</t>
  </si>
  <si>
    <t>["https://pbs.twimg.com/media/Ge3QM0bWsAEFBvO.jpg"]</t>
  </si>
  <si>
    <t>https://x.com/nypost/status/1868378341406830873</t>
  </si>
  <si>
    <t>https://trib.al/OI6oihP</t>
  </si>
  <si>
    <t>Eric Adams’ top aide Ingrid Lewis-Martin abruptly resigns in latest City Hall shakeup</t>
  </si>
  <si>
    <t>"2024-12-15T18:34:34.000Z"</t>
  </si>
  <si>
    <t>["https://pbs.twimg.com/media/Ge3DMYNWgAAcewR.jpg"]</t>
  </si>
  <si>
    <t>https://x.com/nypost/status/1868364040738594988</t>
  </si>
  <si>
    <t>https://trib.al/MCeWqJ9</t>
  </si>
  <si>
    <t>Waldorf-Astoria insists hotel will reopen in spring 2025 — despite snag with online reservations</t>
  </si>
  <si>
    <t>["https://pbs.twimg.com/media/Ge28vt9XMAAuB5-.jpg"]</t>
  </si>
  <si>
    <t>https://x.com/nypost/status/1868356950779396514</t>
  </si>
  <si>
    <t>https://trib.al/GUvVFFO</t>
  </si>
  <si>
    <t>Stop the in-Santa-ty! Army of 50 inflatable Santas take over town</t>
  </si>
  <si>
    <t>"2024-12-15T17:16:05.000Z"</t>
  </si>
  <si>
    <t>https://x.com/nypost/status/1868344287957594505</t>
  </si>
  <si>
    <t>https://trib.al/cHmEAa0</t>
  </si>
  <si>
    <t>[{"duration":60060,"video_url":"https://video.twimg.com/amplify_video/1867284991022899200/vid/avc1/1080x1920/12sikuFSlzkYM8GM.mp4?tag=16"}]</t>
  </si>
  <si>
    <t>Elon Musk, Vivek Ramaswamy point to agencies Department of Government Efficiency will trim, get ‘deleted’</t>
  </si>
  <si>
    <t>"2024-12-15T17:17:22.000Z"</t>
  </si>
  <si>
    <t>["https://pbs.twimg.com/media/Ge2xhoUWIAAW_WZ.jpg"]</t>
  </si>
  <si>
    <t>https://x.com/nypost/status/1868344614572175484</t>
  </si>
  <si>
    <t>https://trib.al/knruV60</t>
  </si>
  <si>
    <t>Dockworkers union VP commends Trump for proving him wrong: ‘Truly wants to fight for America’</t>
  </si>
  <si>
    <t>"2024-12-15T16:46:50.000Z"</t>
  </si>
  <si>
    <t>["https://pbs.twimg.com/media/Ge2qiHsXwAEII3x.jpg"]</t>
  </si>
  <si>
    <t>https://x.com/nypost/status/1868336928124211563</t>
  </si>
  <si>
    <t>https://trib.al/20eqVqP</t>
  </si>
  <si>
    <t>President-elect Donald Trump attends 2024 Army-Navy football game</t>
  </si>
  <si>
    <t>"2024-12-15T17:56:42.000Z"</t>
  </si>
  <si>
    <t>["https://pbs.twimg.com/media/Ge26htHW8AAQPRo.jpg"]</t>
  </si>
  <si>
    <t>https://x.com/nypost/status/1868354511930065242</t>
  </si>
  <si>
    <t>https://trib.al/5HYrYaR</t>
  </si>
  <si>
    <t>Billie Eilish gets hit in the face by a necklace while performing at Arizona concert</t>
  </si>
  <si>
    <t>"2024-12-15T15:34:40.000Z"</t>
  </si>
  <si>
    <t>["https://pbs.twimg.com/media/Ge2aBNPWcAA0ChZ.jpg"]</t>
  </si>
  <si>
    <t>https://x.com/nypost/status/1868318768738304042</t>
  </si>
  <si>
    <t>https://trib.al/EH1HCjo</t>
  </si>
  <si>
    <t>At least 11 dead in French territory of Mayotte as Cyclone Chido causes devastating damage</t>
  </si>
  <si>
    <t>"2024-12-15T11:37:21.000Z"</t>
  </si>
  <si>
    <t>["https://pbs.twimg.com/media/Ge1jstfW0AAkO5p.jpg"]</t>
  </si>
  <si>
    <t>https://x.com/nypost/status/1868259042780434457</t>
  </si>
  <si>
    <t>https://trib.al/mg6bSGr</t>
  </si>
  <si>
    <t>Dear Abby: My husband says I’m selfish for getting pregnant even though we planned this together</t>
  </si>
  <si>
    <t>"2024-12-15T08:02:26.000Z"</t>
  </si>
  <si>
    <t>["https://pbs.twimg.com/media/Ge0ygqOXAAATwlJ.jpg"]</t>
  </si>
  <si>
    <t>https://x.com/nypost/status/1868204959591731461</t>
  </si>
  <si>
    <t>https://trib.al/VfeiBvQ</t>
  </si>
  <si>
    <t>NJ Sen. Andy Kim goes on drone hunt with police and reveals what he saw after ‘deeper analysis’</t>
  </si>
  <si>
    <t>"2024-12-15T01:37:31.000Z"</t>
  </si>
  <si>
    <t>["https://pbs.twimg.com/media/GezaaKhWoAENP6b.jpg"]</t>
  </si>
  <si>
    <t>https://x.com/nypost/status/1868108090567975072</t>
  </si>
  <si>
    <t>https://trib.al/3B2JZFH</t>
  </si>
  <si>
    <t>Jet███tPo███</t>
  </si>
  <si>
    <t>Jet███t</t>
  </si>
  <si>
    <t>Bart Scott still believes in Breece Hall.
Do You?
#Jets #breecehall #nfl</t>
  </si>
  <si>
    <t>"2024-12-06T20:55:21.000Z"</t>
  </si>
  <si>
    <t>["https://pbs.twimg.com/media/GeJNGd1XUAAykhm.jpg"]</t>
  </si>
  <si>
    <t>https://x.com/JetCastPod/status/1865137980693770528</t>
  </si>
  <si>
    <t>["Jets","breecehall","nfl"]</t>
  </si>
  <si>
    <t>📺 The #1 New York Jets Youtube Podcast! 
🎯 Follow and Subscribe Today! 
🎙 Live Jets #xSpace Every Wednesday At 7:00 P.M. ☕️</t>
  </si>
  <si>
    <t>https://pbs.twimg.com/profile_images/1719730021646958592/yvjyeJd6_normal.jpg</t>
  </si>
  <si>
    <t>Thank you @thealliancefp for the opportunity to play with so many other great athletes!! @oakley @_tiarejennings @PLYRSCollxctive</t>
  </si>
  <si>
    <t>"2024-07-22T01:47:31.000Z"</t>
  </si>
  <si>
    <t>["https://pbs.twimg.com/media/GTDkjoAXEAA7vYg.jpg","https://pbs.twimg.com/media/GTDkjoAXgAAA3WV.jpg","https://pbs.twimg.com/media/GTDkjn-WkAE4nrb.jpg"]</t>
  </si>
  <si>
    <t>https://x.com/Chamberlin2024/status/1815201979192267033</t>
  </si>
  <si>
    <t>[{"biography":null,"followers":null,"following":null,"is_verified":null,"profile_id":"1291367288315183106","profile_name":"The Alliance Fastpitch","url":"https://x.com/thealliancefp"},{"biography":null,"followers":null,"following":null,"is_verified":null,"profile_id":"15069555","profile_name":"Oakley","url":"https://x.com/oakley"},{"biography":null,"followers":null,"following":null,"is_verified":null,"profile_id":"752177459437580289","profile_name":"Tiare Jennings","url":"https://x.com/_tiarejennings"},{"biography":null,"followers":null,"following":null,"is_verified":null,"profile_id":"1430017499139960832","profile_name":"PlayersCollxctive","url":"https://x.com/PLYRSCollxctive"}]</t>
  </si>
  <si>
    <t>[{"duration":9516,"video_url":"https://video.twimg.com/ext_tw_video/1815201950511575040/pu/vid/avc1/590x1280/unyZDzDjiuWi-nEV.mp4?tag=12"}]</t>
  </si>
  <si>
    <t>Tennessee cop killed in shootout with ‘suspicious’ gunman reported lurking around neighborhood</t>
  </si>
  <si>
    <t>"2024-12-16T01:28:11.000Z"</t>
  </si>
  <si>
    <t>["https://pbs.twimg.com/media/Ge4h3S1WcAAcLhg.jpg"]</t>
  </si>
  <si>
    <t>https://x.com/nypost/status/1868468131837911369</t>
  </si>
  <si>
    <t>https://trib.al/FsMzIgc</t>
  </si>
  <si>
    <t>Doggone it: NY pet shops banned from selling pooches, cats, rabbits starting Sunday — prompting major price cuts</t>
  </si>
  <si>
    <t>"2024-12-15T23:26:36.000Z"</t>
  </si>
  <si>
    <t>["https://pbs.twimg.com/media/Ge4GCNsXEAAbXFL.jpg"]</t>
  </si>
  <si>
    <t>https://x.com/nypost/status/1868437533161328872</t>
  </si>
  <si>
    <t>https://trib.al/QT9c6IA</t>
  </si>
  <si>
    <t>Google claims quantum chip may prove existence of parallel universes</t>
  </si>
  <si>
    <t>["https://pbs.twimg.com/media/Ge3yGyhWEAAKJPM.jpg"]</t>
  </si>
  <si>
    <t>https://x.com/nypost/status/1868415621165195519</t>
  </si>
  <si>
    <t>https://trib.al/R2zPKNT</t>
  </si>
  <si>
    <t>Jennifer Love Hewitt breaks silence on rumors she’s ‘fighting’ with Sarah Michelle Gellar</t>
  </si>
  <si>
    <t>"2024-12-15T19:45:31.000Z"</t>
  </si>
  <si>
    <t>["https://pbs.twimg.com/media/Ge3TbrzW0AA8Rcy.jpg"]</t>
  </si>
  <si>
    <t>https://x.com/nypost/status/1868381895735550282</t>
  </si>
  <si>
    <t>https://trib.al/UN9NgaE</t>
  </si>
  <si>
    <t>This oddball food combo is taking TikTok by storm</t>
  </si>
  <si>
    <t>"2024-12-15T17:42:50.000Z"</t>
  </si>
  <si>
    <t>["https://pbs.twimg.com/media/Ge23WnQXgAAU9Qq.jpg"]</t>
  </si>
  <si>
    <t>https://x.com/nypost/status/1868351021593899195</t>
  </si>
  <si>
    <t>https://trib.al/cpwwqQ2</t>
  </si>
  <si>
    <t>Police search for whoever discarded a bulldog inside a trash bag in Iowa</t>
  </si>
  <si>
    <t>"2024-12-15T17:08:02.000Z"</t>
  </si>
  <si>
    <t>["https://pbs.twimg.com/media/Ge2vYvkXsAAftL_.jpg"]</t>
  </si>
  <si>
    <t>https://x.com/nypost/status/1868342262326862330</t>
  </si>
  <si>
    <t>https://trib.al/fxAHtjF</t>
  </si>
  <si>
    <t>Face tattoo maniac sentenced to 100 years for shootings that killed 1, wounded others in Nevada, Arizona</t>
  </si>
  <si>
    <t>"2024-12-15T14:31:40.000Z"</t>
  </si>
  <si>
    <t>["https://pbs.twimg.com/media/Ge2LmVEXUAAgOAV.jpg"]</t>
  </si>
  <si>
    <t>https://x.com/nypost/status/1868302913849700762</t>
  </si>
  <si>
    <t>https://trib.al/rOCZmu8</t>
  </si>
  <si>
    <t>Jerry Springer documentary exposes ‘jaw-dropping’ secrets behind TV show that ‘ruined’ American culture</t>
  </si>
  <si>
    <t>"2024-12-15T13:47:06.000Z"</t>
  </si>
  <si>
    <t>["https://pbs.twimg.com/media/Ge2BZHeWoAAdGVU.jpg"]</t>
  </si>
  <si>
    <t>https://x.com/nypost/status/1868291695395119339</t>
  </si>
  <si>
    <t>https://trib.al/5mJaNRw</t>
  </si>
  <si>
    <t>Trump names Richard Grenell to lead presidential envoy for special missions</t>
  </si>
  <si>
    <t>"2024-12-15T02:12:48.000Z"</t>
  </si>
  <si>
    <t>["https://pbs.twimg.com/media/GezifBBXoAEuYXU.jpg"]</t>
  </si>
  <si>
    <t>https://x.com/nypost/status/1868116970085695569</t>
  </si>
  <si>
    <t>https://trib.al/MIgsYiy</t>
  </si>
  <si>
    <t>‘Last’ bagels from beloved NYC shop up for auction on eBay following sudden closure</t>
  </si>
  <si>
    <t>"2024-12-15T01:02:12.000Z"</t>
  </si>
  <si>
    <t>["https://pbs.twimg.com/media/GezSU9FXwAE-sX4.jpg"]</t>
  </si>
  <si>
    <t>https://x.com/nypost/status/1868099205627076866</t>
  </si>
  <si>
    <t>https://trib.al/sKg0xzU</t>
  </si>
  <si>
    <t>Jimmy Carter, 100, will skip Donald Trump’s inauguration, joining growing list of Dems</t>
  </si>
  <si>
    <t>"2024-12-15T00:31:36.000Z"</t>
  </si>
  <si>
    <t>["https://pbs.twimg.com/media/GezLUqBXEAAEYji.jpg"]</t>
  </si>
  <si>
    <t>https://x.com/nypost/status/1868091503387505053</t>
  </si>
  <si>
    <t>https://trib.al/OFH2keE</t>
  </si>
  <si>
    <t>Bill Belichick targeting Raiders’ Scott Turner as UNC offensive coordinator</t>
  </si>
  <si>
    <t>"2024-12-15T20:13:14.000Z"</t>
  </si>
  <si>
    <t>["https://pbs.twimg.com/media/Ge3ZxzeWwAAtOdz.jpg"]</t>
  </si>
  <si>
    <t>https://x.com/nypost/status/1868388872767304118</t>
  </si>
  <si>
    <t>https://trib.al/HxNF5ZY</t>
  </si>
  <si>
    <t>Trendy NYC neighborhood invaded by ‘Greenpoint Stink’ — and locals have savage take on promise it’ll soon smell better: ‘Biggest bulls–t’</t>
  </si>
  <si>
    <t>"2024-12-15T18:15:53.000Z"</t>
  </si>
  <si>
    <t>["https://pbs.twimg.com/media/Ge2-6z8XwAACMoE.jpg"]</t>
  </si>
  <si>
    <t>https://x.com/nypost/status/1868359340698022014</t>
  </si>
  <si>
    <t>https://trib.al/gpv1S5k</t>
  </si>
  <si>
    <t>¡Tenemos FINAL definida!🏆
Las Águilas buscarán su tercer título consecutivo; Monterrey va por la sexta estrella.🤠🆚🦅
@Rayados vs. @ClubAmerica, por el trofeo del #Apertura2024.</t>
  </si>
  <si>
    <t>"2024-12-09T03:38:17.000Z"</t>
  </si>
  <si>
    <t>["https://pbs.twimg.com/media/GeU7KodXwAAUj6j.jpg"]</t>
  </si>
  <si>
    <t>https://x.com/LigaBBVAMX/status/1865964154634358868</t>
  </si>
  <si>
    <t>[{"biography":null,"followers":null,"following":null,"is_verified":null,"profile_id":"86437426","profile_name":"Rayados","url":"https://x.com/Rayados"},{"biography":null,"followers":null,"following":null,"is_verified":null,"profile_id":"122211977","profile_name":"Club América","url":"https://x.com/ClubAmerica"}]</t>
  </si>
  <si>
    <t>["Apertura2024"]</t>
  </si>
  <si>
    <t>¡Tú eliges!
Llegó el momento de votar por lo mejor de las Semifinales del Torneo AP 24 ⚽️ ¡Participa aquí! ⬇️</t>
  </si>
  <si>
    <t>"2024-12-09T04:25:36.000Z"</t>
  </si>
  <si>
    <t>["https://pbs.twimg.com/media/GeVHR-tXUAAa8WN.jpg"]</t>
  </si>
  <si>
    <t>https://x.com/LigaBBVAMX/status/1865976062347260121</t>
  </si>
  <si>
    <t>https://bit.ly/3ZIhBS4</t>
  </si>
  <si>
    <t>["SoyFanLMX"]</t>
  </si>
  <si>
    <t>kann</t>
  </si>
  <si>
    <t>כאן</t>
  </si>
  <si>
    <t>בפודקאסט "תחושת בטן" של מתן חכימי הועלתה אפשרות שניקוטין לא כזה ממכר בהשוואה לחומרים אחרים. אז הנה עובדה שאינה תחושת בטן - זה פייק
מהצד השני @guyzo</t>
  </si>
  <si>
    <t>"2024-12-14T10:05:00.000Z"</t>
  </si>
  <si>
    <t>https://x.com/kann/status/1867873416059191510</t>
  </si>
  <si>
    <t>[{"biography":null,"followers":null,"following":null,"is_verified":null,"profile_id":"6899022","profile_name":"Guy Zohar","url":"https://x.com/guyzo"}]</t>
  </si>
  <si>
    <t>אנחנו כאן ❤️</t>
  </si>
  <si>
    <t>https://pbs.twimg.com/profile_images/1843516623740633088/WbeaAr02_normal.jpg</t>
  </si>
  <si>
    <t>[{"duration":164200,"video_url":"https://video.twimg.com/amplify_video/1867216930941140992/vid/avc1/1280x720/DhjG2d_DHjizju8A.mp4?tag=14"}]</t>
  </si>
  <si>
    <t>מחר בדו"ח רולניק: מאחורי הקלעים של משפט נתניהו
@grolnik</t>
  </si>
  <si>
    <t>"2024-12-10T14:44:00.000Z"</t>
  </si>
  <si>
    <t>https://x.com/kann/status/1866494076771795128</t>
  </si>
  <si>
    <t>[{"biography":null,"followers":null,"following":null,"is_verified":null,"profile_id":"241435654","profile_name":"Guy Rolnik","url":"https://x.com/grolnik"}]</t>
  </si>
  <si>
    <t>[{"duration":52200,"video_url":"https://video.twimg.com/amplify_video/1866468289431420928/vid/avc1/1280x720/Mg36p9DXTrAzhUpF.mp4?tag=14"}]</t>
  </si>
  <si>
    <t>איך חוזרים הביתה כשנשאבים לסדרה? 
#הסדרתיים קומדיית הרפתקאות מוזיקלית, פרק 9 כבר בחוץ עם השיר "הביתה לחזור" 
@Rereshef</t>
  </si>
  <si>
    <t>"2024-12-15T15:19:00.000Z"</t>
  </si>
  <si>
    <t>https://x.com/kann/status/1868314824322728186</t>
  </si>
  <si>
    <t>[{"biography":null,"followers":null,"following":null,"is_verified":null,"profile_id":"247253781","profile_name":"Reshef Shay","url":"https://x.com/Rereshef"}]</t>
  </si>
  <si>
    <t>["הסדרתיים"]</t>
  </si>
  <si>
    <t>[{"duration":131648,"video_url":"https://video.twimg.com/amplify_video/1868295312999157761/vid/avc1/1280x720/ph-1fdRiFv3sbm-W.mp4?tag=14"}]</t>
  </si>
  <si>
    <t>שלום, אויב
הערב נפרדים מנשיא סוריה בשאר אל-אסד בפרק של #אויבים הערב אחרי החדשות בכאן 11 ובכאן BOX</t>
  </si>
  <si>
    <t>"2024-12-08T09:59:48.000Z"</t>
  </si>
  <si>
    <t>https://x.com/kann/status/1865697778820595785</t>
  </si>
  <si>
    <t>["אויבים"]</t>
  </si>
  <si>
    <t>[{"duration":129045,"video_url":"https://video.twimg.com/amplify_video/1865681800535719936/vid/avc1/1280x720/LxGBbQulfrla-C9N.mp4?tag=14"}]</t>
  </si>
  <si>
    <t>איך נולד השיר "איפה העוגה"? משה דץ מסביר 🎂
@Kan_Tarbut</t>
  </si>
  <si>
    <t>"2024-12-06T07:04:00.000Z"</t>
  </si>
  <si>
    <t>https://x.com/kann/status/1864928762833613244</t>
  </si>
  <si>
    <t>[{"biography":null,"followers":null,"following":null,"is_verified":null,"profile_id":"881732741796069377","profile_name":"כאן תרבות","url":"https://x.com/Kan_Tarbut"}]</t>
  </si>
  <si>
    <t>[{"duration":90127,"video_url":"https://video.twimg.com/amplify_video/1863576387040448513/vid/avc1/720x1280/xCOy7NzF4t5CN6hQ.mp4?tag=14"}]</t>
  </si>
  <si>
    <t>NFL</t>
  </si>
  <si>
    <t>FINAL: The @Chiefs clinch the AFC West with another last second victory! #LACvsKC</t>
  </si>
  <si>
    <t>"2024-12-09T04:24:13.000Z"</t>
  </si>
  <si>
    <t>["https://pbs.twimg.com/media/GeVG7XxbUAAMr7x.jpg"]</t>
  </si>
  <si>
    <t>https://x.com/NFL/status/1865975715851858143</t>
  </si>
  <si>
    <t>[{"biography":null,"followers":null,"following":null,"is_verified":null,"profile_id":"33583496","profile_name":"Kansas City Chiefs","url":"https://x.com/Chiefs"}]</t>
  </si>
  <si>
    <t>["LACvsKC"]</t>
  </si>
  <si>
    <t>four weeks left to flip the standings</t>
  </si>
  <si>
    <t>https://pbs.twimg.com/profile_images/1619895559334273028/PHKS_mjX_normal.jpg</t>
  </si>
  <si>
    <t>Dep███Def███e</t>
  </si>
  <si>
    <t>Dep███men███f D█████████🇸</t>
  </si>
  <si>
    <t>For the first time in over 45 years, Marines from the 4th Marine Regiment, @3d_Marine_Div, and three of its subordinate battalions, joined together for a reunion of units’ colors, commanders and staff. 
Read more here:</t>
  </si>
  <si>
    <t>https://x.com/DeptofDefense/status/1868294945993359529</t>
  </si>
  <si>
    <t>[{"biography":null,"followers":null,"following":null,"is_verified":null,"profile_id":"1122760625283670016","profile_name":"3d Marine Division","url":"https://x.com/3d_Marine_Div"}]</t>
  </si>
  <si>
    <t>https://www.marines.mil/News/News-Display/Article/3990158/4th-marine-regiment-colors-reunification/</t>
  </si>
  <si>
    <t>Official U.S. Department of Defense Twitter account. Follow @SecDef for more from Secretary Lloyd J. Austin III.
https://t.co/yDqh6t8qhc</t>
  </si>
  <si>
    <t>https://pbs.twimg.com/profile_images/1488522079523721224/HbPgS02J_normal.png</t>
  </si>
  <si>
    <t>["https://pbs.twimg.com/card_img/1866197570621468672/tivBiA66?format=jpg&amp;name=orig"]</t>
  </si>
  <si>
    <t>שי שטרן פגש את מנדי וביתאן כדי להבין האם ההפרדה בין גברים לנשים משתלטת על ישראל
#ערב_עם_שי_שטרן, הערב אחרי החדשות בכאן 11 ובכאן BOX @mendy_gruzman @Eli_Bitan</t>
  </si>
  <si>
    <t>"2024-12-13T09:55:00.000Z"</t>
  </si>
  <si>
    <t>https://x.com/kann/status/1867508511116341567</t>
  </si>
  <si>
    <t>[{"biography":null,"followers":null,"following":null,"is_verified":null,"profile_id":"746098178","profile_name":"מענדי גרוזמן","url":"https://x.com/mendy_gruzman"},{"biography":null,"followers":null,"following":null,"is_verified":null,"profile_id":"2646424753","profile_name":"אלי ביתאן","url":"https://x.com/Eli_Bitan"}]</t>
  </si>
  <si>
    <t>["ערב_עם_שי_שטרן"]</t>
  </si>
  <si>
    <t>[{"duration":271760,"video_url":"https://video.twimg.com/amplify_video/1867221019519328256/vid/avc1/1280x720/jXOkfCSt5djjx3Xn.mp4?tag=14"}]</t>
  </si>
  <si>
    <t>מהצד השני - של הגבול. איך שידרה הטלוויזיה הסורית את נפילת המשטר?
הערב ב-23:00 בכאן 11 ובכאן BOX
@guyzo</t>
  </si>
  <si>
    <t>"2024-12-11T16:34:34.000Z"</t>
  </si>
  <si>
    <t>https://x.com/kann/status/1866884290413199581</t>
  </si>
  <si>
    <t>[{"duration":235120,"video_url":"https://video.twimg.com/amplify_video/1866875943765078016/vid/avc1/1280x720/CyET9G2ArOeIIgsO.mp4?tag=14"}]</t>
  </si>
  <si>
    <t>אתם לא תאמינו כמה קרולינה טובה בלעשות חצוצרה
מתוך ההסכת 1+1 עם אסף ליברמן @asaf_lib:</t>
  </si>
  <si>
    <t>"2024-12-08T13:27:00.000Z"</t>
  </si>
  <si>
    <t>https://x.com/kann/status/1865749923435511830</t>
  </si>
  <si>
    <t>[{"biography":null,"followers":null,"following":null,"is_verified":null,"profile_id":"261305739","profile_name":"אסף ליברמן","url":"https://x.com/asaf_lib"}]</t>
  </si>
  <si>
    <t>https://bit.ly/3VtfIX2</t>
  </si>
  <si>
    <t>[{"duration":65626,"video_url":"https://video.twimg.com/amplify_video/1865737877948108800/vid/avc1/720x1280/FG456ZY69uXD2Gnq.mp4?tag=14"}]</t>
  </si>
  <si>
    <t>"לא רציתי להתנגח איתו", מיכאל שמש מגיע לפגישה ומדבר על הסערה במסיבת העיתונאים עם ראש הממשלה
פגישה עם רוני קובן, מחר אחרי החדשות בכאן 11 ובכאן BOX
@shemeshmicha @ronikuban</t>
  </si>
  <si>
    <t>"2024-12-13T07:14:38.000Z"</t>
  </si>
  <si>
    <t>https://x.com/kann/status/1867468156274409906</t>
  </si>
  <si>
    <t>[{"biography":null,"followers":null,"following":null,"is_verified":null,"profile_id":"504604552","profile_name":"מיכאל שמש Michael Shemesh","url":"https://x.com/shemeshmicha"},{"biography":null,"followers":null,"following":null,"is_verified":null,"profile_id":"310423509","profile_name":"roni kuban רוני קובן","url":"https://x.com/ronikuban"}]</t>
  </si>
  <si>
    <t>[{"duration":178633,"video_url":"https://video.twimg.com/amplify_video/1867466732970893312/vid/avc1/848x464/Qc1617fH3TfFyeN7.mp4?tag=14"}]</t>
  </si>
  <si>
    <t>מישהי פעם ניגשה לאלי חביב @Eli_Haviv_ אחרי הופעה וסיפרה לו שהיא עובדת בספארי. לא תאמינו מה קרה אחר כך:
הערב #מועדון_סטנדאפ אחרי קופה ראשית בכאן 11 ובכאן BOX</t>
  </si>
  <si>
    <t>"2024-12-10T16:13:00.000Z"</t>
  </si>
  <si>
    <t>https://x.com/kann/status/1866516474732421445</t>
  </si>
  <si>
    <t>[{"biography":null,"followers":null,"following":null,"is_verified":null,"profile_id":"4650477676","profile_name":"Eli Haviv","url":"https://x.com/Eli_Haviv_"}]</t>
  </si>
  <si>
    <t>["מועדון_סטנדאפ"]</t>
  </si>
  <si>
    <t>[{"duration":57680,"video_url":"https://video.twimg.com/amplify_video/1866486426969223168/vid/avc1/720x1280/ruN5XNDWRC6KnlOH.mp4?tag=14"}]</t>
  </si>
  <si>
    <t>תמר רביניאן, מאחורייך: כמאל פנחסי, נולד באיראן והיום הוא דובר צה"ל לתקשורת הפרסית
#דוקותיים @itay_itayasher</t>
  </si>
  <si>
    <t>"2024-12-10T07:35:16.000Z"</t>
  </si>
  <si>
    <t>https://x.com/kann/status/1866386184286462013</t>
  </si>
  <si>
    <t>[{"biography":null,"followers":null,"following":null,"is_verified":null,"profile_id":"1160129100","profile_name":"Itay Asher","url":"https://x.com/itay_itayasher"}]</t>
  </si>
  <si>
    <t>["דוקותיים"]</t>
  </si>
  <si>
    <t>[{"duration":287600,"video_url":"https://video.twimg.com/amplify_video/1866383846406553600/vid/avc1/1280x720/Iu7XzpFnLIxz6A6R.mp4?tag=14"}]</t>
  </si>
  <si>
    <t>@Bucks @hornets Tyler Herro's big night propels the @MiamiHEAT to their third straight win!
Duncan Robinson: 23 PTS (4-6 3PM)
Jimmy Butler: 18 PTS, 5 AST, 2 STL
Bam Adebayo: 16 PTS, 13 REB, 6 AST</t>
  </si>
  <si>
    <t>"2024-12-09T04:29:53.000Z"</t>
  </si>
  <si>
    <t>["https://pbs.twimg.com/media/GeVELsQWQAArqp9.jpg"]</t>
  </si>
  <si>
    <t>https://x.com/NBA/status/1865977140178571325</t>
  </si>
  <si>
    <t>[{"biography":null,"followers":null,"following":null,"is_verified":null,"profile_id":"15900167","profile_name":"Milwaukee Bucks","url":"https://x.com/Bucks"},{"biography":null,"followers":null,"following":null,"is_verified":null,"profile_id":"21308488","profile_name":"Charlotte Hornets","url":"https://x.com/hornets"},{"biography":null,"followers":null,"following":null,"is_verified":null,"profile_id":"11026952","profile_name":"Miami HEAT","url":"https://x.com/MiamiHEAT"}]</t>
  </si>
  <si>
    <t>{"post_id":"1865954501376475363","profile_id":"19923144","profile_name":"NBA"}</t>
  </si>
  <si>
    <t>Sta███ept███</t>
  </si>
  <si>
    <t>Dep███men███f S██████</t>
  </si>
  <si>
    <t>This week at State, @SecBlinken recognizes Global Anti-Corruption Champions and Human Rights Defenders, former Secretary @JohnKerry’s official portrait gets unveiled, and the Secretary travels to Jordan and Türkiye, discussing the latest developments in Syria with leaders.</t>
  </si>
  <si>
    <t>https://x.com/StateDept/status/1868340246150287762</t>
  </si>
  <si>
    <t>[{"biography":null,"followers":null,"following":null,"is_verified":null,"profile_id":"1350150750966603777","profile_name":"Secretary Antony Blinken","url":"https://x.com/SecBlinken"},{"biography":null,"followers":null,"following":null,"is_verified":null,"profile_id":"15007149","profile_name":"John Kerry","url":"https://x.com/JohnKerry"}]</t>
  </si>
  <si>
    <t>Leading U.S. foreign policy and American diplomacy since 1789. Follow @SecBlinken for Secretary updates. For all Department accounts: https://t.co/VpbtF1LASc</t>
  </si>
  <si>
    <t>https://pbs.twimg.com/profile_images/1653450164210630659/oPRqz0j6_normal.jpg</t>
  </si>
  <si>
    <t>[{"duration":80538,"video_url":"https://video.twimg.com/amplify_video/1867736747595247618/vid/avc1/720x1280/zIbYkn2TkbgDLfWQ.mp4?tag=14"}]</t>
  </si>
  <si>
    <t>כשהבטלנים התגייסו למען מדינת ישראל
@KanILArchive</t>
  </si>
  <si>
    <t>"2024-12-15T09:04:53.000Z"</t>
  </si>
  <si>
    <t>https://x.com/kann/status/1868220673471947243</t>
  </si>
  <si>
    <t>[{"biography":null,"followers":null,"following":null,"is_verified":null,"profile_id":"742700164343844864","profile_name":"כאן ארכיון - אוצרות השידור הישראלי","url":"https://x.com/KanILArchive"}]</t>
  </si>
  <si>
    <t>[{"duration":173400,"video_url":"https://video.twimg.com/amplify_video/1868220209376473088/vid/avc1/1280x720/PZiEDXGYEgzUarhH.mp4?tag=14"}]</t>
  </si>
  <si>
    <t>"הצמח הזה הוא בית מרקחת"
אתם לא תאמינו אבל כנראה הצמח הזה גדל לכם בגינה והוא משמש כמזון על
#בטעם_של_פעם עם אבתסאם מחורפיש שמכינה מתכונים טעימים מריג'לת הגינה</t>
  </si>
  <si>
    <t>"2024-12-11T07:27:14.000Z"</t>
  </si>
  <si>
    <t>https://x.com/kann/status/1866746548249296993</t>
  </si>
  <si>
    <t>["בטעם_של_פעם"]</t>
  </si>
  <si>
    <t>[{"duration":599800,"video_url":"https://video.twimg.com/amplify_video/1866500539254558720/vid/avc1/1280x720/MyezzYCaWxAabqLJ.mp4?tag=14"}]</t>
  </si>
  <si>
    <t>זה לא הזמן לסגור את יחידת האלפיניסטים
#היהודים_באים</t>
  </si>
  <si>
    <t>"2024-12-08T14:12:38.000Z"</t>
  </si>
  <si>
    <t>https://x.com/kann/status/1865761406231961984</t>
  </si>
  <si>
    <t>["היהודים_באים"]</t>
  </si>
  <si>
    <t>[{"duration":205680,"video_url":"https://video.twimg.com/amplify_video/1865760739304112128/vid/avc1/1280x720/7ZE9LpU6nKYJ_p7q.mp4?tag=14"}]</t>
  </si>
  <si>
    <t>fin███e_b███</t>
  </si>
  <si>
    <t>财经不踩雷</t>
  </si>
  <si>
    <t>啥？美中《科技合作协定》修订后再 延长有效期五年？🤝🤝🤝🤝🤝
说好的科技制裁呢？🩴🩴🩴👡👡👡
其实，修订后的协议明确排除了在人工智能和半导体等“新兴或关键技术”领域的合作，反映了对国家安全的担忧。
那么，中美科技竞争到底是什么态势呢？
美国实施了严格的出口管制，旨在限制中国获取先进的半导体技术。
这些措施旨在阻止中国在人工智能和军事技术领域的快速发展。美国还与盟友（如日本和荷兰）协调行动，采取类似限制措施，进一步削弱中国获取尖端技术的能力。
作为回应，中国批评美国采取经济胁迫，并采取措施保护自身利益，包括对稀土等关键材料的出口实施限制。
到2028年，全球技术生态系统可能出现显著分裂，由美国和中国分别主导各自的阵营。
这可能导致国际贸易更加复杂化，并加剧竞争。
到时候，所有国家都不得不选边站了。
详细报告，可以访问我的电报群。
#中美科技局竞争</t>
  </si>
  <si>
    <t>"2024-12-16T03:24:49.000Z"</t>
  </si>
  <si>
    <t>["https://pbs.twimg.com/media/Ge46_OKagAE-ujl.png","https://pbs.twimg.com/media/Ge47S-8bwAAMhCB.jpg","https://pbs.twimg.com/media/Ge48ep1bEAAHeoq.jpg"]</t>
  </si>
  <si>
    <t>https://x.com/finance_bcl/status/1868497483019764076</t>
  </si>
  <si>
    <t>“财经不踩雷”，让你在财经领域不再孤单，不再无聊，不再踩雷。继续分享 #财经 #股市 重点看法，欢迎大家订阅。 防止推特再被封， 油管：https://t.co/eKWWaKLOiC 电报群：https://t.co/7qFcnCqoV6</t>
  </si>
  <si>
    <t>https://pbs.twimg.com/profile_images/1867478029964128257/2hEhOcPF_normal.jpg</t>
  </si>
  <si>
    <t>[{"duration":30066,"video_url":"https://video.twimg.com/ext_tw_video/1868495614071484416/pu/vid/avc1/576x1024/3FYeFXX57pkZ3RiJ.mp4?tag=12"}]</t>
  </si>
  <si>
    <t>{"data_posted":"2023-01-26T00:47:24.000Z","description":"经济学人说，俄罗斯经济将于2025年崩溃，这是真的吗？⁉️⁉️⁉️⁉️⁉️\n\n这让俄罗斯分析师们感到恐惧。😱😱😱😱\n\n因为许多人认为，《经济学人》是由控制历史进程的跨国精英所拥有的。\n\n经济学人也确实牛逼，\n\n1983年，他们预测了苏联的崩溃；2000年，预言了双子塔的倒塌。 https://t.co/POOsrIkgEv","photos":["https://pbs.twimg.com/media/Ge02G0ObAAAjUjN.png","https://pbs.twimg.com/media/Ge02LddaQAAWjDl.png","https://pbs.twimg.com/media/Ge02ksSbwAAgGdA.jpg"],"post_id":"1868209531232354706","profile_id":"finance_bcl","profile_name":"财经不踩雷","url":"https://x.com/finance_bcl/status/1868209531232354706","videos":[{"duration":183333,"url":"https://video.twimg.com/ext_tw_video/1868208769811009536/pu/vid/avc1/576x1024/a4524JCDluOBSWMy.mp4?tag=12"}]}</t>
  </si>
  <si>
    <t>FAM███lay███</t>
  </si>
  <si>
    <t>FA ███ays███</t>
  </si>
  <si>
    <t>Debut Harimau Malaya
Dua pemain, Jimmy Raymond, 28, dan G. Pavithran, 19, memperoleh caps pertama bersama skuad kebangsaan pada perlawanan Piala Mitsubishi Electric ASEAN 2024 bertemu Kemboja di Stadium Olimpik, Phnom Penh, semalam.
#FAM #HarimauMalaya #MitsubishiElectricCup</t>
  </si>
  <si>
    <t>"2024-12-09T04:34:06.000Z"</t>
  </si>
  <si>
    <t>["https://pbs.twimg.com/media/GeVJSBGasAAZxyt.jpg"]</t>
  </si>
  <si>
    <t>https://x.com/FAM_Malaysia/status/1865978203019661597</t>
  </si>
  <si>
    <t>["FAM","HarimauMalaya","MitsubishiElectricCup"]</t>
  </si>
  <si>
    <t>Official Twitter of Football Association of Malaysia (FAM)</t>
  </si>
  <si>
    <t>https://pbs.twimg.com/profile_images/1593128135565852672/iZVtNJcL_normal.jpg</t>
  </si>
  <si>
    <t>Ukrainian innovation is transforming lives and safeguarding Europe’s future. From AI-powered prosthetics to drone technology to agricultural exports, solidarity with Ukraine is leading to innovation, empowerment, and progress.</t>
  </si>
  <si>
    <t>https://x.com/StateDept/status/1868400645704663461</t>
  </si>
  <si>
    <t>https://share.america.gov/ukrainian-innovation-strengthening-europes-future/</t>
  </si>
  <si>
    <t>["https://pbs.twimg.com/card_img/1866151640488701952/KR8zwj48?format=jpg&amp;name=orig"]</t>
  </si>
  <si>
    <t>#צדק_לגיא 
1. גיא תימור, בן 21, סגן אלוף ישראל ברכיבה על אופניים יצא לאימון לפני תחרות. 
2. באותו זמן נחמן חורי, בן אותו גיל, חוזר שיכור ומסומם מבילוי ומצהיר: אני הולך להרוג מישהו 
3. היה אפשר למנוע את הדריסה למוות של גיא אבל המערכת התעלמה שוב ושוב. ברביעי תבינו עד כמה 
ברביעי הקרוב -#זמן_אמת רגע לפני הכרעת הדין, הוריו של גיא יוצאים במסע לחקר האמת
@asaf_lib</t>
  </si>
  <si>
    <t>"2024-12-15T14:12:00.000Z"</t>
  </si>
  <si>
    <t>["https://pbs.twimg.com/media/Ge1DEl5XIAEmgkW.png"]</t>
  </si>
  <si>
    <t>https://x.com/kann/status/1868297963027767334</t>
  </si>
  <si>
    <t>["צדק_לגיא"]</t>
  </si>
  <si>
    <t>דובר צה"ל הגרי חרג מסמכותו? אורי כהן @Uri__Cohen נזכר בעוד כמה פעמים שבהן בכירים בצבא התערבו בחוקים של הכנסת 
הערב ב-22:25 מהצד השני @guyzo בכאן 11 ובכאן BOX</t>
  </si>
  <si>
    <t>"2024-12-08T17:55:00.000Z"</t>
  </si>
  <si>
    <t>https://x.com/kann/status/1865817367718285530</t>
  </si>
  <si>
    <t>[{"biography":null,"followers":null,"following":null,"is_verified":null,"profile_id":"1281876626167533574","profile_name":"Uri Cohen","url":"https://x.com/Uri__Cohen"},{"biography":null,"followers":null,"following":null,"is_verified":null,"profile_id":"6899022","profile_name":"Guy Zohar","url":"https://x.com/guyzo"}]</t>
  </si>
  <si>
    <t>[{"duration":228840,"video_url":"https://video.twimg.com/amplify_video/1865791847483715584/vid/avc1/1280x720/JJK_dUkhrtlvPm1y.mp4?tag=14"}]</t>
  </si>
  <si>
    <t>בזמן שהמשטר בסוריה קורס, לא רחוק משם, מתהדק הלחץ על תוכנית הגרעין באיראן
מחר אחרי החדשות #טהרן עונה 3 מתחילה בכאן 11 ובכאן BOX</t>
  </si>
  <si>
    <t>"2024-12-08T15:03:00.000Z"</t>
  </si>
  <si>
    <t>https://x.com/kann/status/1865774083557749004</t>
  </si>
  <si>
    <t>["טהרן"]</t>
  </si>
  <si>
    <t>[{"duration":88800,"video_url":"https://video.twimg.com/amplify_video/1865688750145044481/vid/avc1/1280x720/feP-9g1Qd100g_3X.mp4?tag=14"}]</t>
  </si>
  <si>
    <t>הרסת למישהו את החיים? עמרי אסנהיים @AssenOmri עונה בכנות
הערב #פגישה עם רוני קובן @ronikuban אחרי החדשות בכאן 11 ובכאן BOX</t>
  </si>
  <si>
    <t>"2024-12-07T14:20:00.000Z"</t>
  </si>
  <si>
    <t>https://x.com/kann/status/1865400873662497202</t>
  </si>
  <si>
    <t>[{"biography":null,"followers":null,"following":null,"is_verified":null,"profile_id":"3016460737","profile_name":"עמרי אסנהיים","url":"https://x.com/AssenOmri"},{"biography":null,"followers":null,"following":null,"is_verified":null,"profile_id":"310423509","profile_name":"roni kuban רוני קובן","url":"https://x.com/ronikuban"}]</t>
  </si>
  <si>
    <t>["פגישה"]</t>
  </si>
  <si>
    <t>[{"duration":66833,"video_url":"https://video.twimg.com/amplify_video/1864618188954025984/vid/avc1/848x464/EHE8rBC0TctSj6zu.mp4?tag=14"}]</t>
  </si>
  <si>
    <t>ראש האופוזיציה יאיר לפיד לא מקשיב לנו, שוב. איינשטיין לא אמר את זה
מהצד השני עם @guyzo</t>
  </si>
  <si>
    <t>"2024-12-07T10:24:00.000Z"</t>
  </si>
  <si>
    <t>https://x.com/kann/status/1865341481931907278</t>
  </si>
  <si>
    <t>[{"duration":65560,"video_url":"https://video.twimg.com/amplify_video/1864673074030727168/vid/avc1/1280x720/3ei3jhwKHaqzzHv6.mp4?tag=14"}]</t>
  </si>
  <si>
    <t>US7███lee███</t>
  </si>
  <si>
    <t>7th███eet███</t>
  </si>
  <si>
    <t>Sailors assigned to the forward-deployed amphibious assault ship USS America (LHA 6), participate in a firefighting drill on the flight deck during routine operations, Dec. 13.
📸 by MCSN Jeadan Andre
#USNavy | #OperationalReadiness</t>
  </si>
  <si>
    <t>"2024-12-15T11:00:14.000Z"</t>
  </si>
  <si>
    <t>["https://pbs.twimg.com/media/Ge1bNAEXIAASIWL.jpg","https://pbs.twimg.com/media/Ge1bNCCXIAAV9q9.jpg","https://pbs.twimg.com/media/Ge1bM_XW8AELpXp.jpg","https://pbs.twimg.com/media/Ge1bM_1XcAAwH9D.jpg"]</t>
  </si>
  <si>
    <t>https://x.com/US7thFleet/status/1868249705274110216</t>
  </si>
  <si>
    <t>["USNavy","OperationalReadiness"]</t>
  </si>
  <si>
    <t>At any given time, there are 50-70 ships, 150 aircraft and more than 20,000 Sailors and Marines assigned to the U.S. 7th Fleet.</t>
  </si>
  <si>
    <t>https://pbs.twimg.com/profile_images/1817182471118794752/ez7SDQWK_normal.jpg</t>
  </si>
  <si>
    <t>The @Chiefs win the AFC West for the 9th straight season!</t>
  </si>
  <si>
    <t>"2024-12-09T04:24:40.000Z"</t>
  </si>
  <si>
    <t>["https://pbs.twimg.com/media/GeVG8rsacAACprG.jpg"]</t>
  </si>
  <si>
    <t>https://x.com/NFL/status/1865975830012403906</t>
  </si>
  <si>
    <t>מוקדמות מונדיאל 2026 ישראל הוגרלה לבית 9 ותשחק מול: גרמניה 🇩🇪 או איטליה 🇮🇹 , נורווגיה 🇳🇴 , אסטוניה 🇪🇪 ומולדובה 🇲🇩 
המונדיאל ישודר בחינם בכאן בעוד 18 חודשים
@lianwildau @Levyninho</t>
  </si>
  <si>
    <t>"2024-12-13T12:09:12.000Z"</t>
  </si>
  <si>
    <t>["https://pbs.twimg.com/media/GerXtIpX0AA8fWH.jpg"]</t>
  </si>
  <si>
    <t>https://x.com/kann/status/1867542284369375623</t>
  </si>
  <si>
    <t>[{"biography":null,"followers":null,"following":null,"is_verified":null,"profile_id":"543253030","profile_name":"Lian Wildau","url":"https://x.com/lianwildau"},{"biography":null,"followers":null,"following":null,"is_verified":null,"profile_id":"3190010498","profile_name":"Uri Levy","url":"https://x.com/Levyninho"}]</t>
  </si>
  <si>
    <t>"אני כל היום חושב עליכם. אתם כל היום בראש שלי ובלב שלי, כל הזמן"
הערב ב-#יהיה_טוב עם עמרי אסנהיים ורוני קובן, קטעים מהקלטות בלעדיות של אלי פלדשטיין בשיחה עם הוריו, יהושע ובינה. אחרי החדשות בכאן 11 ובכאן BOX
@AssenOmri @ronikuban</t>
  </si>
  <si>
    <t>"2024-12-15T12:43:20.000Z"</t>
  </si>
  <si>
    <t>https://x.com/kann/status/1868275651263774834</t>
  </si>
  <si>
    <t>["יהיה_טוב"]</t>
  </si>
  <si>
    <t>[{"duration":42600,"video_url":"https://video.twimg.com/amplify_video/1868244285339881472/vid/avc1/1280x720/kvA0RV1rZvUfdpnd.mp4?tag=14"}]</t>
  </si>
  <si>
    <t>בואו לאכול איתנו בערבית! 🍽️
"תפדלו על עשא" תשודר מה-5.1 בשעה 20:10 במכאן 33 (עם כתוביות בעברית) במשך 4 שבועות: שבוע משולש, גליל מערבי, נצרת ומרכז
כל הפרקים יחכו לכם אחרי השידור באתר מכאן (https://t.co/VZW6Xyqto7), בכאן BOX וביוטיוב של מכאן (مكان - هيئة البث العامة). בהמשך התוכנית תשודר גם בכאן 11</t>
  </si>
  <si>
    <t>"2024-12-11T13:35:20.000Z"</t>
  </si>
  <si>
    <t>["https://pbs.twimg.com/media/GehUKnIW8AA-BDe.jpg"]</t>
  </si>
  <si>
    <t>https://x.com/kann/status/1866839186281542004</t>
  </si>
  <si>
    <t>http://makan.org.il/</t>
  </si>
  <si>
    <t>ניב סולטן וששון גבאי מספרים מה שאפשר על העונה החדשה 
הערב #טהרן עונה 3 פרק 1 אחרי החדשות בכאן 11 ובכאן BOX
@TElmalach</t>
  </si>
  <si>
    <t>"2024-12-09T11:45:22.000Z"</t>
  </si>
  <si>
    <t>https://x.com/kann/status/1866086735685230833</t>
  </si>
  <si>
    <t>[{"biography":null,"followers":null,"following":null,"is_verified":null,"profile_id":"1262803817751547910","profile_name":"TimorElmalach - תימור אלמלח","url":"https://x.com/TElmalach"}]</t>
  </si>
  <si>
    <t>[{"duration":246840,"video_url":"https://video.twimg.com/amplify_video/1866043108330213376/vid/avc1/1280x720/wsBynKRYbncXn9Ul.mp4?tag=14"}]</t>
  </si>
  <si>
    <t>@Bucks @hornets @MiamiHEAT @nuggets @OrlandoMagic @spurs @memgrizz Steph Curry and the @warriors close on a 9-0 run to top Minnesota!
Buddy Hield: 27 PTS (7 3PM), 3 STL
Jonathan Kuminga: 20 PTS, 7 REB, 2 STL, 3 BLK</t>
  </si>
  <si>
    <t>"2024-12-09T05:16:23.000Z"</t>
  </si>
  <si>
    <t>["https://pbs.twimg.com/media/GeVSf5hXUAAsBv5.jpg"]</t>
  </si>
  <si>
    <t>https://x.com/NBA/status/1865988846199898252</t>
  </si>
  <si>
    <t>[{"biography":null,"followers":null,"following":null,"is_verified":null,"profile_id":"15900167","profile_name":"Milwaukee Bucks","url":"https://x.com/Bucks"},{"biography":null,"followers":null,"following":null,"is_verified":null,"profile_id":"21308488","profile_name":"Charlotte Hornets","url":"https://x.com/hornets"},{"biography":null,"followers":null,"following":null,"is_verified":null,"profile_id":"11026952","profile_name":"Miami HEAT","url":"https://x.com/MiamiHEAT"},{"biography":null,"followers":null,"following":null,"is_verified":null,"profile_id":"26074296","profile_name":"Denver Nuggets","url":"https://x.com/nuggets"},{"biography":null,"followers":null,"following":null,"is_verified":null,"profile_id":"19537303","profile_name":"Orlando Magic","url":"https://x.com/OrlandoMagic"},{"biography":null,"followers":null,"following":null,"is_verified":null,"profile_id":"18371803","profile_name":"San Antonio Spurs","url":"https://x.com/spurs"},{"biography":null,"followers":null,"following":null,"is_verified":null,"profile_id":"7117962","profile_name":"Memphis Grizzlies","url":"https://x.com/memgrizz"},{"biography":null,"followers":null,"following":null,"is_verified":null,"profile_id":"26270913","profile_name":"Golden State Warriors","url":"https://x.com/warriors"}]</t>
  </si>
  <si>
    <t>{"post_id":"1865986344238870996","profile_id":"19923144","profile_name":"NBA"}</t>
  </si>
  <si>
    <t>ראיון בלעדי עם השחקן יו לורי על #טהרן 
מחר פרק שני אחרי החדשות בכאן 11 ובכאן BOX</t>
  </si>
  <si>
    <t>"2024-12-15T17:57:00.000Z"</t>
  </si>
  <si>
    <t>https://x.com/kann/status/1868354585712067031</t>
  </si>
  <si>
    <t>[{"duration":212086,"video_url":"https://video.twimg.com/amplify_video/1868279488213094400/vid/avc1/1280x720/Tjjphe3gzon-Yo3p.mp4?tag=14"}]</t>
  </si>
  <si>
    <t>כנרת בראשי נלחמת למען ראש הממשלה: ״אני מאוד גאה בקשר שלי איתו״
#דוח_רולניק מאחורי הקלעים של משפט נתניהו, הערב אחרי החדשות בכאן 11 ובכאן BOX</t>
  </si>
  <si>
    <t>"2024-12-11T15:36:45.000Z"</t>
  </si>
  <si>
    <t>https://x.com/kann/status/1866869741861658729</t>
  </si>
  <si>
    <t>["דוח_רולניק"]</t>
  </si>
  <si>
    <t>[{"duration":138368,"video_url":"https://video.twimg.com/amplify_video/1866862892412190720/vid/avc1/1280x720/GCl19Y9xCmT1Pcmm.mp4?tag=14"}]</t>
  </si>
  <si>
    <t>בחדשות אומרים שאף אחד לא נפגע מהפרדה מגדרית באקדמיה. ליעד ורצהיזר @LVertzhaizer מראה שכולנו נפגעים
מהצד השני עם @guyzo הערב ב-22:30 בכאן 11 ובכאן BOX</t>
  </si>
  <si>
    <t>"2024-12-10T17:13:00.000Z"</t>
  </si>
  <si>
    <t>https://x.com/kann/status/1866531574067458436</t>
  </si>
  <si>
    <t>[{"biography":null,"followers":null,"following":null,"is_verified":null,"profile_id":"1036701516919394304","profile_name":"Liad Vertzhaizer🎗️","url":"https://x.com/LVertzhaizer"},{"biography":null,"followers":null,"following":null,"is_verified":null,"profile_id":"6899022","profile_name":"Guy Zohar","url":"https://x.com/guyzo"}]</t>
  </si>
  <si>
    <t>[{"duration":242280,"video_url":"https://video.twimg.com/amplify_video/1866518332733595653/vid/avc1/1280x720/DP8U4LxEp-8vdWpS.mp4?tag=14"}]</t>
  </si>
  <si>
    <t>Jac███uel███</t>
  </si>
  <si>
    <t>Jac███nue███(CT█████████y O█████████</t>
  </si>
  <si>
    <t>NEW BROOKLYN BUZZ! (@Nick_Fay_)
Diving into the trade rumours around Cam Johnson, Dennis Schroder and Dorian Finney-Smith.
How important is it that all three are traded? 
Apple:</t>
  </si>
  <si>
    <t>"2024-12-11T21:32:01.000Z"</t>
  </si>
  <si>
    <t>["https://pbs.twimg.com/media/GejFccDaUAAvgA5.jpg"]</t>
  </si>
  <si>
    <t>https://x.com/JacManuell/status/1866959146257616927</t>
  </si>
  <si>
    <t>[{"biography":null,"followers":null,"following":null,"is_verified":null,"profile_id":"263819336","profile_name":"Nick Fay","url":"https://x.com/Nick_Fay_"}]</t>
  </si>
  <si>
    <t>https://podcasts.apple.com/au/podcast/brooklyn-buzz-a-brooklyn-nets-podcast/id1298103854?i=1000679959865</t>
  </si>
  <si>
    <t>Podcaster, writer and video analyst. Co-host of the Brooklyn Buzz. I like stats. @bluewirepods</t>
  </si>
  <si>
    <t>https://pbs.twimg.com/profile_images/1670955757402226688/r2kFfGDo_normal.jpg</t>
  </si>
  <si>
    <t>bus███ss</t>
  </si>
  <si>
    <t>Blo███erg███</t>
  </si>
  <si>
    <t>The appointments set up a potential conflict in the next administration — not least with Trump himself.</t>
  </si>
  <si>
    <t>"2024-12-16T04:37:06.000Z"</t>
  </si>
  <si>
    <t>https://x.com/business/status/1868515672273166463</t>
  </si>
  <si>
    <t>https://trib.al/lyLvL63</t>
  </si>
  <si>
    <t>The first word in business news. Singapore newsletter: https://t.co/RtyaUOdLdF Newsletters: https://t.co/nWaCxHSKuU Podcasts: https://t.co/096e9xMbPz</t>
  </si>
  <si>
    <t>https://pbs.twimg.com/profile_images/1631723279676317709/-fjgaR2p_normal.jpg</t>
  </si>
  <si>
    <t>["https://pbs.twimg.com/card_img/1867983201626447872/I2s7PnI1?format=jpg&amp;name=orig"]</t>
  </si>
  <si>
    <t>China’s 10-year sovereign yield slumped to a fresh record low Monday, as a string of sluggish economic data boosted demand for haven assets</t>
  </si>
  <si>
    <t>"2024-12-16T03:38:07.000Z"</t>
  </si>
  <si>
    <t>https://x.com/business/status/1868500828060889377</t>
  </si>
  <si>
    <t>https://trib.al/sUXfc8m</t>
  </si>
  <si>
    <t>["https://pbs.twimg.com/card_img/1868500122545295360/OfmJ-u4G?format=jpg&amp;name=orig"]</t>
  </si>
  <si>
    <t>Former House Speaker Nancy Pelosi, 84, was injured Friday during an official engagement marking 80 years since the Battle of the Bulge.</t>
  </si>
  <si>
    <t>"2024-12-15T23:42:30.000Z"</t>
  </si>
  <si>
    <t>https://x.com/business/status/1868441533214531990</t>
  </si>
  <si>
    <t>https://trib.al/BDn8Pk0</t>
  </si>
  <si>
    <t>["https://pbs.twimg.com/card_img/1868000704645799936/kmLRe4td?format=jpg&amp;name=orig"]</t>
  </si>
  <si>
    <t>Trump is inheriting a far more dangerous world than the first time around. Will he reject the challenges or recalibrate US power to meet them?</t>
  </si>
  <si>
    <t>"2024-12-15T16:05:51.000Z"</t>
  </si>
  <si>
    <t>https://x.com/business/status/1868326615031160940</t>
  </si>
  <si>
    <t>[{"biography":null,"followers":null,"following":null,"is_verified":null,"profile_id":"227682918","profile_name":"Bloomberg Opinion","url":"https://x.com/opinion"}]</t>
  </si>
  <si>
    <t>https://trib.al/DvMhnlT</t>
  </si>
  <si>
    <t>["https://pbs.twimg.com/card_img/1868289375932399616/XDFTmvDg?format=jpg&amp;name=orig"]</t>
  </si>
  <si>
    <t>ABC has agreed to donate $15 million to Donald Trump’s future presidential foundation or museum to settle claims that one of its anchors defamed the president-elect in describing a past court verdict against him.</t>
  </si>
  <si>
    <t>"2024-12-15T14:55:04.000Z"</t>
  </si>
  <si>
    <t>https://x.com/business/status/1868308803684327590</t>
  </si>
  <si>
    <t>https://trib.al/k8qlL1S</t>
  </si>
  <si>
    <t>["https://pbs.twimg.com/card_img/1868055945072312320/AZYsZu8j?format=jpg&amp;name=orig"]</t>
  </si>
  <si>
    <t>What was supposed to be a comeback year for Boeing has turned into its worst stock-market plunge since 2008. If Wall Street is right, the plane-maker’s shares may have only a modest recovery in store in 2025</t>
  </si>
  <si>
    <t>"2024-12-15T13:05:26.000Z"</t>
  </si>
  <si>
    <t>https://x.com/business/status/1868281211879055438</t>
  </si>
  <si>
    <t>https://trib.al/HhpOkdV</t>
  </si>
  <si>
    <t>["https://pbs.twimg.com/card_img/1868281212030144512/e5eaVZSo?format=jpg&amp;name=orig"]</t>
  </si>
  <si>
    <t>Ghana’s President-elect John Mahama is considering appointing Cassiel Ato Forson, an accountant, as the West African nation’s finance minister</t>
  </si>
  <si>
    <t>"2024-12-15T12:35:23.000Z"</t>
  </si>
  <si>
    <t>https://x.com/business/status/1868273648429048029</t>
  </si>
  <si>
    <t>https://trib.al/P45eVmu</t>
  </si>
  <si>
    <t>["https://pbs.twimg.com/card_img/1868273649746141184/SaxXw5BK?format=jpg&amp;name=orig"]</t>
  </si>
  <si>
    <t>NEW: Indian tycoons Ambani and Adani have tumbled out of the elite centibillionaires club.
Here's the outlook for their fortunes ⤵</t>
  </si>
  <si>
    <t>"2024-12-16T00:44:35.000Z"</t>
  </si>
  <si>
    <t>https://x.com/business/status/1868457160511762502</t>
  </si>
  <si>
    <t>https://trib.al/7RZVBcu</t>
  </si>
  <si>
    <t>["https://pbs.twimg.com/card_img/1868436167965696001/CYxlWNxn?format=jpg&amp;name=orig"]</t>
  </si>
  <si>
    <t>Palm Springs has finally decided to compensate Black and Latino families for property taken in the 1960s and 70s, writes @Erika_D_Smith. It’s a model that should work elsewhere</t>
  </si>
  <si>
    <t>"2024-12-15T16:00:38.000Z"</t>
  </si>
  <si>
    <t>https://x.com/business/status/1868325303690436639</t>
  </si>
  <si>
    <t>[{"biography":null,"followers":null,"following":null,"is_verified":null,"profile_id":"17001628","profile_name":"Erika D. Smith","url":"https://x.com/Erika_D_Smith"},{"biography":null,"followers":null,"following":null,"is_verified":null,"profile_id":"227682918","profile_name":"Bloomberg Opinion","url":"https://x.com/opinion"}]</t>
  </si>
  <si>
    <t>https://trib.al/tJqXnSe</t>
  </si>
  <si>
    <t>["https://pbs.twimg.com/card_img/1868295671503110144/MlunivtA?format=jpg&amp;name=orig"]</t>
  </si>
  <si>
    <t>"2024-12-15T06:55:03.000Z"</t>
  </si>
  <si>
    <t>https://x.com/business/status/1868188002771472652</t>
  </si>
  <si>
    <t>https://trib.al/Zme2ulm</t>
  </si>
  <si>
    <t>President-elect Trump has been handed a playbook for downsizing the National Oceanic and Atmospheric Administration at a time when China is investing heavily in climate research, and could see an opening to being the next global weather superpower.</t>
  </si>
  <si>
    <t>"2024-12-15T04:51:03.000Z"</t>
  </si>
  <si>
    <t>https://x.com/business/status/1868156794184315078</t>
  </si>
  <si>
    <t>https://trib.al/temoKlx</t>
  </si>
  <si>
    <t>["https://pbs.twimg.com/card_img/1866709859590148096/-Qjf_0NR?format=jpg&amp;name=orig"]</t>
  </si>
  <si>
    <t>Ran███sFC███</t>
  </si>
  <si>
    <t>Ran███s F███bal█████████</t>
  </si>
  <si>
    <t>🎙️ James Tavernier spoke to @RangersTV after today’s match.</t>
  </si>
  <si>
    <t>"2024-12-15T19:34:34.000Z"</t>
  </si>
  <si>
    <t>https://x.com/RangersFC/status/1868379141029908586</t>
  </si>
  <si>
    <t>[{"biography":null,"followers":null,"following":null,"is_verified":null,"profile_id":"479505559","profile_name":"RangersTV","url":"https://x.com/RangersTV"}]</t>
  </si>
  <si>
    <t>The Home of #RangersFC 💙</t>
  </si>
  <si>
    <t>https://pbs.twimg.com/profile_images/1856633703734112256/PBlqGEwC_normal.jpg</t>
  </si>
  <si>
    <t>[{"duration":103700,"video_url":"https://video.twimg.com/amplify_video/1868375121355812865/vid/avc1/1280x720/xbtpuOg61NY1N3Pe.mp4?tag=14"}]</t>
  </si>
  <si>
    <t>Car███fCi███C</t>
  </si>
  <si>
    <t>Car███f C███ FC███</t>
  </si>
  <si>
    <t>#BluebirdsCrimbo 🎁 | Day 1️⃣5️⃣
@Joe_Ralls makes a surprise visit to lifelong #Bluebird, Jonathan!
Sign up for your chance to win a prize this month ➡️</t>
  </si>
  <si>
    <t>"2024-12-15T12:00:22.000Z"</t>
  </si>
  <si>
    <t>https://x.com/CardiffCityFC/status/1868264837572411439</t>
  </si>
  <si>
    <t>[{"biography":null,"followers":null,"following":null,"is_verified":null,"profile_id":"240037700","profile_name":"Joe Ralls","url":"https://x.com/Joe_Ralls"}]</t>
  </si>
  <si>
    <t>http://bit.ly/4fNeX2Z</t>
  </si>
  <si>
    <t>["BluebirdsCrimbo","Bluebird","CityAsOne"]</t>
  </si>
  <si>
    <t>The official Twitter feed of Cardiff City Football Club. ❓ @CardiffCitySLO 💙 @BluebirdBartley #CardiffCity #Bluebirds #CityAsOne</t>
  </si>
  <si>
    <t>https://pbs.twimg.com/profile_images/1838141016072650752/LQBWhJoK_normal.png</t>
  </si>
  <si>
    <t>[{"duration":126640,"video_url":"https://video.twimg.com/ext_tw_video/1868263665775804416/pu/vid/avc1/720x900/Qv13o2r_tarVa5VL.mp4?tag=12"}]</t>
  </si>
  <si>
    <t>itv███tba███</t>
  </si>
  <si>
    <t>ITV███otb███</t>
  </si>
  <si>
    <t>A two-minute turnaround! 🫨⏱️
Dan Neil 73'
Jobe Bellingham 75'
#ITVFootball | @EFL | @SunderlandAFC</t>
  </si>
  <si>
    <t>"2024-12-15T11:07:05.000Z"</t>
  </si>
  <si>
    <t>https://x.com/itvfootball/status/1868251426138255789</t>
  </si>
  <si>
    <t>[{"biography":null,"followers":null,"following":null,"is_verified":null,"profile_id":"31083978","profile_name":"EFL","url":"https://x.com/EFL"},{"biography":null,"followers":null,"following":null,"is_verified":null,"profile_id":"27844464","profile_name":"Sunderland AFC","url":"https://x.com/SunderlandAFC"}]</t>
  </si>
  <si>
    <t>["ITVFootball"]</t>
  </si>
  <si>
    <t>The home of football on ITV ⚽️ 🏆
Follow us on Instagram @ITVFootball and on YouTube https://t.co/Ndk6tqVX2Y</t>
  </si>
  <si>
    <t>https://pbs.twimg.com/profile_images/1615361211133984771/f9-C_hI5_normal.png</t>
  </si>
  <si>
    <t>[{"duration":36360,"video_url":"https://video.twimg.com/amplify_video/1868251363974533120/vid/avc1/1080x1080/Uiv0tL8qXZOoa2uW.mp4?tag=16"}]</t>
  </si>
  <si>
    <t>FIF███C</t>
  </si>
  <si>
    <t>FIF███ome███ Wo█████████</t>
  </si>
  <si>
    <t>Come for the goal, stay for the celebrations. 🎉
@NZ_Football | #FIFAWWC</t>
  </si>
  <si>
    <t>"2024-12-15T08:00:00.000Z"</t>
  </si>
  <si>
    <t>https://x.com/FIFAWWC/status/1868204346145731018</t>
  </si>
  <si>
    <t>[{"biography":null,"followers":null,"following":null,"is_verified":null,"profile_id":"79814713","profile_name":"New Zealand Football 🇳🇿","url":"https://x.com/NZ_Football"}]</t>
  </si>
  <si>
    <t>["FIFAWWC"]</t>
  </si>
  <si>
    <t>The home of women's football. 🏆</t>
  </si>
  <si>
    <t>https://pbs.twimg.com/profile_images/1855592584346804224/qCBZBNpu_normal.jpg</t>
  </si>
  <si>
    <t>[{"duration":32400,"video_url":"https://video.twimg.com/ext_tw_video/1867575937518202880/pu/vid/avc1/720x720/KSIIm-0HN6k-Hqo6.mp4?tag=12"}]</t>
  </si>
  <si>
    <t>ufc</t>
  </si>
  <si>
    <t>UFC</t>
  </si>
  <si>
    <t>So. Cal. Cub vs Tampa Bay Billy coming attcha! 
@CubSwanson vs @BillyQMMA 
[ #UFCTampa is LIVE on @ESPNPlus &amp;amp; ESPN2 ]</t>
  </si>
  <si>
    <t>"2024-12-15T05:28:17.000Z"</t>
  </si>
  <si>
    <t>https://x.com/ufc/status/1868166164406530529</t>
  </si>
  <si>
    <t>[{"biography":null,"followers":null,"following":null,"is_verified":null,"profile_id":"30506859","profile_name":"Cub Swanson","url":"https://x.com/CubSwanson"},{"biography":null,"followers":null,"following":null,"is_verified":null,"profile_id":"546140410","profile_name":"Billy Quarantillo","url":"https://x.com/BillyQMMA"},{"biography":null,"followers":null,"following":null,"is_verified":null,"profile_id":"1044284694387412992","profile_name":"ESPN+","url":"https://x.com/ESPNPlus"}]</t>
  </si>
  <si>
    <t>["UFCTampa"]</t>
  </si>
  <si>
    <t>#UFCTampa | Covington vs Buckley | December 14 | 10pmET | LIVE on @ESPNPlus</t>
  </si>
  <si>
    <t>https://pbs.twimg.com/profile_images/1835773190385328128/4fVrF1UI_normal.jpg</t>
  </si>
  <si>
    <t>[{"duration":5038,"video_url":"https://video.twimg.com/ext_tw_video/1868125937323143168/pu/vid/avc1/718x720/KCmmZgMkZ50YGlw6.mp4?tag=12"}]</t>
  </si>
  <si>
    <t>Hard hitting LHWs are up next! 👊
@VitorPetrino vs @TheHanyakDJ 
[ #UFCTampa is LIVE on @ESPNPlus &amp;amp; ESPN2 ]</t>
  </si>
  <si>
    <t>"2024-12-15T04:20:53.000Z"</t>
  </si>
  <si>
    <t>https://x.com/ufc/status/1868149203601690892</t>
  </si>
  <si>
    <t>[{"biography":null,"followers":null,"following":null,"is_verified":null,"profile_id":"260314743","profile_name":"Vitor Petrino","url":"https://x.com/VitorPetrino"},{"biography":null,"followers":null,"following":null,"is_verified":null,"profile_id":"222632459","profile_name":"Dustin Jacoby 🇺🇸","url":"https://x.com/thehanyakdj"},{"biography":null,"followers":null,"following":null,"is_verified":null,"profile_id":"1044284694387412992","profile_name":"ESPN+","url":"https://x.com/ESPNPlus"}]</t>
  </si>
  <si>
    <t>[{"duration":5038,"video_url":"https://video.twimg.com/ext_tw_video/1868125529817157632/pu/vid/avc1/718x720/5WmfgDrePBI_BVep.mp4?tag=12"}]</t>
  </si>
  <si>
    <t>SIX in a row for @NewMansa94 👏
#UFCTampa</t>
  </si>
  <si>
    <t>"2024-12-15T06:22:47.000Z"</t>
  </si>
  <si>
    <t>https://x.com/ufc/status/1868179883123421600</t>
  </si>
  <si>
    <t>[{"biography":null,"followers":null,"following":null,"is_verified":null,"profile_id":"922938072836313089","profile_name":"Joaquin New Mansa Buckley","url":"https://x.com/Newmansa94"}]</t>
  </si>
  <si>
    <t>[{"duration":22315,"video_url":"https://video.twimg.com/ext_tw_video/1868179830379802624/pu/vid/avc1/720x720/BESZz9yvoD7vFD62.mp4?tag=12"}]</t>
  </si>
  <si>
    <t>"In 2025 we takin' the throne!" 👑
#UFCTampa | @NewMansa94</t>
  </si>
  <si>
    <t>"2024-12-15T06:36:46.000Z"</t>
  </si>
  <si>
    <t>https://x.com/ufc/status/1868183399502114844</t>
  </si>
  <si>
    <t>[{"duration":9709,"video_url":"https://video.twimg.com/ext_tw_video/1868182697035653120/pu/vid/avc1/720x1280/6c4xOElGTSDH-BpJ.mp4?tag=12"}]</t>
  </si>
  <si>
    <t>REMAINS UNDEFEATED 👏
Daniel Marcos takes the Split Decision at #UFCTampa</t>
  </si>
  <si>
    <t>"2024-12-15T04:15:28.000Z"</t>
  </si>
  <si>
    <t>https://x.com/ufc/status/1868147839429472650</t>
  </si>
  <si>
    <t>[{"duration":37967,"video_url":"https://video.twimg.com/ext_tw_video/1868147774820118528/pu/vid/avc1/720x720/QmNhiuCir_VocksH.mp4?tag=12"}]</t>
  </si>
  <si>
    <t>Is the Nigerian Nightmare next for @NewMansa94? 👀
#UFCTampa</t>
  </si>
  <si>
    <t>"2024-12-15T06:25:32.000Z"</t>
  </si>
  <si>
    <t>https://x.com/ufc/status/1868180571903652334</t>
  </si>
  <si>
    <t>[{"duration":50134,"video_url":"https://video.twimg.com/ext_tw_video/1868180389904232448/pu/vid/avc1/720x720/R8iWM0KFDFWlO8jC.mp4?tag=12"}]</t>
  </si>
  <si>
    <t>"OH SHE TAPPED"
@KaylaH is your next nominee for #UFCHonors Submission of the Year!
[ Voting begins December 27th ]</t>
  </si>
  <si>
    <t>"2024-12-15T16:00:01.000Z"</t>
  </si>
  <si>
    <t>["https://pbs.twimg.com/media/Ge0n3K2XQAAM6Ys.jpg"]</t>
  </si>
  <si>
    <t>https://x.com/ufc/status/1868325144986632406</t>
  </si>
  <si>
    <t>[{"biography":null,"followers":null,"following":null,"is_verified":null,"profile_id":"202243824","profile_name":"Kayla Harrison Official","url":"https://x.com/KaylaH"}]</t>
  </si>
  <si>
    <t>["UFCHonors"]</t>
  </si>
  <si>
    <t>[{"duration":22422,"video_url":"https://video.twimg.com/ext_tw_video/1868193213615411200/pu/vid/avc1/720x720/mt-GLy_-15bHgO1u.mp4?tag=12"}]</t>
  </si>
  <si>
    <t>STARBOY GETS THE LATE STOPPAGE 🔥
@ManelKape comes out on top at #UFCTampa!</t>
  </si>
  <si>
    <t>"2024-12-15T05:19:16.000Z"</t>
  </si>
  <si>
    <t>https://x.com/ufc/status/1868163895312933088</t>
  </si>
  <si>
    <t>[{"biography":null,"followers":null,"following":null,"is_verified":null,"profile_id":"1089988262","profile_name":"マネル・ケイプ موسى Manel Kape","url":"https://x.com/ManelKape"}]</t>
  </si>
  <si>
    <t>[{"duration":27334,"video_url":"https://video.twimg.com/ext_tw_video/1868163193660424192/pu/vid/avc1/720x720/M1xomMFgHK6zmBJF.mp4?tag=12"}]</t>
  </si>
  <si>
    <t>THE START OF A NEW WIN STREAK 😤
@Menace155 ends it early in the second! #UFCTampa</t>
  </si>
  <si>
    <t>"2024-12-15T03:01:24.000Z"</t>
  </si>
  <si>
    <t>https://x.com/ufc/status/1868129202827919667</t>
  </si>
  <si>
    <t>[{"biography":null,"followers":null,"following":null,"is_verified":null,"profile_id":"177019934","profile_name":"Michael Johnson","url":"https://x.com/Menace155"}]</t>
  </si>
  <si>
    <t>[{"duration":27134,"video_url":"https://video.twimg.com/amplify_video/1868128813558734848/vid/avc1/720x720/tPDO6jD7JIGKsOu2.mp4?tag=14"}]</t>
  </si>
  <si>
    <t>WWE</t>
  </si>
  <si>
    <t>WHAT A MOMENT! 🙌
#SNME</t>
  </si>
  <si>
    <t>"2024-12-15T02:28:30.000Z"</t>
  </si>
  <si>
    <t>https://x.com/WWE/status/1868120921409495230</t>
  </si>
  <si>
    <t>["SNME"]</t>
  </si>
  <si>
    <t>WWE Raw | Mondays at 8/7c on USA Network 
WWE NXT | Tuesdays at 8/7c on The CW 
WWE SmackDown | Fridays at 8/7c on USA Network</t>
  </si>
  <si>
    <t>https://pbs.twimg.com/profile_images/1383079031805972485/3sWoMX-R_normal.jpg</t>
  </si>
  <si>
    <t>[{"duration":46134,"video_url":"https://video.twimg.com/amplify_video/1868120849464664064/vid/avc1/1920x1080/_-8LMuFYtjJnA5do.mp4?tag=16"}]</t>
  </si>
  <si>
    <t>EXCLUSIVE: After his win over @SamiZayn, @DMcIntyreWWE doesn't stick around for an interview with @Jackie_Redmond and @Rosenbergradio. 
#SNME</t>
  </si>
  <si>
    <t>"2024-12-15T04:38:24.000Z"</t>
  </si>
  <si>
    <t>https://x.com/WWE/status/1868153613920485384</t>
  </si>
  <si>
    <t>[{"biography":null,"followers":null,"following":null,"is_verified":null,"profile_id":"1289482598","profile_name":"Sami Zayn","url":"https://x.com/SamiZayn"},{"biography":null,"followers":null,"following":null,"is_verified":null,"profile_id":"299932350","profile_name":"Drew","url":"https://x.com/DMcIntyreWWE"},{"biography":null,"followers":null,"following":null,"is_verified":null,"profile_id":"74306074","profile_name":"Jackie Redmond","url":"https://x.com/Jackie_Redmond"},{"biography":null,"followers":null,"following":null,"is_verified":null,"profile_id":"8318902","profile_name":"Peter Rosenberg","url":"https://x.com/Rosenbergradio"}]</t>
  </si>
  <si>
    <t>[{"duration":123066,"video_url":"https://video.twimg.com/amplify_video/1868153543389011968/vid/avc1/1920x1080/MJhd-LpyD3NOycGF.mp4?tag=16"}]</t>
  </si>
  <si>
    <t>@Bucks @hornets @MiamiHEAT @nuggets @OrlandoMagic @spurs @memgrizz @warriors Kevin Huerter leads a balanced attack as the @SacramentoKings roll at home!
De'Aaron Fox: 21 PTS, 9 AST
Domantas Sabonis: 19 PTS, 12 REB, 6 AST
DeMar DeRozan: 18 PTS, 4 AST
Doug McDermott: 18 PTS (6-7 3PM)
Malik Monk: 16 PTS</t>
  </si>
  <si>
    <t>"2024-12-09T05:26:27.000Z"</t>
  </si>
  <si>
    <t>["https://pbs.twimg.com/media/GeVUM-DWEAA6fjf.jpg"]</t>
  </si>
  <si>
    <t>https://x.com/NBA/status/1865991377466572874</t>
  </si>
  <si>
    <t>[{"biography":null,"followers":null,"following":null,"is_verified":null,"profile_id":"15900167","profile_name":"Milwaukee Bucks","url":"https://x.com/Bucks"},{"biography":null,"followers":null,"following":null,"is_verified":null,"profile_id":"21308488","profile_name":"Charlotte Hornets","url":"https://x.com/hornets"},{"biography":null,"followers":null,"following":null,"is_verified":null,"profile_id":"11026952","profile_name":"Miami HEAT","url":"https://x.com/MiamiHEAT"},{"biography":null,"followers":null,"following":null,"is_verified":null,"profile_id":"26074296","profile_name":"Denver Nuggets","url":"https://x.com/nuggets"},{"biography":null,"followers":null,"following":null,"is_verified":null,"profile_id":"19537303","profile_name":"Orlando Magic","url":"https://x.com/OrlandoMagic"},{"biography":null,"followers":null,"following":null,"is_verified":null,"profile_id":"18371803","profile_name":"San Antonio Spurs","url":"https://x.com/spurs"},{"biography":null,"followers":null,"following":null,"is_verified":null,"profile_id":"7117962","profile_name":"Memphis Grizzlies","url":"https://x.com/memgrizz"},{"biography":null,"followers":null,"following":null,"is_verified":null,"profile_id":"26270913","profile_name":"Golden State Warriors","url":"https://x.com/warriors"},{"biography":null,"followers":null,"following":null,"is_verified":null,"profile_id":"667563","profile_name":"Sacramento Kings","url":"https://x.com/SacramentoKings"}]</t>
  </si>
  <si>
    <t>{"post_id":"1865988846199898252","profile_id":"19923144","profile_name":"NBA"}</t>
  </si>
  <si>
    <t>Americans are likely to be seeing more drones in the night sky, but there’s no evidence of foreign involvement or a national security risk.</t>
  </si>
  <si>
    <t>"2024-12-16T04:41:02.000Z"</t>
  </si>
  <si>
    <t>https://x.com/business/status/1868516665182261269</t>
  </si>
  <si>
    <t>https://trib.al/FUlwD28</t>
  </si>
  <si>
    <t>["https://pbs.twimg.com/card_img/1868313361131114496/1xR6CBdW?format=jpg&amp;name=orig"]</t>
  </si>
  <si>
    <t>The arrival of a Blackstone-backed data center in Georgia means landowners need to accommodate new high-voltage lines encroaching on their property.
This AI power battle could come to your town next</t>
  </si>
  <si>
    <t>"2024-12-16T02:17:02.000Z"</t>
  </si>
  <si>
    <t>https://x.com/business/status/1868480423560450309</t>
  </si>
  <si>
    <t>https://trib.al/Ia6UGJ3</t>
  </si>
  <si>
    <t>["https://pbs.twimg.com/card_img/1868415985029652480/LjSNmyUa?format=jpg&amp;name=orig"]</t>
  </si>
  <si>
    <t>German Chancellor Olaf Scholz will submit to a parliamentary vote of confidence on Monday that he has every intention of losing to trigger a snap election. Here’s what you need to know:</t>
  </si>
  <si>
    <t>"2024-12-16T05:08:06.000Z"</t>
  </si>
  <si>
    <t>https://x.com/business/status/1868523474727195009</t>
  </si>
  <si>
    <t>https://trib.al/etznfud</t>
  </si>
  <si>
    <t>["https://pbs.twimg.com/card_img/1868523043728883712/a0v7UL-M?format=jpg&amp;name=orig"]</t>
  </si>
  <si>
    <t>Read today's Australia Briefing, by @ainsley_thomson, for your daily dose of the best of Bloomberg.</t>
  </si>
  <si>
    <t>"2024-12-15T20:47:22.000Z"</t>
  </si>
  <si>
    <t>https://x.com/business/status/1868397462001463499</t>
  </si>
  <si>
    <t>[{"biography":null,"followers":null,"following":null,"is_verified":null,"profile_id":"200030190","profile_name":"Ainsley Thomson","url":"https://x.com/Ainsley_Thomson"}]</t>
  </si>
  <si>
    <t>https://trib.al/I9UgeEz</t>
  </si>
  <si>
    <t>["https://pbs.twimg.com/card_img/1868397463473729536/vxU1aqQh?format=jpg&amp;name=orig"]</t>
  </si>
  <si>
    <t>HSBC received about 950 reports of unauthorized transactions between 2020 and 2024, resulting in customer losses of about A$23 million ($14.6 million), according to authorities.</t>
  </si>
  <si>
    <t>"2024-12-16T04:33:03.000Z"</t>
  </si>
  <si>
    <t>https://x.com/business/status/1868514654416183387</t>
  </si>
  <si>
    <t>https://trib.al/fS8895z</t>
  </si>
  <si>
    <t>["https://pbs.twimg.com/card_img/1868406164041396224/AcwfQUQk?format=jpg&amp;name=orig"]</t>
  </si>
  <si>
    <t>The impeachment of South Korean President Yoon Suk Yeol is giving his biggest political rival, Lee Jae-myung, a chance to finally take the top role in running the country.</t>
  </si>
  <si>
    <t>"2024-12-15T16:38:02.000Z"</t>
  </si>
  <si>
    <t>https://x.com/business/status/1868334714127343811</t>
  </si>
  <si>
    <t>https://trib.al/nzBHp41</t>
  </si>
  <si>
    <t>["https://pbs.twimg.com/card_img/1868244637263003648/_OIVQuTh?format=jpg&amp;name=orig"]</t>
  </si>
  <si>
    <t>Brazil’s President Luiz Inacio Lula da Silva has been discharged from the hospital following emergency brain surgery and should stay in Sao Paulo recovering before returning to the capital, Brasilia</t>
  </si>
  <si>
    <t>"2024-12-15T16:29:27.000Z"</t>
  </si>
  <si>
    <t>https://x.com/business/status/1868332555742638538</t>
  </si>
  <si>
    <t>https://trib.al/goYHUxd</t>
  </si>
  <si>
    <t>["https://pbs.twimg.com/card_img/1868332557584007168/QI6MZefK?format=jpg&amp;name=orig"]</t>
  </si>
  <si>
    <t>What is the worst mistake a company ever made? @tobinharshaw says Netflix, Macy’s and JetBlue are giving AskJeeves a run for its money</t>
  </si>
  <si>
    <t>https://x.com/business/status/1868325302016889270</t>
  </si>
  <si>
    <t>[{"biography":null,"followers":null,"following":null,"is_verified":null,"profile_id":"47657283","profile_name":"Toby Harshaw","url":"https://x.com/tobinharshaw"},{"biography":null,"followers":null,"following":null,"is_verified":null,"profile_id":"227682918","profile_name":"Bloomberg Opinion","url":"https://x.com/opinion"}]</t>
  </si>
  <si>
    <t>https://trib.al/uZ8Vp9o</t>
  </si>
  <si>
    <t>["https://pbs.twimg.com/card_img/1868282181505687552/mck5KnTc?format=jpg&amp;name=orig"]</t>
  </si>
  <si>
    <t>Two Russian oil tankers have taken heavy damage amid a storm in the Kerch Strait, spilling oil and sparking an emergency rescue operation, Russian officials told state news outlets Sunday. Via @AP</t>
  </si>
  <si>
    <t>"2024-12-15T12:47:55.000Z"</t>
  </si>
  <si>
    <t>https://x.com/business/status/1868276801451045133</t>
  </si>
  <si>
    <t>[{"biography":null,"followers":null,"following":null,"is_verified":null,"profile_id":"51241574","profile_name":"The Associated Press","url":"https://x.com/AP"}]</t>
  </si>
  <si>
    <t>https://trib.al/jlOMyrZ</t>
  </si>
  <si>
    <t>["https://pbs.twimg.com/card_img/1868276802784759808/ixVViYIW?format=jpg&amp;name=orig"]</t>
  </si>
  <si>
    <t>At Britain’s election in July, populist Reform UK Party leader Nigel Farage finally won a seat in parliament at the eighth time of asking. Now he’s setting his sights on upturning the country’s traditional two-party duopoly.</t>
  </si>
  <si>
    <t>"2024-12-15T09:44:03.000Z"</t>
  </si>
  <si>
    <t>https://x.com/business/status/1868230532498063701</t>
  </si>
  <si>
    <t>https://trib.al/72pQIjW</t>
  </si>
  <si>
    <t>["https://pbs.twimg.com/card_img/1867813221647650819/B5ygyVe8?format=jpg&amp;name=orig"]</t>
  </si>
  <si>
    <t>The Labour government says 13,500 people with no right to be in the UK have been removed since they took office, the most since 2018.</t>
  </si>
  <si>
    <t>"2024-12-15T10:15:07.000Z"</t>
  </si>
  <si>
    <t>https://x.com/business/status/1868238350370369981</t>
  </si>
  <si>
    <t>https://trib.al/pSkLQf9</t>
  </si>
  <si>
    <t>["https://pbs.twimg.com/card_img/1868088698073489408/6mWmGa5T?format=jpg&amp;name=orig"]</t>
  </si>
  <si>
    <t>met███wsr███rs</t>
  </si>
  <si>
    <t>Met███wsr███rs</t>
  </si>
  <si>
    <t>The Mets are signing RHP Clay Holmes. It is a 3 year deal worth $38M. 
Holmes last season posted a 3.14 ERA in 67 games with the New York Yankees. He recorded 30 saves for the Yankees last year. 
Use code “Metsnewsrumors” for $20 off your first purchase on SeatGeek!
#lgm #lfgm #mets #nym #yagottabelieve #newyork #newyorkcity #nyc #queens #seatgeek</t>
  </si>
  <si>
    <t>"2024-12-07T01:14:43.000Z"</t>
  </si>
  <si>
    <t>["https://pbs.twimg.com/media/GeKIeAUXwAAZ9l9.jpg"]</t>
  </si>
  <si>
    <t>https://x.com/metsnewsrumors/status/1865203251383276007</t>
  </si>
  <si>
    <t>["lgm","lfgm"]</t>
  </si>
  <si>
    <t>SeatGeek code- METSNEWSRUMORS for $20 off your first purchase!</t>
  </si>
  <si>
    <t>https://pbs.twimg.com/profile_images/1731894718538063872/ux1rvaip_normal.jpg</t>
  </si>
  <si>
    <t>spfl</t>
  </si>
  <si>
    <t>SPFL</t>
  </si>
  <si>
    <t>"Just don't miss" 🎯
🏆 Captain Callum McGregor reflects on @CelticFC's #PremierSportsCup final triumph, penalty kick mindset and the platform for the rest of the season</t>
  </si>
  <si>
    <t>"2024-12-15T22:00:00.000Z"</t>
  </si>
  <si>
    <t>https://x.com/spfl/status/1868415739071250829</t>
  </si>
  <si>
    <t>[{"biography":null,"followers":null,"following":null,"is_verified":null,"profile_id":"15203904","profile_name":"Celtic Football Club","url":"https://x.com/CelticFC"}]</t>
  </si>
  <si>
    <t>["PremierSportsCup"]</t>
  </si>
  <si>
    <t>Official Twitter/X account for the Scottish Professional Football League, sponsored by @WilliamHill.</t>
  </si>
  <si>
    <t>https://pbs.twimg.com/profile_images/1798999022348496896/ZZU_hFqY_normal.jpg</t>
  </si>
  <si>
    <t>[{"duration":85433,"video_url":"https://video.twimg.com/ext_tw_video/1868393749539119104/pu/vid/avc1/1080x1080/S7xlHilIkAJcZHVQ.mp4?tag=14"}]</t>
  </si>
  <si>
    <t>A big hand from @CelticFC's Great Dane in the shootout 🚫</t>
  </si>
  <si>
    <t>"2024-12-15T18:23:50.000Z"</t>
  </si>
  <si>
    <t>https://x.com/spfl/status/1868361340458238155</t>
  </si>
  <si>
    <t>[{"duration":27696,"video_url":"https://video.twimg.com/amplify_video/1868360458186416128/vid/avc1/1280x720/2DLFk8lqZlUwVJD2.mp4?tag=16"}]</t>
  </si>
  <si>
    <t>A Greg Taylor goal hauls @CelticFC back on level terms in the Premier Sports Cup Final! 💪</t>
  </si>
  <si>
    <t>"2024-12-15T16:56:00.000Z"</t>
  </si>
  <si>
    <t>https://x.com/spfl/status/1868339235608289742</t>
  </si>
  <si>
    <t>[{"duration":50616,"video_url":"https://video.twimg.com/amplify_video/1868338519443210240/vid/avc1/1280x720/WZBglBE42I--Et0o.mp4?tag=16"}]</t>
  </si>
  <si>
    <t>🤯 INCREDIBLE! 
Behind for only a minute, @RangersFC are level again at 3-3 through Danilo!</t>
  </si>
  <si>
    <t>"2024-12-15T17:28:40.000Z"</t>
  </si>
  <si>
    <t>https://x.com/spfl/status/1868347456917791119</t>
  </si>
  <si>
    <t>[{"biography":null,"followers":null,"following":null,"is_verified":null,"profile_id":"351838853","profile_name":"Rangers Football Club","url":"https://x.com/RangersFC"}]</t>
  </si>
  <si>
    <t>[{"duration":61696,"video_url":"https://video.twimg.com/amplify_video/1868347075634626560/vid/avc1/1280x720/awLs42BZcNNWj9xI.mp4?tag=16"}]</t>
  </si>
  <si>
    <t>Liam Cullen is on fire at the moment 🔥
#ITVFootball | @EFL | @SwansOfficial</t>
  </si>
  <si>
    <t>"2024-12-15T08:58:57.000Z"</t>
  </si>
  <si>
    <t>https://x.com/itvfootball/status/1868219180287230334</t>
  </si>
  <si>
    <t>[{"biography":null,"followers":null,"following":null,"is_verified":null,"profile_id":"31083978","profile_name":"EFL","url":"https://x.com/EFL"},{"biography":null,"followers":null,"following":null,"is_verified":null,"profile_id":"472385266","profile_name":"Swansea City AFC","url":"https://x.com/SwansOfficial"}]</t>
  </si>
  <si>
    <t>[{"duration":15000,"video_url":"https://video.twimg.com/amplify_video/1868219150998401024/vid/avc1/1080x1080/3S7vlBrfTLb4VeRt.mp4?tag=16"}]</t>
  </si>
  <si>
    <t>Bre███ord███</t>
  </si>
  <si>
    <t>🎥 Stamford Bridge Showtime
@motorscouk | #CHEBRE</t>
  </si>
  <si>
    <t>"2024-12-15T18:11:24.000Z"</t>
  </si>
  <si>
    <t>https://x.com/BrentfordFC/status/1868358211138379781</t>
  </si>
  <si>
    <t>[{"biography":null,"followers":null,"following":null,"is_verified":null,"profile_id":"19708957","profile_name":"MOTORS","url":"https://x.com/motorscouk"}]</t>
  </si>
  <si>
    <t>["CHEBRE"]</t>
  </si>
  <si>
    <t>Chelsea away ⏳</t>
  </si>
  <si>
    <t>https://pbs.twimg.com/profile_images/1863925545009852417/pH2T1Sz8_normal.jpg</t>
  </si>
  <si>
    <t>[{"duration":17720,"video_url":"https://video.twimg.com/amplify_video/1868357633037815808/vid/avc1/1080x1080/YMYOPGKVMpf8D_wg.mp4?tag=16"}]</t>
  </si>
  <si>
    <t>Cha███ons███</t>
  </si>
  <si>
    <t>Inv███ec ███mpi█████████</t>
  </si>
  <si>
    <t>3x winners take on URC champs 🤩
Watch @RCTofficiel v @GlasgowWarriors live on @beinsports_FR, @PremSportsTV, @francetvsport &amp;amp; @FloRugby 📺
Or follow the #InvestecChampionsCup action here ➡️</t>
  </si>
  <si>
    <t>"2024-12-15T15:20:32.000Z"</t>
  </si>
  <si>
    <t>https://x.com/ChampionsCup/status/1868315209573511182</t>
  </si>
  <si>
    <t>[{"biography":null,"followers":null,"following":null,"is_verified":null,"profile_id":"377915688","profile_name":"RCT - RC Toulon","url":"https://x.com/RCTofficiel"},{"biography":null,"followers":null,"following":null,"is_verified":null,"profile_id":"54198070","profile_name":"Glasgow Warriors","url":"https://x.com/GlasgowWarriors"},{"biography":null,"followers":null,"following":null,"is_verified":null,"profile_id":"569138069","profile_name":"beIN SPORTS","url":"https://x.com/beinsports_FR"},{"biography":null,"followers":null,"following":null,"is_verified":null,"profile_id":"159582357","profile_name":"Premier Sports","url":"https://x.com/PremSportsTV"},{"biography":null,"followers":null,"following":null,"is_verified":null,"profile_id":"140062928","profile_name":"francetvsport","url":"https://x.com/francetvsport"},{"biography":null,"followers":null,"following":null,"is_verified":null,"profile_id":"747828622023503872","profile_name":"FloRugby","url":"https://x.com/FloRugby"}]</t>
  </si>
  <si>
    <t>https://www.epcrugby.com/champions-cup/content/investec-champions-cup-live-round-2-matchday-3?utm_source=Social&amp;utm_medium=Organic&amp;utm_campaign=</t>
  </si>
  <si>
    <t>["InvestecChampionsCup"]</t>
  </si>
  <si>
    <t>Welcome to the official account in English for the #InvestecChampionsCup. Follow @ChampionsCup_FR for French language, and @ChallengeCup_ for more updates</t>
  </si>
  <si>
    <t>https://pbs.twimg.com/profile_images/1697181182796935168/vcSAuYKk_normal.jpg</t>
  </si>
  <si>
    <t>[{"duration":62120,"video_url":"https://video.twimg.com/amplify_video/1868315171388588032/vid/avc1/1280x720/kRt699WPzNqt5pFk.mp4?tag=16"}]</t>
  </si>
  <si>
    <t>NAS███</t>
  </si>
  <si>
    <t>Somehow, @JHNemechek kept this car out of the wall. 😅</t>
  </si>
  <si>
    <t>"2024-12-15T20:42:08.000Z"</t>
  </si>
  <si>
    <t>https://x.com/NASCAR/status/1868396142083346497</t>
  </si>
  <si>
    <t>[{"biography":null,"followers":null,"following":null,"is_verified":null,"profile_id":"391453796","profile_name":"John Hunter Nemechek","url":"https://x.com/JHNemechek"}]</t>
  </si>
  <si>
    <t>JOEY LOGANO IS A THREE-TIME CUP SERIES CHAMPION!</t>
  </si>
  <si>
    <t>https://pbs.twimg.com/profile_images/1861050078808436736/uG9NuXnz_normal.jpg</t>
  </si>
  <si>
    <t>[{"duration":15209,"video_url":"https://video.twimg.com/amplify_video/1868396111892717568/vid/avc1/608x1080/gB1FxPD2jca-jS3t.mp4?tag=16"}]</t>
  </si>
  <si>
    <t>PGA███R</t>
  </si>
  <si>
    <t>PGA███UR</t>
  </si>
  <si>
    <t>Locked in.
@AleTostiOK grabs another birdie to jump to T2 with one hole to play at PGA TOUR Q-School presented by Korn Ferry.
📺: GOLF Channel</t>
  </si>
  <si>
    <t>"2024-12-15T19:44:57.000Z"</t>
  </si>
  <si>
    <t>https://x.com/PGATOUR/status/1868381755029303459</t>
  </si>
  <si>
    <t>[{"biography":null,"followers":null,"following":null,"is_verified":null,"profile_id":"1650676296","profile_name":"Ale L. Tosti","url":"https://x.com/AleTostiOK"}]</t>
  </si>
  <si>
    <t>🏌️‍♂️ @KornFerryTour | 🏌️ @ChampionsTour | 📝 @PGATOURComms | 🖥 @PGATOURLIVE | 🎓 @PGATOURU | 🌎 @PGATOURAmericas | 🇪🇸 @PGATOUREsp</t>
  </si>
  <si>
    <t>https://pbs.twimg.com/profile_images/1749466889376473090/4nPDWTqB_normal.jpg</t>
  </si>
  <si>
    <t>[{"duration":13596,"video_url":"https://video.twimg.com/amplify_video/1868381521284857857/vid/avc1/720x900/aCCkq6XfSYaAhNi3.mp4?tag=14"}]</t>
  </si>
  <si>
    <t>She didn't see it coming. ⚡️
@svenskfotboll | #FIFAWWC</t>
  </si>
  <si>
    <t>"2024-12-15T18:00:00.000Z"</t>
  </si>
  <si>
    <t>https://x.com/FIFAWWC/status/1868355343626940675</t>
  </si>
  <si>
    <t>[{"biography":null,"followers":null,"following":null,"is_verified":null,"profile_id":"1037977200656609281","profile_name":"Svensk Fotboll","url":"https://x.com/svenskfotboll"}]</t>
  </si>
  <si>
    <t>[{"duration":13440,"video_url":"https://video.twimg.com/ext_tw_video/1867580764172259328/pu/vid/avc1/720x720/G0UoI8b1WuzstG-U.mp4?tag=12"}]</t>
  </si>
  <si>
    <t>Wrapping up the #UFCTampa prelims 👏
@Menace155 vs @OttmanAzaitar 
[ Live RIGHT NOW on @ESPNPlus ]</t>
  </si>
  <si>
    <t>"2024-12-15T02:44:31.000Z"</t>
  </si>
  <si>
    <t>https://x.com/ufc/status/1868124950898553159</t>
  </si>
  <si>
    <t>[{"biography":null,"followers":null,"following":null,"is_verified":null,"profile_id":"177019934","profile_name":"Michael Johnson","url":"https://x.com/Menace155"},{"biography":null,"followers":null,"following":null,"is_verified":null,"profile_id":"2766450105","profile_name":"Ottman Azaitar","url":"https://x.com/OttmanAzaitar"},{"biography":null,"followers":null,"following":null,"is_verified":null,"profile_id":"1044284694387412992","profile_name":"ESPN+","url":"https://x.com/ESPNPlus"}]</t>
  </si>
  <si>
    <t>[{"duration":5472,"video_url":"https://video.twimg.com/ext_tw_video/1868123232810733568/pu/vid/avc1/718x720/DkbAgcnOCHRIlmq8.mp4?tag=12"}]</t>
  </si>
  <si>
    <t>Kicking off the #UFCTampa main card! 💥
Navajo Stirling vs @Tuco300 
[ LIVE NOW on @ESPNPlus &amp; ESPN2 ]</t>
  </si>
  <si>
    <t>"2024-12-15T03:22:50.000Z"</t>
  </si>
  <si>
    <t>https://x.com/ufc/status/1868134597420257402</t>
  </si>
  <si>
    <t>[{"biography":null,"followers":null,"following":null,"is_verified":null,"profile_id":"1520518807168634880","profile_name":"Tuco Tokkos","url":"https://x.com/Tuco300"},{"biography":null,"followers":null,"following":null,"is_verified":null,"profile_id":"1044284694387412992","profile_name":"ESPN+","url":"https://x.com/ESPNPlus"}]</t>
  </si>
  <si>
    <t>[{"duration":5038,"video_url":"https://video.twimg.com/ext_tw_video/1868125360656658432/pu/vid/avc1/718x720/Yu8-V5k2e0wc6YPH.mp4?tag=12"}]</t>
  </si>
  <si>
    <t>Bantamweight BANGER up next! 😤
@YanezMMA vs Daniel Marcos
[ #UFCTampa is LIVE on @ESPNPlus &amp;amp; ESPN2 ]</t>
  </si>
  <si>
    <t>"2024-12-15T03:48:08.000Z"</t>
  </si>
  <si>
    <t>https://x.com/ufc/status/1868140963975311822</t>
  </si>
  <si>
    <t>[{"biography":null,"followers":null,"following":null,"is_verified":null,"profile_id":"439734566","profile_name":"Adrian Yañez","url":"https://x.com/yanezmma"},{"biography":null,"followers":null,"following":null,"is_verified":null,"profile_id":"1044284694387412992","profile_name":"ESPN+","url":"https://x.com/ESPNPlus"}]</t>
  </si>
  <si>
    <t>[{"duration":5038,"video_url":"https://video.twimg.com/ext_tw_video/1868125433893392384/pu/vid/avc1/718x720/BHPsecuBYyDjK-eg.mp4?tag=12"}]</t>
  </si>
  <si>
    <t>Fight Like Hell 👊
@TheVFoundation | Learn how you can help:</t>
  </si>
  <si>
    <t>"2024-12-15T00:10:30.000Z"</t>
  </si>
  <si>
    <t>https://x.com/ufc/status/1868086191414825064</t>
  </si>
  <si>
    <t>[{"biography":null,"followers":null,"following":null,"is_verified":null,"profile_id":"22736710","profile_name":"The V Foundation for Cancer Research","url":"https://x.com/TheVFoundation"}]</t>
  </si>
  <si>
    <t>http://v.org/UFC</t>
  </si>
  <si>
    <t>[{"duration":73867,"video_url":"https://video.twimg.com/ext_tw_video/1868085435668316160/pu/vid/avc1/1280x720/W7zytLj4XWZMKlFN.mp4?tag=12"}]</t>
  </si>
  <si>
    <t>The Nigerian Nightmare is at #UFCTampa with his eyes on the main event 👀
[ Main Card 10pmET LIVE on ESPN2 and @ESPNPlus ]</t>
  </si>
  <si>
    <t>"2024-12-15T02:42:40.000Z"</t>
  </si>
  <si>
    <t>https://x.com/ufc/status/1868124486542725512</t>
  </si>
  <si>
    <t>[{"biography":null,"followers":null,"following":null,"is_verified":null,"profile_id":"1044284694387412992","profile_name":"ESPN+","url":"https://x.com/ESPNPlus"}]</t>
  </si>
  <si>
    <t>[{"duration":16416,"video_url":"https://video.twimg.com/ext_tw_video/1868123326972915712/pu/vid/avc1/720x900/hXj08Wp38-0N1Gyl.mp4?tag=12"}]</t>
  </si>
  <si>
    <t>You'll want to be seated for this 👀
Joel Alvarez vs @DrakkarKlose
[ #UFCTampa is LIVE NOW on @ESPNPlus ]</t>
  </si>
  <si>
    <t>"2024-12-15T02:28:10.000Z"</t>
  </si>
  <si>
    <t>https://x.com/ufc/status/1868120838622331178</t>
  </si>
  <si>
    <t>[{"biography":null,"followers":null,"following":null,"is_verified":null,"profile_id":"2615224578","profile_name":"Drakkar Klose","url":"https://x.com/drakkarklose"},{"biography":null,"followers":null,"following":null,"is_verified":null,"profile_id":"1044284694387412992","profile_name":"ESPN+","url":"https://x.com/ESPNPlus"}]</t>
  </si>
  <si>
    <t>[{"duration":5472,"video_url":"https://video.twimg.com/ext_tw_video/1868068268407205888/pu/vid/avc1/718x720/LieHBZJ2_h2zg1AL.mp4?tag=12"}]</t>
  </si>
  <si>
    <t>Bruising bantamweights continue the action 💪
@DaveyGrantMMA vs Ramon Taveras
[ #UFCTampa is LIVE on @ESPNPlus ]</t>
  </si>
  <si>
    <t>"2024-12-15T00:38:59.000Z"</t>
  </si>
  <si>
    <t>https://x.com/ufc/status/1868093359518027955</t>
  </si>
  <si>
    <t>[{"biography":null,"followers":null,"following":null,"is_verified":null,"profile_id":"355646323","profile_name":"Davey Grant","url":"https://x.com/DaveyGrantMMA"},{"biography":null,"followers":null,"following":null,"is_verified":null,"profile_id":"1044284694387412992","profile_name":"ESPN+","url":"https://x.com/ESPNPlus"}]</t>
  </si>
  <si>
    <t>[{"duration":5472,"video_url":"https://video.twimg.com/ext_tw_video/1868067988286431232/pu/vid/avc1/718x720/CMiSwYjAoXnzIsIy.mp4?tag=12"}]</t>
  </si>
  <si>
    <t>Wins like these are #EasyToCelebrate 🍻
[ #UFCTampa | B2YB @BudLight ]</t>
  </si>
  <si>
    <t>"2024-12-15T06:38:34.000Z"</t>
  </si>
  <si>
    <t>https://x.com/ufc/status/1868183852553826596</t>
  </si>
  <si>
    <t>[{"biography":null,"followers":null,"following":null,"is_verified":null,"profile_id":"742011151","profile_name":"Bud Light","url":"https://x.com/budlight"}]</t>
  </si>
  <si>
    <t>["EasyToCelebrate","UFCTampa"]</t>
  </si>
  <si>
    <t>[{"duration":15015,"video_url":"https://video.twimg.com/ext_tw_video/1868183663508062208/pu/vid/avc1/720x720/-Km_AXIINhqL1jZJ.mp4?tag=12"}]</t>
  </si>
  <si>
    <t>Getting things started in the Sunshine State ☀️
@JosefineThunder vs Piera Rodriguez
[ #UFCTampa is LIVE on @ESPNPlus ]</t>
  </si>
  <si>
    <t>"2024-12-15T00:12:03.000Z"</t>
  </si>
  <si>
    <t>https://x.com/ufc/status/1868086582927933533</t>
  </si>
  <si>
    <t>[{"biography":null,"followers":null,"following":null,"is_verified":null,"profile_id":"1465707510266953739","profile_name":"Josefine Thunder","url":"https://x.com/JosefineThunder"},{"biography":null,"followers":null,"following":null,"is_verified":null,"profile_id":"1044284694387412992","profile_name":"ESPN+","url":"https://x.com/ESPNPlus"}]</t>
  </si>
  <si>
    <t>[{"duration":5472,"video_url":"https://video.twimg.com/ext_tw_video/1868067927548719105/pu/vid/avc1/718x720/hjCbLjjeq4GKO0N4.mp4?tag=12"}]</t>
  </si>
  <si>
    <t>wsl</t>
  </si>
  <si>
    <t>Wor███Sur███eag███</t>
  </si>
  <si>
    <t>History in the making!
A look back at when @gabriel1medina landed the first-ever backflip in a competition, during the Rio Pro in 2016.</t>
  </si>
  <si>
    <t>"2024-12-15T22:00:22.000Z"</t>
  </si>
  <si>
    <t>https://x.com/wsl/status/1868415832801386824</t>
  </si>
  <si>
    <t>[{"biography":null,"followers":null,"following":null,"is_verified":null,"profile_id":"2523613098","profile_name":"Gabriel Medina","url":"https://x.com/gabriel1medina"}]</t>
  </si>
  <si>
    <t>🏆 Championship Tour returns in January
🇧🇷 @wslbrasil</t>
  </si>
  <si>
    <t>https://pbs.twimg.com/profile_images/1567883499096674306/YBSrxM3I_normal.jpg</t>
  </si>
  <si>
    <t>[{"duration":24924,"video_url":"https://video.twimg.com/ext_tw_video/1868414682677080064/pu/vid/avc1/720x1280/jybN2Dtg1xBrFhif.mp4?tag=12"}]</t>
  </si>
  <si>
    <t>EXCLUSIVE: After narrowly losing to Undisputed WWE Champion Cody Rhodes, Kevin Owens brutalizes The American Nightmare with a Piledriver just moments after Saturday Night's Main Event goes off the air.
#SNME</t>
  </si>
  <si>
    <t>"2024-12-15T04:12:52.000Z"</t>
  </si>
  <si>
    <t>https://x.com/WWE/status/1868147188041134537</t>
  </si>
  <si>
    <t>[{"duration":317000,"video_url":"https://video.twimg.com/amplify_video/1868147034852585472/vid/avc1/1920x1080/xOyeAmRAFOAiJSyu.mp4?tag=16"}]</t>
  </si>
  <si>
    <t>Apple’s new vision for the future of computing is a giant, iPad-like foldable device.</t>
  </si>
  <si>
    <t>"2024-12-16T04:53:01.000Z"</t>
  </si>
  <si>
    <t>https://x.com/business/status/1868519677573341454</t>
  </si>
  <si>
    <t>https://trib.al/sumNM9Z</t>
  </si>
  <si>
    <t>["https://pbs.twimg.com/card_img/1868280040951009280/X5DsN1Pt?format=jpg&amp;name=orig"]</t>
  </si>
  <si>
    <t>Canadian Housing Minister Sean Fraser is resigning from cabinet and doesn’t plan to run in the next election, a move that comes as Justin Trudeau’s Liberal Party languishes in the polls with an election looming in 2025</t>
  </si>
  <si>
    <t>"2024-12-16T02:10:27.000Z"</t>
  </si>
  <si>
    <t>https://x.com/business/status/1868478765724045342</t>
  </si>
  <si>
    <t>https://trib.al/YajOlYD</t>
  </si>
  <si>
    <t>["https://pbs.twimg.com/card_img/1868478731435520000/XiDX_v6m?format=jpg&amp;name=orig"]</t>
  </si>
  <si>
    <t>Trump may be what China needs to get out of the economic rut, says @shuli_ren. It might force Xi to deepen reforms</t>
  </si>
  <si>
    <t>"2024-12-15T23:01:12.000Z"</t>
  </si>
  <si>
    <t>https://x.com/business/status/1868431142434570432</t>
  </si>
  <si>
    <t>[{"biography":null,"followers":null,"following":null,"is_verified":null,"profile_id":"1666651962","profile_name":"Shuli Ren","url":"https://x.com/shuli_ren"},{"biography":null,"followers":null,"following":null,"is_verified":null,"profile_id":"227682918","profile_name":"Bloomberg Opinion","url":"https://x.com/opinion"}]</t>
  </si>
  <si>
    <t>https://trib.al/LjwSwQi</t>
  </si>
  <si>
    <t>["https://pbs.twimg.com/card_img/1868389602832056320/nuoMsDOq?format=jpg&amp;name=orig"]</t>
  </si>
  <si>
    <t>The Bezos Learning Center is taking shape (like a spiral galaxy) on the National Mall</t>
  </si>
  <si>
    <t>"2024-12-15T21:56:11.000Z"</t>
  </si>
  <si>
    <t>https://x.com/business/status/1868414779229950038</t>
  </si>
  <si>
    <t>[{"biography":null,"followers":null,"following":null,"is_verified":null,"profile_id":"331803536","profile_name":"Bloomberg CityLab","url":"https://x.com/CityLab"}]</t>
  </si>
  <si>
    <t>https://trib.al/4KCmUZx</t>
  </si>
  <si>
    <t>["https://pbs.twimg.com/card_img/1868385152310644736/UQR1RooC?format=jpg&amp;name=orig"]</t>
  </si>
  <si>
    <t>With a trade war looming over China, President Xi wants Chinese consumers to go on a spending spree.
@RChoongWilkins explains why that might be an uphill battle</t>
  </si>
  <si>
    <t>"2024-12-15T16:04:04.000Z"</t>
  </si>
  <si>
    <t>https://x.com/business/status/1868326164537720940</t>
  </si>
  <si>
    <t>[{"biography":null,"followers":null,"following":null,"is_verified":null,"profile_id":"1655336281","profile_name":"Rebecca Choong Wilkins 钟碧琪","url":"https://x.com/RChoongWilkins"}]</t>
  </si>
  <si>
    <t>https://trib.al/NqxDqhQ</t>
  </si>
  <si>
    <t>[{"duration":71533,"video_url":"https://video.twimg.com/amplify_video/1867556524236640256/vid/avc1/1080x1920/74gwo76ul8HIDHZx.mp4?tag=16"}]</t>
  </si>
  <si>
    <t>Read the top CityLab stories of the week</t>
  </si>
  <si>
    <t>"2024-12-15T15:04:34.000Z"</t>
  </si>
  <si>
    <t>https://x.com/business/status/1868311192566911448</t>
  </si>
  <si>
    <t>https://trib.al/bCDq4Y6</t>
  </si>
  <si>
    <t>["https://pbs.twimg.com/card_img/1868281212860596224/1S9ESUuU?format=jpg&amp;name=orig"]</t>
  </si>
  <si>
    <t>The Italian government is willing to work with Stellantis NV as the carmaker charts a new course as long as it keeps jobs and factories in the country, Prime Minister Giorgia Meloni said</t>
  </si>
  <si>
    <t>"2024-12-15T14:40:03.000Z"</t>
  </si>
  <si>
    <t>https://x.com/business/status/1868305023635014096</t>
  </si>
  <si>
    <t>https://trib.al/LB7v3me</t>
  </si>
  <si>
    <t>["https://pbs.twimg.com/card_img/1868305025623093248/EpnjL5j4?format=jpg&amp;name=orig"]</t>
  </si>
  <si>
    <t>Apple’s new vision for the future of computing is a giant foldable iPad, @MarkGurman explains in this week’s Power On</t>
  </si>
  <si>
    <t>"2024-12-15T13:01:28.000Z"</t>
  </si>
  <si>
    <t>https://x.com/business/status/1868280212699439599</t>
  </si>
  <si>
    <t>[{"biography":null,"followers":null,"following":null,"is_verified":null,"profile_id":"15958614","profile_name":"Mark Gurman","url":"https://x.com/markgurman"}]</t>
  </si>
  <si>
    <t>https://trib.al/83AbfH3</t>
  </si>
  <si>
    <t>The 50 best wines under $50, as chosen by our critic, who tasted 4,223 this year</t>
  </si>
  <si>
    <t>"2024-12-15T12:13:03.000Z"</t>
  </si>
  <si>
    <t>https://x.com/business/status/1868268030385397907</t>
  </si>
  <si>
    <t>https://trib.al/gJUjFSg</t>
  </si>
  <si>
    <t>["https://pbs.twimg.com/card_img/1867641735066619906/XxBg6DhS?format=jpg&amp;name=orig"]</t>
  </si>
  <si>
    <t>"2024-12-15T10:19:02.000Z"</t>
  </si>
  <si>
    <t>https://x.com/business/status/1868239336228929665</t>
  </si>
  <si>
    <t>https://trib.al/ogT0y9d</t>
  </si>
  <si>
    <t>Bizarre and personal photos of ousted Syrian President Bashar Assad have surfaced from his abandoned residences, sparking ridicule among Syrians, via @AP</t>
  </si>
  <si>
    <t>"2024-12-15T14:32:27.000Z"</t>
  </si>
  <si>
    <t>https://x.com/business/status/1868303110046667056</t>
  </si>
  <si>
    <t>https://trib.al/14SSEB6</t>
  </si>
  <si>
    <t>["https://pbs.twimg.com/card_img/1868302994338455552/84bu7T1R?format=jpg&amp;name=orig"]</t>
  </si>
  <si>
    <t>"2024-12-15T10:55:04.000Z"</t>
  </si>
  <si>
    <t>https://x.com/business/status/1868248405060776161</t>
  </si>
  <si>
    <t>https://trib.al/KzQ3TuT</t>
  </si>
  <si>
    <t>Sanjay Malhotra has a new mandate in a new city, while facing an old challenge. As the new RBI governor swaps his Delhi-ness for Mumbai swag, here’s how he could do it while having fun, writes @menakadoshi in this week's India Edition (Free read)</t>
  </si>
  <si>
    <t>"2024-12-15T07:16:05.000Z"</t>
  </si>
  <si>
    <t>https://x.com/business/status/1868193296457084977</t>
  </si>
  <si>
    <t>[{"biography":null,"followers":null,"following":null,"is_verified":null,"profile_id":"111416258","profile_name":"menaka doshi","url":"https://x.com/menakadoshi"}]</t>
  </si>
  <si>
    <t>https://trib.al/ax09TYR</t>
  </si>
  <si>
    <t>["https://pbs.twimg.com/card_img/1867090979833909248/bIIo_ZsR?format=jpg&amp;name=orig"]</t>
  </si>
  <si>
    <t>Drone sightings now are occurring well beyond New Jersey lines.</t>
  </si>
  <si>
    <t>"2024-12-15T04:59:07.000Z"</t>
  </si>
  <si>
    <t>https://x.com/business/status/1868158827922596228</t>
  </si>
  <si>
    <t>https://trib.al/8cYbaFc</t>
  </si>
  <si>
    <t>["https://pbs.twimg.com/card_img/1867978182445486080/pOwZPWis?format=jpg&amp;name=orig"]</t>
  </si>
  <si>
    <t>NBA STANDINGS UPDATE ‼️
▪️ Magic improve to 10-0 at home
▪️ Grizzlies win 3rd straight
▪️ Heat win 3rd straight
Download the NBA App for more:</t>
  </si>
  <si>
    <t>"2024-12-09T06:19:28.000Z"</t>
  </si>
  <si>
    <t>["https://pbs.twimg.com/media/GeVghmwW8AACzaV.jpg","https://pbs.twimg.com/media/GeVgh1AXgAE65Mr.jpg"]</t>
  </si>
  <si>
    <t>https://x.com/NBA/status/1866004721338548545</t>
  </si>
  <si>
    <t>https://link.nba.com/standings_</t>
  </si>
  <si>
    <t>Come on #RangersFC 💙</t>
  </si>
  <si>
    <t>"2024-12-15T15:19:04.000Z"</t>
  </si>
  <si>
    <t>https://x.com/RangersFC/status/1868314841339072965</t>
  </si>
  <si>
    <t>["RangersFC"]</t>
  </si>
  <si>
    <t>[{"duration":14085,"video_url":"https://video.twimg.com/amplify_video/1868314731515183105/vid/avc1/1080x1920/mvvgHvKkHZU2fYJR.mp4?tag=16"}]</t>
  </si>
  <si>
    <t>afc███rne███th</t>
  </si>
  <si>
    <t>AFC███urn███uth██████</t>
  </si>
  <si>
    <t>The second-ever hat-trick in our @premierleague history 🔥</t>
  </si>
  <si>
    <t>"2024-12-15T12:24:00.000Z"</t>
  </si>
  <si>
    <t>https://x.com/afcbournemouth/status/1868270784008921527</t>
  </si>
  <si>
    <t>[{"biography":null,"followers":null,"following":null,"is_verified":null,"profile_id":"343627165","profile_name":"Premier League","url":"https://x.com/premierleague"}]</t>
  </si>
  <si>
    <t>Together, anything is possible 🍒</t>
  </si>
  <si>
    <t>https://pbs.twimg.com/profile_images/1764607912201097216/lo4jHcZ-_normal.jpg</t>
  </si>
  <si>
    <t>[{"duration":74774,"video_url":"https://video.twimg.com/ext_tw_video/1867530495644368896/pu/vid/avc1/720x720/Sgyy5C9C7_BI6VvD.mp4?tag=12"}]</t>
  </si>
  <si>
    <t>ONE BACK!!
🔵 2- 1 🐝
#CHEBRE | @london_pride</t>
  </si>
  <si>
    <t>"2024-12-15T20:46:16.000Z"</t>
  </si>
  <si>
    <t>https://x.com/BrentfordFC/status/1868397183885566431</t>
  </si>
  <si>
    <t>[{"biography":null,"followers":null,"following":null,"is_verified":null,"profile_id":"185606577","profile_name":"Fuller's London Pride","url":"https://x.com/London_Pride"}]</t>
  </si>
  <si>
    <t>[{"duration":9045,"video_url":"https://video.twimg.com/ext_tw_video/1868397164944109568/pu/vid/avc1/720x720/4WK6CErIfYZduMQt.mp4?tag=12"}]</t>
  </si>
  <si>
    <t>CPFC</t>
  </si>
  <si>
    <t>Cry███l P███ce ██████</t>
  </si>
  <si>
    <t>THAT'S OUR NUMBER ONE 😤
Pure @deanhenderson passion 👇
#CPFC</t>
  </si>
  <si>
    <t>"2024-12-15T19:14:00.000Z"</t>
  </si>
  <si>
    <t>https://x.com/CPFC/status/1868373963623022990</t>
  </si>
  <si>
    <t>[{"biography":null,"followers":null,"following":null,"is_verified":null,"profile_id":"2802871119","profile_name":"Dean Henderson","url":"https://x.com/deanhenderson"}]</t>
  </si>
  <si>
    <t>["CPFC"]</t>
  </si>
  <si>
    <t>The Pride of South London.</t>
  </si>
  <si>
    <t>https://pbs.twimg.com/profile_images/1857393032883994624/qN-MGWEH_normal.jpg</t>
  </si>
  <si>
    <t>[{"duration":10933,"video_url":"https://video.twimg.com/amplify_video/1868365087041363968/vid/avc1/720x1280/8-kSOfK3KEBQCPc5.mp4?tag=14"}]</t>
  </si>
  <si>
    <t>When you book tunnel club tickets and see JP after full-time 😅
#CPFC // #BHACRY</t>
  </si>
  <si>
    <t>"2024-12-15T17:01:00.000Z"</t>
  </si>
  <si>
    <t>https://x.com/CPFC/status/1868340493404545316</t>
  </si>
  <si>
    <t>["CPFC","BHACRY"]</t>
  </si>
  <si>
    <t>[{"duration":12466,"video_url":"https://video.twimg.com/ext_tw_video/1868330360611766272/pu/vid/avc1/720x1280/a2YwrHJd9nuz8y62.mp4?tag=12"}]</t>
  </si>
  <si>
    <t>LPGA</t>
  </si>
  <si>
    <t>To tie the lead again 🚨
@Patty_MPT with a killer birdie on 16 to get to -26</t>
  </si>
  <si>
    <t>"2024-12-15T20:20:23.000Z"</t>
  </si>
  <si>
    <t>https://x.com/LPGA/status/1868390672337637399</t>
  </si>
  <si>
    <t>[{"biography":null,"followers":null,"following":null,"is_verified":null,"profile_id":"224218244","profile_name":"Patty Tavatanakit","url":"https://x.com/Patty_MPT"}]</t>
  </si>
  <si>
    <t>The LPGA is the world’s leading professional golf organization for women with Tour &amp; Teaching membership representing more than 50 different countries.</t>
  </si>
  <si>
    <t>https://pbs.twimg.com/profile_images/1665698199661600769/nxoC7o2Q_normal.jpg</t>
  </si>
  <si>
    <t>[{"duration":19986,"video_url":"https://video.twimg.com/amplify_video/1868390650007199744/vid/avc1/720x720/pY6K1-MkLhDDnBzX.mp4?tag=16"}]</t>
  </si>
  <si>
    <t>🇦🇱
#PremierSportsCup</t>
  </si>
  <si>
    <t>"2024-12-15T16:35:41.000Z"</t>
  </si>
  <si>
    <t>https://x.com/RangersFC/status/1868334123330551994</t>
  </si>
  <si>
    <t>[{"duration":83056,"video_url":"https://video.twimg.com/amplify_video/1868329832691445760/vid/avc1/1280x720/SISQ5IfLcc8w5nVQ.mp4?tag=16"}]</t>
  </si>
  <si>
    <t>BIG MOMENT FROM TAVERAS 😱
[ Watch #UFCTampa NOW on @ESPNPlus ]</t>
  </si>
  <si>
    <t>"2024-12-15T00:54:04.000Z"</t>
  </si>
  <si>
    <t>https://x.com/ufc/status/1868097158487978365</t>
  </si>
  <si>
    <t>[{"duration":7433,"video_url":"https://video.twimg.com/amplify_video/1868096746577952768/vid/avc1/720x720/cDGZy_V7dn6RUvfQ.mp4?tag=14"}]</t>
  </si>
  <si>
    <t>One shot short … again.
Alistair Docherty was T1 entering the final round of PGA TOUR Q-School presented by Korn Ferry.
A tough Sunday resulted in him falling one stroke short of his TOUR card, the same fate he suffered @KornFerryTour Championship in October.</t>
  </si>
  <si>
    <t>"2024-12-15T22:35:08.000Z"</t>
  </si>
  <si>
    <t>https://x.com/PGATOUR/status/1868424583411269763</t>
  </si>
  <si>
    <t>[{"biography":null,"followers":null,"following":null,"is_verified":null,"profile_id":"32078122","profile_name":"Korn Ferry Tour","url":"https://x.com/KornFerryTour"}]</t>
  </si>
  <si>
    <t>[{"duration":26526,"video_url":"https://video.twimg.com/amplify_video/1868421793830055936/vid/avc1/1280x720/b3x01fmrGLXD1uug.mp4?tag=14"}]</t>
  </si>
  <si>
    <t>He wants the King of Rio 👑🇧🇷
Daniel Marcos knows who he wants next! #UFCTampa</t>
  </si>
  <si>
    <t>"2024-12-15T04:20:01.000Z"</t>
  </si>
  <si>
    <t>https://x.com/ufc/status/1868148984205680839</t>
  </si>
  <si>
    <t>[{"duration":22200,"video_url":"https://video.twimg.com/ext_tw_video/1868148902102188032/pu/vid/avc1/720x720/9nU8i2MmueKfvQI-.mp4?tag=12"}]</t>
  </si>
  <si>
    <t>THE SNIPER GETS IT DONE IN THE FIRST ROUND 😱
@SeanWoodsonMMA adds another to the resume! #UFCTampa</t>
  </si>
  <si>
    <t>"2024-12-15T02:18:47.000Z"</t>
  </si>
  <si>
    <t>https://x.com/ufc/status/1868118476881330351</t>
  </si>
  <si>
    <t>[{"biography":null,"followers":null,"following":null,"is_verified":null,"profile_id":"915290833456427009","profile_name":"Sean Woodson","url":"https://x.com/SeanWoodsonMMA"}]</t>
  </si>
  <si>
    <t>[{"duration":24367,"video_url":"https://video.twimg.com/ext_tw_video/1868117729607098369/pu/vid/avc1/720x720/sxmO2f5b77GowsRM.mp4?tag=12"}]</t>
  </si>
  <si>
    <t>Lots of action in the #UFCTampa prelims! 
[ LIVE NOW on @ESPNPlus ]</t>
  </si>
  <si>
    <t>"2024-12-15T01:41:43.000Z"</t>
  </si>
  <si>
    <t>https://x.com/ufc/status/1868109148682133853</t>
  </si>
  <si>
    <t>[{"duration":21434,"video_url":"https://video.twimg.com/ext_tw_video/1868109090804690945/pu/vid/avc1/720x720/wWqNbEtjZ0h-OMRP.mp4?tag=12"}]</t>
  </si>
  <si>
    <t>"Rank me and run me my 50!" 💰
@SeanWoodsonMMA makes it four in a row at #UFCTampa
[ LIVE NOW on @ESPNPlus PPV ]</t>
  </si>
  <si>
    <t>"2024-12-15T02:20:13.000Z"</t>
  </si>
  <si>
    <t>https://x.com/ufc/status/1868118839558545483</t>
  </si>
  <si>
    <t>[{"biography":null,"followers":null,"following":null,"is_verified":null,"profile_id":"915290833456427009","profile_name":"Sean Woodson","url":"https://x.com/SeanWoodsonMMA"},{"biography":null,"followers":null,"following":null,"is_verified":null,"profile_id":"1044284694387412992","profile_name":"ESPN+","url":"https://x.com/ESPNPlus"}]</t>
  </si>
  <si>
    <t>[{"duration":15167,"video_url":"https://video.twimg.com/ext_tw_video/1868118644992946176/pu/vid/avc1/720x720/OVp31xllul33x4fg.mp4?tag=12"}]</t>
  </si>
  <si>
    <t>Fitz is ready for #UFCTampa, are you? 🫵
[ LIVE on @ESPNPlus right NOW ]</t>
  </si>
  <si>
    <t>"2024-12-15T00:05:00.000Z"</t>
  </si>
  <si>
    <t>https://x.com/ufc/status/1868084807374450737</t>
  </si>
  <si>
    <t>[{"duration":17533,"video_url":"https://video.twimg.com/ext_tw_video/1868081613159956481/pu/vid/avc1/720x1280/XLdffLCrt-FcoBpX.mp4?tag=12"}]</t>
  </si>
  <si>
    <t>Featherweight frenzy headed your way! 👊
@SeanWoodsonMMA vs Fernando Padilla
[ #UFCTampa is LIVE on @ESPNPlus ]</t>
  </si>
  <si>
    <t>"2024-12-15T02:04:18.000Z"</t>
  </si>
  <si>
    <t>https://x.com/ufc/status/1868114831682748901</t>
  </si>
  <si>
    <t>[{"duration":5472,"video_url":"https://video.twimg.com/ext_tw_video/1868068170650599424/pu/vid/avc1/718x720/dxqMR5xEN2y4yntr.mp4?tag=12"}]</t>
  </si>
  <si>
    <t>Volkswagen’s stalemate with labor leaders looks increasingly likely to drag into 2025, denying CEO Oliver Blume the fresh start he’s seeking to turn around Europe’s biggest carmaker</t>
  </si>
  <si>
    <t>"2024-12-16T05:09:09.000Z"</t>
  </si>
  <si>
    <t>https://x.com/business/status/1868523738964037954</t>
  </si>
  <si>
    <t>https://trib.al/AFFxPYS</t>
  </si>
  <si>
    <t>["https://pbs.twimg.com/card_img/1868523743334498304/sN1eE05t?format=jpg&amp;name=orig"]</t>
  </si>
  <si>
    <t>Morgan Stanley sees the value of the dollar below current levels by Dec. 2025.</t>
  </si>
  <si>
    <t>"2024-12-16T04:26:01.000Z"</t>
  </si>
  <si>
    <t>https://x.com/business/status/1868512884524761335</t>
  </si>
  <si>
    <t>https://trib.al/iARuOhG</t>
  </si>
  <si>
    <t>["https://pbs.twimg.com/card_img/1868348216262946816/Na7QeRLO?format=jpg&amp;name=orig"]</t>
  </si>
  <si>
    <t>President Yoon Suk Yeol’s demise may have been swift and shocking, but he is just the latest in a growing list of South Korean leaders who’ve seen their fortunes turn after rising to power.
A look at the former heads of state and what happened to them ⤵</t>
  </si>
  <si>
    <t>"2024-12-16T01:46:10.000Z"</t>
  </si>
  <si>
    <t>https://x.com/business/status/1868472655008973166</t>
  </si>
  <si>
    <t>https://trib.al/NCEcVTi</t>
  </si>
  <si>
    <t>["https://pbs.twimg.com/card_img/1868466954454872064/Dtd1IgQf?format=jpg&amp;name=orig"]</t>
  </si>
  <si>
    <t>The steps are the latest as Biden races to tie off key files before a transfer of power that could reverse many of them.</t>
  </si>
  <si>
    <t>"2024-12-16T04:52:04.000Z"</t>
  </si>
  <si>
    <t>https://x.com/business/status/1868519440171561212</t>
  </si>
  <si>
    <t>https://trib.al/b6DrAEd</t>
  </si>
  <si>
    <t>["https://pbs.twimg.com/card_img/1868311042129809408/P1eu2K_2?format=jpg&amp;name=orig"]</t>
  </si>
  <si>
    <t>President-elect Donald Trump has expressed interest in privatizing the US Postal Service, the Washington Post reported.</t>
  </si>
  <si>
    <t>"2024-12-15T19:09:25.000Z"</t>
  </si>
  <si>
    <t>https://x.com/business/status/1868372811078635995</t>
  </si>
  <si>
    <t>https://trib.al/GTsQqcq</t>
  </si>
  <si>
    <t>["https://pbs.twimg.com/card_img/1867913365898571776/LR3q68BM?format=jpg&amp;name=orig"]</t>
  </si>
  <si>
    <t>The UK and Australia plan to underscore their resolve to maintain a defense pact with the US at a meeting on Monday amid concern about President-elect Donald Trump’s commitment to the agreement.</t>
  </si>
  <si>
    <t>"2024-12-16T04:17:07.000Z"</t>
  </si>
  <si>
    <t>https://x.com/business/status/1868510642535006666</t>
  </si>
  <si>
    <t>https://trib.al/bxB081j</t>
  </si>
  <si>
    <t>["https://pbs.twimg.com/card_img/1868419644911915008/_Fs2kJ09?format=jpg&amp;name=orig"]</t>
  </si>
  <si>
    <t>Americans are likely to be seeing more drones in the night sky, but there’s no evidence of foreign involvement or a national security risk, Homeland Security Secretary Alejandro Mayorkas said</t>
  </si>
  <si>
    <t>"2024-12-15T15:13:39.000Z"</t>
  </si>
  <si>
    <t>https://x.com/business/status/1868313477112086859</t>
  </si>
  <si>
    <t>https://trib.al/5IVf16g</t>
  </si>
  <si>
    <t>Countries hit by severe storms and droughts are buying parametric insurance to help with recovery.
But it doesn’t always pay out — and it’s no substitute for climate compensation withheld by the rich world</t>
  </si>
  <si>
    <t>"2024-12-15T09:23:05.000Z"</t>
  </si>
  <si>
    <t>https://x.com/business/status/1868225255124197866</t>
  </si>
  <si>
    <t>https://trib.al/yAe9k6h</t>
  </si>
  <si>
    <t>["https://pbs.twimg.com/card_img/1867087425002000384/Zx-Lo66-?format=jpg&amp;name=orig"]</t>
  </si>
  <si>
    <t>Five of the so-called “Bali Nine” prisoners were returned to Australia, more than 19 years after their arrests in a drug smuggling case that periodically damaged ties with Indonesia</t>
  </si>
  <si>
    <t>"2024-12-15T08:02:23.000Z"</t>
  </si>
  <si>
    <t>https://x.com/business/status/1868204947692458112</t>
  </si>
  <si>
    <t>https://trib.al/pJJYwyu</t>
  </si>
  <si>
    <t>["https://pbs.twimg.com/card_img/1868204949655408640/Z_-U0BLs?format=jpg&amp;name=orig"]</t>
  </si>
  <si>
    <t>Countries are getting choosier over who gets to become a citizen and how</t>
  </si>
  <si>
    <t>"2024-12-15T05:41:08.000Z"</t>
  </si>
  <si>
    <t>https://x.com/business/status/1868169398957015210</t>
  </si>
  <si>
    <t>https://trib.al/ZwM9ydV</t>
  </si>
  <si>
    <t>["https://pbs.twimg.com/card_img/1867559452347355136/jErnLwKo?format=jpg&amp;name=orig"]</t>
  </si>
  <si>
    <t>dun███uni███fc</t>
  </si>
  <si>
    <t>Dun███ Un███d F███</t>
  </si>
  <si>
    <t>Cool, calm and collected from 12 yards to move top of the @WilliamHill Premiership scoring charts 📈</t>
  </si>
  <si>
    <t>"2024-12-15T11:08:25.000Z"</t>
  </si>
  <si>
    <t>https://x.com/dundeeunitedfc/status/1868251761489699047</t>
  </si>
  <si>
    <t>[{"biography":null,"followers":null,"following":null,"is_verified":null,"profile_id":"16667278","profile_name":"William Hill","url":"https://x.com/WilliamHill"}]</t>
  </si>
  <si>
    <t>The official X account of Dundee United Football Club.</t>
  </si>
  <si>
    <t>https://pbs.twimg.com/profile_images/1866423517069316096/rYsfCuJn_normal.jpg</t>
  </si>
  <si>
    <t>[{"duration":17200,"video_url":"https://video.twimg.com/amplify_video/1868091124688027648/vid/avc1/1080x1080/sQSZfGxzkckW84FH.mp4?tag=16"}]</t>
  </si>
  <si>
    <t>Final day at Hampden 👊
#PremierSportsCup</t>
  </si>
  <si>
    <t>"2024-12-15T13:48:56.000Z"</t>
  </si>
  <si>
    <t>https://x.com/RangersFC/status/1868292157217399091</t>
  </si>
  <si>
    <t>[{"duration":9200,"video_url":"https://video.twimg.com/amplify_video/1868292095200395264/vid/avc1/1080x1920/wKQ9OcaLzI_P_Qy5.mp4?tag=16"}]</t>
  </si>
  <si>
    <t>😮‍💨 A double quick turnaround! 
From one behind, @CelticFC now lead the Premier Sports Cup Final through Daizen Maeda 🎯</t>
  </si>
  <si>
    <t>"2024-12-15T16:58:30.000Z"</t>
  </si>
  <si>
    <t>https://x.com/spfl/status/1868339864053354823</t>
  </si>
  <si>
    <t>[{"duration":74136,"video_url":"https://video.twimg.com/amplify_video/1868339555071361025/vid/avc1/1280x720/43yTugpoOyiKJfI0.mp4?tag=16"}]</t>
  </si>
  <si>
    <t>Delivery: ™️
Finish: Ismaïla
🤌
#CPFC</t>
  </si>
  <si>
    <t>https://x.com/CPFC/status/1868423291288891489</t>
  </si>
  <si>
    <t>[{"duration":43840,"video_url":"https://video.twimg.com/amplify_video/1868371000473083904/vid/avc1/720x720/m_TPSSmv-LVVnvJi.mp4?tag=14"}]</t>
  </si>
  <si>
    <t>🐈 
#CPFC // #BHACRY</t>
  </si>
  <si>
    <t>"2024-12-15T15:42:12.000Z"</t>
  </si>
  <si>
    <t>https://x.com/CPFC/status/1868320662282231935</t>
  </si>
  <si>
    <t>[{"duration":25560,"video_url":"https://video.twimg.com/amplify_video/1868316373677457408/vid/avc1/1920x1080/dNV2rKex5UevGe7u.mp4?tag=16"}]</t>
  </si>
  <si>
    <t>"I'm the one who can destroy Pantoja."
@ManelKape wants a title fight next! #UFCTampa</t>
  </si>
  <si>
    <t>"2024-12-15T05:27:32.000Z"</t>
  </si>
  <si>
    <t>https://x.com/ufc/status/1868165978049380565</t>
  </si>
  <si>
    <t>[{"duration":40966,"video_url":"https://video.twimg.com/ext_tw_video/1868165723849146368/pu/vid/avc1/720x720/ZmzuT-p73o7__8xk.mp4?tag=12"}]</t>
  </si>
  <si>
    <t>ARE YOU GUYS WATCHING THIS?! 
[ #UFCTampa is LIVE on @ESPNPlus &amp;amp; ESPN2 ]</t>
  </si>
  <si>
    <t>"2024-12-15T05:08:53.000Z"</t>
  </si>
  <si>
    <t>https://x.com/ufc/status/1868161284048658844</t>
  </si>
  <si>
    <t>[{"duration":23067,"video_url":"https://video.twimg.com/ext_tw_video/1868161247008509952/pu/vid/avc1/720x720/f-QcwPGnRICj9R2y.mp4?tag=12"}]</t>
  </si>
  <si>
    <t>Sunday underway 👊
Watch @BenettonRugby v @BathRugby live on @PremSportsTV,</t>
  </si>
  <si>
    <t>"2024-12-15T13:05:34.000Z"</t>
  </si>
  <si>
    <t>https://x.com/ChampionsCup/status/1868281246133924148</t>
  </si>
  <si>
    <t>[{"biography":null,"followers":null,"following":null,"is_verified":null,"profile_id":"164704175","profile_name":"Benetton Rugby 🦁","url":"https://x.com/BenettonRugby"},{"biography":null,"followers":null,"following":null,"is_verified":null,"profile_id":"41795957","profile_name":"Bath Rugby","url":"https://x.com/BathRugby"},{"biography":null,"followers":null,"following":null,"is_verified":null,"profile_id":"159582357","profile_name":"Premier Sports","url":"https://x.com/PremSportsTV"},{"biography":null,"followers":null,"following":null,"is_verified":null,"profile_id":"569138069","profile_name":"beIN SPORTS","url":"https://x.com/beinsports_FR"},{"biography":null,"followers":null,"following":null,"is_verified":null,"profile_id":"747828622023503872","profile_name":"FloRugby","url":"https://x.com/FloRugby"}]</t>
  </si>
  <si>
    <t>http://epcrugby.tv/</t>
  </si>
  <si>
    <t>[{"duration":20967,"video_url":"https://video.twimg.com/amplify_video/1868281224357085184/vid/avc1/1280x720/-4eM5KVbzDb83_5w.mp4?tag=16"}]</t>
  </si>
  <si>
    <t>A TRIO YOU DIDN'T KNOW YOU NEEDED 🤩
An epic walk out for @ColbyCovMMA!
#UFCTampa | @HulkHogan | @ChaelSonnen | @WWE</t>
  </si>
  <si>
    <t>"2024-12-15T06:00:59.000Z"</t>
  </si>
  <si>
    <t>https://x.com/ufc/status/1868174393693945987</t>
  </si>
  <si>
    <t>[{"biography":null,"followers":null,"following":null,"is_verified":null,"profile_id":"442456291","profile_name":"Colby Covington","url":"https://x.com/ColbyCovMMA"},{"biography":null,"followers":null,"following":null,"is_verified":null,"profile_id":"179932936","profile_name":"Hulk Hogan","url":"https://x.com/HulkHogan"},{"biography":null,"followers":null,"following":null,"is_verified":null,"profile_id":"28951400","profile_name":"Chael Sonnen","url":"https://x.com/ChaelSonnen"},{"biography":null,"followers":null,"following":null,"is_verified":null,"profile_id":"7517222","profile_name":"WWE","url":"https://x.com/WWE"}]</t>
  </si>
  <si>
    <t>[{"duration":37366,"video_url":"https://video.twimg.com/ext_tw_video/1868174204014563328/pu/vid/avc1/720x720/qFpGKdxsxSJV3c32.mp4?tag=12"}]</t>
  </si>
  <si>
    <t>What a finish at Stadio Monigo 🤯
Instant highlights of @BenettonRugby's last-minute win ➡️</t>
  </si>
  <si>
    <t>"2024-12-15T15:29:02.000Z"</t>
  </si>
  <si>
    <t>https://x.com/ChampionsCup/status/1868317350425944236</t>
  </si>
  <si>
    <t>[{"biography":null,"followers":null,"following":null,"is_verified":null,"profile_id":"164704175","profile_name":"Benetton Rugby 🦁","url":"https://x.com/BenettonRugby"}]</t>
  </si>
  <si>
    <t>https://www.youtube.com/watch?v=vBknm04-yuk</t>
  </si>
  <si>
    <t>[{"duration":22640,"video_url":"https://video.twimg.com/amplify_video/1868317320247971840/vid/avc1/1280x720/Pfmy_QqYgFtSj2t3.mp4?tag=16"}]</t>
  </si>
  <si>
    <t>A special night, and a special moment for @CodyRhodes! 🦅 🏆
#SNME</t>
  </si>
  <si>
    <t>"2024-12-15T02:45:44.000Z"</t>
  </si>
  <si>
    <t>https://x.com/WWE/status/1868125259989152064</t>
  </si>
  <si>
    <t>[{"biography":null,"followers":null,"following":null,"is_verified":null,"profile_id":"516771605","profile_name":"Cody Rhodes","url":"https://x.com/CodyRhodes"}]</t>
  </si>
  <si>
    <t>[{"duration":91934,"video_url":"https://video.twimg.com/amplify_video/1868125152879206400/vid/avc1/1920x1080/vQNI5XFmBBattK32.mp4?tag=16"}]</t>
  </si>
  <si>
    <t>The operation by the Palestinian Authority, targeting Hamas and Islamic Jihad militants in the city of Jenin, was launched on Dec. 5.</t>
  </si>
  <si>
    <t>"2024-12-16T04:55:08.000Z"</t>
  </si>
  <si>
    <t>https://x.com/business/status/1868520211248279840</t>
  </si>
  <si>
    <t>https://trib.al/RK1S3C4</t>
  </si>
  <si>
    <t>["https://pbs.twimg.com/card_img/1868362710066307072/1vuEYq8E?format=jpg&amp;name=orig"]</t>
  </si>
  <si>
    <t>To deter perpetrators, the government wants to impose a fine of 200 francs ($224) for showing Nazi symbols in public.</t>
  </si>
  <si>
    <t>"2024-12-16T04:28:02.000Z"</t>
  </si>
  <si>
    <t>https://x.com/business/status/1868513392308215898</t>
  </si>
  <si>
    <t>https://trib.al/jtFlPTL</t>
  </si>
  <si>
    <t>["https://pbs.twimg.com/card_img/1867910958787502080/-3PUbr5j?format=jpg&amp;name=orig"]</t>
  </si>
  <si>
    <t>The president is in good condition, walking and eating, his doctors said.</t>
  </si>
  <si>
    <t>"2024-12-16T04:23:03.000Z"</t>
  </si>
  <si>
    <t>https://x.com/business/status/1868512137405997162</t>
  </si>
  <si>
    <t>https://trib.al/cB0io0T</t>
  </si>
  <si>
    <t>China’s retail sales growth unexpectedly slowed, highlighting the urgency for Beijing to get people to spend</t>
  </si>
  <si>
    <t>"2024-12-16T02:54:09.000Z"</t>
  </si>
  <si>
    <t>https://x.com/business/status/1868489764300525600</t>
  </si>
  <si>
    <t>https://trib.al/3r3pkQZ</t>
  </si>
  <si>
    <t>["https://pbs.twimg.com/card_img/1868476950047510528/D-bECC0j?format=jpg&amp;name=orig"]</t>
  </si>
  <si>
    <t>Indian tycoons Ambani and Adani have tumbled out of the elite centibillionaires club. Here's the outlook for their fortunes.</t>
  </si>
  <si>
    <t>"2024-12-15T23:21:10.000Z"</t>
  </si>
  <si>
    <t>https://x.com/business/status/1868436164668989786</t>
  </si>
  <si>
    <t>https://trib.al/BeoTuAl</t>
  </si>
  <si>
    <t>Where are all the women in the chip industry, asks @cathythorbecke. The sector, which is facing a global labor shortage, needs to engage the other half of the world's population</t>
  </si>
  <si>
    <t>"2024-12-16T00:04:10.000Z"</t>
  </si>
  <si>
    <t>https://x.com/business/status/1868446988422799470</t>
  </si>
  <si>
    <t>[{"biography":null,"followers":null,"following":null,"is_verified":null,"profile_id":"3018443086","profile_name":"Catherine Thorbecke","url":"https://x.com/cathythorbecke"},{"biography":null,"followers":null,"following":null,"is_verified":null,"profile_id":"227682918","profile_name":"Bloomberg Opinion","url":"https://x.com/opinion"}]</t>
  </si>
  <si>
    <t>https://trib.al/w0lW9MF</t>
  </si>
  <si>
    <t>["https://pbs.twimg.com/card_img/1868404268933234688/Dkb9woQj?format=jpg&amp;name=orig"]</t>
  </si>
  <si>
    <t>Following five years of stagnation, Germany’s economy is now 5% smaller than it would have been and the bulk of the shortfall will be tough to recover</t>
  </si>
  <si>
    <t>"2024-12-15T22:29:52.000Z"</t>
  </si>
  <si>
    <t>https://x.com/business/status/1868423255633059960</t>
  </si>
  <si>
    <t>https://trib.al/i2xaEJJ</t>
  </si>
  <si>
    <t>["https://pbs.twimg.com/card_img/1868416113454764032/5k5IzvuW?format=jpg&amp;name=orig"]</t>
  </si>
  <si>
    <t>Democrats should spend less time debating abstract ideas like "predistributionism," says @mattyglesias, and focus on concrete policies to raise living standards</t>
  </si>
  <si>
    <t>"2024-12-15T16:00:39.000Z"</t>
  </si>
  <si>
    <t>https://x.com/business/status/1868325305800184176</t>
  </si>
  <si>
    <t>[{"biography":null,"followers":null,"following":null,"is_verified":null,"profile_id":"15446531","profile_name":"Matthew Yglesias","url":"https://x.com/mattyglesias"},{"biography":null,"followers":null,"following":null,"is_verified":null,"profile_id":"227682918","profile_name":"Bloomberg Opinion","url":"https://x.com/opinion"}]</t>
  </si>
  <si>
    <t>https://trib.al/9iriAJH</t>
  </si>
  <si>
    <t>["https://pbs.twimg.com/card_img/1868298838642925568/TEhSCEPf?format=jpg&amp;name=orig"]</t>
  </si>
  <si>
    <t>Singapore has embraced cryptocurrency more than any other country - but it's been a bumpy ride. 
Find out why in this week's free Singapore Edition newsletter.</t>
  </si>
  <si>
    <t>"2024-12-15T11:26:03.000Z"</t>
  </si>
  <si>
    <t>https://x.com/business/status/1868256200162209998</t>
  </si>
  <si>
    <t>https://trib.al/yeJqUEE</t>
  </si>
  <si>
    <t>["https://pbs.twimg.com/card_img/1867736560818425857/DeBFyDU7?format=jpg&amp;name=orig"]</t>
  </si>
  <si>
    <t>"2024-12-15T08:51:03.000Z"</t>
  </si>
  <si>
    <t>https://x.com/business/status/1868217194812723435</t>
  </si>
  <si>
    <t>https://trib.al/uzuoh4c</t>
  </si>
  <si>
    <t>South Korea’s main opposition leader Lee Jae-myung said there are no plans for now to impeach Acting President Han Duck-soo, who’s facing investigations over his role in the martial law decision.</t>
  </si>
  <si>
    <t>"2024-12-15T03:06:16.000Z"</t>
  </si>
  <si>
    <t>https://x.com/business/status/1868130425706578121</t>
  </si>
  <si>
    <t>https://trib.al/RIlGaMO</t>
  </si>
  <si>
    <t>["https://pbs.twimg.com/card_img/1868130427195535360/pbPiVFYR?format=jpg&amp;name=orig"]</t>
  </si>
  <si>
    <t>Reform UK is prepared to name an alleged Chinese spy linked to the Duke of York - despite a court order protecting his identity, Nigel Farage has said.</t>
  </si>
  <si>
    <t>"2024-12-15T01:55:33.000Z"</t>
  </si>
  <si>
    <t>https://x.com/business/status/1868112631011098721</t>
  </si>
  <si>
    <t>https://trib.al/1Yy2lYk</t>
  </si>
  <si>
    <t>["https://pbs.twimg.com/card_img/1868112068219457536/M_8rLrUh?format=jpg&amp;name=orig"]</t>
  </si>
  <si>
    <t>Ran███s F███bal████���████</t>
  </si>
  <si>
    <t>🎯 @DaniloPereira9 | #PremierSportsCup</t>
  </si>
  <si>
    <t>"2024-12-15T17:31:57.000Z"</t>
  </si>
  <si>
    <t>https://x.com/RangersFC/status/1868348281165853013</t>
  </si>
  <si>
    <t>[{"biography":null,"followers":null,"following":null,"is_verified":null,"profile_id":"1392549914761121795","profile_name":"Danilo Pereira","url":"https://x.com/DaniloPereira9"}]</t>
  </si>
  <si>
    <t>A huge moment from Nicolas Kühn puts @CelticFC ahead late on! 💪</t>
  </si>
  <si>
    <t>"2024-12-15T17:27:29.000Z"</t>
  </si>
  <si>
    <t>https://x.com/spfl/status/1868347159349018754</t>
  </si>
  <si>
    <t>[{"duration":88256,"video_url":"https://video.twimg.com/amplify_video/1868346370509213696/vid/avc1/1280x720/p8SPqd6iRlHL2A9t.mp4?tag=16"}]</t>
  </si>
  <si>
    <t>Icy cool under pressure 🥶
Daizen Maeda converts the crucial spot kick to clinch the Premier Sports Cup for @CelticFC 🏆</t>
  </si>
  <si>
    <t>"2024-12-15T18:28:53.000Z"</t>
  </si>
  <si>
    <t>https://x.com/spfl/status/1868362608463753713</t>
  </si>
  <si>
    <t>[{"duration":104136,"video_url":"https://video.twimg.com/amplify_video/1868362106745090049/vid/avc1/1280x720/6wbONiyclFuHsz5S.mp4?tag=16"}]</t>
  </si>
  <si>
    <t>🗨️ "The way we competed against a very good team was very impressive"
Thomas Frank on tonight's defeat
#CHEBRE | @pensionbee</t>
  </si>
  <si>
    <t>"2024-12-15T23:31:30.000Z"</t>
  </si>
  <si>
    <t>https://x.com/BrentfordFC/status/1868438766936813825</t>
  </si>
  <si>
    <t>[{"biography":null,"followers":null,"following":null,"is_verified":null,"profile_id":"2919959547","profile_name":"PensionBee UK","url":"https://x.com/pensionbee"}]</t>
  </si>
  <si>
    <t>[{"duration":141320,"video_url":"https://video.twimg.com/amplify_video/1868438276131966977/vid/avc1/1080x1080/DnfK6ksxVwD_WZac.mp4?tag=16"}]</t>
  </si>
  <si>
    <t>41' | 0⃣-1⃣ #CELRAN
GOAL RANGERS! Nedim Bajrami has the holders in front!
🏆 #PremierSportsCup</t>
  </si>
  <si>
    <t>"2024-12-15T16:14:39.000Z"</t>
  </si>
  <si>
    <t>https://x.com/spfl/status/1868328828147302665</t>
  </si>
  <si>
    <t>["CELRAN","PremierSportsCup"]</t>
  </si>
  <si>
    <t>[{"duration":10000,"video_url":"https://video.twimg.com/amplify_video/1868294310975692800/vid/avc1/1080x1080/etFFbWAprfE809AT.mp4?tag=16"}]</t>
  </si>
  <si>
    <t>Spu███ffi███l</t>
  </si>
  <si>
    <t>Tot███ham███tsp███</t>
  </si>
  <si>
    <t>"It was a really good team performance and good to bounce back from the last few weeks." 🗣️
Lucas reflects on his first @premierleague start and our win against Southampton 🙌</t>
  </si>
  <si>
    <t>"2024-12-15T22:13:12.000Z"</t>
  </si>
  <si>
    <t>https://x.com/SpursOfficial/status/1868419061190709275</t>
  </si>
  <si>
    <t>COYS 🤍</t>
  </si>
  <si>
    <t>https://pbs.twimg.com/profile_images/1864976047902498816/FUkKarj7_normal.jpg</t>
  </si>
  <si>
    <t>[{"duration":129759,"video_url":"https://video.twimg.com/amplify_video/1868408856566484992/vid/avc1/720x720/-OlpUrx5DaMOs5L7.mp4?tag=14"}]</t>
  </si>
  <si>
    <t>It's advantage @RangersFC in the Premier Sports Cup Final! 🏆
Nedim Bajrami with another huge goal at Hampden Park.</t>
  </si>
  <si>
    <t>"2024-12-15T16:19:57.000Z"</t>
  </si>
  <si>
    <t>https://x.com/spfl/status/1868330165052571936</t>
  </si>
  <si>
    <t>He's not done YET‼️
@CubSwanson | #UFCTampa</t>
  </si>
  <si>
    <t>"2024-12-15T05:46:22.000Z"</t>
  </si>
  <si>
    <t>https://x.com/ufc/status/1868170717499666757</t>
  </si>
  <si>
    <t>[{"biography":null,"followers":null,"following":null,"is_verified":null,"profile_id":"30506859","profile_name":"Cub Swanson","url":"https://x.com/CubSwanson"}]</t>
  </si>
  <si>
    <t>[{"duration":26300,"video_url":"https://video.twimg.com/ext_tw_video/1868170663757783040/pu/vid/avc1/720x720/b2EzbBRlwIJVXkQ9.mp4?tag=12"}]</t>
  </si>
  <si>
    <t>Cementing his legacy 🤍
Sonny is now the all-time @premierleague assist leader for the Club with 68! 👑</t>
  </si>
  <si>
    <t>"2024-12-15T22:07:04.000Z"</t>
  </si>
  <si>
    <t>https://x.com/SpursOfficial/status/1868417516223303898</t>
  </si>
  <si>
    <t>[{"duration":20900,"video_url":"https://video.twimg.com/ext_tw_video/1868417201650159616/pu/vid/avc1/720x1280/m6JriDBUjtaE7SKi.mp4?tag=12"}]</t>
  </si>
  <si>
    <t>Flyweights looking to extend their win streaks 👊
@FearTheMAVERICK vs Jamey-Lyn Horth
[ #UFCTampa is LIVE on @ESPNPlus ]</t>
  </si>
  <si>
    <t>"2024-12-15T01:07:45.000Z"</t>
  </si>
  <si>
    <t>https://x.com/ufc/status/1868100599398506501</t>
  </si>
  <si>
    <t>[{"biography":null,"followers":null,"following":null,"is_verified":null,"profile_id":"1314612088493535234","profile_name":"Miranda Maverick","url":"https://x.com/FearTheMAVERICK"},{"biography":null,"followers":null,"following":null,"is_verified":null,"profile_id":"1044284694387412992","profile_name":"ESPN+","url":"https://x.com/ESPNPlus"}]</t>
  </si>
  <si>
    <t>[{"duration":5472,"video_url":"https://video.twimg.com/ext_tw_video/1868068042862723072/pu/vid/avc1/718x720/WTt6OJFv1qJl7wbl.mp4?tag=12"}]</t>
  </si>
  <si>
    <t>And that's a WRAP for 2024 🎉
#UFCTampa</t>
  </si>
  <si>
    <t>"2024-12-15T07:02:09.000Z"</t>
  </si>
  <si>
    <t>https://x.com/ufc/status/1868189788861571429</t>
  </si>
  <si>
    <t>[{"duration":86200,"video_url":"https://video.twimg.com/ext_tw_video/1868189659357966336/pu/vid/avc1/608x1080/005uCf6WcWeCkFEM.mp4?tag=12"}]</t>
  </si>
  <si>
    <t>They're making every minute count! 😲
Tune in to @ESPNPlus &amp;amp; ESPN2 NOW to watch #UFCTampa!</t>
  </si>
  <si>
    <t>"2024-12-15T04:08:49.000Z"</t>
  </si>
  <si>
    <t>https://x.com/ufc/status/1868146167231471811</t>
  </si>
  <si>
    <t>[{"duration":32766,"video_url":"https://video.twimg.com/amplify_video/1868145907687976960/vid/avc1/720x720/Az1dajtE5LaqcpLF.mp4?tag=14"}]</t>
  </si>
  <si>
    <t>.@CodyRhodes wasn't about to take that from @FightOwensFight! 😤
#SNME</t>
  </si>
  <si>
    <t>"2024-12-15T02:53:47.000Z"</t>
  </si>
  <si>
    <t>https://x.com/WWE/status/1868127286593007841</t>
  </si>
  <si>
    <t>[{"biography":null,"followers":null,"following":null,"is_verified":null,"profile_id":"516771605","profile_name":"Cody Rhodes","url":"https://x.com/CodyRhodes"},{"biography":null,"followers":null,"following":null,"is_verified":null,"profile_id":"195508960","profile_name":"Kevin","url":"https://x.com/FightOwensFight"}]</t>
  </si>
  <si>
    <t>[{"duration":26467,"video_url":"https://video.twimg.com/amplify_video/1868127230112485377/vid/avc1/1920x1080/R0iDtvAqhU5oPezS.mp4?tag=16"}]</t>
  </si>
  <si>
    <t>@Bucks @hornets @MiamiHEAT @nuggets @OrlandoMagic @spurs @memgrizz @warriors @SacramentoKings Jalen Green helps lift the @HoustonRockets on the road!
Amen Thompson: 22 PTS, 8 REB, 4 AST
Dillon Brooks: 19 PTS (4 3PM), 7 REB, 5 AST, 2 BLK
Jabari Smith Jr.: 13 PTS, 12 REB
Alperen Sengun: 11 PTS, 10 REB, 6 AST</t>
  </si>
  <si>
    <t>"2024-12-09T05:51:44.000Z"</t>
  </si>
  <si>
    <t>["https://pbs.twimg.com/media/GeVaQYWXcAAwO66.jpg"]</t>
  </si>
  <si>
    <t>https://x.com/NBA/status/1865997739303063765</t>
  </si>
  <si>
    <t>[{"biography":null,"followers":null,"following":null,"is_verified":null,"profile_id":"15900167","profile_name":"Milwaukee Bucks","url":"https://x.com/Bucks"},{"biography":null,"followers":null,"following":null,"is_verified":null,"profile_id":"21308488","profile_name":"Charlotte Hornets","url":"https://x.com/hornets"},{"biography":null,"followers":null,"following":null,"is_verified":null,"profile_id":"11026952","profile_name":"Miami HEAT","url":"https://x.com/MiamiHEAT"},{"biography":null,"followers":null,"following":null,"is_verified":null,"profile_id":"26074296","profile_name":"Denver Nuggets","url":"https://x.com/nuggets"},{"biography":null,"followers":null,"following":null,"is_verified":null,"profile_id":"19537303","profile_name":"Orlando Magic","url":"https://x.com/OrlandoMagic"},{"biography":null,"followers":null,"following":null,"is_verified":null,"profile_id":"18371803","profile_name":"San Antonio Spurs","url":"https://x.com/spurs"},{"biography":null,"followers":null,"following":null,"is_verified":null,"profile_id":"7117962","profile_name":"Memphis Grizzlies","url":"https://x.com/memgrizz"},{"biography":null,"followers":null,"following":null,"is_verified":null,"profile_id":"26270913","profile_name":"Golden State Warriors","url":"https://x.com/warriors"},{"biography":null,"followers":null,"following":null,"is_verified":null,"profile_id":"667563","profile_name":"Sacramento Kings","url":"https://x.com/SacramentoKings"},{"biography":null,"followers":null,"following":null,"is_verified":null,"profile_id":"19077044","profile_name":"Houston Rockets","url":"https://x.com/HoustonRockets"}]</t>
  </si>
  <si>
    <t>{"post_id":"1865991377466572874","profile_id":"19923144","profile_name":"NBA"}</t>
  </si>
  <si>
    <t>Indian tycoons Ambani and Adani have tumbled out of the elite centibillionaires club.
Here's the outlook for their fortunes ⤵</t>
  </si>
  <si>
    <t>"2024-12-16T02:45:08.000Z"</t>
  </si>
  <si>
    <t>https://x.com/business/status/1868487493865058746</t>
  </si>
  <si>
    <t>https://trib.al/LLQUo0e</t>
  </si>
  <si>
    <t>President Joe Biden plans to take action on land protections, clemency and artificial intelligence in the final weeks of his administration, as he looks to codify his legacy before Donald Trump’s inauguration</t>
  </si>
  <si>
    <t>"2024-12-15T15:04:44.000Z"</t>
  </si>
  <si>
    <t>https://x.com/business/status/1868311235256545429</t>
  </si>
  <si>
    <t>https://trib.al/JD8cKtt</t>
  </si>
  <si>
    <t>Watch these 50 companies in 2025</t>
  </si>
  <si>
    <t>"2024-12-15T13:11:03.000Z"</t>
  </si>
  <si>
    <t>https://x.com/business/status/1868282626814992424</t>
  </si>
  <si>
    <t>https://trib.al/U7IQYjf</t>
  </si>
  <si>
    <t>["https://pbs.twimg.com/card_img/1866710732672311296/KldWxvHF?format=jpg&amp;name=orig"]</t>
  </si>
  <si>
    <t>"2024-12-15T12:52:04.000Z"</t>
  </si>
  <si>
    <t>https://x.com/business/status/1868277847321624760</t>
  </si>
  <si>
    <t>https://trib.al/zYeznYN</t>
  </si>
  <si>
    <t>Singapore home sales jumped to their highest level in more than a decade, confirming a property market revival that’s raising expectations of further government curbs</t>
  </si>
  <si>
    <t>"2024-12-16T04:33:13.000Z"</t>
  </si>
  <si>
    <t>https://x.com/business/status/1868514696602456133</t>
  </si>
  <si>
    <t>https://trib.al/aw84iG3</t>
  </si>
  <si>
    <t>["https://pbs.twimg.com/card_img/1868514277021147136/xbZXLKWJ?format=jpg&amp;name=orig"]</t>
  </si>
  <si>
    <t>South Korea’s central bank vowed to stabilize financial markets and highlighted the importance of “uninterrupted implementation” of key fiscal and economic measures, in its first statement since lawmakers voted to impeach President Yoon Suk Yeol.</t>
  </si>
  <si>
    <t>"2024-12-15T05:41:28.000Z"</t>
  </si>
  <si>
    <t>https://x.com/business/status/1868169482268516715</t>
  </si>
  <si>
    <t>https://trib.al/Px9H9HX</t>
  </si>
  <si>
    <t>["https://pbs.twimg.com/card_img/1868169331365892096/i6NPdOzx?format=jpg&amp;name=orig"]</t>
  </si>
  <si>
    <t>Extreme weather is making the beloved spice less fiery. And chefs aren’t happy.</t>
  </si>
  <si>
    <t>"2024-12-15T04:14:08.000Z"</t>
  </si>
  <si>
    <t>https://x.com/business/status/1868147507118645275</t>
  </si>
  <si>
    <t>https://trib.al/RmYhQxF</t>
  </si>
  <si>
    <t>["https://pbs.twimg.com/card_img/1867525515831083009/AMzY0LJ8?format=jpg&amp;name=orig"]</t>
  </si>
  <si>
    <t>How the viral success of South Korea's super-spicy Buldak ramen helped make the company's CEO — a former stay-home-mom — a billionaire</t>
  </si>
  <si>
    <t>"2024-12-15T00:43:03.000Z"</t>
  </si>
  <si>
    <t>https://x.com/business/status/1868094385230909601</t>
  </si>
  <si>
    <t>https://trib.al/N39L21G</t>
  </si>
  <si>
    <t>["https://pbs.twimg.com/card_img/1867300782686588928/2jLGBuRb?format=jpg&amp;name=orig"]</t>
  </si>
  <si>
    <t>"2024-12-15T00:05:02.000Z"</t>
  </si>
  <si>
    <t>https://x.com/business/status/1868084818086355424</t>
  </si>
  <si>
    <t>https://trib.al/HvCxeWB</t>
  </si>
  <si>
    <t>🎙️ PRE-MATCH: Philippe Clement spoke to @RangersTV ahead of today’s Premier Sports Cup final.
📺 RangersTV subscribers outside the UK can watch the match live:</t>
  </si>
  <si>
    <t>"2024-12-15T14:58:03.000Z"</t>
  </si>
  <si>
    <t>https://x.com/RangersFC/status/1868309550597648811</t>
  </si>
  <si>
    <t>http://rng.rs/RTV-Subscribe</t>
  </si>
  <si>
    <t>[{"duration":133932,"video_url":"https://video.twimg.com/amplify_video/1868309028557709312/vid/avc1/1280x720/AVtQvyfuGzkIZoPu.mp4?tag=14"}]</t>
  </si>
  <si>
    <t>🗨️ Sepp van den Berg on a 'frustrating' evening at Stamford Bridge
#CHEBRE | @pensionbee</t>
  </si>
  <si>
    <t>"2024-12-15T23:34:15.000Z"</t>
  </si>
  <si>
    <t>https://x.com/BrentfordFC/status/1868439459135414544</t>
  </si>
  <si>
    <t>[{"duration":196560,"video_url":"https://video.twimg.com/amplify_video/1868438498786541568/vid/avc1/1080x1080/jlFvGor_GNCf2D9W.mp4?tag=16"}]</t>
  </si>
  <si>
    <t>A message from Radu 📥
🤳 @HPE</t>
  </si>
  <si>
    <t>"2024-12-15T22:29:37.000Z"</t>
  </si>
  <si>
    <t>https://x.com/SpursOfficial/status/1868423192785600641</t>
  </si>
  <si>
    <t>[{"biography":null,"followers":null,"following":null,"is_verified":null,"profile_id":"207495308","profile_name":"HPE","url":"https://x.com/HPE"}]</t>
  </si>
  <si>
    <t>[{"duration":10778,"video_url":"https://video.twimg.com/amplify_video/1868423125722968064/vid/avc1/1080x1920/py7-t3N38LrkDSIi.mp4?tag=16"}]</t>
  </si>
  <si>
    <t>Che███a F███</t>
  </si>
  <si>
    <t>Let's keep pushing Blues! 💪
Follow the game on the Chelsea app:</t>
  </si>
  <si>
    <t>"2024-12-15T20:02:55.000Z"</t>
  </si>
  <si>
    <t>https://x.com/ChelseaFC/status/1868386273981079910</t>
  </si>
  <si>
    <t>https://bit.ly/Brentford-match-centre</t>
  </si>
  <si>
    <t>["CFC","CHEBRE"]</t>
  </si>
  <si>
    <t>https://pbs.twimg.com/profile_images/1856287465524367360/FKHsk_Fw_normal.jpg</t>
  </si>
  <si>
    <t>[{"duration":6000,"video_url":"https://video.twimg.com/amplify_video/1865812246296686592/vid/avc1/1080x1080/5XumRCZj7spZ49ZV.mp4?tag=16"}]</t>
  </si>
  <si>
    <t>Eur███agu███</t>
  </si>
  <si>
    <t>Tur███h A███ine█████████gue███</t>
  </si>
  <si>
    <t>Over 300 EuroLeague games and a man of many languages 🗣 
Does @tibor_pleiss get your vote? 👀</t>
  </si>
  <si>
    <t>"2024-12-15T19:48:21.000Z"</t>
  </si>
  <si>
    <t>https://x.com/EuroLeague/status/1868382606938849527</t>
  </si>
  <si>
    <t>[{"biography":null,"followers":null,"following":null,"is_verified":null,"profile_id":"3718909032","profile_name":"Tibor Pleiss","url":"https://x.com/tibor_pleiss"}]</t>
  </si>
  <si>
    <t>https://all25voting.euroleague.net/all25voting/home</t>
  </si>
  <si>
    <t>["EUROLEAGUE25","ONLY25"]</t>
  </si>
  <si>
    <t>The official X account of the Turkish Airlines EuroLeague🏀</t>
  </si>
  <si>
    <t>https://pbs.twimg.com/profile_images/1793167534889308160/aE2Qsevu_normal.jpg</t>
  </si>
  <si>
    <t>[{"duration":26360,"video_url":"https://video.twimg.com/ext_tw_video/1868382513124581376/pu/vid/avc1/720x1280/9Z2sz9_-IuvZsXUt.mp4?tag=12"}]</t>
  </si>
  <si>
    <t>This co-main has been ACTION PACKED since the start 👊
[ Tune in NOW on @ESPNPlus &amp;amp; ESPN2 ]</t>
  </si>
  <si>
    <t>"2024-12-15T05:34:07.000Z"</t>
  </si>
  <si>
    <t>https://x.com/ufc/status/1868167634413339114</t>
  </si>
  <si>
    <t>[{"duration":20034,"video_url":"https://video.twimg.com/amplify_video/1868167345450909696/vid/avc1/720x720/w9-8Tx6GgpmvTywF.mp4?tag=14"}]</t>
  </si>
  <si>
    <t>Last fight of 2024 is here 🫡
@ColbyCovMMA vs @Newmansa94 
[ #UFCTampa is LIVE on @ESPNPlus &amp;amp; ESPN2 ]</t>
  </si>
  <si>
    <t>"2024-12-15T05:49:57.000Z"</t>
  </si>
  <si>
    <t>https://x.com/ufc/status/1868171617706111286</t>
  </si>
  <si>
    <t>[{"biography":null,"followers":null,"following":null,"is_verified":null,"profile_id":"442456291","profile_name":"Colby Covington","url":"https://x.com/ColbyCovMMA"},{"biography":null,"followers":null,"following":null,"is_verified":null,"profile_id":"922938072836313089","profile_name":"Joaquin New Mansa Buckley","url":"https://x.com/Newmansa94"},{"biography":null,"followers":null,"following":null,"is_verified":null,"profile_id":"1044284694387412992","profile_name":"ESPN+","url":"https://x.com/ESPNPlus"}]</t>
  </si>
  <si>
    <t>[{"duration":5038,"video_url":"https://video.twimg.com/ext_tw_video/1868125919698644992/pu/vid/avc1/718x720/mXLlVbg9qEba8Gxa.mp4?tag=12"}]</t>
  </si>
  <si>
    <t>The Nigerian Nightmare is at #UFCTampa with his eyes on the main event 👀
[ LIVE on ESPN2 | @USMAN84kg ]</t>
  </si>
  <si>
    <t>"2024-12-15T02:40:24.000Z"</t>
  </si>
  <si>
    <t>https://x.com/ufc/status/1868123918323810380</t>
  </si>
  <si>
    <t>[{"biography":null,"followers":null,"following":null,"is_verified":null,"profile_id":"182662505","profile_name":"KAMARU USMAN","url":"https://x.com/USMAN84kg"}]</t>
  </si>
  <si>
    <t>You'll want to tune in for this one! 
@ManelKape vs Bruno Silva
[ #UFCTampa is LIVE on @ESPNPlus &amp;amp; ESPN2 ]</t>
  </si>
  <si>
    <t>"2024-12-15T05:06:22.000Z"</t>
  </si>
  <si>
    <t>https://x.com/ufc/status/1868160649911840979</t>
  </si>
  <si>
    <t>[{"biography":null,"followers":null,"following":null,"is_verified":null,"profile_id":"1089988262","profile_name":"マネル・ケイプ موسى Manel Kape","url":"https://x.com/ManelKape"},{"biography":null,"followers":null,"following":null,"is_verified":null,"profile_id":"1044284694387412992","profile_name":"ESPN+","url":"https://x.com/ESPNPlus"}]</t>
  </si>
  <si>
    <t>[{"duration":5038,"video_url":"https://video.twimg.com/ext_tw_video/1868125955505463296/pu/vid/avc1/718x720/-M1CyZRB501G2nWf.mp4?tag=12"}]</t>
  </si>
  <si>
    <t>These two are wasting NO time!💥
[ #UFCTampa is LIVE on @ESPNPlus ]</t>
  </si>
  <si>
    <t>"2024-12-15T00:18:44.000Z"</t>
  </si>
  <si>
    <t>https://x.com/ufc/status/1868088264231383411</t>
  </si>
  <si>
    <t>[{"duration":18500,"video_url":"https://video.twimg.com/ext_tw_video/1868087938090700800/pu/vid/avc1/720x720/9IQ0jcvOz3mdI1xf.mp4?tag=12"}]</t>
  </si>
  <si>
    <t>ant███yjo███a</t>
  </si>
  <si>
    <t>Ant███y J███ua</t>
  </si>
  <si>
    <t>Here’s a look at what drives us behind the scenes @cleanhertsco</t>
  </si>
  <si>
    <t>"2024-12-15T20:11:07.000Z"</t>
  </si>
  <si>
    <t>https://x.com/anthonyjoshua/status/1868388336416719058</t>
  </si>
  <si>
    <t>[{"biography":null,"followers":null,"following":null,"is_verified":null,"profile_id":"1456253435389509635","profile_name":"Clean Herts Community","url":"https://x.com/cleanhertsco"}]</t>
  </si>
  <si>
    <t>Fighter 🫡</t>
  </si>
  <si>
    <t>https://pbs.twimg.com/profile_images/1767180083398127617/A70cOSu9_normal.jpg</t>
  </si>
  <si>
    <t>[{"duration":114080,"video_url":"https://video.twimg.com/amplify_video/1868387836803604480/vid/avc1/1080x1920/mWrFkGD2WI-icxic.mp4?tag=16"}]</t>
  </si>
  <si>
    <t>😳 😳 😳 
@DMcIntyreWWE just threw @SamiZayn with ease! 😮‍💨
#SNME</t>
  </si>
  <si>
    <t>"2024-12-15T01:15:12.000Z"</t>
  </si>
  <si>
    <t>https://x.com/WWE/status/1868102476844421333</t>
  </si>
  <si>
    <t>[{"biography":null,"followers":null,"following":null,"is_verified":null,"profile_id":"299932350","profile_name":"Drew","url":"https://x.com/DMcIntyreWWE"},{"biography":null,"followers":null,"following":null,"is_verified":null,"profile_id":"1289482598","profile_name":"Sami Zayn","url":"https://x.com/SamiZayn"}]</t>
  </si>
  <si>
    <t>[{"duration":16634,"video_url":"https://video.twimg.com/amplify_video/1868102435450826752/vid/avc1/1920x1080/KLr8CekDFVdtHqe6.mp4?tag=16"}]</t>
  </si>
  <si>
    <t>EXCLUSIVE: Despite the loss, @MiaYim has plans to take the Women's United States Title from @ImChelseaGreen. 
#SNME</t>
  </si>
  <si>
    <t>"2024-12-15T04:55:27.000Z"</t>
  </si>
  <si>
    <t>https://x.com/WWE/status/1868157901359006095</t>
  </si>
  <si>
    <t>[{"biography":null,"followers":null,"following":null,"is_verified":null,"profile_id":"108200716","profile_name":"Michin 미친","url":"https://x.com/MiaYim"},{"biography":null,"followers":null,"following":null,"is_verified":null,"profile_id":"3351327093","profile_name":"CHELSEA GREEN","url":"https://x.com/ImChelseaGreen"}]</t>
  </si>
  <si>
    <t>[{"duration":155766,"video_url":"https://video.twimg.com/amplify_video/1868157821453217792/vid/avc1/1920x1080/BkeKsttxPg3Hc1Eq.mp4?tag=16"}]</t>
  </si>
  <si>
    <t>Two contenders on the rise 📈
@MilesXJohns vs @FelipeLimaMMA
[ #UFCTampa is LIVE on @ESPNPlus ]</t>
  </si>
  <si>
    <t>"2024-12-15T01:33:13.000Z"</t>
  </si>
  <si>
    <t>https://x.com/ufc/status/1868107009004040694</t>
  </si>
  <si>
    <t>[{"biography":null,"followers":null,"following":null,"is_verified":null,"profile_id":"506546921","profile_name":"Miles Chapo Johns","url":"https://x.com/milesxjohns"},{"biography":null,"followers":null,"following":null,"is_verified":null,"profile_id":"1837439771326439424","profile_name":"Felipe lima","url":"https://x.com/felipelimamma"},{"biography":null,"followers":null,"following":null,"is_verified":null,"profile_id":"1044284694387412992","profile_name":"ESPN+","url":"https://x.com/ESPNPlus"}]</t>
  </si>
  <si>
    <t>[{"duration":5472,"video_url":"https://video.twimg.com/ext_tw_video/1868068093395636224/pu/vid/avc1/718x720/EusSR3VZNw-4NWmT.mp4?tag=12"}]</t>
  </si>
  <si>
    <t>The central bank, looking to increase financial inclusion, encouraged the proliferation of agents — but regulators now fear they are consuming the monetary system and pushing the naira further from their control.</t>
  </si>
  <si>
    <t>"2024-12-16T04:47:05.000Z"</t>
  </si>
  <si>
    <t>https://x.com/business/status/1868518184808006042</t>
  </si>
  <si>
    <t>https://trib.al/PfNl3OP</t>
  </si>
  <si>
    <t>["https://pbs.twimg.com/card_img/1867796951455932416/7klrcqJv?format=jpg&amp;name=orig"]</t>
  </si>
  <si>
    <t>France dismissed allegations by Algeria it was involved in attempts to destabilize the North African country after authorities in Algiers summoned the French ambassador to reprimand him</t>
  </si>
  <si>
    <t>"2024-12-15T20:09:34.000Z"</t>
  </si>
  <si>
    <t>https://x.com/business/status/1868387947008938043</t>
  </si>
  <si>
    <t>https://trib.al/1DAbT6r</t>
  </si>
  <si>
    <t>["https://pbs.twimg.com/card_img/1868387783041056769/cKrTrBAl?format=jpg&amp;name=orig"]</t>
  </si>
  <si>
    <t>Israel’s foreign minister has ordered the closure of the country’s embassy in Dublin, citing the Irish government’s “extreme anti-Israel policies”</t>
  </si>
  <si>
    <t>"2024-12-15T14:53:17.000Z"</t>
  </si>
  <si>
    <t>https://x.com/business/status/1868308353559957905</t>
  </si>
  <si>
    <t>https://trib.al/OAuHQNP</t>
  </si>
  <si>
    <t>["https://pbs.twimg.com/card_img/1868308356814757888/FlY5AGth?format=jpg&amp;name=orig"]</t>
  </si>
  <si>
    <t>South Korea’s main opposition leader says there are no plans for now to impeach Acting President Han Duck-soo, who stepped in as interim leader after President Yoon Suk Yeol’s impeachment on Saturday</t>
  </si>
  <si>
    <t>"2024-12-15T11:19:01.000Z"</t>
  </si>
  <si>
    <t>https://x.com/business/status/1868254429566120145</t>
  </si>
  <si>
    <t>https://trib.al/GI7g29q</t>
  </si>
  <si>
    <t>The EU’s economy is struggling to keep pace with the US and China, putting the continent at risk of losing its seat at the table — and maybe its ability to protect itself in a world where security is no longer guaranteed</t>
  </si>
  <si>
    <t>"2024-12-15T13:40:07.000Z"</t>
  </si>
  <si>
    <t>https://x.com/business/status/1868289941161025554</t>
  </si>
  <si>
    <t>https://trib.al/x7HXKAa</t>
  </si>
  <si>
    <t>[{"duration":78250,"video_url":"https://video.twimg.com/amplify_video/1867502256603422720/vid/avc1/1920x1080/GZoTBPAse0TseN2c.mp4?tag=16"}]</t>
  </si>
  <si>
    <t>International Finance Corp. sees this year’s annual funding commitments to Singapore remaining near a record level, according to a regional executive.</t>
  </si>
  <si>
    <t>"2024-12-16T04:44:03.000Z"</t>
  </si>
  <si>
    <t>https://x.com/business/status/1868517420261945401</t>
  </si>
  <si>
    <t>https://trib.al/M2dr521</t>
  </si>
  <si>
    <t>["https://pbs.twimg.com/card_img/1868517421654441984/LuTMeyKm?format=jpg&amp;name=orig"]</t>
  </si>
  <si>
    <t>Global poverty will increase if the world doesn’t work to maintain a stable and open trading system, WTO chief Ngozi Okonjo-Iweala says</t>
  </si>
  <si>
    <t>"2024-12-15T09:46:37.000Z"</t>
  </si>
  <si>
    <t>https://x.com/business/status/1868231178785878429</t>
  </si>
  <si>
    <t>https://trib.al/5jnGv3v</t>
  </si>
  <si>
    <t>["https://pbs.twimg.com/card_img/1868230817589149696/fvCyDP6I?format=jpg&amp;name=orig"]</t>
  </si>
  <si>
    <t>"2024-12-15T00:51:02.000Z"</t>
  </si>
  <si>
    <t>https://x.com/business/status/1868096394088616305</t>
  </si>
  <si>
    <t>https://trib.al/pUbGUQC</t>
  </si>
  <si>
    <t>Cel███FC</t>
  </si>
  <si>
    <t>Cel███ Fo███all██████</t>
  </si>
  <si>
    <t>📺 @CelticTV caught up with Brendan Rodgers ahead of #CELRAN 
#PremierSportsCup | #CelticFC🍀</t>
  </si>
  <si>
    <t>"2024-12-15T15:03:58.000Z"</t>
  </si>
  <si>
    <t>https://x.com/CelticFC/status/1868311042029203602</t>
  </si>
  <si>
    <t>[{"biography":null,"followers":null,"following":null,"is_verified":null,"profile_id":"1900034311","profile_name":"Celtic TV","url":"https://x.com/CelticTV"}]</t>
  </si>
  <si>
    <t>["CELRAN","PremierSportsCup","CelticFC"]</t>
  </si>
  <si>
    <t>Glasgow Celtic - 2023/24 Double Winners! 🍀🏆 🟢 @CelticFCWomen ⚪ @CelticFCB 🎌 @CelticFCJPN 📽 @CelticTV 🛒 @CelticFCShop 🎟 @CelticFCTickets</t>
  </si>
  <si>
    <t>https://pbs.twimg.com/profile_images/1808866900228665344/xZAZuYBY_normal.jpg</t>
  </si>
  <si>
    <t>[{"duration":176280,"video_url":"https://video.twimg.com/amplify_video/1868310459662663681/vid/avc1/720x720/hDSnv4H5cIF_kiiL.mp4?tag=14"}]</t>
  </si>
  <si>
    <t>Jam███ts</t>
  </si>
  <si>
    <t>Hea███of ███lot█████████</t>
  </si>
  <si>
    <t>🇱🇻 𝗠𝗔𝗧𝗖𝗛𝗗𝗔𝗬 🇱🇻
🆚 @KilmarnockFC 
🏟 The BBSP Stadium Rugby Park
🕰 3pm
🎟 Direct from Kilmarnock ➡️</t>
  </si>
  <si>
    <t>"2024-12-15T10:23:39.000Z"</t>
  </si>
  <si>
    <t>https://x.com/JamTarts/status/1868240497795313802</t>
  </si>
  <si>
    <t>[{"biography":null,"followers":null,"following":null,"is_verified":null,"profile_id":"701239488","profile_name":"Kilmarnock FC","url":"https://x.com/KilmarnockFC"}]</t>
  </si>
  <si>
    <t>http://tinyurl.com/ye2y3dhu</t>
  </si>
  <si>
    <t>Heart of Midlothian Football Club | The largest fan-owned club in the UK</t>
  </si>
  <si>
    <t>https://pbs.twimg.com/profile_images/1745736371044556800/XULrqvXN_normal.jpg</t>
  </si>
  <si>
    <t>[{"duration":19400,"video_url":"https://video.twimg.com/amplify_video/1868240266949165056/vid/avc1/720x720/EPRhk7nkEIH-1cN0.mp4?tag=14"}]</t>
  </si>
  <si>
    <t>🎙️ Connor Barron sat down with @RangersTV ahead of today's Premier Sports Cup Final.
📺 Full Interview:</t>
  </si>
  <si>
    <t>https://x.com/RangersFC/status/1868245869784641974</t>
  </si>
  <si>
    <t>http://rng.rs/3Vz7BZ5</t>
  </si>
  <si>
    <t>[{"duration":51734,"video_url":"https://video.twimg.com/amplify_video/1867627965636374528/vid/avc1/1280x720/3FIQ3m9YRpcGOTks.mp4?tag=14"}]</t>
  </si>
  <si>
    <t>Vibing with it 👊
@Patty_MPT knocks in birdie, fist pumps and takes the solo lead to -25</t>
  </si>
  <si>
    <t>"2024-12-15T19:45:01.000Z"</t>
  </si>
  <si>
    <t>https://x.com/LPGA/status/1868381768597885370</t>
  </si>
  <si>
    <t>[{"duration":10944,"video_url":"https://video.twimg.com/amplify_video/1868381754303668224/vid/avc1/720x720/kWzJrnO1SNvC6XCO.mp4?tag=16"}]</t>
  </si>
  <si>
    <t>We honor Stuart Scott &amp;amp; we remember the message. 
[ @TheVFoundation | Learn how you can help:</t>
  </si>
  <si>
    <t>"2024-12-15T03:22:38.000Z"</t>
  </si>
  <si>
    <t>https://x.com/ufc/status/1868134546975375466</t>
  </si>
  <si>
    <t>[{"duration":184534,"video_url":"https://video.twimg.com/ext_tw_video/1868133860719910912/pu/vid/avc1/1280x720/jsOh8RBIEO8XK24f.mp4?tag=12"}]</t>
  </si>
  <si>
    <t>ONE AND DONE 💥
@TheHanyakDJ gets the third round KO! #UFCTampa
[ LIVE NOW on @ESPNPlus &amp;amp; ESPN2 ]</t>
  </si>
  <si>
    <t>"2024-12-15T04:45:01.000Z"</t>
  </si>
  <si>
    <t>https://x.com/ufc/status/1868155279348490389</t>
  </si>
  <si>
    <t>[{"biography":null,"followers":null,"following":null,"is_verified":null,"profile_id":"222632459","profile_name":"Dustin Jacoby 🇺🇸","url":"https://x.com/thehanyakdj"},{"biography":null,"followers":null,"following":null,"is_verified":null,"profile_id":"1044284694387412992","profile_name":"ESPN+","url":"https://x.com/ESPNPlus"}]</t>
  </si>
  <si>
    <t>[{"duration":23834,"video_url":"https://video.twimg.com/amplify_video/1868154769593778176/vid/avc1/720x720/S7kG3HtGj6GFQjdh.mp4?tag=14"}]</t>
  </si>
  <si>
    <t>CUB SWANSON TURNS BACK THE CLOCK 😱
@CubSwanson | #UFCTampa</t>
  </si>
  <si>
    <t>"2024-12-15T05:43:37.000Z"</t>
  </si>
  <si>
    <t>https://x.com/ufc/status/1868170023606603808</t>
  </si>
  <si>
    <t>[{"duration":20933,"video_url":"https://video.twimg.com/ext_tw_video/1868169807536775169/pu/vid/avc1/720x720/wHkdTUt1Zs6QA2iV.mp4?tag=12"}]</t>
  </si>
  <si>
    <t>Vintage @SamiZayn! 👊
#SNME</t>
  </si>
  <si>
    <t>"2024-12-15T01:13:57.000Z"</t>
  </si>
  <si>
    <t>https://x.com/WWE/status/1868102161655058524</t>
  </si>
  <si>
    <t>[{"biography":null,"followers":null,"following":null,"is_verified":null,"profile_id":"1289482598","profile_name":"Sami Zayn","url":"https://x.com/SamiZayn"}]</t>
  </si>
  <si>
    <t>[{"duration":17067,"video_url":"https://video.twimg.com/amplify_video/1868102119133163520/vid/avc1/1920x1080/-fFPDlkhVIKMRPTD.mp4?tag=16"}]</t>
  </si>
  <si>
    <t>China’s home-price declines eased for a third month in November, pointing to a mixed picture for the property market after stimulus measures failed to sustain a rebound in sales</t>
  </si>
  <si>
    <t>"2024-12-16T02:02:39.000Z"</t>
  </si>
  <si>
    <t>https://x.com/business/status/1868476804756881580</t>
  </si>
  <si>
    <t>https://trib.al/FE56M97</t>
  </si>
  <si>
    <t>["https://pbs.twimg.com/card_img/1868476342150303744/F0CQb-zt?format=jpg&amp;name=orig"]</t>
  </si>
  <si>
    <t>While analysts have turned more bullish on Mukesh Ambani's Reliance recently, institutional investors are expressing concerns over increasing debt and its ability to generate positive cash flows</t>
  </si>
  <si>
    <t>"2024-12-16T02:01:26.000Z"</t>
  </si>
  <si>
    <t>https://x.com/business/status/1868476500372045983</t>
  </si>
  <si>
    <t>https://trib.al/bjNW6cQ</t>
  </si>
  <si>
    <t>["https://pbs.twimg.com/card_img/1868469285288398848/jXMhEA-d?format=jpg&amp;name=orig"]</t>
  </si>
  <si>
    <t>Donald Trump has threatened tariffs if BRICS countries try to form a dollar rival. He's worrying about the wrong threat, says @mihirssharma</t>
  </si>
  <si>
    <t>"2024-12-16T01:01:56.000Z"</t>
  </si>
  <si>
    <t>https://x.com/business/status/1868461523611324750</t>
  </si>
  <si>
    <t>[{"biography":null,"followers":null,"following":null,"is_verified":null,"profile_id":"4126501","profile_name":"Mihir Sharma","url":"https://x.com/mihirssharma"},{"biography":null,"followers":null,"following":null,"is_verified":null,"profile_id":"227682918","profile_name":"Bloomberg Opinion","url":"https://x.com/opinion"}]</t>
  </si>
  <si>
    <t>https://trib.al/1tube62</t>
  </si>
  <si>
    <t>["https://pbs.twimg.com/card_img/1868416721284927488/TA1qs2co?format=jpg&amp;name=orig"]</t>
  </si>
  <si>
    <t>Here's all you need to know about what's moving markets</t>
  </si>
  <si>
    <t>"2024-12-15T22:51:18.000Z"</t>
  </si>
  <si>
    <t>https://x.com/business/status/1868428651059933567</t>
  </si>
  <si>
    <t>https://trib.al/e19Z9DP</t>
  </si>
  <si>
    <t>["https://pbs.twimg.com/card_img/1868428480158765056/IxT-Yt5r?format=jpg&amp;name=orig"]</t>
  </si>
  <si>
    <t>Two Republicans who stood up to Stop the Steal — and lost their careers as a result — talk to @fsbarry about the future of their party</t>
  </si>
  <si>
    <t>https://x.com/business/status/1868325302302027970</t>
  </si>
  <si>
    <t>[{"biography":null,"followers":null,"following":null,"is_verified":null,"profile_id":"232215385","profile_name":"Frank Barry","url":"https://x.com/FSBarry"},{"biography":null,"followers":null,"following":null,"is_verified":null,"profile_id":"227682918","profile_name":"Bloomberg Opinion","url":"https://x.com/opinion"}]</t>
  </si>
  <si>
    <t>https://trib.al/yWj7v6S</t>
  </si>
  <si>
    <t>["https://pbs.twimg.com/card_img/1868297845469532160/rp6E0TBr?format=jpg&amp;name=orig"]</t>
  </si>
  <si>
    <t>"2024-12-15T14:27:05.000Z"</t>
  </si>
  <si>
    <t>https://x.com/business/status/1868301759195525185</t>
  </si>
  <si>
    <t>https://trib.al/jAVvdQo</t>
  </si>
  <si>
    <t>"2024-12-15T15:02:03.000Z"</t>
  </si>
  <si>
    <t>https://x.com/business/status/1868310558081962136</t>
  </si>
  <si>
    <t>https://trib.al/jRj3JSV</t>
  </si>
  <si>
    <t>The ECB should lower interest rates further but probably won’t need to take them to levels that would stimulate economic expansion, according to Governing Council member Martins Kazaks</t>
  </si>
  <si>
    <t>"2024-12-15T08:09:38.000Z"</t>
  </si>
  <si>
    <t>https://x.com/business/status/1868206771296169996</t>
  </si>
  <si>
    <t>https://trib.al/5jffX14</t>
  </si>
  <si>
    <t>["https://pbs.twimg.com/card_img/1868206775515693056/YawBI5hz?format=jpg&amp;name=orig"]</t>
  </si>
  <si>
    <t>"2024-12-15T02:55:03.000Z"</t>
  </si>
  <si>
    <t>https://x.com/business/status/1868127602793185604</t>
  </si>
  <si>
    <t>https://trib.al/Wi8orCh</t>
  </si>
  <si>
    <t>"2024-12-15T01:41:03.000Z"</t>
  </si>
  <si>
    <t>https://x.com/business/status/1868108981400387817</t>
  </si>
  <si>
    <t>https://trib.al/GdO4ppc</t>
  </si>
  <si>
    <t>🎙️ Philippe Clement spoke to @RangersTV following today's Premier Sports Cup Final at Hampden.</t>
  </si>
  <si>
    <t>"2024-12-15T19:34:23.000Z"</t>
  </si>
  <si>
    <t>https://x.com/RangersFC/status/1868379095882432546</t>
  </si>
  <si>
    <t>[{"duration":274413,"video_url":"https://video.twimg.com/amplify_video/1868378607271243776/vid/avc1/1280x720/xb5oPYltlsbh3ALC.mp4?tag=14"}]</t>
  </si>
  <si>
    <t>⏪ Gabriel Amato v Celtic
🏠 #Ibrox125</t>
  </si>
  <si>
    <t>"2024-12-15T10:00:01.000Z"</t>
  </si>
  <si>
    <t>https://x.com/RangersFC/status/1868234550989492280</t>
  </si>
  <si>
    <t>["Ibrox125"]</t>
  </si>
  <si>
    <t>[{"duration":68452,"video_url":"https://video.twimg.com/amplify_video/1867617075734126593/vid/avc1/1280x720/YbVeVdromY4ST5Me.mp4?tag=14"}]</t>
  </si>
  <si>
    <t>Let's go, lads! 💪
🌟 @BetMGMUK</t>
  </si>
  <si>
    <t>"2024-12-15T18:36:59.000Z"</t>
  </si>
  <si>
    <t>https://x.com/SpursOfficial/status/1868364647427903785</t>
  </si>
  <si>
    <t>[{"biography":null,"followers":null,"following":null,"is_verified":null,"profile_id":"1666067775515774976","profile_name":"BetMGM UK","url":"https://x.com/BetMGMUK"}]</t>
  </si>
  <si>
    <t>[{"duration":13119,"video_url":"https://video.twimg.com/amplify_video/1868363613750034432/vid/avc1/720x1280/RsvHkPtE8rIH0N7_.mp4?tag=14"}]</t>
  </si>
  <si>
    <t>Does Sofoklis Schortsanitis get your vote? Hit the link below to include the former champ 🔗</t>
  </si>
  <si>
    <t>"2024-12-15T16:09:12.000Z"</t>
  </si>
  <si>
    <t>https://x.com/EuroLeague/status/1868327458615038437</t>
  </si>
  <si>
    <t>[{"duration":10465,"video_url":"https://video.twimg.com/amplify_video/1868327394626437121/vid/avc1/1080x1920/C4DJpSW308JLmpJl.mp4?tag=16"}]</t>
  </si>
  <si>
    <t>DEBUT DUBS 🙌
Navajo Stirling comes out on top tonight! #UFCTampa</t>
  </si>
  <si>
    <t>"2024-12-15T03:42:58.000Z"</t>
  </si>
  <si>
    <t>https://x.com/ufc/status/1868139663409713199</t>
  </si>
  <si>
    <t>[{"duration":27667,"video_url":"https://video.twimg.com/ext_tw_video/1868139398530838528/pu/vid/avc1/720x720/GvS2snWs1a_laiOj.mp4?tag=12"}]</t>
  </si>
  <si>
    <t>Joel Alvarez keeps his 100% finish streak 🤯
He gets it done in ONE! #UFCTampa</t>
  </si>
  <si>
    <t>"2024-12-15T02:35:03.000Z"</t>
  </si>
  <si>
    <t>https://x.com/ufc/status/1868122571948040328</t>
  </si>
  <si>
    <t>[{"duration":6900,"video_url":"https://video.twimg.com/ext_tw_video/1868122422211137536/pu/vid/avc1/720x720/Nm0FhLfJE2mRhiDF.mp4?tag=12"}]</t>
  </si>
  <si>
    <t>Due to a Doctor's Stoppage Joaquin Buckley wins by TKO.
#UFCTampa</t>
  </si>
  <si>
    <t>"2024-12-15T06:21:14.000Z"</t>
  </si>
  <si>
    <t>https://x.com/ufc/status/1868179492981927966</t>
  </si>
  <si>
    <t>[{"duration":20800,"video_url":"https://video.twimg.com/ext_tw_video/1868179429672833024/pu/vid/avc1/720x720/1_mW4Y2kiEBT86_x.mp4?tag=12"}]</t>
  </si>
  <si>
    <t>The Legends are out at #SNME!</t>
  </si>
  <si>
    <t>"2024-12-15T02:33:26.000Z"</t>
  </si>
  <si>
    <t>https://x.com/WWE/status/1868122163913408640</t>
  </si>
  <si>
    <t>[{"duration":19134,"video_url":"https://video.twimg.com/amplify_video/1868122112193429504/vid/avc1/1920x1080/Os11br91CWkSNrQe.mp4?tag=16"}]</t>
  </si>
  <si>
    <t>What a night at #SNME! 🙌</t>
  </si>
  <si>
    <t>"2024-12-15T03:10:04.000Z"</t>
  </si>
  <si>
    <t>https://x.com/WWE/status/1868131382892867835</t>
  </si>
  <si>
    <t>[{"duration":65434,"video_url":"https://video.twimg.com/amplify_video/1868131289615732736/vid/avc1/1920x1080/cQEory84U2IA6KoV.mp4?tag=16"}]</t>
  </si>
  <si>
    <t>Upon leaving gorilla, Triple H got into a confrontation with Kevin Owens. 
#SNME</t>
  </si>
  <si>
    <t>"2024-12-15T03:56:28.000Z"</t>
  </si>
  <si>
    <t>https://x.com/WWE/status/1868143057633173600</t>
  </si>
  <si>
    <t>[{"duration":34300,"video_url":"https://video.twimg.com/amplify_video/1868143026297556992/vid/avc1/720x1280/8INyo5BvQTCLNjxF.mp4?tag=16"}]</t>
  </si>
  <si>
    <t>🗣️ LET’S GOOOOOOOOOOO!
@PatMcAfeeShow is back! 🙌
#SNME</t>
  </si>
  <si>
    <t>"2024-12-15T01:09:21.000Z"</t>
  </si>
  <si>
    <t>https://x.com/WWE/status/1868101003964227862</t>
  </si>
  <si>
    <t>[{"biography":null,"followers":null,"following":null,"is_verified":null,"profile_id":"137862496","profile_name":"Pat McAfee","url":"https://x.com/PatMcAfeeShow"}]</t>
  </si>
  <si>
    <t>[{"duration":77600,"video_url":"https://video.twimg.com/amplify_video/1868100904554999808/vid/avc1/1920x1080/GYi5FgoJr4HMRp_f.mp4?tag=16"}]</t>
  </si>
  <si>
    <t>Bro███ynN███</t>
  </si>
  <si>
    <t>Bro███yn ███s</t>
  </si>
  <si>
    <t>hustle personified 😤
keep an eye on @trendonw during this play</t>
  </si>
  <si>
    <t>"2024-12-08T14:28:00.000Z"</t>
  </si>
  <si>
    <t>https://x.com/BrooklynNets/status/1865765274726891854</t>
  </si>
  <si>
    <t>[{"biography":null,"followers":null,"following":null,"is_verified":null,"profile_id":"2309475188","profile_name":"Trendon Watford","url":"https://x.com/trendonw"}]</t>
  </si>
  <si>
    <t>Tweets from #NetsWorld</t>
  </si>
  <si>
    <t>https://pbs.twimg.com/profile_images/1811024920870277122/1wQgAUZH_normal.jpg</t>
  </si>
  <si>
    <t>[{"duration":38336,"video_url":"https://video.twimg.com/ext_tw_video/1865507913692794880/pu/vid/avc1/720x720/3dLjhlpqUU3BKb8K.mp4?tag=12"}]</t>
  </si>
  <si>
    <t>Welcome to Brooklyn, @DeAnthonyMelton &amp;amp; @reece_beekman!</t>
  </si>
  <si>
    <t>"2024-12-15T17:04:30.000Z"</t>
  </si>
  <si>
    <t>["https://pbs.twimg.com/media/Ge2sxmuXQAAks0f.jpg"]</t>
  </si>
  <si>
    <t>https://x.com/BrooklynNets/status/1868341373348524154</t>
  </si>
  <si>
    <t>[{"biography":null,"followers":null,"following":null,"is_verified":null,"profile_id":"1164534054","profile_name":"De’Anthony Melton","url":"https://x.com/DeAnthonyMelton"},{"biography":null,"followers":null,"following":null,"is_verified":null,"profile_id":"4164784339","profile_name":"Reece‼️","url":"https://x.com/reece_beekman"}]</t>
  </si>
  <si>
    <t>it's finally gameday again!
📺: @YESNetwork</t>
  </si>
  <si>
    <t>"2024-12-13T15:59:06.000Z"</t>
  </si>
  <si>
    <t>["https://pbs.twimg.com/media/GesMEvRXcAAzVSu.jpg"]</t>
  </si>
  <si>
    <t>https://x.com/BrooklynNets/status/1867600139159793910</t>
  </si>
  <si>
    <t>[{"biography":null,"followers":null,"following":null,"is_verified":null,"profile_id":"18766687","profile_name":"YES Network","url":"https://x.com/YESNetwork"}]</t>
  </si>
  <si>
    <t>dea███unj███e</t>
  </si>
  <si>
    <t>Dea███yun███ ❣️███</t>
  </si>
  <si>
    <t>I've made some "So Good" Spotify playlists!
🔗 3 Hours (20 total streams):</t>
  </si>
  <si>
    <t>"2024-12-13T19:57:04.000Z"</t>
  </si>
  <si>
    <t>["https://pbs.twimg.com/media/GetC5Z4WMAAi7KO.jpg"]</t>
  </si>
  <si>
    <t>https://x.com/dearhyunjinie/status/1867660026841903561</t>
  </si>
  <si>
    <t>https://open.spotify.com/playlist/75RPo1N8EFvZheW3a6T0O0?si=ipv4M6LjRYyNOLGguRgYuA&amp;pi=wBAAUHVUTW-Po</t>
  </si>
  <si>
    <t>["SoGoodOUTNOW"]</t>
  </si>
  <si>
    <t>Cartier &amp; Versace GBA | Main Dancer | Performance Leader | Passion King | Rapper | Artist | #LoveSTAY</t>
  </si>
  <si>
    <t>https://pbs.twimg.com/profile_images/1709298026173308928/8TPK3CVQ_normal.jpg</t>
  </si>
  <si>
    <t>on this day in 2011: an 11-year-old @trendonw was goin' crazy for his big bro, @Cwat205</t>
  </si>
  <si>
    <t>"2024-12-10T21:39:16.000Z"</t>
  </si>
  <si>
    <t>https://x.com/BrooklynNets/status/1866598583115583772</t>
  </si>
  <si>
    <t>[{"biography":null,"followers":null,"following":null,"is_verified":null,"profile_id":"2309475188","profile_name":"Trendon Watford","url":"https://x.com/trendonw"},{"biography":null,"followers":null,"following":null,"is_verified":null,"profile_id":"190123181","profile_name":"Christian Watford","url":"https://x.com/Cwat205"}]</t>
  </si>
  <si>
    <t>[{"duration":71029,"video_url":"https://video.twimg.com/ext_tw_video/1866598068952395776/pu/vid/avc1/720x1280/QL0rlh_PZws2iDz_.mp4?tag=12"}]</t>
  </si>
  <si>
    <t>Only @mrvincecarter15 would be smiling mid-air while pulling off a ridiculous 360 layup.
The legend himself takes us through some of his most unforgettable moments for our new series, Nets Rewind →</t>
  </si>
  <si>
    <t>"2024-12-12T00:02:09.000Z"</t>
  </si>
  <si>
    <t>https://x.com/BrooklynNets/status/1866996926811381950</t>
  </si>
  <si>
    <t>[{"biography":null,"followers":null,"following":null,"is_verified":null,"profile_id":"162869667","profile_name":"Vince Carter","url":"https://x.com/mrvincecarter15"}]</t>
  </si>
  <si>
    <t>https://youtu.be/umGlcJWK5PY</t>
  </si>
  <si>
    <t>[{"duration":119744,"video_url":"https://video.twimg.com/amplify_video/1866995464215670784/vid/avc1/720x720/pOW5tvvJNScCj1J6.mp4?tag=14"}]</t>
  </si>
  <si>
    <t>The holidays are here, and @dayron_sharpe is spreading festive cheer! 🎁
He treated kids from SCO Family of Services to an early holiday shopping spree, courtesy of @Ticketmaster.</t>
  </si>
  <si>
    <t>"2024-12-10T02:01:35.000Z"</t>
  </si>
  <si>
    <t>["https://pbs.twimg.com/media/GeZv936WwAAE8Mt.jpg","https://pbs.twimg.com/media/GeZv937XoAAnSAw.jpg","https://pbs.twimg.com/media/GeZv933XIAASH2i.jpg"]</t>
  </si>
  <si>
    <t>https://x.com/BrooklynNets/status/1866302210868457487</t>
  </si>
  <si>
    <t>[{"biography":null,"followers":null,"following":null,"is_verified":null,"profile_id":"3355932731","profile_name":"Dayron sharpe","url":"https://x.com/dayron_sharpe"},{"biography":null,"followers":null,"following":null,"is_verified":null,"profile_id":"27743648","profile_name":"Ticketmaster","url":"https://x.com/Ticketmaster"}]</t>
  </si>
  <si>
    <t>Clax out here putting in work on both sides of the court 💪
Catch more of his impact in a brand new episode of The Backcourt, presented by @Ticketmaster, with @sarahkustok &amp;amp; @LucasKaplan_ →</t>
  </si>
  <si>
    <t>"2024-12-12T15:24:54.000Z"</t>
  </si>
  <si>
    <t>https://x.com/BrooklynNets/status/1867229145362735481</t>
  </si>
  <si>
    <t>[{"biography":null,"followers":null,"following":null,"is_verified":null,"profile_id":"27743648","profile_name":"Ticketmaster","url":"https://x.com/Ticketmaster"},{"biography":null,"followers":null,"following":null,"is_verified":null,"profile_id":"621457277","profile_name":"sarah kustok","url":"https://x.com/sarahkustok"},{"biography":null,"followers":null,"following":null,"is_verified":null,"profile_id":"1337160704902696961","profile_name":"Lucas Kaplan","url":"https://x.com/LucasKaplan_"}]</t>
  </si>
  <si>
    <t>https://bit.ly/3VyEIMH</t>
  </si>
  <si>
    <t>[{"duration":38413,"video_url":"https://video.twimg.com/ext_tw_video/1867219053862920192/pu/vid/avc1/720x720/rWbID0pku64Yi07c.mp4?tag=12"}]</t>
  </si>
  <si>
    <t>.@doefinney_10 is an elite combo of dancing and shooting 😂</t>
  </si>
  <si>
    <t>"2024-12-08T00:49:18.000Z"</t>
  </si>
  <si>
    <t>https://x.com/BrooklynNets/status/1865559244579237964</t>
  </si>
  <si>
    <t>[{"biography":null,"followers":null,"following":null,"is_verified":null,"profile_id":"3613501949","profile_name":"Dorian Finney-Smith","url":"https://x.com/doefinney_10"}]</t>
  </si>
  <si>
    <t>[{"duration":28153,"video_url":"https://video.twimg.com/amplify_video/1865559150844907520/vid/avc1/1080x1080/gBw47v8wISyTEVt_.mp4?tag=16"}]</t>
  </si>
  <si>
    <t>{"data_posted":"2009-01-02T13:56:08.000Z","description":"the vibes are very good with these two https://t.co/KkvF7hAm4f","photos":["https://pbs.twimg.com/media/GePDLGsXsAAuE1O.jpg","https://pbs.twimg.com/media/GePDLlIWwAAxHcY.jpg"],"post_id":"1865550740153872770","profile_id":"BrooklynNets","profile_name":"Brooklyn Nets","url":"https://x.com/BrooklynNets/status/1865550740153872770","videos":null}</t>
  </si>
  <si>
    <t>Our guys showing love to the @LongIslandNets tonight ♥️</t>
  </si>
  <si>
    <t>"2024-12-07T04:35:52.000Z"</t>
  </si>
  <si>
    <t>["https://pbs.twimg.com/media/GeK2GXiXEAA890f.jpg","https://pbs.twimg.com/media/GeK2GXjWsAAEZOd.jpg","https://pbs.twimg.com/media/GeK2GXkXwAAdERr.jpg","https://pbs.twimg.com/media/GeK2GXlWAAEtfKQ.jpg"]</t>
  </si>
  <si>
    <t>https://x.com/BrooklynNets/status/1865253872740057219</t>
  </si>
  <si>
    <t>[{"biography":null,"followers":null,"following":null,"is_verified":null,"profile_id":"3386051303","profile_name":"Long Island Nets","url":"https://x.com/LongIslandNets"}]</t>
  </si>
  <si>
    <t>our answer is @mrvincecarter15 every time frfr</t>
  </si>
  <si>
    <t>"2024-12-13T02:07:10.000Z"</t>
  </si>
  <si>
    <t>https://x.com/BrooklynNets/status/1867390776420053337</t>
  </si>
  <si>
    <t>[{"duration":60233,"video_url":"https://video.twimg.com/amplify_video/1867390223866327040/vid/avc1/1080x1920/fnTWJED3JKpfTmXb.mp4?tag=16"}]</t>
  </si>
  <si>
    <t>.@thejalenwilson assertive! 💪😤</t>
  </si>
  <si>
    <t>"2024-12-14T02:55:57.000Z"</t>
  </si>
  <si>
    <t>https://x.com/BrooklynNets/status/1867765442502111312</t>
  </si>
  <si>
    <t>[{"biography":null,"followers":null,"following":null,"is_verified":null,"profile_id":"2369333263","profile_name":"jwill","url":"https://x.com/thejalenwilson"}]</t>
  </si>
  <si>
    <t>[{"duration":29195,"video_url":"https://video.twimg.com/ext_tw_video/1867764973331431424/pu/vid/avc1/720x720/4S0NY1Y155Hu2-Tk.mp4?tag=12"}]</t>
  </si>
  <si>
    <t>Nunca dejes de creer. ❤️🤍
@Atleti | #LALIGAEASPORTS</t>
  </si>
  <si>
    <t>"2024-12-09T07:00:01.000Z"</t>
  </si>
  <si>
    <t>["https://pbs.twimg.com/media/GeUDWWhWAAAuGsx.jpg"]</t>
  </si>
  <si>
    <t>https://x.com/LaLiga/status/1866014924918718924</t>
  </si>
  <si>
    <t>[{"biography":null,"followers":null,"following":null,"is_verified":null,"profile_id":"199354750","profile_name":"Atlético de Madrid","url":"https://x.com/Atleti"}]</t>
  </si>
  <si>
    <t>ISO JOE 🥶
On this day in 2012, @TheJoeJohnson7 delivered the game-winner in a double overtime thriller. With @JerrySeinfeld in the building, Ian Eagle delivered an iconic line.</t>
  </si>
  <si>
    <t>"2024-12-14T17:23:41.000Z"</t>
  </si>
  <si>
    <t>https://x.com/BrooklynNets/status/1867983813495963886</t>
  </si>
  <si>
    <t>[{"biography":null,"followers":null,"following":null,"is_verified":null,"profile_id":"243214305","profile_name":"isojoe","url":"https://x.com/TheJoeJohnson7"},{"biography":null,"followers":null,"following":null,"is_verified":null,"profile_id":"336116660","profile_name":"Jerry Seinfeld","url":"https://x.com/JerrySeinfeld"}]</t>
  </si>
  <si>
    <t>[{"duration":33834,"video_url":"https://video.twimg.com/ext_tw_video/1867982176311975936/pu/vid/avc1/720x900/9Ul5KwLE90kWbGZn.mp4?tag=12"}]</t>
  </si>
  <si>
    <t>had to get our guys mic’d up last week for the @LongIslandNets game so we could catch all the sideline banter 😂</t>
  </si>
  <si>
    <t>"2024-12-13T17:54:06.000Z"</t>
  </si>
  <si>
    <t>https://x.com/BrooklynNets/status/1867629080658817438</t>
  </si>
  <si>
    <t>[{"duration":79496,"video_url":"https://video.twimg.com/ext_tw_video/1867628288316682240/pu/vid/avc1/1280x720/uMhj2_cryxu0fMHQ.mp4?tag=12"}]</t>
  </si>
  <si>
    <t>From skyline views to the best pizza spot, @thejalenwilson shares his favorite spots throughout the borough. 
a thread ⤵️</t>
  </si>
  <si>
    <t>"2024-12-07T21:02:51.000Z"</t>
  </si>
  <si>
    <t>["https://pbs.twimg.com/media/GeOYVkJXsAENsSO.jpg"]</t>
  </si>
  <si>
    <t>https://x.com/BrooklynNets/status/1865502256386245014</t>
  </si>
  <si>
    <t>A relentless competitor. 
Thank you for everything you brought to Brooklyn, @DS17_FG</t>
  </si>
  <si>
    <t>"2024-12-15T17:17:44.000Z"</t>
  </si>
  <si>
    <t>https://x.com/BrooklynNets/status/1868344706603573664</t>
  </si>
  <si>
    <t>[{"biography":null,"followers":null,"following":null,"is_verified":null,"profile_id":"1631770885714583553","profile_name":"Dennis Schröder","url":"https://x.com/DS17_FG"}]</t>
  </si>
  <si>
    <t>[{"duration":28069,"video_url":"https://video.twimg.com/ext_tw_video/1868343766211325952/pu/vid/avc1/720x720/bkwO62-OHv_MkLOu.mp4?tag=12"}]</t>
  </si>
  <si>
    <t>Thank you, @DS17_FG</t>
  </si>
  <si>
    <t>"2024-12-15T17:12:34.000Z"</t>
  </si>
  <si>
    <t>["https://pbs.twimg.com/media/Ge2wT69XoAApU4L.jpg"]</t>
  </si>
  <si>
    <t>https://x.com/BrooklynNets/status/1868343406868729976</t>
  </si>
  <si>
    <t>.@doefinney_10's back in action 🙌</t>
  </si>
  <si>
    <t>"2024-12-08T20:12:47.000Z"</t>
  </si>
  <si>
    <t>["https://pbs.twimg.com/media/GeTUsN5WIAAT3uL.jpg"]</t>
  </si>
  <si>
    <t>https://x.com/BrooklynNets/status/1865852041874354604</t>
  </si>
  <si>
    <t>[{"duration":11106,"video_url":"https://video.twimg.com/ext_tw_video/1865850001777135616/pu/vid/avc1/720x720/KH3NYUd-4BPE9o3R.mp4?tag=12"}]</t>
  </si>
  <si>
    <t>tok███erm███l</t>
  </si>
  <si>
    <t>Tok███Ter███al</t>
  </si>
  <si>
    <t>ICYMI: @Aptos (L1) is on track to flip @base (L2) in daily active users.
An active user is defined as a (i) unique address that (ii) engages in a revenue-generating transaction (iii) during the relevant time period.</t>
  </si>
  <si>
    <t>"2024-12-15T15:46:25.000Z"</t>
  </si>
  <si>
    <t>["https://pbs.twimg.com/media/Ge2cnyAWQAAi8Sa.jpg"]</t>
  </si>
  <si>
    <t>https://x.com/tokenterminal/status/1868321722774003989</t>
  </si>
  <si>
    <t>[{"biography":null,"followers":null,"following":null,"is_verified":null,"profile_id":"1491526425580474368","profile_name":"Aptos","url":"https://x.com/Aptos"},{"biography":null,"followers":null,"following":null,"is_verified":null,"profile_id":"1628067904083181570","profile_name":"Base","url":"https://x.com/base"}]</t>
  </si>
  <si>
    <t>Fundamentals for crypto. Available also on the Bloomberg Terminal App Portal at APPS TOKEN GO.</t>
  </si>
  <si>
    <t>https://pbs.twimg.com/profile_images/1594678659222306817/SMum_RcQ_normal.jpg</t>
  </si>
  <si>
    <t>this year isn't the first time Cam's been hitting the no-dip threes
learn more in the latest Nets Film Focus, presented by @CarMax →</t>
  </si>
  <si>
    <t>"2024-12-13T20:23:39.000Z"</t>
  </si>
  <si>
    <t>https://x.com/BrooklynNets/status/1867666716031127688</t>
  </si>
  <si>
    <t>[{"biography":null,"followers":null,"following":null,"is_verified":null,"profile_id":"7023592","profile_name":"CarMax","url":"https://x.com/CarMax"}]</t>
  </si>
  <si>
    <t>http://www.youtube.com/watch?v=US0_Z15OuWQ</t>
  </si>
  <si>
    <t>[{"duration":36803,"video_url":"https://video.twimg.com/ext_tw_video/1867662926053507072/pu/vid/avc1/720x720/X2fJ_fn4I_J1r0Iv.mp4?tag=12"}]</t>
  </si>
  <si>
    <t>Join us in wishing @NoahEagle15 a happy birthday! 🎂</t>
  </si>
  <si>
    <t>"2024-12-11T16:33:04.000Z"</t>
  </si>
  <si>
    <t>["https://pbs.twimg.com/media/GeiAVVmWsAEGsWE.jpg"]</t>
  </si>
  <si>
    <t>https://x.com/BrooklynNets/status/1866883913895006221</t>
  </si>
  <si>
    <t>[{"biography":null,"followers":null,"following":null,"is_verified":null,"profile_id":"1733649224","profile_name":"Noah Eagle","url":"https://x.com/NoahEagle15"}]</t>
  </si>
  <si>
    <t>xu9███583███</t>
  </si>
  <si>
    <t>雪柔</t>
  </si>
  <si>
    <t>众多的知名国际媒体见证并记录了 #六四 大屠杀，BBC 就是其中一家，它拍下了6月3日深夜到6月4日上午天安门广场及附近最惨烈的一幕。
 枪声，尖叫声，呼救声，哀号声不绝于耳。 场面血腥，慎入。</t>
  </si>
  <si>
    <t>"2024-11-26T14:31:00.000Z"</t>
  </si>
  <si>
    <t>https://x.com/xu96175836/status/1861417375922561069</t>
  </si>
  <si>
    <t>["六四"]</t>
  </si>
  <si>
    <t>一个人的各种品性之中，德行是第一位的。
优良的品性是真正的财富，而衬显这品性的是良好的教养。</t>
  </si>
  <si>
    <t>https://pbs.twimg.com/profile_images/1690669189856444417/1SYUbSmR_normal.jpg</t>
  </si>
  <si>
    <t>[{"duration":138855,"video_url":"https://video.twimg.com/ext_tw_video/1859862014480519168/pu/vid/avc1/1102x720/5Cf8q876VIlwq8Lj.mp4?tag=12"}]</t>
  </si>
  <si>
    <t>LUO███NGZ███</t>
  </si>
  <si>
    <t>罗翔</t>
  </si>
  <si>
    <t>日本驻华使馆以最高规格礼节降半旗为胡友平女士致哀！
日本政府承诺给予其直系亲属永久居留权，并发放抚恤金！
并发起于2024年6月30日15:00在京都市千代田区神田神保町集英馆1-37-4.2F，为胡女士举行追思哀悼集会！
好搞笑，一个见义勇为的人死在自己的祖国，不让献花，不让集会追思，而日本却在举行！</t>
  </si>
  <si>
    <t>"2024-06-28T13:32:20.000Z"</t>
  </si>
  <si>
    <t>["https://pbs.twimg.com/media/GRKfnn_W8AArOdb.jpg","https://pbs.twimg.com/media/GRKfnoDXQAAQWzr.jpg"]</t>
  </si>
  <si>
    <t>https://x.com/LUOXIANGZY/status/1806682044581269912</t>
  </si>
  <si>
    <t>爆料邮箱：hshen606@gmail.com， WhatsApp：+1 9298239824。专门爆料各种不平之事！此账号为唯一账号！（免费向国内民运人士提供西班牙非盈利居留办理教程，仅限Whatsapp联系提供帮助资料）！</t>
  </si>
  <si>
    <t>https://pbs.twimg.com/profile_images/1633516700682395652/gQ_OmRVr_normal.jpg</t>
  </si>
  <si>
    <t>[{"duration":14901,"video_url":"https://video.twimg.com/ext_tw_video/1806681995428192257/pu/vid/avc1/720x890/T_gZ8KSeZ43HtoIk.mp4?tag=12"}]</t>
  </si>
  <si>
    <t>Tru███edi███3</t>
  </si>
  <si>
    <t>真相傳媒</t>
  </si>
  <si>
    <t>#黃明志 又发最新辱共MV了！😄
维尼友情出演！</t>
  </si>
  <si>
    <t>"2024-01-26T17:21:01.000Z"</t>
  </si>
  <si>
    <t>https://x.com/TruthMedia123/status/1750931862334415023</t>
  </si>
  <si>
    <t>https://youtu.be/OUjDh7d64uo?si=rfJOxHTlLkzx3XWw</t>
  </si>
  <si>
    <t>["黃明志"]</t>
  </si>
  <si>
    <t>傳播真相，匡扶正義良知，回歸中華傳統。 世間總有公道。歡迎投稿爆料！如果推文有錯誤歡迎指正。通過本號私信發送即可。</t>
  </si>
  <si>
    <t>https://pbs.twimg.com/profile_images/1618727520500850692/SdW0o-cV_normal.jpg</t>
  </si>
  <si>
    <t>[{"duration":236356,"video_url":"https://video.twimg.com/ext_tw_video/1750930486409723904/pu/vid/avc1/1920x1080/b8yfcBe5C2S8cfpd.mp4?tag=14"}]</t>
  </si>
  <si>
    <t>Nms███eBo███</t>
  </si>
  <si>
    <t>兔友迷███Bot███</t>
  </si>
  <si>
    <t>#兔友迷惑行为</t>
  </si>
  <si>
    <t>"2023-12-29T11:11:22.000Z"</t>
  </si>
  <si>
    <t>["https://pbs.twimg.com/media/GCguITBagAAi7Nl.jpg"]</t>
  </si>
  <si>
    <t>https://x.com/NmsleseBot/status/1740691978470482141</t>
  </si>
  <si>
    <t>["兔友迷惑行为"]</t>
  </si>
  <si>
    <t>💙</t>
  </si>
  <si>
    <t>https://pbs.twimg.com/profile_images/1807444023583588352/OVE2HnVV_normal.jpg</t>
  </si>
  <si>
    <t>突发：
2024年11月19日下午，广州街头，一个年迈的老太正持刀捅人，民警到场后该老太便持刀向民警刺去时，被民警当场击毙！</t>
  </si>
  <si>
    <t>"2024-11-19T11:19:30.000Z"</t>
  </si>
  <si>
    <t>["https://pbs.twimg.com/media/GcvmL4iWkAA5VKd.jpg"]</t>
  </si>
  <si>
    <t>https://x.com/LUOXIANGZY/status/1858832466741510215</t>
  </si>
  <si>
    <t>[{"duration":7786,"video_url":"https://video.twimg.com/amplify_video/1858832363045683200/vid/avc1/320x568/AXbcsVbWMZVcY0rE.mp4?tag=16"},{"duration":30001,"video_url":"https://video.twimg.com/amplify_video/1858832363075104768/vid/avc1/320x568/HaqELHR9zGMLbEXY.mp4?tag=16"}]</t>
  </si>
  <si>
    <t>Nms███eRe███rch███</t>
  </si>
  <si>
    <t>熊老大███ 兔友███B🐻███</t>
  </si>
  <si>
    <t>"2024-11-22T05:09:19.000Z"</t>
  </si>
  <si>
    <t>["https://pbs.twimg.com/media/Gc9uT6MaAAAQWpI.jpg"]</t>
  </si>
  <si>
    <t>https://x.com/NmsleseResearch/status/1859826472489468258</t>
  </si>
  <si>
    <t>推特兔友的迷惑行為收集處（晚安推除外）丨歡迎投稿</t>
  </si>
  <si>
    <t>https://pbs.twimg.com/profile_images/1866832536816795648/rAEgM1H5_normal.jpg</t>
  </si>
  <si>
    <t>这是被央视掐掉的一段视频，在当晚新闻联播5分多钟的专题报道里，未见播出。 邓小平在接见首都戒严部队军以上干部时的讲话，言语间都透出血腥来。
 六四 #铭记p4</t>
  </si>
  <si>
    <t>"2024-09-04T00:07:16.000Z"</t>
  </si>
  <si>
    <t>https://x.com/xu96175836/status/1831121815961534933</t>
  </si>
  <si>
    <t>["铭记p4"]</t>
  </si>
  <si>
    <t>[{"duration":43235,"video_url":"https://video.twimg.com/ext_tw_video/1831118589438693376/pu/vid/avc1/656x480/TgK3APKVp4ywXBaD.mp4?tag=12"}]</t>
  </si>
  <si>
    <t>xia███ngc███ue</t>
  </si>
  <si>
    <t>小径残雪</t>
  </si>
  <si>
    <t>薄瓜瓜婚礼现场情况。</t>
  </si>
  <si>
    <t>"2024-11-27T19:46:48.000Z"</t>
  </si>
  <si>
    <t>["https://pbs.twimg.com/media/GdanC5OacAAkkyQ.jpg"]</t>
  </si>
  <si>
    <t>https://x.com/xiaojingcanxue/status/1861859237103825350</t>
  </si>
  <si>
    <t>不做伥鬼。本推属营销号。所发内容均可去掉id随意转载。若有错漏、传谣之处，还望大伙指正。除明确表明系个人观点或亲身经历外，其余内容均系搬运，转发不代表本推认同其观念。阅读中国新闻时，建议怀抱乐子人心态，太较真则可能严重抑郁。本营销号不接受诸如“你没给受害人脸上打码”、“你嘲笑弱势群体”之类的道德说教。</t>
  </si>
  <si>
    <t>https://pbs.twimg.com/profile_images/1580936544348958721/NARKdSoU_normal.jpg</t>
  </si>
  <si>
    <t>[{"duration":15645,"video_url":"https://video.twimg.com/ext_tw_video/1861859188420513792/pu/vid/avc1/540x960/cwRUmYtYDqXB1_oS.mp4?tag=12"},{"duration":20583,"video_url":"https://video.twimg.com/ext_tw_video/1861859205541748736/pu/vid/avc1/540x960/L74G6mL-9YgXu6NY.mp4?tag=12"}]</t>
  </si>
  <si>
    <t>sne███xxx███</t>
  </si>
  <si>
    <t>けんけ███ﾐｹ月███6ab█████████</t>
  </si>
  <si>
    <t>とっても下乳が見えるビキニ
#ビキニの日</t>
  </si>
  <si>
    <t>"2024-07-05T10:29:40.000Z"</t>
  </si>
  <si>
    <t>["https://pbs.twimg.com/media/GRt5D3qaIAAz0Iy.jpg"]</t>
  </si>
  <si>
    <t>https://x.com/snexxxxxxx/status/1809172791268348403</t>
  </si>
  <si>
    <t>["ビキニの日"]</t>
  </si>
  <si>
    <t>マイペース 無断転載× DL写真集販売＆ファンティア▶︎ https://t.co/CaFJug08D7 Instagram等▶︎https://t.co/38o0RY1Kqo</t>
  </si>
  <si>
    <t>https://pbs.twimg.com/profile_images/1811042445549068288/_SQplvKt_normal.jpg</t>
  </si>
  <si>
    <t>中共又搞文字狱！
西北大学骂共产党、马克思主义的学生被判刑8年！
给你们讲个笑话：中国是个言论自由的国家！
2024年8月27日，中国陕西西安，西北大学的《马克思主义原理》课上，有学生大喊：“我不信共产主义，我也不喜欢他妈的共产党，学这些傻B理论我很烦！”</t>
  </si>
  <si>
    <t>"2024-09-03T21:38:53.000Z"</t>
  </si>
  <si>
    <t>["https://pbs.twimg.com/media/GWlRaVOWwAAZkDG.jpg"]</t>
  </si>
  <si>
    <t>https://x.com/LUOXIANGZY/status/1831084476539220196</t>
  </si>
  <si>
    <t>[{"duration":66100,"video_url":"https://video.twimg.com/amplify_video/1831084355785039872/vid/avc1/480x636/JqZMlKt29kGyD5AF.mp4?tag=16"}]</t>
  </si>
  <si>
    <t>xin███dia███a</t>
  </si>
  <si>
    <t>新闻调查</t>
  </si>
  <si>
    <t>中共调动所有资源正全网封杀这个视频！
网友配上了英文让这个视频全球疯传！</t>
  </si>
  <si>
    <t>"2024-06-16T07:07:38.000Z"</t>
  </si>
  <si>
    <t>["https://pbs.twimg.com/media/GQLUeEiagAAHvw1.jpg","https://pbs.twimg.com/media/GQLUeEjaoAAVQXU.jpg"]</t>
  </si>
  <si>
    <t>https://x.com/xinwendiaocha/status/1802236576623473129</t>
  </si>
  <si>
    <t>追踪新闻，调查真相！ 投稿、商务合作邮箱：charles811203@gmail.com 蓝天号：https://t.co/jAbho9ANSf</t>
  </si>
  <si>
    <t>https://pbs.twimg.com/profile_images/1347827975383760896/6aV1UyGk_normal.jpg</t>
  </si>
  <si>
    <t>[{"duration":279868,"video_url":"https://video.twimg.com/amplify_video/1802236414001811456/vid/avc1/480x944/jfZv60hb7MbRTfE1.mp4?tag=16"}]</t>
  </si>
  <si>
    <t>至今无人知道他是谁，也不知道他是否活着离开广场，但他一直活在我们心中，激励着无数中华儿女为民主，自由，宪政继续抗争和奋斗。他的回答无疑是我们那一代学子的心声，似乎也成了 #六四 的代名词。</t>
  </si>
  <si>
    <t>"2024-06-04T00:30:00.000Z"</t>
  </si>
  <si>
    <t>https://x.com/TruthMedia123/status/1797787855546429621</t>
  </si>
  <si>
    <t>[{"duration":6894,"video_url":"https://video.twimg.com/ext_tw_video/1797166595225378816/pu/vid/avc1/1280x720/boJ21shcSptlnn90.mp4?tag=12"}]</t>
  </si>
  <si>
    <t>连警察👮‍♀️都来抖音举报了
提问：为什么现在很多人宁愿选择在网上实名举报也不愿意直接报警？
网友回复：因为公安局长自己都在互联网上发帖求救。</t>
  </si>
  <si>
    <t>"2024-07-28T07:04:26.000Z"</t>
  </si>
  <si>
    <t>["https://pbs.twimg.com/media/GTjmn-qbQAAbGSZ.jpg"]</t>
  </si>
  <si>
    <t>https://x.com/TruthMedia123/status/1817456059818373296</t>
  </si>
  <si>
    <t>[{"duration":112066,"video_url":"https://video.twimg.com/ext_tw_video/1817455622339825664/pu/vid/avc1/464x848/dJJ5lFeQdWMnK79p.mp4?tag=12"},{"duration":122466,"video_url":"https://video.twimg.com/ext_tw_video/1817455622293684224/pu/vid/avc1/464x848/oCoSm_qGQ4fbd46l.mp4?tag=12"},{"duration":153966,"video_url":"https://video.twimg.com/ext_tw_video/1817455622289547264/pu/vid/avc1/464x848/R1sA4WlPxHJSSRLi.mp4?tag=12"}]</t>
  </si>
  <si>
    <t>揭开退役体操女冠军吴柳芳的面纱，你会发现在中国不能做好人，否则中共会让你吃不了兜着走！
这吴柳芳咋越扒越正啊?
运动生涯拿了15枚金牌，16枚银牌。结果在比赛中受伤，差点把脖子扭断了，在赛场上直接就被抬出去了，最后不得不退役。
19年去杭州的培训机构当老师，结果被老板拖欠工资，差点没饭吃。后来去嘉兴的体校，说是有编制，结果没拿到编制，别人倒是先拿到编制了。于是又回到杭州，搞直播。结果就碰到管晨辰这事了然后网络就扒她。结果不扒还好，一扒就发现，原来她在浙江被老板拖欠工资的那几年，她每周还去做公益。具体来说，是长达2年的时间内，每月都去照顾自闭症，唐氏综合症的孩子。你去看她带这些孩子的视频，就会发现她带这些自闭症、唐氏综合征的孩子时，一直都是充满笑我想，有孩子的家长都能意识到这是什么概念。别说自闭症和唐氏综合征的孩子了。
即便是教正常的孩子做作业，十个家长里，最少有九个都笑不出来。后来吴柳芳缟个直播吧，结果聊到自己贫困的家一边憋完眼泪，然后继续回来被平台封禁后，不能跳舞了，只能眼含泪水的说：实在是太不好意思拿大家的礼。
她被平台封禁后，直播说自己内心很强大。其实强大个屁啊，直播间里，她眼泪水都在打转了，说话都不利索了好吗?
这女孩就是明明已经扛不住了，还非要顶着，自己骗自己能扛过去。
所以这个事吧，最开始我是真把她当擦边主擦看后来网络刚开始扒她，我就发现这人不容易啊。继续扒她，我就发现这人太可怜了，再扒她，我发现这人简直就是女菩萨啊。
你们可以看看，凭吴柳芳的姿色，随便找个中共当官的养着，她会过得很舒服，她为什么没有同流合污？这就是她过得很难得原因！
评论区续……</t>
  </si>
  <si>
    <t>"2024-11-30T15:38:14.000Z"</t>
  </si>
  <si>
    <t>["https://pbs.twimg.com/media/GdpJRuNWIAAGsif.jpg"]</t>
  </si>
  <si>
    <t>https://x.com/LUOXIANGZY/status/1862883847685181919</t>
  </si>
  <si>
    <t>[{"duration":270216,"video_url":"https://video.twimg.com/amplify_video/1862883308025049088/vid/avc1/720x926/Zy3xazAK6skQz020.mp4?tag=16"},{"duration":34301,"video_url":"https://video.twimg.com/amplify_video/1862883308058599424/vid/avc1/720x1250/ttUG8jfp6YwzO8Zp.mp4?tag=16"},{"duration":16011,"video_url":"https://video.twimg.com/amplify_video/1862883308150878209/vid/avc1/720x1256/ndH2QBTqjXGpVO3m.mp4?tag=16"}]</t>
  </si>
  <si>
    <t>不愧是中共治下的女人啊，又当又立！
这特么是没碰到狠人，碰到狠人你特么就从热心市民变成美丽冻人了！躺停尸房那种！
谁认识这婊子，给他她爆点料！</t>
  </si>
  <si>
    <t>"2024-07-20T15:04:29.000Z"</t>
  </si>
  <si>
    <t>["https://pbs.twimg.com/media/GS8HkdfXIAEPD1P.jpg","https://pbs.twimg.com/media/GS8HkdfXsAAV3wD.jpg","https://pbs.twimg.com/media/GS8HkdhWQAECfcj.jpg"]</t>
  </si>
  <si>
    <t>https://x.com/LUOXIANGZY/status/1814677768350654766</t>
  </si>
  <si>
    <t>[{"duration":243573,"video_url":"https://video.twimg.com/amplify_video/1814677497855762432/vid/avc1/778x432/P-XWISM7tuZnhk_4.mp4?tag=16"}]</t>
  </si>
  <si>
    <t>还真是三姓家奴。
#谷爱凌</t>
  </si>
  <si>
    <t>"2024-01-15T00:12:05.000Z"</t>
  </si>
  <si>
    <t>["https://pbs.twimg.com/media/GD16KFVbMAAGgEe.jpg"]</t>
  </si>
  <si>
    <t>https://x.com/TruthMedia123/status/1746686655149531214</t>
  </si>
  <si>
    <t>["谷爱凌"]</t>
  </si>
  <si>
    <t>刚刚，上海地铁无差别捅人，全网封杀！慎入！</t>
  </si>
  <si>
    <t>"2024-06-19T02:26:19.000Z"</t>
  </si>
  <si>
    <t>["https://pbs.twimg.com/media/GQZw8cfakAAW8uO.jpg","https://pbs.twimg.com/media/GQZw8chaIAMa0qY.jpg"]</t>
  </si>
  <si>
    <t>https://x.com/xinwendiaocha/status/1803252944466485562</t>
  </si>
  <si>
    <t>[{"duration":4345,"video_url":"https://video.twimg.com/amplify_video/1803252884630564864/vid/avc1/720x1280/kNr0IkIF6pI1vlMW.mp4?tag=16"},{"duration":2333,"video_url":"https://video.twimg.com/amplify_video/1803252884638932992/vid/avc1/544x960/3XvCKAAWTJx_Ih91.mp4?tag=16"}]</t>
  </si>
  <si>
    <t>电影《国有器官》上映，竟收炸弹威胁恐吓不准播放！
#民视新闻 真实纪录片《国有器官》，讲述活摘人体器官的恐怖事件，没想到，全台影城10月上映后，陆续收到恐吓信件，扬言要在影城放炸弹等各种讯息，警方不断接获报案，现在，除了加强巡逻，同时也调查IP位置，初步研判，是中国网军惯用的滋扰手段，在境外犯案。</t>
  </si>
  <si>
    <t>"2024-10-10T07:53:14.000Z"</t>
  </si>
  <si>
    <t>https://x.com/TruthMedia123/status/1844285044287996170</t>
  </si>
  <si>
    <t>["民视新闻"]</t>
  </si>
  <si>
    <t>[{"duration":119466,"video_url":"https://video.twimg.com/ext_tw_video/1844284487905222656/pu/vid/avc1/640x360/JEPz-6WuDNTsafyx.mp4?tag=12"}]</t>
  </si>
  <si>
    <t>GFW███g</t>
  </si>
  <si>
    <t>墙国蛙███���</t>
  </si>
  <si>
    <t>就在昨天，b站主播户晨风直播间遭直球冲塔爆破：“你觉得习是独裁者吗？”
目前，他因“身体不适”，停播三天
投稿By:/ \ /</t>
  </si>
  <si>
    <t>"2024-04-16T08:43:09.000Z"</t>
  </si>
  <si>
    <t>["https://pbs.twimg.com/media/GLRhfz-XAAAiNOx.jpg"]</t>
  </si>
  <si>
    <t>https://x.com/GFWfrog/status/1780154954155434150</t>
  </si>
  <si>
    <t>学而时习之，墙国404
欢迎私信投稿，视频投稿素材请发邮件: gfwfrog@gmail.com 或Telegram私信机器人@laohu_bot 投稿 万人Telegram群：https://t.co/BbAyHfnObj
Telegram频道：https://t.co/Evu48wmwfT
#世界上最安全的国家</t>
  </si>
  <si>
    <t>https://pbs.twimg.com/profile_images/1866669545345150976/Lrzp5POA_normal.jpg</t>
  </si>
  <si>
    <t>[{"duration":50457,"video_url":"https://video.twimg.com/ext_tw_video/1780154911751086080/pu/vid/avc1/720x1280/xnv9H1QVhCSdbssH.mp4?tag=12"}]</t>
  </si>
  <si>
    <t>去你妈的国庆！
去你妈的习近平！
#中指革命</t>
  </si>
  <si>
    <t>"2024-09-30T09:59:00.000Z"</t>
  </si>
  <si>
    <t>["https://pbs.twimg.com/media/GYt0J1CW0AAu6jd.jpg"]</t>
  </si>
  <si>
    <t>https://x.com/GFWfrog/status/1840692814465642929</t>
  </si>
  <si>
    <t>["中指革命"]</t>
  </si>
  <si>
    <t>"2024-03-11T03:49:56.000Z"</t>
  </si>
  <si>
    <t>["https://pbs.twimg.com/media/GIXFJHfaMAAYIWk.jpg"]</t>
  </si>
  <si>
    <t>https://x.com/NmsleseResearch/status/1767035199433674777</t>
  </si>
  <si>
    <t>The pitchside view of Cody's leveller 🎥
#TeamPixel | #Ad</t>
  </si>
  <si>
    <t>https://x.com/LFC/status/1868234550913958014</t>
  </si>
  <si>
    <t>["TeamPixel","Ad"]</t>
  </si>
  <si>
    <t>[{"duration":15700,"video_url":"https://video.twimg.com/amplify_video/1868003071197843456/vid/avc1/1080x1080/M6L37DUtWuAsniE7.mp4?tag=16"}]</t>
  </si>
  <si>
    <t>The skipper signs off for 2024! 👋
🤳 @MayaLeTissier
#MUWomen</t>
  </si>
  <si>
    <t>"2024-12-15T16:39:18.000Z"</t>
  </si>
  <si>
    <t>https://x.com/ManUtdWomen/status/1868335032512938388</t>
  </si>
  <si>
    <t>[{"biography":null,"followers":null,"following":null,"is_verified":null,"profile_id":"1029076404531593216","profile_name":"Maya Le Tissier","url":"https://x.com/MayaLeTissier"}]</t>
  </si>
  <si>
    <t>[{"duration":6360,"video_url":"https://video.twimg.com/amplify_video/1868332085162770432/vid/avc1/720x1280/uWBhSgLwonYkTDSF.mp4?tag=14"}]</t>
  </si>
  <si>
    <t>Your Spurs side in Southampton 🙌
🔢 @krakenfx</t>
  </si>
  <si>
    <t>"2024-12-15T17:46:20.000Z"</t>
  </si>
  <si>
    <t>["https://pbs.twimg.com/media/Ge24IqKWUAE5pox.jpg"]</t>
  </si>
  <si>
    <t>https://x.com/SpursOfficial/status/1868351900367605819</t>
  </si>
  <si>
    <t>[{"biography":null,"followers":null,"following":null,"is_verified":null,"profile_id":"1399148563","profile_name":"Kraken Exchange","url":"https://x.com/krakenfx"}]</t>
  </si>
  <si>
    <t>A first @premierleague start for both Djed and Lucas 👏</t>
  </si>
  <si>
    <t>"2024-12-15T20:24:16.000Z"</t>
  </si>
  <si>
    <t>["https://pbs.twimg.com/media/Ge3cRHxWwAAM0PV.jpg","https://pbs.twimg.com/media/Ge3cSVTX0AAM4ZV.jpg"]</t>
  </si>
  <si>
    <t>https://x.com/SpursOfficial/status/1868391649040007502</t>
  </si>
  <si>
    <t>🏆 #PremierSportsCup Final Day! 🙌
#CELRAN | #CelticFC🍀</t>
  </si>
  <si>
    <t>["https://pbs.twimg.com/media/GemXNODXoAA6yL4.jpg"]</t>
  </si>
  <si>
    <t>https://x.com/CelticFC/status/1868219448026378560</t>
  </si>
  <si>
    <t>["PremierSportsCup","CELRAN","CelticFC"]</t>
  </si>
  <si>
    <t>From the spot! 🫡
Fowler remains cool for @ManCityWomen 
#BarclaysWSL</t>
  </si>
  <si>
    <t>"2024-12-15T14:18:58.000Z"</t>
  </si>
  <si>
    <t>https://x.com/BarclaysWSL/status/1868299717261566206</t>
  </si>
  <si>
    <t>[{"biography":null,"followers":null,"following":null,"is_verified":null,"profile_id":"344643933","profile_name":"Manchester City Women","url":"https://x.com/ManCityWomen"}]</t>
  </si>
  <si>
    <t>[{"duration":21958,"video_url":"https://video.twimg.com/amplify_video/1868299694561959936/vid/avc1/1280x720/TSjfb5g7AoHHUjms.mp4?tag=16"}]</t>
  </si>
  <si>
    <t>Tooney enjoyed that one! 🙌
@EllaToone99 🤳
#MUFC || #MUWomen</t>
  </si>
  <si>
    <t>"2024-12-15T19:29:58.000Z"</t>
  </si>
  <si>
    <t>https://x.com/ManUtdWomen/status/1868377982240501825</t>
  </si>
  <si>
    <t>[{"biography":null,"followers":null,"following":null,"is_verified":null,"profile_id":"4538989277","profile_name":"Ella Toone","url":"https://x.com/ellatoone99"}]</t>
  </si>
  <si>
    <t>["MUFC","MUWomen"]</t>
  </si>
  <si>
    <t>[{"duration":11618,"video_url":"https://video.twimg.com/ext_tw_video/1868377769299578880/pu/vid/avc1/720x1280/Z1rCCK1aat0sOapb.mp4?tag=12"}]</t>
  </si>
  <si>
    <t>tay███swi███3</t>
  </si>
  <si>
    <t>Tay███ Sw███</t>
  </si>
  <si>
    <t>The Lavender Haze video is out now. There is lots of lavender. There is lots of haze. There is my incredible costar @laith_ashley who I absolutely adored working with.</t>
  </si>
  <si>
    <t>"2023-01-27T05:06:14.000Z"</t>
  </si>
  <si>
    <t>["https://pbs.twimg.com/media/FndEXf-WAAI0ptI.jpg","https://pbs.twimg.com/media/FndEXgBXwAAPK06.jpg","https://pbs.twimg.com/media/FndEXf6WYAcQv5W.jpg","https://pbs.twimg.com/media/FndEXf8WAAADaD2.jpg"]</t>
  </si>
  <si>
    <t>https://x.com/taylorswift13/status/1618837765269098496</t>
  </si>
  <si>
    <t>[{"biography":null,"followers":null,"following":null,"is_verified":null,"profile_id":"4247404887","profile_name":"Laith Ashley De La Cruz","url":"https://x.com/laith_ashley"}]</t>
  </si>
  <si>
    <t>http://taylor.lnk.to/lavenderhazemusicvideo</t>
  </si>
  <si>
    <t>All’s fair in love and poetry... New album THE TORTURED POETS DEPARTMENT. Out now 🤍</t>
  </si>
  <si>
    <t>https://pbs.twimg.com/profile_images/1766836345450672128/HpuBz514_normal.jpg</t>
  </si>
  <si>
    <t>Milestone moment 🤝
Sonny equals Darren Anderton's all-time Spurs assist record of 67 in the @premierleague! 🌟</t>
  </si>
  <si>
    <t>"2024-12-15T19:29:09.000Z"</t>
  </si>
  <si>
    <t>["https://pbs.twimg.com/media/Ge3Pq7mXsAADYBv.jpg"]</t>
  </si>
  <si>
    <t>https://x.com/SpursOfficial/status/1868377777809891613</t>
  </si>
  <si>
    <t>tal███ORT███</t>
  </si>
  <si>
    <t>Roy Keane swears on live TV in angry Man United rant</t>
  </si>
  <si>
    <t>"2024-12-15T17:07:00.000Z"</t>
  </si>
  <si>
    <t>https://x.com/talkSPORT/status/1868342003055952348</t>
  </si>
  <si>
    <t>https://talksport.com/football/2382231/roy-keane-man-utd-sky-sports-rant-x-rated/</t>
  </si>
  <si>
    <t>The world’s biggest sports radio station 📻
🚨 Buy talkSPORT Trivia Game here: https://t.co/dQV2AFISP2</t>
  </si>
  <si>
    <t>https://pbs.twimg.com/profile_images/1605158550979940360/MUqOEhHq_normal.jpg</t>
  </si>
  <si>
    <t>["https://pbs.twimg.com/card_img/1868339014291353601/8w2bPGu4?format=jpg&amp;name=orig"]</t>
  </si>
  <si>
    <t>More momentous moments! 🤩
#CELRAN | #PremierSportsCup | #CelticFC🍀</t>
  </si>
  <si>
    <t>"2024-12-15T19:10:11.000Z"</t>
  </si>
  <si>
    <t>["https://pbs.twimg.com/media/Ge3LOuaXUAAea_v.jpg","https://pbs.twimg.com/media/Ge3LUUvXgAA7XgD.jpg"]</t>
  </si>
  <si>
    <t>https://x.com/CelticFC/status/1868373005900165346</t>
  </si>
  <si>
    <t>pre███gby███</t>
  </si>
  <si>
    <t>Pre███rsh███Rug███</t>
  </si>
  <si>
    <t>A dream debut 😍
Liam Williams in a @Saracens shirt. Scoring tries. You know it makes sense 🔥
#InvestecChampionsCup</t>
  </si>
  <si>
    <t>"2024-12-15T13:42:04.000Z"</t>
  </si>
  <si>
    <t>https://x.com/premrugby/status/1868290430422643138</t>
  </si>
  <si>
    <t>[{"biography":null,"followers":null,"following":null,"is_verified":null,"profile_id":"56343104","profile_name":"Saracens Rugby Club","url":"https://x.com/Saracens"}]</t>
  </si>
  <si>
    <t>The official X account of Premiership Rugby 🏉</t>
  </si>
  <si>
    <t>https://pbs.twimg.com/profile_images/1752250213920604160/8DqOgqK2_normal.jpg</t>
  </si>
  <si>
    <t>[{"duration":66336,"video_url":"https://video.twimg.com/amplify_video/1868288820849815552/vid/avc1/1280x720/2oY4bxcEVzqB4m9N.mp4?tag=16"}]</t>
  </si>
  <si>
    <t>Pro███sMe███A</t>
  </si>
  <si>
    <t>Pro███s M███</t>
  </si>
  <si>
    <t>The Proteas have landed in the Mother City! 🌍🏏
Cape Town and Paarl, are you ready? 🇿🇦Our ODI squad is locked, loaded, and fired up to take on Pakistan this week. Don’t miss the action – grab your tickets and join the gees at the stadium! 🇿🇦🔥
🎟️ https://t.co/V0eYiAMKYS 
#WozaNawe #BePartOfIt #SAvPAK</t>
  </si>
  <si>
    <t>"2024-12-15T19:19:21.000Z"</t>
  </si>
  <si>
    <t>https://x.com/ProteasMenCSA/status/1868375312725155941</t>
  </si>
  <si>
    <t>https://cricket.co.za/proteas-men/</t>
  </si>
  <si>
    <t>Welcome to the official handle of men's national cricket in South Africa. #WozaNawe #BePartOfIt</t>
  </si>
  <si>
    <t>https://pbs.twimg.com/profile_images/1782489060189077504/yCEXACJL_normal.jpg</t>
  </si>
  <si>
    <t>[{"duration":19033,"video_url":"https://video.twimg.com/amplify_video/1868375077890260992/vid/avc1/1080x1920/ygumLuJZgj-lAS3R.mp4?tag=16"}]</t>
  </si>
  <si>
    <t>What a performance from Sara Holmgaard today!
#BarclaysWSL @EvertonWomen</t>
  </si>
  <si>
    <t>"2024-12-15T20:02:00.000Z"</t>
  </si>
  <si>
    <t>https://x.com/BarclaysWSL/status/1868386043529224600</t>
  </si>
  <si>
    <t>[{"duration":6988,"video_url":"https://video.twimg.com/amplify_video/1868325257079050240/vid/avc1/1080x1920/CSDZ17hiSp3pQaOt.mp4?tag=16"}]</t>
  </si>
  <si>
    <t>Grace Clinton strikes again ⚡️
#BarclaysWSL @ManUtdWomen</t>
  </si>
  <si>
    <t>"2024-12-15T14:54:42.000Z"</t>
  </si>
  <si>
    <t>https://x.com/BarclaysWSL/status/1868308709203472757</t>
  </si>
  <si>
    <t>[{"duration":27773,"video_url":"https://video.twimg.com/amplify_video/1868308686172499968/vid/avc1/1280x720/nzY4LI4W-mCp8z8u.mp4?tag=16"}]</t>
  </si>
  <si>
    <t>The curve on that strike from Leon! 👀
#BarclaysWSL @AVWFCOfficial</t>
  </si>
  <si>
    <t>"2024-12-15T14:08:34.000Z"</t>
  </si>
  <si>
    <t>https://x.com/BarclaysWSL/status/1868297099680309710</t>
  </si>
  <si>
    <t>[{"biography":null,"followers":null,"following":null,"is_verified":null,"profile_id":"379676896","profile_name":"Aston Villa Women","url":"https://x.com/AVWFCOfficial"}]</t>
  </si>
  <si>
    <t>[{"duration":34053,"video_url":"https://video.twimg.com/amplify_video/1868297050732871680/vid/avc1/1280x720/Lc59JF5HDX-KKNi9.mp4?tag=16"}]</t>
  </si>
  <si>
    <t>Good pressing, better finish ✨
🎥: @BarclaysWSL 
#MUWomen</t>
  </si>
  <si>
    <t>"2024-12-15T14:59:23.000Z"</t>
  </si>
  <si>
    <t>https://x.com/ManUtdWomen/status/1868309889782800894</t>
  </si>
  <si>
    <t>🚨 The ULTIMATE Usyk vs Fury 2 Preview in partnership with @DAZNBoxing 🥊 
A headcam exclusive with @McGuigans_Gym and @SpencerOliver reveals where the fight will be won and lost.
WATCH in full HERE:</t>
  </si>
  <si>
    <t>"2024-12-15T20:38:49.000Z"</t>
  </si>
  <si>
    <t>https://x.com/talkSPORT/status/1868395309748957363</t>
  </si>
  <si>
    <t>[{"biography":null,"followers":null,"following":null,"is_verified":null,"profile_id":"737964408354287616","profile_name":"DAZN Boxing","url":"https://x.com/DAZNBoxing"},{"biography":null,"followers":null,"following":null,"is_verified":null,"profile_id":"880430796","profile_name":"Shane McGuigan","url":"https://x.com/McGuigans_Gym"},{"biography":null,"followers":null,"following":null,"is_verified":null,"profile_id":"202697395","profile_name":"Spencer Oliver","url":"https://x.com/SpencerOliver"}]</t>
  </si>
  <si>
    <t>https://www.youtube.com/watch?v=LHxzhG-wCCQ</t>
  </si>
  <si>
    <t>["ad"]</t>
  </si>
  <si>
    <t>[{"duration":40560,"video_url":"https://video.twimg.com/amplify_video/1868393176005742593/vid/avc1/1280x720/fmcYzN6C8kCHZ38M.mp4?tag=14"}]</t>
  </si>
  <si>
    <t>Troy Deeney tells Man United and Arsenal to avoid signing Viktor Gyokeres at all costs</t>
  </si>
  <si>
    <t>"2024-12-15T18:45:00.000Z"</t>
  </si>
  <si>
    <t>https://x.com/talkSPORT/status/1868366665588605415</t>
  </si>
  <si>
    <t>https://talksport.com/football/2378039/troy-deeney-viktor-gyokeres-record-arsenal-man-united-transfer/</t>
  </si>
  <si>
    <t>["https://pbs.twimg.com/card_img/1867886082265681920/bQFuhPDD?format=jpg&amp;name=orig"]</t>
  </si>
  <si>
    <t>eng███dcr███et</t>
  </si>
  <si>
    <t>Eng███d C███ket███</t>
  </si>
  <si>
    <t>All out for 395 on Day 1 🏏
Follow live in our match centre 👉</t>
  </si>
  <si>
    <t>"2024-12-15T14:56:57.000Z"</t>
  </si>
  <si>
    <t>["https://pbs.twimg.com/media/Ge2RS5hW4AAEOaM.jpg"]</t>
  </si>
  <si>
    <t>https://x.com/englandcricket/status/1868309275384193427</t>
  </si>
  <si>
    <t>http://ms.spr.ly/6016oTbjg</t>
  </si>
  <si>
    <t>["EnglandCricket"]</t>
  </si>
  <si>
    <t>We Are England Cricket. The official home of all of the England Cricket teams on X.</t>
  </si>
  <si>
    <t>https://pbs.twimg.com/profile_images/1653776479488991237/nRuCAWCI_normal.jpg</t>
  </si>
  <si>
    <t>🤩 The scene is set for #PremierSportsCup Final! 
Team news from Hampden 🔜
#CELRAN | #CelticFC🍀</t>
  </si>
  <si>
    <t>"2024-12-15T14:04:31.000Z"</t>
  </si>
  <si>
    <t>["https://pbs.twimg.com/media/Ge2FS5dXMAAyZPv.jpg","https://pbs.twimg.com/media/Ge2FS5WWAAAAhFr.jpg","https://pbs.twimg.com/media/Ge2FS5XWQAA27_h.jpg","https://pbs.twimg.com/media/Ge2FS5fWoAAfZ-t.jpg"]</t>
  </si>
  <si>
    <t>https://x.com/CelticFC/status/1868296081907593280</t>
  </si>
  <si>
    <t>Glasgow Celtic are the 2024 #PremierSportsCup Winners! 🏆 
Congratulations to Brendan Rodgers &amp;amp; the Bhoys! 👏
#CelticFC🍀</t>
  </si>
  <si>
    <t>"2024-12-15T18:24:59.000Z"</t>
  </si>
  <si>
    <t>["https://pbs.twimg.com/media/Ge3A7WlW8AE7cp9.jpg"]</t>
  </si>
  <si>
    <t>https://x.com/CelticFC/status/1868361629957820914</t>
  </si>
  <si>
    <t>["PremierSportsCup","CelticFC"]</t>
  </si>
  <si>
    <t>Beautiful Sunday! 🏆
#CELRAN | #PremierSportsCup | #CelticFC🍀</t>
  </si>
  <si>
    <t>"2024-12-15T18:45:32.000Z"</t>
  </si>
  <si>
    <t>["https://pbs.twimg.com/media/Ge3FiDCXEAASoQX.jpg"]</t>
  </si>
  <si>
    <t>https://x.com/CelticFC/status/1868366799961727090</t>
  </si>
  <si>
    <t>"2023-12-25T03:10:44.000Z"</t>
  </si>
  <si>
    <t>["https://pbs.twimg.com/media/GCKZwCPa8AAMXsj.jpg"]</t>
  </si>
  <si>
    <t>https://x.com/NmsleseResearch/status/1739121469609947376</t>
  </si>
  <si>
    <t>This time last week. 🤩🏆
#ThisTeam
#ThisTeam</t>
  </si>
  <si>
    <t>"2024-12-15T14:30:00.000Z"</t>
  </si>
  <si>
    <t>https://x.com/McLarenF1/status/1868302493945303194</t>
  </si>
  <si>
    <t>["ThisTeam","ThisTeam"]</t>
  </si>
  <si>
    <t>[{"duration":28960,"video_url":"https://video.twimg.com/amplify_video/1867218328495747072/vid/avc1/720x1280/ekM6Qy1Agrun0woy.mp4?tag=14"}]</t>
  </si>
  <si>
    <t>Striking the back of the net with the last kick of the first half to seal the three points 👏
#BarclaysWSL @ManUtdWomen</t>
  </si>
  <si>
    <t>"2024-12-15T17:21:41.000Z"</t>
  </si>
  <si>
    <t>https://x.com/BarclaysWSL/status/1868345700871971161</t>
  </si>
  <si>
    <t>🔊🔊🔊
#MUFC || #MCIMUN</t>
  </si>
  <si>
    <t>"2024-12-15T18:40:36.000Z"</t>
  </si>
  <si>
    <t>https://x.com/ManUtd/status/1868365557734756583</t>
  </si>
  <si>
    <t>[{"duration":30733,"video_url":"https://video.twimg.com/ext_tw_video/1868365249641861120/pu/vid/avc1/720x1280/Ul3Ghh_Ewd3uu0sW.mp4?tag=12"}]</t>
  </si>
  <si>
    <t>MFL███</t>
  </si>
  <si>
    <t>Mal███ian███otb█████████e</t>
  </si>
  <si>
    <t>Malaysian Football League (MFL) telah mengemaskini jadual perlawanan MFL Challenge Cup 2024-2025 melibatkan beberapa perlawanan. Pindaan ini telah dipersetujui oleh kedua-dua pasukan yang terlibat.</t>
  </si>
  <si>
    <t>"2024-12-09T07:24:40.000Z"</t>
  </si>
  <si>
    <t>["https://pbs.twimg.com/media/GeVwSLjawAAnAEP.jpg"]</t>
  </si>
  <si>
    <t>https://x.com/MFL_MY/status/1866021126738158030</t>
  </si>
  <si>
    <t>https://www.malaysianfootballleague.com/Content/Post/Watch/2451</t>
  </si>
  <si>
    <t>["MFLChallengeCup24","DemiLigaKita","LigaMalaysia"]</t>
  </si>
  <si>
    <t>Official Twitter of the Malaysian Football League (MFL). 🇲🇾⚽</t>
  </si>
  <si>
    <t>https://pbs.twimg.com/profile_images/1638733016985145344/DlS5U4Qj_normal.jpg</t>
  </si>
  <si>
    <t>100 @premierleague appearances and counting 🔥</t>
  </si>
  <si>
    <t>"2024-12-15T19:24:42.000Z"</t>
  </si>
  <si>
    <t>["https://pbs.twimg.com/media/Ge3OmJQWwAAJ7Fe.jpg","https://pbs.twimg.com/media/Ge3OmJSXMAAvAB6.jpg"]</t>
  </si>
  <si>
    <t>https://x.com/SpursOfficial/status/1868376656290984434</t>
  </si>
  <si>
    <t>Jobe Bellingham swears as late winner gets Sunderland promotion charge back on track</t>
  </si>
  <si>
    <t>"2024-12-15T22:07:00.000Z"</t>
  </si>
  <si>
    <t>https://x.com/talkSPORT/status/1868417500565647762</t>
  </si>
  <si>
    <t>https://talksport.com/football/2380742/jobe-bellingham-sunderland-fans-message/</t>
  </si>
  <si>
    <t>["https://pbs.twimg.com/card_img/1867999428348383232/8sNpotZt?format=jpg&amp;name=orig"]</t>
  </si>
  <si>
    <t>Ryan Reynolds brings Hollywood superstar to pub before Wrexham's 2-2 draw vs Cambridge</t>
  </si>
  <si>
    <t>"2024-12-15T00:15:00.000Z"</t>
  </si>
  <si>
    <t>https://x.com/talkSPORT/status/1868087325017694336</t>
  </si>
  <si>
    <t>https://talksport.com/football/2380046/ryan-reynolds-wrexham-pub-hollywood-channing-tatum/</t>
  </si>
  <si>
    <t>["https://pbs.twimg.com/card_img/1867958932376784897/yiZwIHx6?format=jpg&amp;name=orig"]</t>
  </si>
  <si>
    <t>FIA███</t>
  </si>
  <si>
    <t>FIA███rld███dur█████████pio██████</t>
  </si>
  <si>
    <t>The one with extra time. 👀🇧🇪
@circuitspa saw one of our most dramatic races of the season.
Here’s some of the best images from THAT race 👇
#WEC #6HSpa</t>
  </si>
  <si>
    <t>"2024-12-15T10:15:00.000Z"</t>
  </si>
  <si>
    <t>["https://pbs.twimg.com/media/GeoZvvTXQAAIRU7.jpg","https://pbs.twimg.com/media/GeoZxt7XoAAS_qY.jpg","https://pbs.twimg.com/media/GeoZ3a3XcAA-Shz.jpg"]</t>
  </si>
  <si>
    <t>https://x.com/FIAWEC/status/1868238319777116269</t>
  </si>
  <si>
    <t>[{"biography":null,"followers":null,"following":null,"is_verified":null,"profile_id":"757979287790182400","profile_name":"Spa-Francorchamps","url":"https://x.com/circuitspa"}]</t>
  </si>
  <si>
    <t>["WEC","6HSpa"]</t>
  </si>
  <si>
    <t>The official Twitter account for the FIA World Endurance Championship, Le Mans Hypercar and LMGT3 endurance racing around the world. #WEC</t>
  </si>
  <si>
    <t>https://pbs.twimg.com/profile_images/1726640111318659072/twJQHrFx_normal.jpg</t>
  </si>
  <si>
    <t>Working their way back 👊
@BathRugby trail Benetton at the break but this try from Niall Annett has them in touch in Italy 🇮🇹
🎥@PremSportsTV 
#InvestecChampionsCup</t>
  </si>
  <si>
    <t>"2024-12-15T13:58:17.000Z"</t>
  </si>
  <si>
    <t>https://x.com/premrugby/status/1868294512252219608</t>
  </si>
  <si>
    <t>[{"biography":null,"followers":null,"following":null,"is_verified":null,"profile_id":"41795957","profile_name":"Bath Rugby","url":"https://x.com/BathRugby"},{"biography":null,"followers":null,"following":null,"is_verified":null,"profile_id":"159582357","profile_name":"Premier Sports","url":"https://x.com/PremSportsTV"}]</t>
  </si>
  <si>
    <t>[{"duration":57856,"video_url":"https://video.twimg.com/amplify_video/1868288135903285248/vid/avc1/1280x720/27gfRJR77EpiHWPv.mp4?tag=16"}]</t>
  </si>
  <si>
    <t>On her own!
@KenzaDali carries the ball from half-way and smashes it into the back of the net 🤩
#BarclaysWSL @AVWFCOfficial</t>
  </si>
  <si>
    <t>"2024-12-15T15:49:11.000Z"</t>
  </si>
  <si>
    <t>https://x.com/BarclaysWSL/status/1868322420827816101</t>
  </si>
  <si>
    <t>[{"biography":null,"followers":null,"following":null,"is_verified":null,"profile_id":"460610051","profile_name":"Kenza DALI","url":"https://x.com/KenzaDali"},{"biography":null,"followers":null,"following":null,"is_verified":null,"profile_id":"379676896","profile_name":"Aston Villa Women","url":"https://x.com/AVWFCOfficial"}]</t>
  </si>
  <si>
    <t>[{"duration":34053,"video_url":"https://video.twimg.com/amplify_video/1868322374971523072/vid/avc1/1280x720/YNnGAkocI43bhZlP.mp4?tag=16"}]</t>
  </si>
  <si>
    <t>🎞⚽ 
#AVSSLB • #LigaPortugalBetclic 
🎥 Acompanha os nossos jogos fora na @sporttvportugal</t>
  </si>
  <si>
    <t>"2024-12-15T21:22:38.000Z"</t>
  </si>
  <si>
    <t>https://x.com/SLBenfica/status/1868406335013843350</t>
  </si>
  <si>
    <t>[{"biography":null,"followers":null,"following":null,"is_verified":null,"profile_id":"40019154","profile_name":"sport tv","url":"https://x.com/sporttvportugal"}]</t>
  </si>
  <si>
    <t>[{"duration":22933,"video_url":"https://video.twimg.com/amplify_video/1868404790453047296/vid/avc1/720x1280/7QEJeY8EKLe-Ptg8.mp4?tag=14"}]</t>
  </si>
  <si>
    <t>JOSKOOOOOOO!!!!!!!!!
🩵 1-0 🔴 #ManCity</t>
  </si>
  <si>
    <t>"2024-12-15T17:07:52.000Z"</t>
  </si>
  <si>
    <t>https://x.com/ManCity/status/1868342222061707402</t>
  </si>
  <si>
    <t>[{"duration":5040,"video_url":"https://video.twimg.com/ext_tw_video/1868342168823218176/pu/vid/avc1/720x900/KAzchqqho_Pj7I-5.mp4?tag=12"}]</t>
  </si>
  <si>
    <t>Getting acquainted with today’s stage 🚶‍♀️🏟️
#MUWomen</t>
  </si>
  <si>
    <t>"2024-12-15T13:23:44.000Z"</t>
  </si>
  <si>
    <t>https://x.com/ManUtdWomen/status/1868285817723957700</t>
  </si>
  <si>
    <t>[{"duration":16066,"video_url":"https://video.twimg.com/amplify_video/1868285710341476352/vid/avc1/1080x1920/UyKHSDIjVsClQ47Q.mp4?tag=16"}]</t>
  </si>
  <si>
    <t>Full-time scenes at Sutton 👏
Thank you to all the Reds who made the trip down south ❤️
#MUWomen</t>
  </si>
  <si>
    <t>"2024-12-15T16:21:31.000Z"</t>
  </si>
  <si>
    <t>https://x.com/ManUtdWomen/status/1868330557698175126</t>
  </si>
  <si>
    <t>[{"duration":15534,"video_url":"https://video.twimg.com/amplify_video/1868329729410957312/vid/avc1/720x1280/N6vl0BOHDDEXZcL6.mp4?tag=14"}]</t>
  </si>
  <si>
    <t>Opening his @premierleague account for the season in style ✨</t>
  </si>
  <si>
    <t>"2024-12-15T19:42:59.000Z"</t>
  </si>
  <si>
    <t>["https://pbs.twimg.com/media/Ge3Ss8JWEAAIKB-.jpg"]</t>
  </si>
  <si>
    <t>https://x.com/SpursOfficial/status/1868381256540369141</t>
  </si>
  <si>
    <t>Who was your #SOUTOT Player of the Match? 🤔
Vote now via the Official Spurs App 📲</t>
  </si>
  <si>
    <t>"2024-12-15T21:22:37.000Z"</t>
  </si>
  <si>
    <t>["https://pbs.twimg.com/media/Ge3oPOzWIAEQ1pX.jpg"]</t>
  </si>
  <si>
    <t>https://x.com/SpursOfficial/status/1868406333159952780</t>
  </si>
  <si>
    <t>[{"biography":null,"followers":null,"following":null,"is_verified":null,"profile_id":"2316897812","profile_name":"HSBC Sport","url":"https://x.com/HSBC_Sport"}]</t>
  </si>
  <si>
    <t>http://bit.ly/4iz3wOn</t>
  </si>
  <si>
    <t>["SOUTOT"]</t>
  </si>
  <si>
    <t>60' - ⚡️ DAIZEN MAEDA!!!!!!!! 
Follow the action live on our Match Centre 📲</t>
  </si>
  <si>
    <t>"2024-12-15T16:53:44.000Z"</t>
  </si>
  <si>
    <t>["https://pbs.twimg.com/media/Ge2Wf3gWIAAH-Fo.jpg"]</t>
  </si>
  <si>
    <t>https://x.com/CelticFC/status/1868338665111662911</t>
  </si>
  <si>
    <t>http://celticfc.com/match</t>
  </si>
  <si>
    <t>"2024-05-24T01:44:20.000Z"</t>
  </si>
  <si>
    <t>["https://pbs.twimg.com/media/GOTuDAJaoAAqPT5.jpg"]</t>
  </si>
  <si>
    <t>https://x.com/NmsleseResearch/status/1793820294022660258</t>
  </si>
  <si>
    <t>Paulo Fonseca after #MilanGenoa 🎙️
#SempreMilan</t>
  </si>
  <si>
    <t>"2024-12-15T23:45:00.000Z"</t>
  </si>
  <si>
    <t>https://x.com/acmilan/status/1868442162943168587</t>
  </si>
  <si>
    <t>[{"duration":102320,"video_url":"https://video.twimg.com/amplify_video/1868440026599624704/vid/avc1/720x900/rW_wOjx9b6lOIkyp.mp4?tag=14"}]</t>
  </si>
  <si>
    <t>🥁 This afternoon's @BarclaysWSL Player of the Match, featuring a very special guest… 
@alessiarusso7 🏆</t>
  </si>
  <si>
    <t>"2024-12-15T18:25:04.000Z"</t>
  </si>
  <si>
    <t>https://x.com/ArsenalWFC/status/1868361650761539940</t>
  </si>
  <si>
    <t>[{"biography":null,"followers":null,"following":null,"is_verified":null,"profile_id":"273665871","profile_name":"Barclays Women's Super League","url":"https://x.com/BarclaysWSL"},{"biography":null,"followers":null,"following":null,"is_verified":null,"profile_id":"244906756","profile_name":"Alessia Russo","url":"https://x.com/alessiarusso7"}]</t>
  </si>
  <si>
    <t>[{"duration":8166,"video_url":"https://video.twimg.com/ext_tw_video/1868358792791879680/pu/vid/avc1/1080x1920/qn9qXGfz20EiSJW_.mp4?tag=14"}]</t>
  </si>
  <si>
    <t>👀 Will Terland get herself on the scoresheet again today?
#BarclaysWSL @ManUtdWomen</t>
  </si>
  <si>
    <t>"2024-12-15T13:22:53.000Z"</t>
  </si>
  <si>
    <t>https://x.com/BarclaysWSL/status/1868285602413608974</t>
  </si>
  <si>
    <t>[{"duration":21478,"video_url":"https://video.twimg.com/amplify_video/1865737679263977472/vid/avc1/1280x720/MYbiNy3UIlY_W07i.mp4?tag=16"}]</t>
  </si>
  <si>
    <t>Right place right time!
@alessiarusso7 finishes off the set-piece for @ArsenalWFC!
#BarclaysWSL</t>
  </si>
  <si>
    <t>"2024-12-15T14:53:15.000Z"</t>
  </si>
  <si>
    <t>https://x.com/BarclaysWSL/status/1868308344231825481</t>
  </si>
  <si>
    <t>[{"biography":null,"followers":null,"following":null,"is_verified":null,"profile_id":"244906756","profile_name":"Alessia Russo","url":"https://x.com/alessiarusso7"},{"biography":null,"followers":null,"following":null,"is_verified":null,"profile_id":"256551011","profile_name":"Arsenal Women","url":"https://x.com/ArsenalWFC"}]</t>
  </si>
  <si>
    <t>[{"duration":25278,"video_url":"https://video.twimg.com/amplify_video/1868308317920985088/vid/avc1/1280x720/p00SNXC2PoUfOPHe.mp4?tag=16"}]</t>
  </si>
  <si>
    <t>On fire for the Hammers recently!
@Vivi_Asseyi heads it home!
#BarclaysWSL</t>
  </si>
  <si>
    <t>"2024-12-15T14:27:18.000Z"</t>
  </si>
  <si>
    <t>https://x.com/BarclaysWSL/status/1868301814925320572</t>
  </si>
  <si>
    <t>[{"biography":null,"followers":null,"following":null,"is_verified":null,"profile_id":"120080221","profile_name":"Vivi Asseyi","url":"https://x.com/Vivi_Asseyi"}]</t>
  </si>
  <si>
    <t>[{"duration":35093,"video_url":"https://video.twimg.com/amplify_video/1868301789432320000/vid/avc1/1280x720/X1UIi1a4FxE-Zs0u.mp4?tag=16"}]</t>
  </si>
  <si>
    <t>UNITED! UNITED! UNITED! 🗣️
🤳 @Snapdragon
#MUFC || #ShotOnSnapdragon</t>
  </si>
  <si>
    <t>"2024-12-15T19:01:26.000Z"</t>
  </si>
  <si>
    <t>https://x.com/ManUtd/status/1868370802095345951</t>
  </si>
  <si>
    <t>[{"duration":48166,"video_url":"https://video.twimg.com/ext_tw_video/1868370352763461632/pu/vid/avc1/720x1280/GCG9mbfBKLCKhVws.mp4?tag=12"}]</t>
  </si>
  <si>
    <t>1️⃣5️⃣ minutes until kick-off ⏱️
Come on United! 👏
#MUWomen</t>
  </si>
  <si>
    <t>"2024-12-15T13:45:41.000Z"</t>
  </si>
  <si>
    <t>https://x.com/ManUtdWomen/status/1868291340465054202</t>
  </si>
  <si>
    <t>[{"duration":16800,"video_url":"https://video.twimg.com/amplify_video/1868291229277974528/vid/avc1/1080x1920/gi4tVo3Dm1Ki8fIF.mp4?tag=16"}]</t>
  </si>
  <si>
    <t>Countdown to #SOUTOT! ⏳
Where will you be tuning in from? 🌍⤵️</t>
  </si>
  <si>
    <t>"2024-12-15T14:02:05.000Z"</t>
  </si>
  <si>
    <t>["https://pbs.twimg.com/media/Ge2Ez6_W8AAxtoK.jpg"]</t>
  </si>
  <si>
    <t>https://x.com/SpursOfficial/status/1868295468922331238</t>
  </si>
  <si>
    <t>BREAKING: Wolves sack Gary O'Neil after last-gasp Ipswich defeat</t>
  </si>
  <si>
    <t>"2024-12-15T11:12:37.000Z"</t>
  </si>
  <si>
    <t>https://x.com/talkSPORT/status/1868252820471955641</t>
  </si>
  <si>
    <t>https://talksport.com/football/2380686/gary-oneil-sacked-wolves/</t>
  </si>
  <si>
    <t>["https://pbs.twimg.com/card_img/1868252779434614784/UIsSWxtn?format=jpg&amp;name=orig"]</t>
  </si>
  <si>
    <t>Vis███cot███d</t>
  </si>
  <si>
    <t>This gatehouse looks like it's been plucked straight out of a fairytale! ✨❄️
📍 The Gatehouse at Ballindalloch Castle, @MoraySpeyside 📷 IG/emilyinscotland</t>
  </si>
  <si>
    <t>"2024-12-15T19:30:42.000Z"</t>
  </si>
  <si>
    <t>["https://pbs.twimg.com/media/Ge3QCgKWkAANQrs.jpg"]</t>
  </si>
  <si>
    <t>https://x.com/VisitScotland/status/1868378167695544669</t>
  </si>
  <si>
    <t>[{"biography":null,"followers":null,"following":null,"is_verified":null,"profile_id":"191468866","profile_name":"Visit Moray Speyside","url":"https://x.com/MoraySpeyside"}]</t>
  </si>
  <si>
    <t>Official home of Scotland's national tourism organisation. Share your experiences using #VisitScotland, #ScotlandIsCalling, or tag @VisitScotland on all socials</t>
  </si>
  <si>
    <t>https://pbs.twimg.com/profile_images/1572169607879823360/T57pZ87R_normal.jpg</t>
  </si>
  <si>
    <t>🚌👋 Final Focused 
#CELRAN | #PremierSportsCup | #CelticFC🍀</t>
  </si>
  <si>
    <t>https://x.com/CelticFC/status/1868302493932794313</t>
  </si>
  <si>
    <t>https://www.celticfc.com/match</t>
  </si>
  <si>
    <t>Alh███l_F███</t>
  </si>
  <si>
    <t>ناد███لهل███الس██████</t>
  </si>
  <si>
    <t>🔙 نعـود إلى العمـل 💪💙
#الهلال</t>
  </si>
  <si>
    <t>"2024-12-15T19:32:44.000Z"</t>
  </si>
  <si>
    <t>https://x.com/Alhilal_FC/status/1868378677823889504</t>
  </si>
  <si>
    <t>["الهلال"]</t>
  </si>
  <si>
    <t>الحساب الرسمي لنادي الهلال السعودي | English account @Alhilal_EN الحساب الرسمي لألعاب الهلال المختلفة @Alhilal_SG</t>
  </si>
  <si>
    <t>https://pbs.twimg.com/profile_images/1561793965359235073/354zGAdx_normal.jpg</t>
  </si>
  <si>
    <t>[{"duration":66396,"video_url":"https://video.twimg.com/ext_tw_video/1868377763658309632/pu/vid/avc1/1080x1350/evhowrWrMIxbVgnf.mp4?tag=14"}]</t>
  </si>
  <si>
    <t>POV: je breekt je neus op dinsdag en scoort met de kop op zondag. Brandon Mechele is a beast. 🤯💪🏼 #CLUGNK</t>
  </si>
  <si>
    <t>"2024-12-15T15:08:16.000Z"</t>
  </si>
  <si>
    <t>["https://pbs.twimg.com/media/Ge2T73KXQAA7FfV.jpg"]</t>
  </si>
  <si>
    <t>https://x.com/ClubBrugge/status/1868312121613988140</t>
  </si>
  <si>
    <t>[{"duration":23150,"video_url":"https://video.twimg.com/ext_tw_video/1868312077053403136/pu/vid/avc1/720x900/Dg2ykCguKnJfdHxy.mp4?tag=12"}]</t>
  </si>
  <si>
    <t>Pinpoint ball slipped through by Dali and Leon is there to finish the move!
#BarclaysWSL @AVWFCOfficial</t>
  </si>
  <si>
    <t>"2024-12-15T14:48:51.000Z"</t>
  </si>
  <si>
    <t>https://x.com/BarclaysWSL/status/1868307236063183284</t>
  </si>
  <si>
    <t>[{"duration":23653,"video_url":"https://video.twimg.com/amplify_video/1868307198658396160/vid/avc1/1280x720/LBsiW52gijwZOJjY.mp4?tag=16"}]</t>
  </si>
  <si>
    <t>The composure from Hayashi! 
#BarclaysWSL @EvertonWomen</t>
  </si>
  <si>
    <t>"2024-12-15T13:19:45.000Z"</t>
  </si>
  <si>
    <t>https://x.com/BarclaysWSL/status/1868284814136095075</t>
  </si>
  <si>
    <t>[{"duration":23158,"video_url":"https://video.twimg.com/amplify_video/1868284786051096576/vid/avc1/1280x720/uCX0k54g7_dvttK-.mp4?tag=16"}]</t>
  </si>
  <si>
    <t>A beautiful ball in by Holmgaard and Hope is there to head home for the Toffees! 🤩
#BarclaysWSL 
@EvertonWomen</t>
  </si>
  <si>
    <t>"2024-12-15T13:13:38.000Z"</t>
  </si>
  <si>
    <t>https://x.com/BarclaysWSL/status/1868283273756975477</t>
  </si>
  <si>
    <t>[{"duration":27095,"video_url":"https://video.twimg.com/amplify_video/1868283243100774400/vid/avc1/1280x720/O2XCzcVK6H0zRRus.mp4?tag=16"}]</t>
  </si>
  <si>
    <t>🤣 @JamesR_Chisholm definitely deserved the Player of The Match for that reaction.
#COYQ #HARvSTO</t>
  </si>
  <si>
    <t>"2024-12-15T09:15:52.000Z"</t>
  </si>
  <si>
    <t>https://x.com/Harlequins/status/1868223440852856969</t>
  </si>
  <si>
    <t>[{"biography":null,"followers":null,"following":null,"is_verified":null,"profile_id":"1444569109","profile_name":"James Chisholm","url":"https://x.com/JamesR_Chisholm"}]</t>
  </si>
  <si>
    <t>[{"duration":183376,"video_url":"https://video.twimg.com/amplify_video/1868066083019603968/vid/avc1/1280x720/z4jgZo5lM_PoHNUP.mp4?tag=16"}]</t>
  </si>
  <si>
    <t>Eve███n</t>
  </si>
  <si>
    <t>The kit staff might not be happy 😅 but the lads had some early Christmas gifts for the travelling Blues after your magnificent support yesterday 💙
#ARSEVE</t>
  </si>
  <si>
    <t>"2024-12-15T08:30:00.000Z"</t>
  </si>
  <si>
    <t>https://x.com/Everton/status/1868211895884198139</t>
  </si>
  <si>
    <t>["ARSEVE"]</t>
  </si>
  <si>
    <t>1878 NSNO @EvertonWomen ⚽️ | @EFC_fanservices 💬 | @EvertonStadium 🏟 | @EITC 💙 | @EvertonAcademy 🎓 | @EvertonInUSA 🇺🇸 | @EvertonESP 🇪🇸 | @Everton_PT 🇵🇹</t>
  </si>
  <si>
    <t>https://pbs.twimg.com/profile_images/1856265205484752896/2rVJ3MLq_normal.jpg</t>
  </si>
  <si>
    <t>[{"duration":34865,"video_url":"https://video.twimg.com/amplify_video/1868035414864343040/vid/avc1/1080x1920/IhY6uI56VW5SUI5p.mp4?tag=16"}]</t>
  </si>
  <si>
    <t>Yanez had to be alert as Gabby George sent an inviting cross into the box 🧤
#BarclaysWSL @cpfc_w</t>
  </si>
  <si>
    <t>"2024-12-15T14:16:11.000Z"</t>
  </si>
  <si>
    <t>https://x.com/BarclaysWSL/status/1868299015009272035</t>
  </si>
  <si>
    <t>[{"biography":null,"followers":null,"following":null,"is_verified":null,"profile_id":"2223982487","profile_name":"Crystal Palace F.C. Women","url":"https://x.com/cpfc_w"}]</t>
  </si>
  <si>
    <t>[{"duration":17413,"video_url":"https://video.twimg.com/amplify_video/1868298992506884096/vid/avc1/1280x720/D-lI41xPFBS8DJYa.mp4?tag=16"}]</t>
  </si>
  <si>
    <t>This angle though 🥶
🤳 @Snapdragon
#MUFC || #ShotOnSnapdragon</t>
  </si>
  <si>
    <t>https://x.com/ManUtd/status/1868415744595124669</t>
  </si>
  <si>
    <t>[{"duration":36066,"video_url":"https://video.twimg.com/ext_tw_video/1868378659179859968/pu/vid/avc1/720x1280/UOweRLg_4Abcm0s1.mp4?tag=12"}]</t>
  </si>
  <si>
    <t>Brilliant play from @LCFC_Women 👊
@MissyGoodwin_4 with a fantastic composed finish! 
#BarclaysWSL</t>
  </si>
  <si>
    <t>https://x.com/BarclaysWSL/status/1868242095984837066</t>
  </si>
  <si>
    <t>[{"biography":null,"followers":null,"following":null,"is_verified":null,"profile_id":"424118576","profile_name":"LCFC Women","url":"https://x.com/LCFC_Women"},{"biography":null,"followers":null,"following":null,"is_verified":null,"profile_id":"852468170011152384","profile_name":"Missy Goodwin","url":"https://x.com/MissyGoodwin_4"}]</t>
  </si>
  <si>
    <t>[{"duration":32400,"video_url":"https://video.twimg.com/ext_tw_video/1868003907353419776/pu/vid/avc1/720x900/hG1Kt7xnMd02Qlbz.mp4?tag=12"}]</t>
  </si>
  <si>
    <t>The███key███b</t>
  </si>
  <si>
    <t>The███cke███lub███</t>
  </si>
  <si>
    <t>Who would win in a race: Sonic the Hedgehog or a racehorse? 🏇💨 🦔💨
Celebrating the new @SonicMovie in cinemas 21st December</t>
  </si>
  <si>
    <t>https://x.com/TheJockeyClub/status/1868355342632968574</t>
  </si>
  <si>
    <t>[{"biography":null,"followers":null,"following":null,"is_verified":null,"profile_id":"1011719605981593600","profile_name":"Sonic the Hedgehog","url":"https://x.com/SonicMovie"}]</t>
  </si>
  <si>
    <t>Home to 15 of the best racecourses in 🇬🇧 and The Randox Grand National, @CheltenhamRaces Festival &amp; The Betfred Derby</t>
  </si>
  <si>
    <t>https://pbs.twimg.com/profile_images/1633081968865705984/gbsGT0N3_normal.jpg</t>
  </si>
  <si>
    <t>[{"duration":63320,"video_url":"https://video.twimg.com/amplify_video/1867877833671929856/vid/avc1/1920x1080/6JzdMGjPtsWRrUxV.mp4?tag=16"}]</t>
  </si>
  <si>
    <t>Really thrilled to tell you this!! Mexico, Argentina and Brazil: We are bringing The Eras Tour to you this year! Sweet angel princess @SabrinaAnnLynn will be joining us on all of the shows! Visit https://t.co/nAtMhYpVaY for more information on your registrations, pre-sales and on-sales.  
LOTS more international dates to come soon, promise!</t>
  </si>
  <si>
    <t>"2023-06-02T16:01:23.000Z"</t>
  </si>
  <si>
    <t>["https://pbs.twimg.com/media/FxoSodsWIAo6uj_.jpg"]</t>
  </si>
  <si>
    <t>https://x.com/taylorswift13/status/1664663509488074754</t>
  </si>
  <si>
    <t>[{"biography":null,"followers":null,"following":null,"is_verified":null,"profile_id":"63822383","profile_name":"Sabrina Carpenter","url":"https://x.com/SabrinaAnnLynn"}]</t>
  </si>
  <si>
    <t>http://taylorswift.com/tour</t>
  </si>
  <si>
    <t>It's time to choose your #SOUTOT starting XI! 📋
🎮 @EASPORTSFC</t>
  </si>
  <si>
    <t>https://x.com/SpursOfficial/status/1868325147230310534</t>
  </si>
  <si>
    <t>[{"biography":null,"followers":null,"following":null,"is_verified":null,"profile_id":"105297123","profile_name":"EA SPORTS FC","url":"https://x.com/EASPORTSFC"}]</t>
  </si>
  <si>
    <t>https://www.tottenhamhotspur.com/competitions/squadselector/</t>
  </si>
  <si>
    <t>A lovely surprise waiting for Maia Bouchier back in changing room, courtesy of @Danni_Wyatt 🥹</t>
  </si>
  <si>
    <t>"2024-12-15T11:59:00.000Z"</t>
  </si>
  <si>
    <t>["https://pbs.twimg.com/media/Ge1gqIeWcAAxtCM.jpg"]</t>
  </si>
  <si>
    <t>https://x.com/englandcricket/status/1868264492024603006</t>
  </si>
  <si>
    <t>[{"biography":null,"followers":null,"following":null,"is_verified":null,"profile_id":"38529223","profile_name":"Danielle Wyatt-Hodge","url":"https://x.com/Danni_Wyatt"}]</t>
  </si>
  <si>
    <t>England's morning in the first session 👏
Follow live in our match centre 👉</t>
  </si>
  <si>
    <t>"2024-12-15T10:53:59.000Z"</t>
  </si>
  <si>
    <t>["https://pbs.twimg.com/media/Ge1ZxlcXcAA7Fis.jpg"]</t>
  </si>
  <si>
    <t>https://x.com/englandcricket/status/1868248132624007356</t>
  </si>
  <si>
    <t>All set for kick-off 👍
#CELRAN | #PremierSportsCup | #CelticFC🍀</t>
  </si>
  <si>
    <t>"2024-12-15T15:17:02.000Z"</t>
  </si>
  <si>
    <t>https://x.com/CelticFC/status/1868314331630497938</t>
  </si>
  <si>
    <t>56' - GREG TAYLOR EQUALISES!!! ⚽️
Follow the action live on our Match Centre 📲</t>
  </si>
  <si>
    <t>"2024-12-15T16:49:51.000Z"</t>
  </si>
  <si>
    <t>["https://pbs.twimg.com/media/Ge2Wh10XEAALaHa.jpg"]</t>
  </si>
  <si>
    <t>https://x.com/CelticFC/status/1868337688631501259</t>
  </si>
  <si>
    <t>📰 Daizen is spot-on at Hampden as Celtic win League Cup
Read the full match report ⤵️
#CELRAN | #PremierSportsCup | #CelticFC🍀</t>
  </si>
  <si>
    <t>"2024-12-15T20:09:03.000Z"</t>
  </si>
  <si>
    <t>https://x.com/CelticFC/status/1868387818097303844</t>
  </si>
  <si>
    <t>https://www.celticfc.com/news/2024/december/15/daizen-is-spot-on-at-hampden-as-celtic-win-league-cup/</t>
  </si>
  <si>
    <t>"2024-06-11T03:29:23.000Z"</t>
  </si>
  <si>
    <t>["https://pbs.twimg.com/media/GPwytc-bcAA0-6W.jpg"]</t>
  </si>
  <si>
    <t>https://x.com/NmsleseResearch/status/1800369714662871143</t>
  </si>
  <si>
    <t>"2023-12-24T03:05:01.000Z"</t>
  </si>
  <si>
    <t>["https://pbs.twimg.com/media/GCFO2yMawAA-5Ha.jpg"]</t>
  </si>
  <si>
    <t>https://x.com/NmsleseResearch/status/1738757643664248993</t>
  </si>
  <si>
    <t>⏮️ Last time out against Liverpool...
That @CaitlinFoord x @alessiarusso7 link up 👏</t>
  </si>
  <si>
    <t>"2024-12-15T12:00:02.000Z"</t>
  </si>
  <si>
    <t>https://x.com/ArsenalWFC/status/1868264752658723221</t>
  </si>
  <si>
    <t>[{"biography":null,"followers":null,"following":null,"is_verified":null,"profile_id":"371112966","profile_name":"Caitlin Foord","url":"https://x.com/CaitlinFoord"},{"biography":null,"followers":null,"following":null,"is_verified":null,"profile_id":"244906756","profile_name":"Alessia Russo","url":"https://x.com/alessiarusso7"}]</t>
  </si>
  <si>
    <t>[{"duration":34240,"video_url":"https://video.twimg.com/ext_tw_video/1868190263010553856/pu/vid/avc1/1080x1080/jHd2qGpqz2HTysKQ.mp4?tag=14"}]</t>
  </si>
  <si>
    <t>Oi oi oi, Pippo Inzaghi segna per noi... 🔊
#MilanGenoa #ACMilanWorthEveryMinute #SempreMilan</t>
  </si>
  <si>
    <t>"2024-12-15T19:23:31.000Z"</t>
  </si>
  <si>
    <t>https://x.com/acmilan/status/1868376360302915712</t>
  </si>
  <si>
    <t>[{"duration":13605,"video_url":"https://video.twimg.com/amplify_video/1868376202416627712/vid/avc1/720x1280/K1q5p3hRRXL2OnkX.mp4?tag=14"}]</t>
  </si>
  <si>
    <t>A 🔝 finish from @CheAdams_ 😮‍💨</t>
  </si>
  <si>
    <t>"2024-12-15T11:04:38.000Z"</t>
  </si>
  <si>
    <t>https://x.com/ScotlandNT/status/1868250810163024031</t>
  </si>
  <si>
    <t>[{"biography":null,"followers":null,"following":null,"is_verified":null,"profile_id":"2769226053","profile_name":"Ché Adams","url":"https://x.com/CheAdams_"}]</t>
  </si>
  <si>
    <t>[{"duration":42368,"video_url":"https://video.twimg.com/amplify_video/1867686001759432704/vid/avc1/720x720/EH2pKB6LtfbYeul-.mp4?tag=14"}]</t>
  </si>
  <si>
    <t>2️⃣4️⃣ teams
6️⃣ available spots
📆 March 2025 - March 2026
The final path at #ACQ2027. Who will complete the #AsianCup2027 cast?</t>
  </si>
  <si>
    <t>"2024-12-09T07:31:49.000Z"</t>
  </si>
  <si>
    <t>["https://pbs.twimg.com/media/GeVx9e9WMAAkC0a.jpg"]</t>
  </si>
  <si>
    <t>https://x.com/afcasiancup/status/1866022925343539270</t>
  </si>
  <si>
    <t>Watching @kendricklamar create and record his verses on the Bad Blood remix was one of the most inspiring experiences of my life. I still look back on this collaboration with so much pride and gratitude, for the ways Kendrick elevated the song and the way he treats everyone around him. Every time the crowds on The Eras Tour would chant his line ‘you forgive, you forget, but you never let it… go!’, I smiled. The reality that Kendrick would go back in and re-record Bad Blood so that I could reclaim and own this work I’m so proud of is surreal and bewildering to me. I’m overjoyed to say that the Bad Blood Remix (featuring Kendrick Lamar) is available everywhere on the 1989 Deluxe Edition. 🫶🩵
https://t.co/12bONe97U2</t>
  </si>
  <si>
    <t>"2023-10-27T12:04:01.000Z"</t>
  </si>
  <si>
    <t>["https://pbs.twimg.com/media/F9cd9ZpWcAAmOMq.jpg","https://pbs.twimg.com/media/F9cd9ZoXcAAEP-t.jpg"]</t>
  </si>
  <si>
    <t>https://x.com/taylorswift13/status/1717874790743048259</t>
  </si>
  <si>
    <t>[{"biography":null,"followers":null,"following":null,"is_verified":null,"profile_id":"23561980","profile_name":"Kendrick Lamar","url":"https://x.com/kendricklamar"}]</t>
  </si>
  <si>
    <t>[{"duration":10411,"video_url":"https://video.twimg.com/amplify_video/1717874723583922176/vid/avc1/720x720/oKb7JQpHUibZsEoG.mp4?tag=14"}]</t>
  </si>
  <si>
    <t>Troy Deeney calls on Jack Grealish to quit Man City to save his career</t>
  </si>
  <si>
    <t>"2024-12-15T13:37:00.000Z"</t>
  </si>
  <si>
    <t>https://x.com/talkSPORT/status/1868289154817417391</t>
  </si>
  <si>
    <t>https://talksport.com/football/2378799/troy-deeney-jack-grealish-man-city/</t>
  </si>
  <si>
    <t>["https://pbs.twimg.com/card_img/1868234860592037889/A5dNH-t8?format=jpg&amp;name=orig"]</t>
  </si>
  <si>
    <t>📋 Our #PremierSportsCup final team news from Hampden 🟩⬜ 
#CELRAN | #CelticFC🍀</t>
  </si>
  <si>
    <t>"2024-12-15T14:15:00.000Z"</t>
  </si>
  <si>
    <t>["https://pbs.twimg.com/media/Ge18QlNWIAAtwE3.jpg"]</t>
  </si>
  <si>
    <t>https://x.com/CelticFC/status/1868298717926666285</t>
  </si>
  <si>
    <t>WE HAVE DONE IT!!!!!!!!!!!!!! 🏆
#CELRAN | #PremierSportsCup | #CelticFC🍀</t>
  </si>
  <si>
    <t>"2024-12-15T18:22:56.000Z"</t>
  </si>
  <si>
    <t>["https://pbs.twimg.com/media/Ge3AgXpWcAAtk2e.jpg"]</t>
  </si>
  <si>
    <t>https://x.com/CelticFC/status/1868361111680258488</t>
  </si>
  <si>
    <t>Extra-Time is underway at Hampden.
Come on #RangersFC 💙
📲 Follow live in our Match Hub:</t>
  </si>
  <si>
    <t>"2024-12-15T17:34:06.000Z"</t>
  </si>
  <si>
    <t>["https://pbs.twimg.com/media/Ge21HaaXcAEhJ10.jpg"]</t>
  </si>
  <si>
    <t>https://x.com/RangersFC/status/1868348822046507092</t>
  </si>
  <si>
    <t>https://rng.rs/Cup-Final</t>
  </si>
  <si>
    <t>"2024-12-15T16:19:13.000Z"</t>
  </si>
  <si>
    <t>["https://pbs.twimg.com/media/Ge2kMxLW0AA6aXC.jpg"]</t>
  </si>
  <si>
    <t>https://x.com/RangersFC/status/1868329980821999783</t>
  </si>
  <si>
    <t>Head to the Chelsea app for live commentary of tonight's game: 👉</t>
  </si>
  <si>
    <t>"2024-12-15T19:07:47.000Z"</t>
  </si>
  <si>
    <t>["https://pbs.twimg.com/media/Ge3Ki0kWsAAch53.jpg"]</t>
  </si>
  <si>
    <t>https://x.com/ChelseaFC/status/1868372400435515511</t>
  </si>
  <si>
    <t>49,420 is today's official match attendance at @HampdenPark 🏟️
Thank you for your support!
🏆 #PremierSportsCup</t>
  </si>
  <si>
    <t>"2024-12-15T16:54:39.000Z"</t>
  </si>
  <si>
    <t>["https://pbs.twimg.com/media/Ge2sMkdW4AAkvf4.jpg"]</t>
  </si>
  <si>
    <t>https://x.com/spfl/status/1868338895815049410</t>
  </si>
  <si>
    <t>[{"biography":null,"followers":null,"following":null,"is_verified":null,"profile_id":"91388299","profile_name":"Hampden Park Stadium","url":"https://x.com/HampdenPark"}]</t>
  </si>
  <si>
    <t>💪
#PremierSportsCup</t>
  </si>
  <si>
    <t>"2024-12-15T15:56:19.000Z"</t>
  </si>
  <si>
    <t>["https://pbs.twimg.com/media/Ge2e6tfWIAAbKA5.jpg"]</t>
  </si>
  <si>
    <t>https://x.com/RangersFC/status/1868324214958444876</t>
  </si>
  <si>
    <t>A strong start 💪
#CPFC // #BHACRY</t>
  </si>
  <si>
    <t>"2024-12-15T14:50:49.000Z"</t>
  </si>
  <si>
    <t>https://x.com/CPFC/status/1868307730349605269</t>
  </si>
  <si>
    <t>https://www.cpfc.co.uk/matches/men/epl/2024-25/brighton-and-hove-albion-vs-crystal-palace-2024-12-15/2444622/</t>
  </si>
  <si>
    <t>Ebs 👊
#CPFC // #BHACRY</t>
  </si>
  <si>
    <t>"2024-12-15T13:07:50.000Z"</t>
  </si>
  <si>
    <t>["https://pbs.twimg.com/media/Ge13YXdWUAAPXUE.jpg"]</t>
  </si>
  <si>
    <t>https://x.com/CPFC/status/1868281813803937896</t>
  </si>
  <si>
    <t>💯 Palace appearances for Hughesy 
#CPFC // #BHACRY</t>
  </si>
  <si>
    <t>"2024-12-15T12:49:55.000Z"</t>
  </si>
  <si>
    <t>["https://pbs.twimg.com/media/Ge10TnWXgAAtpUV.jpg"]</t>
  </si>
  <si>
    <t>https://x.com/CPFC/status/1868277305497280518</t>
  </si>
  <si>
    <t>Fans creating a special atmosphere.
Thank you, Palace fans 🫶
#CPFC // #BHACRY</t>
  </si>
  <si>
    <t>"2024-12-15T18:16:00.000Z"</t>
  </si>
  <si>
    <t>["https://pbs.twimg.com/media/Ge2nJGnWEAAKKYt.jpg","https://pbs.twimg.com/media/Ge2nJGvWMAEaKw-.jpg"]</t>
  </si>
  <si>
    <t>https://x.com/CPFC/status/1868359367348892050</t>
  </si>
  <si>
    <t>Helping to build futures through football. ⚽️
A partnership between @CFCFoundation &amp;amp; The Jimmy Aggrey Foundation. 🤝💙
More ➡️</t>
  </si>
  <si>
    <t>["https://pbs.twimg.com/media/Ge1KO-VWYAA9HL_.jpg"]</t>
  </si>
  <si>
    <t>https://x.com/ChelseaFC/status/1868234551782216188</t>
  </si>
  <si>
    <t>[{"biography":null,"followers":null,"following":null,"is_verified":null,"profile_id":"831991970344091653","profile_name":"Chelsea Foundation","url":"https://x.com/CFCFoundation"}]</t>
  </si>
  <si>
    <t>https://bit.ly/JAF-ChelseaFC-X</t>
  </si>
  <si>
    <t>FIA███mul███</t>
  </si>
  <si>
    <t>For███a E███</t>
  </si>
  <si>
    <t>A man on a mission ⚡️
@mitchevans_ charged through the field to secure an instantly iconic win at the #SaoPauloEPrix!</t>
  </si>
  <si>
    <t>"2024-12-15T18:00:01.000Z"</t>
  </si>
  <si>
    <t>https://x.com/FIAFormulaE/status/1868355345937994172</t>
  </si>
  <si>
    <t>[{"biography":null,"followers":null,"following":null,"is_verified":null,"profile_id":"195199790","profile_name":"Mitch Evans","url":"https://x.com/mitchevans_"}]</t>
  </si>
  <si>
    <t>https://fiaformulae.com/en/video/boxset/player/515139?utm_source=twitter&amp;utm_medium=social&amp;utm_campaign=alwaysOn</t>
  </si>
  <si>
    <t>["SaoPauloEPrix"]</t>
  </si>
  <si>
    <t>The future of motorsport is electric 🌍⚡ROUND 2: January 11 🇲🇽</t>
  </si>
  <si>
    <t>https://pbs.twimg.com/profile_images/1605487915789914114/-idXU3q-_normal.jpg</t>
  </si>
  <si>
    <t>Round 2 ✅
What was your moment of the weekend? 
Catch up on #InvestecChampionsCup action as it happened ⬇️</t>
  </si>
  <si>
    <t>"2024-12-15T19:20:00.000Z"</t>
  </si>
  <si>
    <t>https://x.com/ChampionsCup/status/1868375476198359097</t>
  </si>
  <si>
    <t>Lig███A</t>
  </si>
  <si>
    <t>Lig███rof███ona█████████ol</t>
  </si>
  <si>
    <t>Volvé a ver las mejores acciones del triunfo de @caplatense ante @gimnasiaoficial por la #fecha27 del #TorneoBetano 2024 🏆</t>
  </si>
  <si>
    <t>"2024-12-15T23:12:48.000Z"</t>
  </si>
  <si>
    <t>https://x.com/LigaAFA/status/1868434059665543352</t>
  </si>
  <si>
    <t>[{"biography":null,"followers":null,"following":null,"is_verified":null,"profile_id":"118772453","profile_name":"Club Atlético Platense","url":"https://x.com/caplatense"},{"biography":null,"followers":null,"following":null,"is_verified":null,"profile_id":"118056286","profile_name":"Club de Gimnasia y Esgrima La Plata","url":"https://x.com/gimnasiaoficial"}]</t>
  </si>
  <si>
    <t>https://www.youtube.com/watch?v=1K0A0901eS8</t>
  </si>
  <si>
    <t>["fecha27","TorneoBetano"]</t>
  </si>
  <si>
    <t>Cuenta oficial de la Liga Profesional de Fútbol de la @AFA</t>
  </si>
  <si>
    <t>https://pbs.twimg.com/profile_images/1611375855892045827/5Lzl0faT_normal.jpg</t>
  </si>
  <si>
    <t>Relive the most unexpected PLE moments of 2024 in this special #WWETop25! Did your favorite surprise make the list? 
▶️</t>
  </si>
  <si>
    <t>"2024-12-15T18:02:59.000Z"</t>
  </si>
  <si>
    <t>["https://pbs.twimg.com/media/Ge279rOWEAAqA6V.jpg"]</t>
  </si>
  <si>
    <t>https://x.com/WWE/status/1868356093929247028</t>
  </si>
  <si>
    <t>http://ms.spr.ly/6016oTsT8</t>
  </si>
  <si>
    <t>["WWETop25"]</t>
  </si>
  <si>
    <t>BBL</t>
  </si>
  <si>
    <t>KFC███g B███ Le██████</t>
  </si>
  <si>
    <t>Thoughts are with Hilton Cartwright who has been helped off the field after suffering an injury while attempting to save a boundary. 🙏 #BBL14</t>
  </si>
  <si>
    <t>"2024-12-15T11:17:45.000Z"</t>
  </si>
  <si>
    <t>["https://pbs.twimg.com/media/Ge1fIj3bMAAIKzk.jpg"]</t>
  </si>
  <si>
    <t>https://x.com/BBL/status/1868254111218741474</t>
  </si>
  <si>
    <t>["BBL14"]</t>
  </si>
  <si>
    <t>🗓️ 15 Dec - 27 Jan
📲 Download the Big Bash App for #BBL14 
🎟️ Grab your tickets!</t>
  </si>
  <si>
    <t>https://pbs.twimg.com/profile_images/1670610412042334208/p_7jGcdv_normal.jpg</t>
  </si>
  <si>
    <t>Your first #BBL14 deck of the summer! 
📍 Perth Stadium</t>
  </si>
  <si>
    <t>"2024-12-15T06:50:09.000Z"</t>
  </si>
  <si>
    <t>["https://pbs.twimg.com/media/Ge0h9htbQAAf8NU.jpg"]</t>
  </si>
  <si>
    <t>https://x.com/BBL/status/1868186770334175576</t>
  </si>
  <si>
    <t>The███</t>
  </si>
  <si>
    <t>The███L</t>
  </si>
  <si>
    <t>LIVE NOW!
🏒@SeattleTbirds (11-18-2-1) at @pdxwinterhawks (16-12-2-0)
📺 |</t>
  </si>
  <si>
    <t>"2024-12-15T01:59:00.000Z"</t>
  </si>
  <si>
    <t>["https://pbs.twimg.com/media/GevogYSWoAA__sS.jpg"]</t>
  </si>
  <si>
    <t>https://x.com/TheWHL/status/1868113497508487540</t>
  </si>
  <si>
    <t>[{"biography":null,"followers":null,"following":null,"is_verified":null,"profile_id":"35886480","profile_name":"Seattle Thunderbirds","url":"https://x.com/SeattleTbirds"},{"biography":null,"followers":null,"following":null,"is_verified":null,"profile_id":"34053784","profile_name":"Portland Winterhawks","url":"https://x.com/pdxwinterhawks"}]</t>
  </si>
  <si>
    <t>http://watch.chl.ca/whl_chl</t>
  </si>
  <si>
    <t>22 Clubs: 🇨🇦 16 &amp; 🇺🇸 6
🏒 Since 1966</t>
  </si>
  <si>
    <t>https://pbs.twimg.com/profile_images/1867253849104560131/iJbhdc3w_normal.jpg</t>
  </si>
  <si>
    <t>That’s a whole lotta games 😳👏 
#EveryGameMatters</t>
  </si>
  <si>
    <t>"2024-12-15T11:58:58.000Z"</t>
  </si>
  <si>
    <t>["https://pbs.twimg.com/media/Ge1opVgXQAAPuFW.jpg"]</t>
  </si>
  <si>
    <t>https://x.com/EuroLeague/status/1868264485393404110</t>
  </si>
  <si>
    <t>["EveryGameMatters"]</t>
  </si>
  <si>
    <t>🎙 All the post-match reaction from a victorious day at Hampden!
#CELRAN | #PremierSportCup | #CelticFC🍀</t>
  </si>
  <si>
    <t>"2024-12-15T21:00:00.000Z"</t>
  </si>
  <si>
    <t>https://x.com/CelticFC/status/1868400641334256105</t>
  </si>
  <si>
    <t>https://youtu.be/7Q3WhI3wKW0</t>
  </si>
  <si>
    <t>["CELRAN","PremierSportCup","CelticFC"]</t>
  </si>
  <si>
    <t>🌎 Where are you watching this afternoon's Premier Sports Cup Final from?
💻 Protect yourself online with club partner @NordVPN and get an exclusive discount 👇</t>
  </si>
  <si>
    <t>https://x.com/RangersFC/status/1868257195579556108</t>
  </si>
  <si>
    <t>[{"biography":null,"followers":null,"following":null,"is_verified":null,"profile_id":"836272957","profile_name":"NordVPN","url":"https://x.com/NordVPN"}]</t>
  </si>
  <si>
    <t>https://go.nordvpn.net/aff_c?offer_id=15&amp;aff_id=52169&amp;url_id=27952&amp;aff_sub=TW</t>
  </si>
  <si>
    <t>👊IT'S MATCHDAY! 👊
🆚 Celtic
🏆 Premier Sports Cup Final
🏟️ Hampden Park
⏰ 15:30 (UK)
🇬🇧 Live on Premier Sports (UK)
🌎 Live on RangersTV (exc UK)
Come on #RangersFC 💙</t>
  </si>
  <si>
    <t>"2024-12-15T09:00:02.000Z"</t>
  </si>
  <si>
    <t>["https://pbs.twimg.com/media/Gex5Pf1XQAAYgGn.jpg"]</t>
  </si>
  <si>
    <t>https://x.com/RangersFC/status/1868219452682309649</t>
  </si>
  <si>
    <t>🆕 Today’s #RangersFC team to face Celtic.
🗒️ Full Team News:</t>
  </si>
  <si>
    <t>"2024-12-15T14:17:37.000Z"</t>
  </si>
  <si>
    <t>["https://pbs.twimg.com/media/Ge2IVlWXIAATypn.jpg"]</t>
  </si>
  <si>
    <t>https://x.com/RangersFC/status/1868299376231100628</t>
  </si>
  <si>
    <t>https://rng.rs/3ZCC75p</t>
  </si>
  <si>
    <t>ET | HALF-TIME: Rangers 3-3 Celtic | #PremierSportsCup  
All level after the first-half of ET.</t>
  </si>
  <si>
    <t>"2024-12-15T17:50:32.000Z"</t>
  </si>
  <si>
    <t>["https://pbs.twimg.com/media/Ge24yGdWAAA5bJ4.jpg"]</t>
  </si>
  <si>
    <t>https://x.com/RangersFC/status/1868352957663633837</t>
  </si>
  <si>
    <t>Sunday night in the @premierleague 🎧
#CHEBRE | @motorscouk</t>
  </si>
  <si>
    <t>"2024-12-15T17:52:30.000Z"</t>
  </si>
  <si>
    <t>["https://pbs.twimg.com/media/Ge25MfAWEAA7g3n.jpg"]</t>
  </si>
  <si>
    <t>https://x.com/BrentfordFC/status/1868353452998377649</t>
  </si>
  <si>
    <t>[{"biography":null,"followers":null,"following":null,"is_verified":null,"profile_id":"343627165","profile_name":"Premier League","url":"https://x.com/premierleague"},{"biography":null,"followers":null,"following":null,"is_verified":null,"profile_id":"19708957","profile_name":"MOTORS","url":"https://x.com/motorscouk"}]</t>
  </si>
  <si>
    <t>FT AET | 3⃣-3⃣ #CELRAN
Nothing to separate the sides after 120 breathless minutes. We go to penalties...
🏆 #PremierSportsCup</t>
  </si>
  <si>
    <t>"2024-12-15T18:08:31.000Z"</t>
  </si>
  <si>
    <t>["https://pbs.twimg.com/media/Ge29JwuXAAAolbv.jpg"]</t>
  </si>
  <si>
    <t>https://x.com/spfl/status/1868357485675131301</t>
  </si>
  <si>
    <t>🫵
#CPFC // #BHACRY</t>
  </si>
  <si>
    <t>"2024-12-15T15:51:39.000Z"</t>
  </si>
  <si>
    <t>["https://pbs.twimg.com/media/Ge2d294W4AAt2Cn.jpg"]</t>
  </si>
  <si>
    <t>https://x.com/CPFC/status/1868323042637869563</t>
  </si>
  <si>
    <t>Back home 🏆💚
#PremierSportsCup | #CelticFC🍀</t>
  </si>
  <si>
    <t>"2024-12-15T21:57:16.000Z"</t>
  </si>
  <si>
    <t>["https://pbs.twimg.com/media/Ge3wq0eWAAA0xTS.jpg"]</t>
  </si>
  <si>
    <t>https://x.com/CelticFC/status/1868415050844635588</t>
  </si>
  <si>
    <t>F1</t>
  </si>
  <si>
    <t>For███a 1███</t>
  </si>
  <si>
    <t>We've seen some sterling drives through the field this year 🚀
#F1</t>
  </si>
  <si>
    <t>"2024-12-15T17:58:00.000Z"</t>
  </si>
  <si>
    <t>["https://pbs.twimg.com/media/GesE6VqWMAAdmzb.jpg"]</t>
  </si>
  <si>
    <t>https://x.com/F1/status/1868354837387354453</t>
  </si>
  <si>
    <t>The home of risk takers, late brakers and history makers 💫</t>
  </si>
  <si>
    <t>https://pbs.twimg.com/profile_images/1612433922733887489/7f5XFklA_normal.jpg</t>
  </si>
  <si>
    <t>Well deserved bonuses!
@Menace155 &amp;amp; @TheHanyakDJ earned themselves POTN! 💰
[ #UFCTampa | B2YB @CPIStemCells ]</t>
  </si>
  <si>
    <t>"2024-12-15T07:00:06.000Z"</t>
  </si>
  <si>
    <t>["https://pbs.twimg.com/media/Ge0jqfKWkAAXjQZ.jpg","https://pbs.twimg.com/media/Ge0jqfKXIAAd_O9.jpg"]</t>
  </si>
  <si>
    <t>https://x.com/ufc/status/1868189274388230551</t>
  </si>
  <si>
    <t>[{"biography":null,"followers":null,"following":null,"is_verified":null,"profile_id":"177019934","profile_name":"Michael Johnson","url":"https://x.com/Menace155"},{"biography":null,"followers":null,"following":null,"is_verified":null,"profile_id":"222632459","profile_name":"Dustin Jacoby 🇺🇸","url":"https://x.com/thehanyakdj"},{"biography":null,"followers":null,"following":null,"is_verified":null,"profile_id":"1545246959811891205","profile_name":"Cellular Performance Institute","url":"https://x.com/CPIStemCells"}]</t>
  </si>
  <si>
    <t>¡Los arqueros no fallaron en Varela! 
@ClubDefensayJus y @clubaunion empataron 0 a 0 por la #fecha27 del #TorneoBetano 2024 🏆
📷 Prensa clubes</t>
  </si>
  <si>
    <t>"2024-12-15T21:56:22.000Z"</t>
  </si>
  <si>
    <t>["https://pbs.twimg.com/media/Ge3whW7WkAA10oT.jpg","https://pbs.twimg.com/media/Ge3widPX0AAgvX0.jpg"]</t>
  </si>
  <si>
    <t>https://x.com/LigaAFA/status/1868414823534596114</t>
  </si>
  <si>
    <t>[{"biography":null,"followers":null,"following":null,"is_verified":null,"profile_id":"345614692","profile_name":"Defensa y Justicia","url":"https://x.com/ClubDefensayJus"},{"biography":null,"followers":null,"following":null,"is_verified":null,"profile_id":"201032752","profile_name":"Club Atlético Unión","url":"https://x.com/clubaunion"}]</t>
  </si>
  <si>
    <t>That was WILD! 😱
@CodyRhodes survives @FightOwensFight to remain the Undisputed WWE Champion at #SNME! 
#AndStill</t>
  </si>
  <si>
    <t>"2024-12-15T02:59:37.000Z"</t>
  </si>
  <si>
    <t>["https://pbs.twimg.com/media/Gezs6sGXQAAXBqm.jpg"]</t>
  </si>
  <si>
    <t>https://x.com/WWE/status/1868128752854806807</t>
  </si>
  <si>
    <t>["SNME","AndStill"]</t>
  </si>
  <si>
    <t>¡Paridad total en La Bombonera! 
@BocaJrsOficial e @Independiente empataron 0 a 0 por la #fecha27 del #TorneoBetano 2024 🏆
📷 Prensa clubes</t>
  </si>
  <si>
    <t>"2024-12-15T00:10:51.000Z"</t>
  </si>
  <si>
    <t>["https://pbs.twimg.com/media/GezFTauXAAEB-Oo.jpg","https://pbs.twimg.com/media/GezFUdJXwAAQbye.jpg"]</t>
  </si>
  <si>
    <t>https://x.com/LigaAFA/status/1868086281978380621</t>
  </si>
  <si>
    <t>[{"biography":null,"followers":null,"following":null,"is_verified":null,"profile_id":"42933426","profile_name":"Boca Juniors","url":"https://x.com/BocaJrsOficial"},{"biography":null,"followers":null,"following":null,"is_verified":null,"profile_id":"188356649","profile_name":"C. A. Independiente","url":"https://x.com/Independiente"}]</t>
  </si>
  <si>
    <t>The return of Richo! The Scorchers speedster put on a show in the first match of the season 👏 #POTM #BBL14</t>
  </si>
  <si>
    <t>"2024-12-15T12:10:17.000Z"</t>
  </si>
  <si>
    <t>["https://pbs.twimg.com/media/Ge1rOyVaEAAJDio.jpg"]</t>
  </si>
  <si>
    <t>https://x.com/BBL/status/1868267331295846816</t>
  </si>
  <si>
    <t>["POTM","BBL14"]</t>
  </si>
  <si>
    <t>You've got 24 hours left to have your say on the best race of the season - click to vote now! 🗳️
#F1</t>
  </si>
  <si>
    <t>https://x.com/F1/status/1868264753325633917</t>
  </si>
  <si>
    <t>https://f1.com/VOTE_BestRace2024</t>
  </si>
  <si>
    <t>FT: Celtic 3-3 Rangers.
We're headed to extra-time.
#CELRAN | #PremierSportsCup | #CelticFC🍀</t>
  </si>
  <si>
    <t>"2024-12-15T17:31:15.000Z"</t>
  </si>
  <si>
    <t>https://x.com/CelticFC/status/1868348107932746207</t>
  </si>
  <si>
    <t>⚽️⌛️¡Hoy es la gran definición del #TorneoBetano 2024 🏆! 
Desde las 19.30 @Velez, @CATalleresdecba y @CAHuracan buscarán quedarse con el título
🤔 Para vos, ¿qué equipo se lo llevará?</t>
  </si>
  <si>
    <t>["https://pbs.twimg.com/media/GeyvIwKWgAAZWOE.jpg"]</t>
  </si>
  <si>
    <t>https://x.com/LigaAFA/status/1868302493995639243</t>
  </si>
  <si>
    <t>[{"biography":null,"followers":null,"following":null,"is_verified":null,"profile_id":"276204298","profile_name":"Vélez Sarsfield","url":"https://x.com/Velez"},{"biography":null,"followers":null,"following":null,"is_verified":null,"profile_id":"196845049","profile_name":"Club Atlético Talleres","url":"https://x.com/CATalleresdecba"},{"biography":null,"followers":null,"following":null,"is_verified":null,"profile_id":"274140988","profile_name":"CA Huracán","url":"https://x.com/CAHuracan"}]</t>
  </si>
  <si>
    <t>["TorneoBetano"]</t>
  </si>
  <si>
    <t>sml███a</t>
  </si>
  <si>
    <t>Liiga</t>
  </si>
  <si>
    <t>📊 Runkosarjan puolivälin ylittyessä mennään @Liiga_SaiPa:n komennossa. 👏
#Liiga</t>
  </si>
  <si>
    <t>"2024-12-15T12:34:31.000Z"</t>
  </si>
  <si>
    <t>["https://pbs.twimg.com/media/Ge1wx-NWEAAGpXG.jpg"]</t>
  </si>
  <si>
    <t>https://x.com/smliiga/status/1868273431470625181</t>
  </si>
  <si>
    <t>[{"biography":null,"followers":null,"following":null,"is_verified":null,"profile_id":"127198157","profile_name":"SaiPa","url":"https://x.com/Liiga_SaiPa"}]</t>
  </si>
  <si>
    <t>["Liiga"]</t>
  </si>
  <si>
    <t>50-vuotisjuhlakausi on täällä – Liigan virallinen X-tili. 🏒</t>
  </si>
  <si>
    <t>https://pbs.twimg.com/profile_images/1819230522054242304/9b2H18YT_normal.jpg</t>
  </si>
  <si>
    <t>Bra███eir███</t>
  </si>
  <si>
    <t>Bra███eir███Bet██████</t>
  </si>
  <si>
    <t>A soma de gols e assistências! Números importantes para os craques do #BrasileirãoBetano! ✅️</t>
  </si>
  <si>
    <t>"2024-12-15T19:26:15.000Z"</t>
  </si>
  <si>
    <t>["https://pbs.twimg.com/media/Ge3PBerW4AAwt09.jpg"]</t>
  </si>
  <si>
    <t>https://x.com/Brasileirao/status/1868377048840073248</t>
  </si>
  <si>
    <t>O Brasileirão agora é Brasileirão Betano! #ÉoBrasileiro 🇧🇷</t>
  </si>
  <si>
    <t>https://pbs.twimg.com/profile_images/1778793024606093312/qKUKwHa1_normal.jpg</t>
  </si>
  <si>
    <t>pre███rle███e</t>
  </si>
  <si>
    <t>Pre███r L███ue</t>
  </si>
  <si>
    <t>⏰ @LCFC have earned points from goals scored in the 90th minute or later three times this season!</t>
  </si>
  <si>
    <t>"2024-12-09T07:50:08.000Z"</t>
  </si>
  <si>
    <t>["https://pbs.twimg.com/media/GeV2KCAXgAAFL2G.jpg"]</t>
  </si>
  <si>
    <t>https://x.com/premierleague/status/1866027538209804728</t>
  </si>
  <si>
    <t>[{"biography":null,"followers":null,"following":null,"is_verified":null,"profile_id":"122392884","profile_name":"Leicester City","url":"https://x.com/LCFC"}]</t>
  </si>
  <si>
    <t>The official account of the Premier League 📱 @OfficialFPL | @PLforIndia | @PLinUSA | @PLinArabic Join us on YouTube https://t.co/qj67qjcMYx</t>
  </si>
  <si>
    <t>https://pbs.twimg.com/profile_images/1742837199005954048/YGI6Kw7P_normal.jpg</t>
  </si>
  <si>
    <t>Behind at the break.
#CELRAN | #PremierSportsCup | #CelticFC🍀</t>
  </si>
  <si>
    <t>"2024-12-15T16:21:59.000Z"</t>
  </si>
  <si>
    <t>["https://pbs.twimg.com/media/Ge2k1TWWUAAGWM7.jpg"]</t>
  </si>
  <si>
    <t>https://x.com/CelticFC/status/1868330675117723819</t>
  </si>
  <si>
    <t>Congratulations to @CelticFC, who are your Premier Sports Cup 24/25 champions after winning a thrilling cup final at Hampden Park via a penalty shootout! 👏</t>
  </si>
  <si>
    <t>"2024-12-15T18:37:16.000Z"</t>
  </si>
  <si>
    <t>["https://pbs.twimg.com/media/Ge3DxIyXwAADEgQ.jpg"]</t>
  </si>
  <si>
    <t>https://x.com/spfl/status/1868364721856082388</t>
  </si>
  <si>
    <t>Brentford at the Bridge tonight 🐝
#CHEBRE</t>
  </si>
  <si>
    <t>["https://pbs.twimg.com/media/GesJ3aaWcAA4pXd.jpg"]</t>
  </si>
  <si>
    <t>https://x.com/BrentfordFC/status/1868219446935859224</t>
  </si>
  <si>
    <t>SARR HEADS IN FOR TWO! 🇸🇳🎯
#CPFC // #BHACRY</t>
  </si>
  <si>
    <t>"2024-12-15T14:35:18.000Z"</t>
  </si>
  <si>
    <t>["https://pbs.twimg.com/media/Ge2MVFhXkAAjRPk.jpg"]</t>
  </si>
  <si>
    <t>https://x.com/CPFC/status/1868303826618659089</t>
  </si>
  <si>
    <t>Double change for Palace 🔁
#CPFC // #BHACRY</t>
  </si>
  <si>
    <t>"2024-12-15T15:21:06.000Z"</t>
  </si>
  <si>
    <t>["https://pbs.twimg.com/media/Ge2WzuzXAAAE1Wi.jpg","https://pbs.twimg.com/media/Ge2WzuzXsAA-4cg.jpg"]</t>
  </si>
  <si>
    <t>https://x.com/CPFC/status/1868315354868728292</t>
  </si>
  <si>
    <t>87' - KÜHN!!!!!!!! 🙌 
Follow the action live on our Match Centre 📲</t>
  </si>
  <si>
    <t>"2024-12-15T17:20:27.000Z"</t>
  </si>
  <si>
    <t>["https://pbs.twimg.com/media/Ge2WfCSXYAA0eqO.jpg"]</t>
  </si>
  <si>
    <t>https://x.com/CelticFC/status/1868345390522597815</t>
  </si>
  <si>
    <t>Six players officially #TOURBound! ✅
Meet the newest PGA TOUR members for the 2025 season who qualify via PGA TOUR Q-School presented by Korn Ferry!</t>
  </si>
  <si>
    <t>"2024-12-15T21:01:53.000Z"</t>
  </si>
  <si>
    <t>["https://pbs.twimg.com/media/Ge3jkw6WUAEJ7j5.jpg"]</t>
  </si>
  <si>
    <t>https://x.com/PGATOUR/status/1868401115315999101</t>
  </si>
  <si>
    <t>["TOURBound"]</t>
  </si>
  <si>
    <t>🏆 A prolific pair! 🏆
#CELRAN | #PremierSportsCup | #CelticFC🍀</t>
  </si>
  <si>
    <t>"2024-12-15T19:41:04.000Z"</t>
  </si>
  <si>
    <t>["https://pbs.twimg.com/media/Ge3SZZgXUAAKFtj.jpg"]</t>
  </si>
  <si>
    <t>https://x.com/CelticFC/status/1868380774279327902</t>
  </si>
  <si>
    <t>He still has POP at 41 💥 
ONE MORE FOR @CubSwanson? 👀 #UFCTampa</t>
  </si>
  <si>
    <t>"2024-12-15T21:01:00.000Z"</t>
  </si>
  <si>
    <t>["https://pbs.twimg.com/media/Ge0qGy1WYAAscJs.jpg","https://pbs.twimg.com/media/Ge0pu9BWcAAerNf.jpg","https://pbs.twimg.com/media/Ge0pwxIX0AAVgLg.jpg","https://pbs.twimg.com/media/Ge0py07X0AARsrl.jpg"]</t>
  </si>
  <si>
    <t>https://x.com/ufc/status/1868400891511886126</t>
  </si>
  <si>
    <t>Last night @Newmansa94 grabbed his 6th win in a row🔥
Big things coming for Joaquin Buckley in 2025! #UFCTampa</t>
  </si>
  <si>
    <t>"2024-12-15T19:03:00.000Z"</t>
  </si>
  <si>
    <t>["https://pbs.twimg.com/media/Ge0kFFua4AA1qpx.jpg","https://pbs.twimg.com/media/Ge0kFFubUAAoQz0.jpg","https://pbs.twimg.com/media/Ge0kFFtawAAK8fS.jpg","https://pbs.twimg.com/media/Ge0kFe8a0AA6Tw2.jpg"]</t>
  </si>
  <si>
    <t>https://x.com/ufc/status/1868371195722158288</t>
  </si>
  <si>
    <t>The Liv Morgan World Tour rolls on! 👊
@YaOnlyLivvOnce outlasts @Iyo_SkyWWE at #SNME!</t>
  </si>
  <si>
    <t>"2024-12-15T01:44:27.000Z"</t>
  </si>
  <si>
    <t>["https://pbs.twimg.com/media/GezbfHHWgAAsxh4.jpg"]</t>
  </si>
  <si>
    <t>https://x.com/WWE/status/1868109835348427226</t>
  </si>
  <si>
    <t>[{"biography":null,"followers":null,"following":null,"is_verified":null,"profile_id":"2245639517","profile_name":"LIV Morgan","url":"https://x.com/YaOnlyLivvOnce"},{"biography":null,"followers":null,"following":null,"is_verified":null,"profile_id":"169267113","profile_name":"IYO SKY","url":"https://x.com/Iyo_SkyWWE"}]</t>
  </si>
  <si>
    <t>💙
#PremierSportsCup</t>
  </si>
  <si>
    <t>"2024-12-15T15:41:10.000Z"</t>
  </si>
  <si>
    <t>["https://pbs.twimg.com/media/Ge2begfXsAAR7yi.jpg"]</t>
  </si>
  <si>
    <t>https://x.com/RangersFC/status/1868320401861832803</t>
  </si>
  <si>
    <t>¡Victoria del Calamar! Con el gol de Mateo Pellegrino a los 9 segundos, @caplatense venció 1-0 a @gimnasiaoficial por la #fecha27 del #TorneoBetano 2024 🏆
📸 Prensa Platense</t>
  </si>
  <si>
    <t>"2024-12-15T21:59:21.000Z"</t>
  </si>
  <si>
    <t>["https://pbs.twimg.com/media/Ge3xW2dXgAA2ZJ2.jpg","https://pbs.twimg.com/media/Ge3xbiaW8AAou98.jpg","https://pbs.twimg.com/media/Ge3xeHMWUAAPMaA.jpg"]</t>
  </si>
  <si>
    <t>https://x.com/LigaAFA/status/1868415574403113013</t>
  </si>
  <si>
    <t>👀
#CPFC // #BHACRY</t>
  </si>
  <si>
    <t>"2024-12-15T20:15:00.000Z"</t>
  </si>
  <si>
    <t>["https://pbs.twimg.com/media/Ge2t3rbXsAAotpz.jpg","https://pbs.twimg.com/media/Ge2t3raWcAE5JPh.jpg","https://pbs.twimg.com/media/Ge2t3rcWcAIprcK.jpg","https://pbs.twimg.com/media/Ge2t3rdXYAA0OTz.jpg"]</t>
  </si>
  <si>
    <t>https://x.com/CPFC/status/1868389314704355759</t>
  </si>
  <si>
    <t>Now 2-0 in the UFC 😮‍💨
@FelipeLimaMMA with the UD victory at #UFCTampa!</t>
  </si>
  <si>
    <t>"2024-12-15T02:04:10.000Z"</t>
  </si>
  <si>
    <t>["https://pbs.twimg.com/media/GezfjSFXUAAc0OI.jpg","https://pbs.twimg.com/media/Gezfk4jWcAEEIC8.jpg","https://pbs.twimg.com/media/GezfnSVWsAEnD7h.jpg"]</t>
  </si>
  <si>
    <t>https://x.com/ufc/status/1868114797163889011</t>
  </si>
  <si>
    <t>[{"biography":null,"followers":null,"following":null,"is_verified":null,"profile_id":"1837439771326439424","profile_name":"Felipe lima","url":"https://x.com/felipelimamma"}]</t>
  </si>
  <si>
    <t>Back in the win column 🙌
@DaveyGrantMMA takes home the UD at #UFCTampa! 
[ Live NOW on @ESPNPlus ]</t>
  </si>
  <si>
    <t>"2024-12-15T01:07:27.000Z"</t>
  </si>
  <si>
    <t>["https://pbs.twimg.com/media/GezTJZGXsAAkiOt.jpg","https://pbs.twimg.com/media/GezTMbJW4AAdUf4.jpg","https://pbs.twimg.com/media/GezTPSjXcAA8JLq.jpg"]</t>
  </si>
  <si>
    <t>https://x.com/ufc/status/1868100523863539776</t>
  </si>
  <si>
    <t>From breakthrough victories to jaw-dropping comebacks 💪
Lewis Hamilton's top 10 greatest moments for @MercedesAMGF1 👇
#F1</t>
  </si>
  <si>
    <t>"2024-12-15T09:23:00.000Z"</t>
  </si>
  <si>
    <t>https://x.com/F1/status/1868225233834127405</t>
  </si>
  <si>
    <t>[{"biography":null,"followers":null,"following":null,"is_verified":null,"profile_id":"26235265","profile_name":"Mercedes-AMG PETRONAS F1 Team","url":"https://x.com/MercedesAMGF1"}]</t>
  </si>
  <si>
    <t>https://f1.com/Hamilton_Mercedes_Best_Moments</t>
  </si>
  <si>
    <t>["https://pbs.twimg.com/card_img/1867601658600931328/fXdzgMCI?format=jpg&amp;name=orig"]</t>
  </si>
  <si>
    <t>¡Gol de @ClubLlanerosFC! 💥 Omar Duarte abre el marcador para el 'Equipo de la Media Colombia' 🐴
LLA 1 (1) - 0 (1) UNI 🏆
#LaPasiónDeMillones</t>
  </si>
  <si>
    <t>"2024-12-15T01:12:35.000Z"</t>
  </si>
  <si>
    <t>["https://pbs.twimg.com/media/GezUsCYWMAAXh5B.jpg"]</t>
  </si>
  <si>
    <t>https://x.com/Dimayor/status/1868101816225005968</t>
  </si>
  <si>
    <t>[{"biography":null,"followers":null,"following":null,"is_verified":null,"profile_id":"724675838","profile_name":"𝗟𝗹𝗮𝗻𝗲𝗿𝗼𝘀 𝗙𝘂́𝘁𝗯𝗼𝗹 𝗖𝗹𝘂𝗯 🐴","url":"https://x.com/ClubLlanerosFC"}]</t>
  </si>
  <si>
    <t>["LaPasiónDeMillones"]</t>
  </si>
  <si>
    <t>¡𝐂𝐀𝐌𝐏𝐄𝐎𝐍𝐄𝐒 𝐃𝐄 𝐋𝐀 𝐆𝐑𝐀𝐍 𝐅𝐈𝐍𝐀𝐋! ❤️💙
𝐅𝐞𝐥𝐢𝐜𝐢𝐭𝐚𝐜𝐢𝐨𝐧𝐞𝐬 @UnionMagdalena por un nuevo título, son los campeones de la Gran Final del #TorneoBetPlayDIMAYOR 2024🔥
#LaPasiónDeMillones</t>
  </si>
  <si>
    <t>"2024-12-15T02:39:41.000Z"</t>
  </si>
  <si>
    <t>["https://pbs.twimg.com/media/GezoooeWMAAWfO1.jpg"]</t>
  </si>
  <si>
    <t>https://x.com/Dimayor/status/1868123736299253772</t>
  </si>
  <si>
    <t>[{"biography":null,"followers":null,"following":null,"is_verified":null,"profile_id":"460363900","profile_name":"Unión Magdalena S.A","url":"https://x.com/UnionMagdalena"}]</t>
  </si>
  <si>
    <t>["TorneoBetPlayDIMAYOR","LaPasiónDeMillones"]</t>
  </si>
  <si>
    <t>Made by Grok.
#CPFC</t>
  </si>
  <si>
    <t>"2024-12-15T16:07:25.000Z"</t>
  </si>
  <si>
    <t>["https://pbs.twimg.com/media/Ge2hgx3WEAAS2Es.jpg"]</t>
  </si>
  <si>
    <t>https://x.com/CPFC/status/1868327009900007484</t>
  </si>
  <si>
    <t>¡𝐀𝐒𝐂𝐄𝐍𝐃𝐈𝐃𝐎𝐒! ¡𝐁𝐢𝐞𝐧𝐯𝐞𝐧𝐢𝐝𝐨𝐬 𝐚 𝐥𝐚 𝐀! 🤩👏
El Equipo de la Media Colombia oficialmente sube a Primera División, nos vemos en la #LigaBetPlayDIMAYOR I-2025 @ClubLlanerosFC 🐴💥
#LaPasiónDeMillones</t>
  </si>
  <si>
    <t>"2024-12-15T02:42:52.000Z"</t>
  </si>
  <si>
    <t>["https://pbs.twimg.com/media/GezpXNsXQAAUOoZ.jpg"]</t>
  </si>
  <si>
    <t>https://x.com/Dimayor/status/1868124537025634734</t>
  </si>
  <si>
    <t>["LigaBetPlayDIMAYOR","LaPasiónDeMillones"]</t>
  </si>
  <si>
    <t>Cha███uek███</t>
  </si>
  <si>
    <t>Cha███uek███ฟุต█████████ิไท███</t>
  </si>
  <si>
    <t>#OFFICIAL ช้างศึก ร่วมกลุ่ม เติร์กเมนิสถาน, ไชนีส ไทเป, ศรีลังกา เอเชียน คัพ 2027 รอบคัดเลือก
#ช้างศึก #ทีมชาติไทย #AsianCup2027</t>
  </si>
  <si>
    <t>"2024-12-09T07:49:13.000Z"</t>
  </si>
  <si>
    <t>["https://pbs.twimg.com/media/GeV18JbbYAA9rhh.jpg"]</t>
  </si>
  <si>
    <t>https://x.com/Changsuek_TH/status/1866027307238064497</t>
  </si>
  <si>
    <t>["OFFICIAL","ช้างศึก","ทีมชาติไทย","AsianCup2027"]</t>
  </si>
  <si>
    <t>Welcome to the Official Thailand National Football Team Twitter account. stay up to date with all latest news and content. 🇹🇭</t>
  </si>
  <si>
    <t>https://pbs.twimg.com/profile_images/943107438923825152/Qx4Kf4a2_normal.jpg</t>
  </si>
  <si>
    <t>HKane</t>
  </si>
  <si>
    <t>Har███Kan███</t>
  </si>
  <si>
    <t>Means a lot to be able to thank some of the fans who have made me feel so welcome at the club. And to all the Bayern fans whose support is always unreal home and away. #MiaSanMia</t>
  </si>
  <si>
    <t>"2024-12-15T12:30:46.000Z"</t>
  </si>
  <si>
    <t>["https://pbs.twimg.com/media/Ge1v67RXYAATn9g.jpg"]</t>
  </si>
  <si>
    <t>https://x.com/HKane/status/1868272486208659561</t>
  </si>
  <si>
    <t>["MiaSanMia"]</t>
  </si>
  <si>
    <t>Footballer for Bayern and England.</t>
  </si>
  <si>
    <t>https://pbs.twimg.com/profile_images/1606312615122288641/uDCxQ9nA_normal.jpg</t>
  </si>
  <si>
    <t>Here we go then 🖤🎬
#CPFC // #BHACRY</t>
  </si>
  <si>
    <t>"2024-12-15T09:15:58.000Z"</t>
  </si>
  <si>
    <t>["https://pbs.twimg.com/media/Ge1DVaAWIAAd81F.jpg"]</t>
  </si>
  <si>
    <t>https://x.com/CPFC/status/1868223462881567199</t>
  </si>
  <si>
    <t>🏆 Celtic take on Rangers this Sunday (December 15) in the Premier Sports Cup Final, and you can watch all the action live, with kick-off at 3:30pm.
Watch the game LIVE on @PremSportsTV! 📺
Full info below ⤵
#CELRAN | #PremierSportsCup | #CelticFC🍀</t>
  </si>
  <si>
    <t>"2024-12-15T12:53:50.000Z"</t>
  </si>
  <si>
    <t>https://x.com/CelticFC/status/1868278291901366345</t>
  </si>
  <si>
    <t>[{"biography":null,"followers":null,"following":null,"is_verified":null,"profile_id":"159582357","profile_name":"Premier Sports","url":"https://x.com/PremSportsTV"}]</t>
  </si>
  <si>
    <t>https://www.celticfc.com/news/2024/december/13/watch-the-celtic-v-rangers-league-cup-final-on-premier-sports-/</t>
  </si>
  <si>
    <t>Young Yui. ☺️🇯🇵
@JFA_Nadeshiko | #FIFAWWC</t>
  </si>
  <si>
    <t>"2024-12-15T11:01:00.000Z"</t>
  </si>
  <si>
    <t>["https://pbs.twimg.com/media/GehMI87WsAAAyGt.jpg"]</t>
  </si>
  <si>
    <t>https://x.com/FIFAWWC/status/1868249896425271346</t>
  </si>
  <si>
    <t>[{"biography":null,"followers":null,"following":null,"is_verified":null,"profile_id":"182326791","profile_name":"JFAなでしこサッカー","url":"https://x.com/jfa_nadeshiko"}]</t>
  </si>
  <si>
    <t>Going the distance is never in his plans 🔥 #UFCTampa 
MOST LIGHTWEIGHT FINISHES - 2019 to Present
8 - Charles Oliveira
7 - @JoelElfeNomeno1 
7 - Drew Dober
7 - Jim Miller</t>
  </si>
  <si>
    <t>"2024-12-15T23:05:00.000Z"</t>
  </si>
  <si>
    <t>["https://pbs.twimg.com/media/Ge0g3XZWIAApYUg.jpg","https://pbs.twimg.com/media/Ge0g45-XQAElUIe.jpg","https://pbs.twimg.com/media/Ge0g6_CXwAAwmFx.jpg","https://pbs.twimg.com/media/Ge0g8Y-W0AAiEQM.jpg"]</t>
  </si>
  <si>
    <t>https://x.com/ufc/status/1868432097104269522</t>
  </si>
  <si>
    <t>[{"biography":null,"followers":null,"following":null,"is_verified":null,"profile_id":"1286289526672031755","profile_name":"joelelfenomenoalvarez","url":"https://x.com/joelelfenomeno1"}]</t>
  </si>
  <si>
    <t>Dream team 🏆
@KnappTime_LTD and Patty Tavatanakit win the @GTInvitational!</t>
  </si>
  <si>
    <t>"2024-12-15T21:03:46.000Z"</t>
  </si>
  <si>
    <t>["https://pbs.twimg.com/media/Ge3lQg3XQAAcAQ8.jpg"]</t>
  </si>
  <si>
    <t>https://x.com/PGATOUR/status/1868401587082977397</t>
  </si>
  <si>
    <t>[{"biography":null,"followers":null,"following":null,"is_verified":null,"profile_id":"357364051","profile_name":"Jake Knapp","url":"https://x.com/knapptime_LTD"},{"biography":null,"followers":null,"following":null,"is_verified":null,"profile_id":"612661873","profile_name":"Grant Thornton Invitational","url":"https://x.com/gtinvitational"}]</t>
  </si>
  <si>
    <t>Who ya got leaving with the World Heavyweight Championship? 🤔
#SNME</t>
  </si>
  <si>
    <t>"2024-12-15T01:45:17.000Z"</t>
  </si>
  <si>
    <t>["https://pbs.twimg.com/media/GezcLk2WwAA3Wl7.jpg"]</t>
  </si>
  <si>
    <t>https://x.com/WWE/status/1868110045566628342</t>
  </si>
  <si>
    <t>HISTORY. 
@ImChelseaGreen is the first-ever Women's United States Champion! 🇺🇸
#SNME</t>
  </si>
  <si>
    <t>"2024-12-15T02:27:40.000Z"</t>
  </si>
  <si>
    <t>["https://pbs.twimg.com/media/GezlvIvWcAE4mvg.jpg"]</t>
  </si>
  <si>
    <t>https://x.com/WWE/status/1868120711711367598</t>
  </si>
  <si>
    <t>[{"biography":null,"followers":null,"following":null,"is_verified":null,"profile_id":"3351327093","profile_name":"CHELSEA GREEN","url":"https://x.com/ImChelseaGreen"}]</t>
  </si>
  <si>
    <t>¡La Academia cerró el año con un triunfo!
@RacingClub se impuso por 1 a 0 ante @RiverPlate con gol de Salas por la #fecha27 del #TorneoBetano 2024 🏆</t>
  </si>
  <si>
    <t>"2024-12-15T02:13:54.000Z"</t>
  </si>
  <si>
    <t>["https://pbs.twimg.com/media/GeziCnKXMAAkFAS.jpg","https://pbs.twimg.com/media/GeziESTW8AAKoQj.jpg","https://pbs.twimg.com/media/GeziHjCXkAApt-j.jpg","https://pbs.twimg.com/media/GeziKWdWEAAKa54.jpg"]</t>
  </si>
  <si>
    <t>https://x.com/LigaAFA/status/1868117249833517318</t>
  </si>
  <si>
    <t>[{"biography":null,"followers":null,"following":null,"is_verified":null,"profile_id":"95227165","profile_name":"Racing Club","url":"https://x.com/RacingClub"},{"biography":null,"followers":null,"following":null,"is_verified":null,"profile_id":"161734463","profile_name":"River Plate","url":"https://x.com/RiverPlate"}]</t>
  </si>
  <si>
    <t>The new form team of the league 👀 
@OlimpiaMI1936 keep climbing up the standings and getting tough Ws 🔥
#EveryGameMatters</t>
  </si>
  <si>
    <t>"2024-12-15T17:28:45.000Z"</t>
  </si>
  <si>
    <t>["https://pbs.twimg.com/media/Ge20IHOXcAA_Dwg.jpg"]</t>
  </si>
  <si>
    <t>https://x.com/EuroLeague/status/1868347477285638213</t>
  </si>
  <si>
    <t>[{"biography":null,"followers":null,"following":null,"is_verified":null,"profile_id":"267111941","profile_name":"Olimpia Milano","url":"https://x.com/OlimpiaMI1936"}]</t>
  </si>
  <si>
    <t>Still very much in this!
Let's go, lads 🐝
🔵 1-0 🐝 
#CHEBRE | #BrentfordFC</t>
  </si>
  <si>
    <t>"2024-12-15T20:04:47.000Z"</t>
  </si>
  <si>
    <t>https://x.com/BrentfordFC/status/1868386745794081216</t>
  </si>
  <si>
    <t>https://www.brentfordfc.com/en/match/chelsea-vs-brentford-english-premier-league-2024-12-15</t>
  </si>
  <si>
    <t>["CHEBRE","BrentfordFC"]</t>
  </si>
  <si>
    <t>Confirmed #CELRAN line-ups for the Premier Sports Cup Final 🏆
@PremSportsTV</t>
  </si>
  <si>
    <t>"2024-12-15T14:26:00.000Z"</t>
  </si>
  <si>
    <t>["https://pbs.twimg.com/media/Ge2JmGjW0AAW-J7.jpg"]</t>
  </si>
  <si>
    <t>https://x.com/spfl/status/1868301488650584107</t>
  </si>
  <si>
    <t>["CELRAN"]</t>
  </si>
  <si>
    <t>¡𝗘𝘀𝘁𝗮𝗺𝗼𝘀 𝗹𝗶𝘀𝘁𝗼𝘀 𝗽𝗮𝗿𝗮 𝗲𝗹 𝗽𝗮𝗿𝘁𝗶𝗱𝗼 𝗱𝗲 𝗩𝘂𝗲𝗹𝘁𝗮 𝗱𝗲 𝗹𝗮 #𝗖𝗼𝗽𝗮𝗕𝗲𝘁𝗣𝗹𝗮𝘆𝗗𝗜𝗠𝗔𝗬𝗢𝗥 𝟮𝟬𝟮𝟰! 😎🏆
@AmericadeCali 👹 recibirá a las 5:00 pm a @nacionaloficial 🟢⚪ en el estadio Pascual Guerrero 🏟️
¡Los esperamos! 🙌
#LaPasiónDeMillones</t>
  </si>
  <si>
    <t>"2024-12-15T14:34:13.000Z"</t>
  </si>
  <si>
    <t>["https://pbs.twimg.com/media/Ge2MC9XWAAAv3O9.jpg"]</t>
  </si>
  <si>
    <t>https://x.com/Dimayor/status/1868303554101858546</t>
  </si>
  <si>
    <t>[{"biography":null,"followers":null,"following":null,"is_verified":null,"profile_id":"557927601","profile_name":"América de Cali","url":"https://x.com/AmericadeCali"},{"biography":null,"followers":null,"following":null,"is_verified":null,"profile_id":"177641139","profile_name":"Atlético Nacional","url":"https://x.com/nacionaloficial"}]</t>
  </si>
  <si>
    <t>["𝗖𝗼𝗽𝗮𝗕𝗲𝘁𝗣𝗹𝗮𝘆𝗗𝗜𝗠𝗔𝗬𝗢𝗥","LaPasiónDeMillones"]</t>
  </si>
  <si>
    <t>¿Preparados? ¿Listos?
¡Inicia el partido de Vuelta de la Final de la #CopaBetPlayDIMAYOR 2024 entre @AmericadeCali y @nacionaloficial!👏🏼
AME 0 - 0 NAC
#LaPasiónDeMillones</t>
  </si>
  <si>
    <t>"2024-12-15T22:05:26.000Z"</t>
  </si>
  <si>
    <t>["https://pbs.twimg.com/media/Ge3v5WgXEAA6onK.jpg"]</t>
  </si>
  <si>
    <t>https://x.com/Dimayor/status/1868417106515001448</t>
  </si>
  <si>
    <t>["CopaBetPlayDIMAYOR","LaPasiónDeMillones"]</t>
  </si>
  <si>
    <t>cou███efr███e</t>
  </si>
  <si>
    <t>Cou███de ███nce███</t>
  </si>
  <si>
    <t>Qui ajoutera son nom au palmarès en 2025 ? 🤔🏆 
#CoupeDeFrance</t>
  </si>
  <si>
    <t>"2024-12-15T13:59:58.000Z"</t>
  </si>
  <si>
    <t>["https://pbs.twimg.com/media/Ge2EVuUWoAAE5J7.jpg"]</t>
  </si>
  <si>
    <t>https://x.com/coupedefrance/status/1868294933385220125</t>
  </si>
  <si>
    <t>["CoupeDeFrance"]</t>
  </si>
  <si>
    <t>Compte officiel de la Coupe de France de Football, la coupe de tous les possibles #CoupeDeFrance</t>
  </si>
  <si>
    <t>https://pbs.twimg.com/profile_images/1034410645045866496/YjJPjkbd_normal.jpg</t>
  </si>
  <si>
    <t>top███ugb███</t>
  </si>
  <si>
    <t>TOP███ Ru███</t>
  </si>
  <si>
    <t>Le @StadeToulousain déroule à Exeter 💪
Sans trembler, Toulouse l'emporte en passant une nouvelle fois la barre des 60 points 📈 #TOP14 #InvestecChampionsCup</t>
  </si>
  <si>
    <t>"2024-12-15T19:23:33.000Z"</t>
  </si>
  <si>
    <t>["https://pbs.twimg.com/media/Ge3OYsMW8AA45zo.jpg"]</t>
  </si>
  <si>
    <t>https://x.com/top14rugby/status/1868376367743541370</t>
  </si>
  <si>
    <t>[{"biography":null,"followers":null,"following":null,"is_verified":null,"profile_id":"267228287","profile_name":"Stade Toulousain","url":"https://x.com/StadeToulousain"}]</t>
  </si>
  <si>
    <t>["TOP14","InvestecChampionsCup"]</t>
  </si>
  <si>
    <t>Compte officiel du championnat de France professionnel de rugby à XV #TOP14 @lnrofficiel</t>
  </si>
  <si>
    <t>https://pbs.twimg.com/profile_images/1660209856731643905/f1K1xeM7_normal.jpg</t>
  </si>
  <si>
    <t>Glasner.
#CPFC // #BHACRY</t>
  </si>
  <si>
    <t>"2024-12-15T15:31:00.000Z"</t>
  </si>
  <si>
    <t>["https://pbs.twimg.com/media/Ge2ZGdPXYAAMDYZ.jpg"]</t>
  </si>
  <si>
    <t>https://x.com/CPFC/status/1868317846444314746</t>
  </si>
  <si>
    <t>15 to play ⌛️
#CPFC // #BHACRY</t>
  </si>
  <si>
    <t>"2024-12-15T15:37:52.000Z"</t>
  </si>
  <si>
    <t>["https://pbs.twimg.com/media/Ge2aV_DXYAAKZaW.jpg"]</t>
  </si>
  <si>
    <t>https://x.com/CPFC/status/1868319573612867791</t>
  </si>
  <si>
    <t>A strong final season at the Scuderia for Sainz 🏆 🏆 
#F1</t>
  </si>
  <si>
    <t>"2024-12-15T13:16:00.000Z"</t>
  </si>
  <si>
    <t>["https://pbs.twimg.com/media/GerKk6TWoAABL8z.jpg"]</t>
  </si>
  <si>
    <t>https://x.com/F1/status/1868283869839196404</t>
  </si>
  <si>
    <t>SOON 👀
@ColbyCovMMA vs @NewMansa94 
[ #UFCTampa is LIVE on @ESPNPlus &amp; ESPN2 ]</t>
  </si>
  <si>
    <t>"2024-12-15T04:29:01.000Z"</t>
  </si>
  <si>
    <t>["https://pbs.twimg.com/media/Ge0BgKvWUAAcdHb.jpg","https://pbs.twimg.com/media/Ge0BiOYW8AAkMK6.jpg"]</t>
  </si>
  <si>
    <t>https://x.com/ufc/status/1868151249301889411</t>
  </si>
  <si>
    <t>Fresh on the scene 👀
@ColbyCovMMA vs @NewMansa94 is coming up!
[ #UFCTampa is LIVE on @ESPNPlus &amp;amp; ESPN2 ]</t>
  </si>
  <si>
    <t>"2024-12-15T03:30:18.000Z"</t>
  </si>
  <si>
    <t>["https://pbs.twimg.com/media/GezzaqvWgAA463H.jpg","https://pbs.twimg.com/media/Gezzc39XAAADco8.jpg"]</t>
  </si>
  <si>
    <t>https://x.com/ufc/status/1868136472538140873</t>
  </si>
  <si>
    <t>Here's what you can expect to watch on tonight's main card! 💥
[ #UFCTampa is LIVE on @ESPNPlus &amp;amp; ESPN2 | 10pmET ]</t>
  </si>
  <si>
    <t>"2024-12-15T00:11:45.000Z"</t>
  </si>
  <si>
    <t>["https://pbs.twimg.com/media/GezGp-HWkAApz3u.jpg"]</t>
  </si>
  <si>
    <t>https://x.com/ufc/status/1868086509552943317</t>
  </si>
  <si>
    <t>It was a WILD night at #SNME, but what moment took the top spot in last night's #WWETop10? 👀
▶️</t>
  </si>
  <si>
    <t>"2024-12-15T15:42:04.000Z"</t>
  </si>
  <si>
    <t>["https://pbs.twimg.com/media/Ge2btZ3XQAAbgdO.jpg"]</t>
  </si>
  <si>
    <t>https://x.com/WWE/status/1868320629880979553</t>
  </si>
  <si>
    <t>http://ms.spr.ly/6016oTm6k</t>
  </si>
  <si>
    <t>["SNME","WWETop10"]</t>
  </si>
  <si>
    <t>GET IN THERE 
#CPFC // #BHACRY</t>
  </si>
  <si>
    <t>"2024-12-15T17:35:00.000Z"</t>
  </si>
  <si>
    <t>["https://pbs.twimg.com/media/Ge2l9WWXAAASp1d.jpg","https://pbs.twimg.com/media/Ge2l9WWWkAExkcv.jpg"]</t>
  </si>
  <si>
    <t>https://x.com/CPFC/status/1868349049671450775</t>
  </si>
  <si>
    <t>Glasgow Celtic are the 2024/25 #PremierSportsCup Winners! 🏆 
Congratulations to Brendan Rodgers &amp;amp; the Bhoys! 👏
#CelticFC🍀</t>
  </si>
  <si>
    <t>"2024-12-15T18:25:32.000Z"</t>
  </si>
  <si>
    <t>https://x.com/CelticFC/status/1868361766230786437</t>
  </si>
  <si>
    <t>💯 100 Competitive Appearances for @LeonBalogun today 💪</t>
  </si>
  <si>
    <t>"2024-12-15T14:26:10.000Z"</t>
  </si>
  <si>
    <t>["https://pbs.twimg.com/media/Ge2JvSOW8AAldH8.jpg"]</t>
  </si>
  <si>
    <t>https://x.com/RangersFC/status/1868301530765434982</t>
  </si>
  <si>
    <t>[{"biography":null,"followers":null,"following":null,"is_verified":null,"profile_id":"2209667618","profile_name":"Leon Aderemi Balogun","url":"https://x.com/LeonBalogun"}]</t>
  </si>
  <si>
    <t>Yeah, Hendo gets it 😍
#CPFC // #BHACRY</t>
  </si>
  <si>
    <t>"2024-12-15T16:20:00.000Z"</t>
  </si>
  <si>
    <t>["https://pbs.twimg.com/media/Ge2h-KDWcAALY7-.jpg"]</t>
  </si>
  <si>
    <t>https://x.com/CPFC/status/1868330175446057346</t>
  </si>
  <si>
    <t>Great day at the seaside with my friends.
#CPFC // #BHACRY</t>
  </si>
  <si>
    <t>"2024-12-15T15:58:13.000Z"</t>
  </si>
  <si>
    <t>["https://pbs.twimg.com/media/Ge2fSsSWYAAR5UZ.jpg"]</t>
  </si>
  <si>
    <t>https://x.com/CPFC/status/1868324694924955753</t>
  </si>
  <si>
    <t>Sunday night at Stamford Bridge 👊
COME ON YOU BEES! COME ON BRENTFORD 🙌
🔵 0-0 🐝 
#CHEBRE | #BrentfordFC</t>
  </si>
  <si>
    <t>"2024-12-15T18:59:40.000Z"</t>
  </si>
  <si>
    <t>https://x.com/BrentfordFC/status/1868370356735742234</t>
  </si>
  <si>
    <t>atp███r</t>
  </si>
  <si>
    <t>ATP███ur</t>
  </si>
  <si>
    <t>The groups are set 🔵 🔴
#NextGenATPFinals</t>
  </si>
  <si>
    <t>"2024-12-15T21:16:25.000Z"</t>
  </si>
  <si>
    <t>https://x.com/atptour/status/1868404770165191028</t>
  </si>
  <si>
    <t>https://www.nextgenatpfinals.com/en/news/next-gen-atp-finals-presented-by-pif-2024-draw-sunday</t>
  </si>
  <si>
    <t>["NextGenATPFinals"]</t>
  </si>
  <si>
    <t>#ThisIsTennis 🎾</t>
  </si>
  <si>
    <t>https://pbs.twimg.com/profile_images/1509532021172834312/Znkd3a2Y_normal.jpg</t>
  </si>
  <si>
    <t>💻 Overseas subscribers can watch the #PremierSportsCup Final LIVE on @CelticTV!
Full info &amp;amp; how to subscribe ⤵
#CELRAN | #CelticFC🍀</t>
  </si>
  <si>
    <t>https://x.com/CelticFC/status/1868264751350124552</t>
  </si>
  <si>
    <t>https://www.celticfc.com/news/2024/december/14/celtic-v-rangers-live-on-celtic-tv-for-overseas-subscribers</t>
  </si>
  <si>
    <t>Troy Deeney names two teams Jack Grealish must join 'to save his legacy'</t>
  </si>
  <si>
    <t>https://x.com/talkSPORT/status/1868419514024472884</t>
  </si>
  <si>
    <t>FOUR straight for @FearTheMAVERICK 😮‍💨
#UFCTampa</t>
  </si>
  <si>
    <t>"2024-12-15T01:33:07.000Z"</t>
  </si>
  <si>
    <t>https://x.com/ufc/status/1868106984966508816</t>
  </si>
  <si>
    <t>[{"biography":null,"followers":null,"following":null,"is_verified":null,"profile_id":"1314612088493535234","profile_name":"Miranda Maverick","url":"https://x.com/FearTheMAVERICK"}]</t>
  </si>
  <si>
    <t>In case you missed the return of #SNME last night, catch it now on @peacock! 👀
⤵️</t>
  </si>
  <si>
    <t>"2024-12-15T19:07:28.000Z"</t>
  </si>
  <si>
    <t>https://x.com/WWE/status/1868372319422370039</t>
  </si>
  <si>
    <t>[{"biography":null,"followers":null,"following":null,"is_verified":null,"profile_id":"1171155332917321730","profile_name":"Peacock","url":"https://x.com/peacock"}]</t>
  </si>
  <si>
    <t>http://ms.spr.ly/6012oTv12</t>
  </si>
  <si>
    <t>["https://pbs.twimg.com/card_img/1868368878570549248/crFb71SL?format=jpg&amp;name=orig"]</t>
  </si>
  <si>
    <t>Glasner has checked in 🫡
#CPFC // #BHACRY</t>
  </si>
  <si>
    <t>"2024-12-15T13:03:06.000Z"</t>
  </si>
  <si>
    <t>["https://pbs.twimg.com/media/Ge13N3fXUAEUo67.jpg"]</t>
  </si>
  <si>
    <t>https://x.com/CPFC/status/1868280626404905353</t>
  </si>
  <si>
    <t>JP 🤝 copying everyone's celebrations
#CPFC // #BHACRY</t>
  </si>
  <si>
    <t>"2024-12-15T14:47:25.000Z"</t>
  </si>
  <si>
    <t>["https://pbs.twimg.com/media/Ge2PD0eXcAAzisu.jpg","https://pbs.twimg.com/media/Ge2PE2oWsAALU-D.jpg"]</t>
  </si>
  <si>
    <t>https://x.com/CPFC/status/1868306874967245265</t>
  </si>
  <si>
    <t>FULL-TIME: Rangers 3-3 Celtic | #PremierSportsCup
We go to Extra-Time at Hampden.</t>
  </si>
  <si>
    <t>"2024-12-15T17:30:39.000Z"</t>
  </si>
  <si>
    <t>["https://pbs.twimg.com/media/Ge2y5kCWoAAImnx.jpg"]</t>
  </si>
  <si>
    <t>https://x.com/RangersFC/status/1868347954060206304</t>
  </si>
  <si>
    <t>📣 ¡𝗘𝗹 𝗖𝗮𝗽𝗶𝘁𝗮́𝗻 𝗾𝘂𝗶𝗲𝗿𝗲 𝘂𝗻 𝗻𝘂𝗲𝘃𝗼 𝘁𝗶́𝘁𝘂𝗹𝗼!...
David Ospina de @nacionaloficial espera vivir un gran partido de Vuelta de la Final de la #CopaBetPlayDIMAYOR 2024
🟢⚪
#LaPasiónDeMillones</t>
  </si>
  <si>
    <t>"2024-12-15T00:17:32.000Z"</t>
  </si>
  <si>
    <t>["https://pbs.twimg.com/media/GezHX8ZXQAAFOP0.jpg"]</t>
  </si>
  <si>
    <t>https://x.com/Dimayor/status/1868087964342911266</t>
  </si>
  <si>
    <t>[{"biography":null,"followers":null,"following":null,"is_verified":null,"profile_id":"177641139","profile_name":"Atlético Nacional","url":"https://x.com/nacionaloficial"}]</t>
  </si>
  <si>
    <t>Un gros combat contre les Warriors 🛡️
Mais le @RCTofficiel a tenu bon pour s'offrir le tenant du titre de l'URC 🔴⚫️ #TOP14 #InvestecChampionsCup</t>
  </si>
  <si>
    <t>"2024-12-15T17:08:27.000Z"</t>
  </si>
  <si>
    <t>["https://pbs.twimg.com/media/Ge2vcuUWsAARDVV.jpg"]</t>
  </si>
  <si>
    <t>https://x.com/top14rugby/status/1868342366761050620</t>
  </si>
  <si>
    <t>[{"biography":null,"followers":null,"following":null,"is_verified":null,"profile_id":"377915688","profile_name":"RCT - RC Toulon","url":"https://x.com/RCTofficiel"}]</t>
  </si>
  <si>
    <t>Cly███C</t>
  </si>
  <si>
    <t>Cly███FC</t>
  </si>
  <si>
    <t>𝗠𝗔𝗧𝗖𝗛 𝗚𝗔𝗟𝗟𝗘𝗥𝗬 || 𝘃𝘀 𝗧𝗛𝗘 𝗦𝗣𝗔𝗥𝗧𝗔𝗡𝗦 
Club photographer @CraigBlackPhoto was on hand at Ainslie Park to snap yesterdays action, with a drop off to lapland before kick off...
⚽  |</t>
  </si>
  <si>
    <t>"2024-12-15T13:45:44.000Z"</t>
  </si>
  <si>
    <t>["https://pbs.twimg.com/media/Ge2BFYPXAAAugFU.jpg"]</t>
  </si>
  <si>
    <t>https://x.com/ClydeFC/status/1868291353601253771</t>
  </si>
  <si>
    <t>[{"biography":null,"followers":null,"following":null,"is_verified":null,"profile_id":"2281116008","profile_name":"Craig Black Photo","url":"https://x.com/craigblackphoto"}]</t>
  </si>
  <si>
    <t>https://buff.ly/3BvIQ9d</t>
  </si>
  <si>
    <t>["WeAreClyde"]</t>
  </si>
  <si>
    <t>The official account of Clyde Football Club 
➡️ | @ElginCityFC
📅 | Dec 17
🕒 | 7.45pm
#WeAreClyde
Social Media Partner | @CrossReach</t>
  </si>
  <si>
    <t>https://pbs.twimg.com/profile_images/930112997183418369/A6vK-pEY_normal.jpg</t>
  </si>
  <si>
    <t>HALF-TIME: Rangers 1-0 Celtic | #PremierSportsCup  
Nedim Bajrami sends us in with the HT advantage.
📲 Follow the second-half live in our Match Hub:</t>
  </si>
  <si>
    <t>"2024-12-15T16:22:04.000Z"</t>
  </si>
  <si>
    <t>["https://pbs.twimg.com/media/Ge2kIIvWMAAnZ-D.jpg"]</t>
  </si>
  <si>
    <t>https://x.com/RangersFC/status/1868330696256659797</t>
  </si>
  <si>
    <t>It's all over at Hampden Park!
Daizen Maeda converts the crucial penalty and @CelticFC are your Premier Sports Cup champions 🏆</t>
  </si>
  <si>
    <t>"2024-12-15T18:20:47.000Z"</t>
  </si>
  <si>
    <t>["https://pbs.twimg.com/media/Ge2_8tJXsAETs_f.jpg"]</t>
  </si>
  <si>
    <t>https://x.com/spfl/status/1868360572418543886</t>
  </si>
  <si>
    <t>Right, who gets your vote then? 🤔
#CPFC // #BHACRY</t>
  </si>
  <si>
    <t>"2024-12-15T16:48:00.000Z"</t>
  </si>
  <si>
    <t>https://x.com/CPFC/status/1868337221826117684</t>
  </si>
  <si>
    <t>https://www.cpfc.co.uk/news/first-team/vote-player-of-the-match-brighton-hove-albion-crystal-palace-premier-league-2425/</t>
  </si>
  <si>
    <t>Black. Red. Blue.
#CPFC // #BHACRY</t>
  </si>
  <si>
    <t>"2024-12-15T12:18:24.000Z"</t>
  </si>
  <si>
    <t>["https://pbs.twimg.com/media/Ge1tASVW0AAdyGy.jpg","https://pbs.twimg.com/media/Ge1tASVXYAA1zSt.jpg"]</t>
  </si>
  <si>
    <t>https://x.com/CPFC/status/1868269376950170078</t>
  </si>
  <si>
    <t>Another goal on the road for Trev 🥹
#CPFC // #BHACRY</t>
  </si>
  <si>
    <t>"2024-12-15T14:38:58.000Z"</t>
  </si>
  <si>
    <t>["https://pbs.twimg.com/media/Ge2NIV5XgAAjDDD.jpg","https://pbs.twimg.com/media/Ge2NI_TWsAAyVX4.jpg"]</t>
  </si>
  <si>
    <t>https://x.com/CPFC/status/1868304750497943630</t>
  </si>
  <si>
    <t>SARRRRRRRRR!!!! 🤩
#CPFC // #BHACRY</t>
  </si>
  <si>
    <t>"2024-12-15T15:44:32.000Z"</t>
  </si>
  <si>
    <t>["https://pbs.twimg.com/media/Ge2cM7IXAAAPgZ_.jpg"]</t>
  </si>
  <si>
    <t>https://x.com/CPFC/status/1868321250164232265</t>
  </si>
  <si>
    <t>Bru-wins 🏆🏆
The UCLA alums are champions @GTInvitational.</t>
  </si>
  <si>
    <t>"2024-12-15T21:20:59.000Z"</t>
  </si>
  <si>
    <t>["https://pbs.twimg.com/media/Ge3pFFwXwAA40ai.jpg"]</t>
  </si>
  <si>
    <t>https://x.com/PGATOUR/status/1868405919845097648</t>
  </si>
  <si>
    <t>[{"biography":null,"followers":null,"following":null,"is_verified":null,"profile_id":"612661873","profile_name":"Grant Thornton Invitational","url":"https://x.com/gtinvitational"}]</t>
  </si>
  <si>
    <t>George and Lewis' final season as team mates 🤜🇬🇧🤛
Here's how their stats matched up 👇
#F1 @MercedesAMGF1</t>
  </si>
  <si>
    <t>"2024-12-15T15:41:00.000Z"</t>
  </si>
  <si>
    <t>["https://pbs.twimg.com/media/GeseIa3XsAA9psK.jpg"]</t>
  </si>
  <si>
    <t>https://x.com/F1/status/1868320360330068306</t>
  </si>
  <si>
    <t>🔴 @StadeToulousain
🟡 @StadeRochelais
😇 @SaintsRugby
⚫️ @RCTofficiel
All sit at the top of the pool standings after two weekends 😮‍💨
Catch up on all the #InvestecChampionsCup action ⬇️</t>
  </si>
  <si>
    <t>"2024-12-15T19:36:01.000Z"</t>
  </si>
  <si>
    <t>https://x.com/ChampionsCup/status/1868379506521809094</t>
  </si>
  <si>
    <t>[{"biography":null,"followers":null,"following":null,"is_verified":null,"profile_id":"267228287","profile_name":"Stade Toulousain","url":"https://x.com/StadeToulousain"},{"biography":null,"followers":null,"following":null,"is_verified":null,"profile_id":"203017287","profile_name":"Stade Rochelais","url":"https://x.com/staderochelais"},{"biography":null,"followers":null,"following":null,"is_verified":null,"profile_id":"24868133","profile_name":"Northampton Saints 😇","url":"https://x.com/SaintsRugby"},{"biography":null,"followers":null,"following":null,"is_verified":null,"profile_id":"377915688","profile_name":"RCT - RC Toulon","url":"https://x.com/RCTofficiel"}]</t>
  </si>
  <si>
    <t>https://youtube.com/playlist?list=PLPvhV-spCrYgA33aFzfwx9yokn3ineJ0m&amp;si=RXoEk9S6qN0LiINg</t>
  </si>
  <si>
    <t>The second-half is underway at Hampden.
Come on #RangersFC 💙
📲 Follow the second-half live in our Match Hub:</t>
  </si>
  <si>
    <t>"2024-12-15T16:38:47.000Z"</t>
  </si>
  <si>
    <t>["https://pbs.twimg.com/media/Ge2N0c1W4AII8a4.jpg"]</t>
  </si>
  <si>
    <t>https://x.com/RangersFC/status/1868334904796217453</t>
  </si>
  <si>
    <t>Couple of @MLB stars have made their way to #UFCTampa 🤩</t>
  </si>
  <si>
    <t>"2024-12-15T04:56:32.000Z"</t>
  </si>
  <si>
    <t>["https://pbs.twimg.com/media/Ge0HvutXoAAgQCZ.jpg","https://pbs.twimg.com/media/Ge0Hw2TXsAA1hiA.jpg","https://pbs.twimg.com/media/Ge0HyEjWQAAG4zh.jpg","https://pbs.twimg.com/media/Ge0HzJ5WAAAZdD_.jpg"]</t>
  </si>
  <si>
    <t>https://x.com/ufc/status/1868158175268196822</t>
  </si>
  <si>
    <t>[{"biography":null,"followers":null,"following":null,"is_verified":null,"profile_id":"18479513","profile_name":"MLB","url":"https://x.com/MLB"}]</t>
  </si>
  <si>
    <t>#TorneoBetano 2024 🏆
⚽️ @ClubDefensayJus 🆚 @clubaunion 
⏰ 17.00
⚽️ @caplatense 🆚 @gimnasiaoficial 
⏰ 17.00
⚽️ @Velez 🆚 @CAHuracan 
⏰ 19.30
⚽️ @CATalleresdecba 🆚 @Newells 
⏰ 19.30</t>
  </si>
  <si>
    <t>"2024-12-15T13:01:00.000Z"</t>
  </si>
  <si>
    <t>["https://pbs.twimg.com/media/GerRJ--W8AAeNDn.jpg"]</t>
  </si>
  <si>
    <t>https://x.com/LigaAFA/status/1868280095632175482</t>
  </si>
  <si>
    <t>[{"biography":null,"followers":null,"following":null,"is_verified":null,"profile_id":"345614692","profile_name":"Defensa y Justicia","url":"https://x.com/ClubDefensayJus"},{"biography":null,"followers":null,"following":null,"is_verified":null,"profile_id":"201032752","profile_name":"Club Atlético Unión","url":"https://x.com/clubaunion"},{"biography":null,"followers":null,"following":null,"is_verified":null,"profile_id":"118772453","profile_name":"Club Atlético Platense","url":"https://x.com/caplatense"},{"biography":null,"followers":null,"following":null,"is_verified":null,"profile_id":"118056286","profile_name":"Club de Gimnasia y Esgrima La Plata","url":"https://x.com/gimnasiaoficial"},{"biography":null,"followers":null,"following":null,"is_verified":null,"profile_id":"276204298","profile_name":"Vélez Sarsfield","url":"https://x.com/Velez"},{"biography":null,"followers":null,"following":null,"is_verified":null,"profile_id":"274140988","profile_name":"CA Huracán","url":"https://x.com/CAHuracan"},{"biography":null,"followers":null,"following":null,"is_verified":null,"profile_id":"196845049","profile_name":"Club Atlético Talleres","url":"https://x.com/CATalleresdecba"},{"biography":null,"followers":null,"following":null,"is_verified":null,"profile_id":"575667065","profile_name":"Newell’s Old Boys","url":"https://x.com/Newells"}]</t>
  </si>
  <si>
    <t>HT | 0⃣-1⃣ #CELRAN
@RangersFC lead the Premier Sports Cup Final at the break thanks to Nedim Bajrami's goal.
🏆 #PremierSportsCup</t>
  </si>
  <si>
    <t>"2024-12-15T16:22:39.000Z"</t>
  </si>
  <si>
    <t>["https://pbs.twimg.com/media/Ge2k8ldX0AAX8Jr.jpg"]</t>
  </si>
  <si>
    <t>https://x.com/spfl/status/1868330841891328093</t>
  </si>
  <si>
    <t>WHAT. A. MATCH. 
@Gunther_AUT leaves #SNME STILL the World Heavyweight Champion!</t>
  </si>
  <si>
    <t>"2024-12-15T02:07:19.000Z"</t>
  </si>
  <si>
    <t>["https://pbs.twimg.com/media/GezhHeyXYAA_LMP.jpg"]</t>
  </si>
  <si>
    <t>https://x.com/WWE/status/1868115591745409474</t>
  </si>
  <si>
    <t>[{"biography":null,"followers":null,"following":null,"is_verified":null,"profile_id":"2878369050","profile_name":"GUNTHER","url":"https://x.com/Gunther_AUT"}]</t>
  </si>
  <si>
    <t>What a way to kick things off! 🔥
@DMcIntyreWWE takes down @SamiZayn at #SNME! ⚔️</t>
  </si>
  <si>
    <t>"2024-12-15T01:22:32.000Z"</t>
  </si>
  <si>
    <t>["https://pbs.twimg.com/media/GezWz8mXcAAi9yA.jpg"]</t>
  </si>
  <si>
    <t>https://x.com/WWE/status/1868104322078126225</t>
  </si>
  <si>
    <t>☝️ Clarke
☝️ Harper
Jhye Richardson has 2 wickets for 1 run! #BBL14</t>
  </si>
  <si>
    <t>"2024-12-15T08:30:39.000Z"</t>
  </si>
  <si>
    <t>["https://pbs.twimg.com/media/Ge04pnbbgAABdkX.jpg"]</t>
  </si>
  <si>
    <t>https://x.com/BBL/status/1868212061626634719</t>
  </si>
  <si>
    <t>That's how you start a season!
The @ScorchersBBL win the #BBL14 opener at The Furnace 🔥</t>
  </si>
  <si>
    <t>"2024-12-15T11:36:36.000Z"</t>
  </si>
  <si>
    <t>["https://pbs.twimg.com/media/Ge1jNfCbQAAAJ4r.jpg"]</t>
  </si>
  <si>
    <t>https://x.com/BBL/status/1868258857828671873</t>
  </si>
  <si>
    <t>[{"biography":null,"followers":null,"following":null,"is_verified":null,"profile_id":"259597381","profile_name":"Perth Scorchers","url":"https://x.com/ScorchersBBL"}]</t>
  </si>
  <si>
    <t>📣 ¡𝗨𝗻 𝗚𝗿𝗮𝗻 𝗖𝗹𝘂𝗯!...
Efraín Juárez buscará ganar su primer título con @nacionaloficial #CopaBetPlayDIMAYOR 2024
🟢⚪
#LaPasiónDeMillones</t>
  </si>
  <si>
    <t>"2024-12-15T00:08:13.000Z"</t>
  </si>
  <si>
    <t>["https://pbs.twimg.com/media/GezF2_iW8AARq7h.jpg"]</t>
  </si>
  <si>
    <t>https://x.com/Dimayor/status/1868085619307733024</t>
  </si>
  <si>
    <t>LoC███oGi███ni</t>
  </si>
  <si>
    <t>Gio███i L███els███</t>
  </si>
  <si>
    <t>Orgulloso de mi equipo y la gente 💚 
Esto va por ustedes béticos !! 
Gracias por la cálida bienvenida en un lugar que fui muy feliz 🙏🏼 @VillarrealCF</t>
  </si>
  <si>
    <t>"2024-12-15T20:28:48.000Z"</t>
  </si>
  <si>
    <t>["https://pbs.twimg.com/media/Ge3dU6mXIAAhhct.jpg","https://pbs.twimg.com/media/Ge3dU6hXkAAynMK.jpg","https://pbs.twimg.com/media/Ge3dU6lWUAAbxvr.jpg"]</t>
  </si>
  <si>
    <t>https://x.com/LoCelsoGiovani/status/1868392787873501543</t>
  </si>
  <si>
    <t>[{"biography":null,"followers":null,"following":null,"is_verified":null,"profile_id":"46862437","profile_name":"Villarreal CF","url":"https://x.com/VillarrealCF"}]</t>
  </si>
  <si>
    <t>Instagram @locelsogiovani</t>
  </si>
  <si>
    <t>https://pbs.twimg.com/profile_images/1585014778883350547/8Gb1d7zk_normal.jpg</t>
  </si>
  <si>
    <t>FT | 3⃣-3⃣ #CELRAN
Level after 90 minutes in an instant classic!
🏆 #PremierSportsCup</t>
  </si>
  <si>
    <t>"2024-12-15T17:30:52.000Z"</t>
  </si>
  <si>
    <t>["https://pbs.twimg.com/media/Ge20jo3WMAAuF2_.jpg"]</t>
  </si>
  <si>
    <t>https://x.com/spfl/status/1868348009152651385</t>
  </si>
  <si>
    <t>📺 @PremSportsTV are bringing exclusive live coverage of today's Premier Sports Cup Final in the UK.
👉 Learn More:</t>
  </si>
  <si>
    <t>["https://pbs.twimg.com/media/Ge1dO9rXUAEukHx.jpg"]</t>
  </si>
  <si>
    <t>https://x.com/RangersFC/status/1868253419309502476</t>
  </si>
  <si>
    <t>http://rng.rs/3P0VbVW</t>
  </si>
  <si>
    <t>Night, Palace fans 😘
#CPFC</t>
  </si>
  <si>
    <t>["https://pbs.twimg.com/media/Ge3hU7jWwAAwsHM.jpg"]</t>
  </si>
  <si>
    <t>https://x.com/CPFC/status/1868432097074897370</t>
  </si>
  <si>
    <t>Your Palace in black this afternoon 🖤
#CPFC // #BHACRY</t>
  </si>
  <si>
    <t>"2024-12-15T12:45:00.000Z"</t>
  </si>
  <si>
    <t>https://x.com/CPFC/status/1868276068546904081</t>
  </si>
  <si>
    <t>https://www.cpfc.co.uk/news/first-team/team-news-brighton-hove-albion-crystal-palace-premier-league-2425</t>
  </si>
  <si>
    <t>BIG TREVOH CHALOBAH!
#CPFC // #BHACRY</t>
  </si>
  <si>
    <t>"2024-12-15T14:29:40.000Z"</t>
  </si>
  <si>
    <t>["https://pbs.twimg.com/media/Ge2K78oW0AAZwGu.jpg"]</t>
  </si>
  <si>
    <t>https://x.com/CPFC/status/1868302410361471403</t>
  </si>
  <si>
    <t>This shouldn't come as a surprise!
@CubSwanson &amp;amp; @BillyQMMA are taking home tonight's FOTN! 💰
[ #UFCTampa | B2YB @ToyoTires ]</t>
  </si>
  <si>
    <t>"2024-12-15T06:56:42.000Z"</t>
  </si>
  <si>
    <t>["https://pbs.twimg.com/media/Ge0jRytXsAA4t3D.jpg"]</t>
  </si>
  <si>
    <t>https://x.com/ufc/status/1868188415084425346</t>
  </si>
  <si>
    <t>[{"biography":null,"followers":null,"following":null,"is_verified":null,"profile_id":"30506859","profile_name":"Cub Swanson","url":"https://x.com/CubSwanson"},{"biography":null,"followers":null,"following":null,"is_verified":null,"profile_id":"546140410","profile_name":"Billy Quarantillo","url":"https://x.com/BillyQMMA"},{"biography":null,"followers":null,"following":null,"is_verified":null,"profile_id":"16630696","profile_name":"Toyo Tires","url":"https://x.com/ToyoTires"}]</t>
  </si>
  <si>
    <t>HERE. WE. GO. 
#SNME starts RIGHT NOW on @nbc and @peacock!!!</t>
  </si>
  <si>
    <t>"2024-12-15T01:00:15.000Z"</t>
  </si>
  <si>
    <t>https://x.com/WWE/status/1868098712276496512</t>
  </si>
  <si>
    <t>[{"biography":null,"followers":null,"following":null,"is_verified":null,"profile_id":"26585095","profile_name":"NBC Entertainment","url":"https://x.com/nbc"},{"biography":null,"followers":null,"following":null,"is_verified":null,"profile_id":"1171155332917321730","profile_name":"Peacock","url":"https://x.com/peacock"}]</t>
  </si>
  <si>
    <t>Coming to the cricket...
Dressed as crickets 😂 #BBL14</t>
  </si>
  <si>
    <t>"2024-12-15T09:02:08.000Z"</t>
  </si>
  <si>
    <t>["https://pbs.twimg.com/media/Ge1AETPaEAAMA6L.jpg"]</t>
  </si>
  <si>
    <t>https://x.com/BBL/status/1868219982003507658</t>
  </si>
  <si>
    <t>Sup███ugb███</t>
  </si>
  <si>
    <t>Sup███Rug███Pac██████</t>
  </si>
  <si>
    <t>.@MoanaPasifika_  has entered the chat 🫡
Who will be #MoanaPasifika most impactful signing in 2025?
#SuperRugbyPacific</t>
  </si>
  <si>
    <t>["https://pbs.twimg.com/media/Gekz4x2aEAELcxR.jpg"]</t>
  </si>
  <si>
    <t>https://x.com/SuperRugby/status/1868400643158798786</t>
  </si>
  <si>
    <t>[{"biography":null,"followers":null,"following":null,"is_verified":null,"profile_id":"1448120319512776705","profile_name":"Moana Pasifika Rugby","url":"https://x.com/MoanaPasifika_"}]</t>
  </si>
  <si>
    <t>["MoanaPasifika","SuperRugbyPacific"]</t>
  </si>
  <si>
    <t>we love rugby</t>
  </si>
  <si>
    <t>https://pbs.twimg.com/profile_images/1806481029508784128/CPi7a54Z_normal.png</t>
  </si>
  <si>
    <t>¡𝐒𝐨𝐩𝐥𝐚 𝐞𝐥 𝐂𝐢𝐜𝐥𝐨́𝐧 𝐪𝐮𝐞 𝐨𝐟𝐢𝐜𝐢𝐚𝐥𝐦𝐞𝐧𝐭𝐞 𝐞𝐬𝐭𝐚́ 𝐞𝐧 𝐥𝐚 𝐀! 🙌
¡𝐅𝐞𝐥𝐢𝐜𝐢𝐭𝐚𝐜𝐢𝐨𝐧𝐞𝐬 @UnionMagdalena, adicionalmente, por su 𝐀𝐒𝐂𝐄𝐍𝐒𝐎 a primera división! 😮‍💨
Objetivo cumplido ✅ bienvenidos a la #LigaBetPlayDIMAYOR I-2025
#LaPasiónDeMillones</t>
  </si>
  <si>
    <t>"2024-12-15T02:50:43.000Z"</t>
  </si>
  <si>
    <t>["https://pbs.twimg.com/media/GezrKHyWIAAbdBe.jpg"]</t>
  </si>
  <si>
    <t>https://x.com/Dimayor/status/1868126511196233753</t>
  </si>
  <si>
    <t>["LigaBetPlayDIMAYOR"]</t>
  </si>
  <si>
    <t>Total_Engagements</t>
  </si>
  <si>
    <t>Engagement_Rate</t>
  </si>
  <si>
    <t>Twitter Content Performance Analysis</t>
  </si>
  <si>
    <t>Metric</t>
  </si>
  <si>
    <t>Value</t>
  </si>
  <si>
    <t>Total Posts</t>
  </si>
  <si>
    <t>Total Views</t>
  </si>
  <si>
    <t>Total Likes</t>
  </si>
  <si>
    <t>Total Engagements</t>
  </si>
  <si>
    <t>Average Engagement Rate</t>
  </si>
  <si>
    <t>Overall Engagement Rate</t>
  </si>
  <si>
    <t>Median Engagement Rate</t>
  </si>
  <si>
    <t>Maximum Engagement Rate</t>
  </si>
  <si>
    <t>Post_Date</t>
  </si>
  <si>
    <t>Post_Time</t>
  </si>
  <si>
    <t>Day_of_Week</t>
  </si>
  <si>
    <t>Post_Hour</t>
  </si>
  <si>
    <t>Posts</t>
  </si>
  <si>
    <t>Avg Engagement_Rate</t>
  </si>
  <si>
    <t>Sunday</t>
  </si>
  <si>
    <t>Monday</t>
  </si>
  <si>
    <t>Tuesday</t>
  </si>
  <si>
    <t>Wednesday</t>
  </si>
  <si>
    <t>Thursday</t>
  </si>
  <si>
    <t>Friday</t>
  </si>
  <si>
    <t>Saturday</t>
  </si>
  <si>
    <t>Grand Total</t>
  </si>
  <si>
    <t>Days</t>
  </si>
  <si>
    <t>Has_Video</t>
  </si>
  <si>
    <t>Has_Photo</t>
  </si>
  <si>
    <t>Has_Hashtag</t>
  </si>
  <si>
    <t>Has_External_Link</t>
  </si>
  <si>
    <t>No</t>
  </si>
  <si>
    <t>Yes</t>
  </si>
  <si>
    <t>Avg views</t>
  </si>
  <si>
    <t>Avg Engagements</t>
  </si>
  <si>
    <t>Post_Length</t>
  </si>
  <si>
    <t>Follower_Bucket</t>
  </si>
  <si>
    <t>Avg Engagement Rate</t>
  </si>
  <si>
    <t>&lt;100K</t>
  </si>
  <si>
    <t>100K-1M</t>
  </si>
  <si>
    <t>10M+</t>
  </si>
  <si>
    <t>1M-10M</t>
  </si>
  <si>
    <t>Follower Bucket</t>
  </si>
  <si>
    <t>Top 10 Posts by Engagement Rate</t>
  </si>
  <si>
    <t>SOCIAL MEDIA CONTENT PERFORMANCE DASHBOARD</t>
  </si>
  <si>
    <t>Twitter/X Content Analysis | 1000 Posts</t>
  </si>
  <si>
    <t>TOTAL POSTS</t>
  </si>
  <si>
    <t xml:space="preserve">TOTAL VIEWS </t>
  </si>
  <si>
    <t>TOTAL ENGAGEMENTS</t>
  </si>
  <si>
    <t>OVERALL ENGAGEMENT RATE</t>
  </si>
  <si>
    <t>Video</t>
  </si>
  <si>
    <t>Photo</t>
  </si>
  <si>
    <t>Hashtag</t>
  </si>
  <si>
    <t>For Dashboard(Helper tables):</t>
  </si>
  <si>
    <t>Marketing Analysis — Key Findings</t>
  </si>
  <si>
    <t>Finding 1 — Content format</t>
  </si>
  <si>
    <t>Photo-containing posts showed a considerably higher average engagement rate (~1.95%) than posts without photos (~1.25%).</t>
  </si>
  <si>
    <t>Finding 2 — Hashtags</t>
  </si>
  <si>
    <t>Posts containing hashtags showed substantially higher average engagement (~1.96%) than posts without hashtags (~1.06%).</t>
  </si>
  <si>
    <t>Finding 3 — Video</t>
  </si>
  <si>
    <t>Video posts generated somewhat higher average views and engagements, but average engagement rates were nearly identical (~1.58% vs ~1.57%). Therefore we don't have evidence here that video itself improves engagement efficiency.</t>
  </si>
  <si>
    <t>Finding 4 — Audience size</t>
  </si>
  <si>
    <t>Engagement rate did not increase consistently with follower count. Smaller accounts in this sample sometimes achieved stronger engagement rates than some larger-account groups.</t>
  </si>
  <si>
    <t>Finding 5 — Day analysis</t>
  </si>
  <si>
    <r>
      <t xml:space="preserve">Friday generated unusually high views despite having only 19 posts, but one post accounted for approximately </t>
    </r>
    <r>
      <rPr>
        <b/>
        <sz val="11"/>
        <color theme="1"/>
        <rFont val="Aptos Narrow"/>
        <family val="2"/>
        <scheme val="minor"/>
      </rPr>
      <t>68.11% of all Friday views</t>
    </r>
    <r>
      <rPr>
        <sz val="11"/>
        <color theme="1"/>
        <rFont val="Aptos Narrow"/>
        <family val="2"/>
        <scheme val="minor"/>
      </rPr>
      <t>.</t>
    </r>
  </si>
  <si>
    <t>Finding 6 — Data limitation</t>
  </si>
  <si>
    <r>
      <t xml:space="preserve">Sunday represents </t>
    </r>
    <r>
      <rPr>
        <b/>
        <sz val="11"/>
        <color theme="1"/>
        <rFont val="Aptos Narrow"/>
        <family val="2"/>
        <scheme val="minor"/>
      </rPr>
      <t>856 of 1,000 posts (85.6%)</t>
    </r>
    <r>
      <rPr>
        <sz val="11"/>
        <color theme="1"/>
        <rFont val="Aptos Narrow"/>
        <family val="2"/>
        <scheme val="minor"/>
      </rPr>
      <t>, meaning the dataset is heavily imbalanced by posting day. Therefore day-of-week comparisons should be interpreted cautiously.</t>
    </r>
  </si>
  <si>
    <t>Marketing Recommendations</t>
  </si>
  <si>
    <t>Based on this dataset, reasonable recommendations are:</t>
  </si>
  <si>
    <r>
      <t xml:space="preserve">Test greater use of </t>
    </r>
    <r>
      <rPr>
        <b/>
        <sz val="11"/>
        <color theme="1"/>
        <rFont val="Aptos Narrow"/>
        <family val="2"/>
        <scheme val="minor"/>
      </rPr>
      <t>photos and hashtags</t>
    </r>
    <r>
      <rPr>
        <sz val="11"/>
        <color theme="1"/>
        <rFont val="Aptos Narrow"/>
        <family val="2"/>
        <scheme val="minor"/>
      </rPr>
      <t>, because both are associated with higher engagement rates in this sample.</t>
    </r>
  </si>
  <si>
    <t>Don't assume video automatically increases engagement efficiency; test video against other formats while considering reach and objectives.</t>
  </si>
  <si>
    <r>
      <t xml:space="preserve">Evaluate content using </t>
    </r>
    <r>
      <rPr>
        <b/>
        <sz val="11"/>
        <color theme="1"/>
        <rFont val="Aptos Narrow"/>
        <family val="2"/>
        <scheme val="minor"/>
      </rPr>
      <t>rates as well as raw engagement totals</t>
    </r>
    <r>
      <rPr>
        <sz val="11"/>
        <color theme="1"/>
        <rFont val="Aptos Narrow"/>
        <family val="2"/>
        <scheme val="minor"/>
      </rPr>
      <t>, since viral/high-reach posts can distort total metrics.</t>
    </r>
  </si>
  <si>
    <t>Segment performance by account size rather than assuming larger follower counts automatically produce stronger engagement.</t>
  </si>
  <si>
    <t>Collect a more balanced sample across posting days before making scheduling decisions.</t>
  </si>
  <si>
    <t>DATA LIMITATIONS</t>
  </si>
  <si>
    <t>856 of the 1,000 posts were published on Sunday (85.6%), so this sample is heavily imbalanced by posting day. Day-of-week results should therefore not be generalized without additional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</si>
</sst>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color theme="1"/>
      <name val="Arial Unicode MS"/>
    </font>
    <font>
      <b/>
      <sz val="11"/>
      <color theme="1"/>
      <name val="Aptos Narrow"/>
      <family val="2"/>
      <scheme val="minor"/>
    </font>
    <font>
      <b/>
      <sz val="24"/>
      <color theme="1"/>
      <name val="Aptos Narrow"/>
      <family val="2"/>
      <scheme val="minor"/>
    </font>
    <font>
      <sz val="14"/>
      <color theme="1"/>
      <name val="Aptos Narrow"/>
      <family val="2"/>
      <scheme val="minor"/>
    </font>
    <font>
      <sz val="11"/>
      <color theme="1"/>
      <name val="Cambria"/>
      <family val="1"/>
    </font>
    <font>
      <b/>
      <sz val="12"/>
      <color theme="1"/>
      <name val="Cambria"/>
      <family val="1"/>
    </font>
    <font>
      <b/>
      <sz val="12"/>
      <color theme="1"/>
      <name val="Britannic Bold"/>
      <family val="2"/>
    </font>
    <font>
      <b/>
      <sz val="14"/>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1">
    <xf numFmtId="0" fontId="0" fillId="0" borderId="0" xfId="0"/>
    <xf numFmtId="10" fontId="0" fillId="0" borderId="0" xfId="0" applyNumberFormat="1"/>
    <xf numFmtId="0" fontId="1" fillId="0" borderId="0" xfId="0" applyFont="1"/>
    <xf numFmtId="14" fontId="0" fillId="0" borderId="0" xfId="0" applyNumberFormat="1"/>
    <xf numFmtId="0" fontId="0" fillId="0" borderId="0" xfId="0" pivotButton="1"/>
    <xf numFmtId="0" fontId="2" fillId="2" borderId="1" xfId="0" applyFont="1" applyFill="1" applyBorder="1"/>
    <xf numFmtId="0" fontId="0" fillId="0" borderId="0" xfId="0" applyAlignment="1">
      <alignment horizontal="left"/>
    </xf>
    <xf numFmtId="0" fontId="2" fillId="3" borderId="0" xfId="0" applyFont="1" applyFill="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center"/>
    </xf>
    <xf numFmtId="0" fontId="6" fillId="0" borderId="0" xfId="0" applyFont="1"/>
    <xf numFmtId="10" fontId="6" fillId="0" borderId="0" xfId="0" applyNumberFormat="1" applyFont="1" applyAlignment="1">
      <alignment horizontal="center"/>
    </xf>
    <xf numFmtId="0" fontId="5" fillId="0" borderId="0" xfId="0" applyFont="1" applyAlignment="1">
      <alignment horizontal="center"/>
    </xf>
    <xf numFmtId="0" fontId="7" fillId="0" borderId="0" xfId="0" applyFont="1" applyAlignment="1">
      <alignment horizontal="center"/>
    </xf>
    <xf numFmtId="0" fontId="0" fillId="0" borderId="0" xfId="0" applyNumberFormat="1"/>
    <xf numFmtId="0" fontId="8" fillId="0" borderId="0" xfId="0" applyFont="1"/>
    <xf numFmtId="0" fontId="0" fillId="0" borderId="0" xfId="0" applyAlignment="1">
      <alignment horizontal="left" vertical="center" indent="1"/>
    </xf>
    <xf numFmtId="3" fontId="6" fillId="0" borderId="0" xfId="0" applyNumberFormat="1" applyFont="1" applyAlignment="1">
      <alignment horizontal="center"/>
    </xf>
  </cellXfs>
  <cellStyles count="1">
    <cellStyle name="Normal" xfId="0" builtinId="0"/>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m/dd/yyyy"/>
    </dxf>
    <dxf>
      <numFmt numFmtId="0" formatCode="General"/>
    </dxf>
    <dxf>
      <numFmt numFmtId="19" formatCode="mm/dd/yyyy"/>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Engagement Rate by Content Feature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'04_Pivots'!$Q$4</c:f>
              <c:strCache>
                <c:ptCount val="1"/>
                <c:pt idx="0">
                  <c:v>No</c:v>
                </c:pt>
              </c:strCache>
            </c:strRef>
          </c:tx>
          <c:spPr>
            <a:solidFill>
              <a:schemeClr val="accent1"/>
            </a:solidFill>
            <a:ln>
              <a:noFill/>
            </a:ln>
            <a:effectLst/>
          </c:spPr>
          <c:invertIfNegative val="0"/>
          <c:cat>
            <c:strRef>
              <c:f>'04_Pivots'!$P$5:$P$7</c:f>
              <c:strCache>
                <c:ptCount val="3"/>
                <c:pt idx="0">
                  <c:v>Video</c:v>
                </c:pt>
                <c:pt idx="1">
                  <c:v>Photo</c:v>
                </c:pt>
                <c:pt idx="2">
                  <c:v>Hashtag</c:v>
                </c:pt>
              </c:strCache>
            </c:strRef>
          </c:cat>
          <c:val>
            <c:numRef>
              <c:f>'04_Pivots'!$Q$5:$Q$7</c:f>
              <c:numCache>
                <c:formatCode>0.00%</c:formatCode>
                <c:ptCount val="3"/>
                <c:pt idx="0">
                  <c:v>1.5678636772775537E-2</c:v>
                </c:pt>
                <c:pt idx="1">
                  <c:v>1.2549562107398595E-2</c:v>
                </c:pt>
                <c:pt idx="2">
                  <c:v>1.060315782200087E-2</c:v>
                </c:pt>
              </c:numCache>
            </c:numRef>
          </c:val>
          <c:extLst>
            <c:ext xmlns:c16="http://schemas.microsoft.com/office/drawing/2014/chart" uri="{C3380CC4-5D6E-409C-BE32-E72D297353CC}">
              <c16:uniqueId val="{00000000-37AB-4530-A2D5-58699FB5664E}"/>
            </c:ext>
          </c:extLst>
        </c:ser>
        <c:ser>
          <c:idx val="1"/>
          <c:order val="1"/>
          <c:tx>
            <c:strRef>
              <c:f>'04_Pivots'!$R$4</c:f>
              <c:strCache>
                <c:ptCount val="1"/>
                <c:pt idx="0">
                  <c:v>Yes</c:v>
                </c:pt>
              </c:strCache>
            </c:strRef>
          </c:tx>
          <c:spPr>
            <a:solidFill>
              <a:schemeClr val="accent2"/>
            </a:solidFill>
            <a:ln>
              <a:noFill/>
            </a:ln>
            <a:effectLst/>
          </c:spPr>
          <c:invertIfNegative val="0"/>
          <c:cat>
            <c:strRef>
              <c:f>'04_Pivots'!$P$5:$P$7</c:f>
              <c:strCache>
                <c:ptCount val="3"/>
                <c:pt idx="0">
                  <c:v>Video</c:v>
                </c:pt>
                <c:pt idx="1">
                  <c:v>Photo</c:v>
                </c:pt>
                <c:pt idx="2">
                  <c:v>Hashtag</c:v>
                </c:pt>
              </c:strCache>
            </c:strRef>
          </c:cat>
          <c:val>
            <c:numRef>
              <c:f>'04_Pivots'!$R$5:$R$7</c:f>
              <c:numCache>
                <c:formatCode>0.00%</c:formatCode>
                <c:ptCount val="3"/>
                <c:pt idx="0">
                  <c:v>1.5824293066720254E-2</c:v>
                </c:pt>
                <c:pt idx="1">
                  <c:v>1.9509310991881114E-2</c:v>
                </c:pt>
                <c:pt idx="2">
                  <c:v>1.9554293795290584E-2</c:v>
                </c:pt>
              </c:numCache>
            </c:numRef>
          </c:val>
          <c:extLst>
            <c:ext xmlns:c16="http://schemas.microsoft.com/office/drawing/2014/chart" uri="{C3380CC4-5D6E-409C-BE32-E72D297353CC}">
              <c16:uniqueId val="{00000001-37AB-4530-A2D5-58699FB5664E}"/>
            </c:ext>
          </c:extLst>
        </c:ser>
        <c:dLbls>
          <c:showLegendKey val="0"/>
          <c:showVal val="0"/>
          <c:showCatName val="0"/>
          <c:showSerName val="0"/>
          <c:showPercent val="0"/>
          <c:showBubbleSize val="0"/>
        </c:dLbls>
        <c:gapWidth val="219"/>
        <c:overlap val="-27"/>
        <c:axId val="2060053760"/>
        <c:axId val="482156304"/>
      </c:barChart>
      <c:catAx>
        <c:axId val="206005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156304"/>
        <c:crosses val="autoZero"/>
        <c:auto val="1"/>
        <c:lblAlgn val="ctr"/>
        <c:lblOffset val="100"/>
        <c:noMultiLvlLbl val="0"/>
      </c:catAx>
      <c:valAx>
        <c:axId val="482156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053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Engagement Rate by Posting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'04_Pivots'!$Q$10</c:f>
              <c:strCache>
                <c:ptCount val="1"/>
                <c:pt idx="0">
                  <c:v>Avg Engagement_Rate</c:v>
                </c:pt>
              </c:strCache>
            </c:strRef>
          </c:tx>
          <c:spPr>
            <a:solidFill>
              <a:schemeClr val="accent1"/>
            </a:solidFill>
            <a:ln>
              <a:noFill/>
            </a:ln>
            <a:effectLst/>
          </c:spPr>
          <c:invertIfNegative val="0"/>
          <c:cat>
            <c:strRef>
              <c:f>'04_Pivots'!$P$11:$P$17</c:f>
              <c:strCache>
                <c:ptCount val="7"/>
                <c:pt idx="0">
                  <c:v>Sunday</c:v>
                </c:pt>
                <c:pt idx="1">
                  <c:v>Monday</c:v>
                </c:pt>
                <c:pt idx="2">
                  <c:v>Tuesday</c:v>
                </c:pt>
                <c:pt idx="3">
                  <c:v>Wednesday</c:v>
                </c:pt>
                <c:pt idx="4">
                  <c:v>Thursday</c:v>
                </c:pt>
                <c:pt idx="5">
                  <c:v>Friday</c:v>
                </c:pt>
                <c:pt idx="6">
                  <c:v>Saturday</c:v>
                </c:pt>
              </c:strCache>
            </c:strRef>
          </c:cat>
          <c:val>
            <c:numRef>
              <c:f>'04_Pivots'!$Q$11:$Q$17</c:f>
              <c:numCache>
                <c:formatCode>0.00%</c:formatCode>
                <c:ptCount val="7"/>
                <c:pt idx="0">
                  <c:v>1.6756738556513041E-2</c:v>
                </c:pt>
                <c:pt idx="1">
                  <c:v>8.3420612459613134E-3</c:v>
                </c:pt>
                <c:pt idx="2">
                  <c:v>1.0189702531806634E-2</c:v>
                </c:pt>
                <c:pt idx="3">
                  <c:v>7.774195882054899E-3</c:v>
                </c:pt>
                <c:pt idx="4">
                  <c:v>8.1761148429097021E-3</c:v>
                </c:pt>
                <c:pt idx="5">
                  <c:v>1.6540397276901098E-2</c:v>
                </c:pt>
                <c:pt idx="6">
                  <c:v>9.0005546621890545E-3</c:v>
                </c:pt>
              </c:numCache>
            </c:numRef>
          </c:val>
          <c:extLst>
            <c:ext xmlns:c16="http://schemas.microsoft.com/office/drawing/2014/chart" uri="{C3380CC4-5D6E-409C-BE32-E72D297353CC}">
              <c16:uniqueId val="{00000000-9056-4011-A762-12F9756A61A6}"/>
            </c:ext>
          </c:extLst>
        </c:ser>
        <c:dLbls>
          <c:showLegendKey val="0"/>
          <c:showVal val="0"/>
          <c:showCatName val="0"/>
          <c:showSerName val="0"/>
          <c:showPercent val="0"/>
          <c:showBubbleSize val="0"/>
        </c:dLbls>
        <c:gapWidth val="219"/>
        <c:overlap val="-27"/>
        <c:axId val="675886576"/>
        <c:axId val="482118384"/>
      </c:barChart>
      <c:catAx>
        <c:axId val="67588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118384"/>
        <c:crosses val="autoZero"/>
        <c:auto val="1"/>
        <c:lblAlgn val="ctr"/>
        <c:lblOffset val="100"/>
        <c:noMultiLvlLbl val="0"/>
      </c:catAx>
      <c:valAx>
        <c:axId val="482118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88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a:t>
            </a:r>
            <a:r>
              <a:rPr lang="en-US" baseline="0"/>
              <a:t> Rate by Audience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'04_Pivots'!$Q$21</c:f>
              <c:strCache>
                <c:ptCount val="1"/>
                <c:pt idx="0">
                  <c:v>Avg Engagement Rate</c:v>
                </c:pt>
              </c:strCache>
            </c:strRef>
          </c:tx>
          <c:spPr>
            <a:solidFill>
              <a:schemeClr val="accent1"/>
            </a:solidFill>
            <a:ln>
              <a:noFill/>
            </a:ln>
            <a:effectLst/>
          </c:spPr>
          <c:invertIfNegative val="0"/>
          <c:cat>
            <c:strRef>
              <c:f>'04_Pivots'!$P$22:$P$25</c:f>
              <c:strCache>
                <c:ptCount val="4"/>
                <c:pt idx="0">
                  <c:v>&lt;100K</c:v>
                </c:pt>
                <c:pt idx="1">
                  <c:v>100K-1M</c:v>
                </c:pt>
                <c:pt idx="2">
                  <c:v>10M+</c:v>
                </c:pt>
                <c:pt idx="3">
                  <c:v>1M-10M</c:v>
                </c:pt>
              </c:strCache>
            </c:strRef>
          </c:cat>
          <c:val>
            <c:numRef>
              <c:f>'04_Pivots'!$Q$22:$Q$25</c:f>
              <c:numCache>
                <c:formatCode>0.00%</c:formatCode>
                <c:ptCount val="4"/>
                <c:pt idx="0">
                  <c:v>1.9336602837573283E-2</c:v>
                </c:pt>
                <c:pt idx="1">
                  <c:v>1.9723691303002115E-2</c:v>
                </c:pt>
                <c:pt idx="2">
                  <c:v>1.6731354694533556E-2</c:v>
                </c:pt>
                <c:pt idx="3">
                  <c:v>1.249076285214013E-2</c:v>
                </c:pt>
              </c:numCache>
            </c:numRef>
          </c:val>
          <c:extLst>
            <c:ext xmlns:c16="http://schemas.microsoft.com/office/drawing/2014/chart" uri="{C3380CC4-5D6E-409C-BE32-E72D297353CC}">
              <c16:uniqueId val="{00000000-6508-4114-B7E0-BD1F83259657}"/>
            </c:ext>
          </c:extLst>
        </c:ser>
        <c:dLbls>
          <c:showLegendKey val="0"/>
          <c:showVal val="0"/>
          <c:showCatName val="0"/>
          <c:showSerName val="0"/>
          <c:showPercent val="0"/>
          <c:showBubbleSize val="0"/>
        </c:dLbls>
        <c:gapWidth val="219"/>
        <c:overlap val="-27"/>
        <c:axId val="1370150496"/>
        <c:axId val="526724720"/>
      </c:barChart>
      <c:catAx>
        <c:axId val="137015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724720"/>
        <c:crosses val="autoZero"/>
        <c:auto val="1"/>
        <c:lblAlgn val="ctr"/>
        <c:lblOffset val="100"/>
        <c:noMultiLvlLbl val="0"/>
      </c:catAx>
      <c:valAx>
        <c:axId val="526724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15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Engagement Rate by Posting Hour (UTC)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'04_Pivots'!$U$4</c:f>
              <c:strCache>
                <c:ptCount val="1"/>
                <c:pt idx="0">
                  <c:v>Avg Engagement_Rate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'04_Pivots'!$U$5:$U$28</c:f>
              <c:numCache>
                <c:formatCode>0.00%</c:formatCode>
                <c:ptCount val="24"/>
                <c:pt idx="0">
                  <c:v>1.1467919271208164E-2</c:v>
                </c:pt>
                <c:pt idx="1">
                  <c:v>9.6780030851505629E-3</c:v>
                </c:pt>
                <c:pt idx="2">
                  <c:v>1.4230399056522213E-2</c:v>
                </c:pt>
                <c:pt idx="3">
                  <c:v>8.2153690101921945E-3</c:v>
                </c:pt>
                <c:pt idx="4">
                  <c:v>7.2681987044912804E-3</c:v>
                </c:pt>
                <c:pt idx="5">
                  <c:v>6.1344532210113592E-3</c:v>
                </c:pt>
                <c:pt idx="6">
                  <c:v>8.9872393612288794E-3</c:v>
                </c:pt>
                <c:pt idx="7">
                  <c:v>1.0853190125741879E-2</c:v>
                </c:pt>
                <c:pt idx="8">
                  <c:v>9.2502386013988986E-3</c:v>
                </c:pt>
                <c:pt idx="9">
                  <c:v>1.2360676529351277E-2</c:v>
                </c:pt>
                <c:pt idx="10">
                  <c:v>1.3657890361169026E-2</c:v>
                </c:pt>
                <c:pt idx="11">
                  <c:v>1.2483735717474092E-2</c:v>
                </c:pt>
                <c:pt idx="12">
                  <c:v>1.6191581363140264E-2</c:v>
                </c:pt>
                <c:pt idx="13">
                  <c:v>1.5036991737990642E-2</c:v>
                </c:pt>
                <c:pt idx="14">
                  <c:v>2.1293415981480841E-2</c:v>
                </c:pt>
                <c:pt idx="15">
                  <c:v>1.4904677272218335E-2</c:v>
                </c:pt>
                <c:pt idx="16">
                  <c:v>1.4545753601245114E-2</c:v>
                </c:pt>
                <c:pt idx="17">
                  <c:v>1.512071693980776E-2</c:v>
                </c:pt>
                <c:pt idx="18">
                  <c:v>2.1099762215718156E-2</c:v>
                </c:pt>
                <c:pt idx="19">
                  <c:v>2.36755612053356E-2</c:v>
                </c:pt>
                <c:pt idx="20">
                  <c:v>2.3285850666776853E-2</c:v>
                </c:pt>
                <c:pt idx="21">
                  <c:v>1.8233131606586354E-2</c:v>
                </c:pt>
                <c:pt idx="22">
                  <c:v>2.2222650361828262E-2</c:v>
                </c:pt>
                <c:pt idx="23">
                  <c:v>1.5191493070890558E-2</c:v>
                </c:pt>
              </c:numCache>
            </c:numRef>
          </c:val>
          <c:smooth val="0"/>
          <c:extLst>
            <c:ext xmlns:c16="http://schemas.microsoft.com/office/drawing/2014/chart" uri="{C3380CC4-5D6E-409C-BE32-E72D297353CC}">
              <c16:uniqueId val="{00000000-F1D7-4C73-8260-FA1C943BB37F}"/>
            </c:ext>
          </c:extLst>
        </c:ser>
        <c:dLbls>
          <c:showLegendKey val="0"/>
          <c:showVal val="0"/>
          <c:showCatName val="0"/>
          <c:showSerName val="0"/>
          <c:showPercent val="0"/>
          <c:showBubbleSize val="0"/>
        </c:dLbls>
        <c:marker val="1"/>
        <c:smooth val="0"/>
        <c:axId val="1196389856"/>
        <c:axId val="932364368"/>
      </c:lineChart>
      <c:catAx>
        <c:axId val="11963898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364368"/>
        <c:crosses val="autoZero"/>
        <c:auto val="1"/>
        <c:lblAlgn val="ctr"/>
        <c:lblOffset val="100"/>
        <c:noMultiLvlLbl val="0"/>
      </c:catAx>
      <c:valAx>
        <c:axId val="932364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389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xdr:colOff>
      <xdr:row>11</xdr:row>
      <xdr:rowOff>0</xdr:rowOff>
    </xdr:from>
    <xdr:to>
      <xdr:col>10</xdr:col>
      <xdr:colOff>421177</xdr:colOff>
      <xdr:row>28</xdr:row>
      <xdr:rowOff>138546</xdr:rowOff>
    </xdr:to>
    <xdr:graphicFrame macro="">
      <xdr:nvGraphicFramePr>
        <xdr:cNvPr id="9" name="Chart 8">
          <a:extLst>
            <a:ext uri="{FF2B5EF4-FFF2-40B4-BE49-F238E27FC236}">
              <a16:creationId xmlns:a16="http://schemas.microsoft.com/office/drawing/2014/main" id="{38E59D93-EE1A-45BC-95FF-B37AC1EC0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803563</xdr:colOff>
      <xdr:row>11</xdr:row>
      <xdr:rowOff>0</xdr:rowOff>
    </xdr:from>
    <xdr:to>
      <xdr:col>21</xdr:col>
      <xdr:colOff>227214</xdr:colOff>
      <xdr:row>28</xdr:row>
      <xdr:rowOff>138546</xdr:rowOff>
    </xdr:to>
    <xdr:graphicFrame macro="">
      <xdr:nvGraphicFramePr>
        <xdr:cNvPr id="10" name="Chart 9">
          <a:extLst>
            <a:ext uri="{FF2B5EF4-FFF2-40B4-BE49-F238E27FC236}">
              <a16:creationId xmlns:a16="http://schemas.microsoft.com/office/drawing/2014/main" id="{28BBECED-E7F3-40DB-9367-43508A4EB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803563</xdr:colOff>
      <xdr:row>30</xdr:row>
      <xdr:rowOff>0</xdr:rowOff>
    </xdr:from>
    <xdr:to>
      <xdr:col>21</xdr:col>
      <xdr:colOff>227214</xdr:colOff>
      <xdr:row>47</xdr:row>
      <xdr:rowOff>138545</xdr:rowOff>
    </xdr:to>
    <xdr:graphicFrame macro="">
      <xdr:nvGraphicFramePr>
        <xdr:cNvPr id="11" name="Chart 10">
          <a:extLst>
            <a:ext uri="{FF2B5EF4-FFF2-40B4-BE49-F238E27FC236}">
              <a16:creationId xmlns:a16="http://schemas.microsoft.com/office/drawing/2014/main" id="{7E45342C-0CFF-41D8-ACC4-CCD59D2D1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69272</xdr:colOff>
      <xdr:row>11</xdr:row>
      <xdr:rowOff>18802</xdr:rowOff>
    </xdr:from>
    <xdr:to>
      <xdr:col>26</xdr:col>
      <xdr:colOff>55417</xdr:colOff>
      <xdr:row>16</xdr:row>
      <xdr:rowOff>110837</xdr:rowOff>
    </xdr:to>
    <mc:AlternateContent xmlns:mc="http://schemas.openxmlformats.org/markup-compatibility/2006">
      <mc:Choice xmlns:a14="http://schemas.microsoft.com/office/drawing/2010/main" Requires="a14">
        <xdr:graphicFrame macro="">
          <xdr:nvGraphicFramePr>
            <xdr:cNvPr id="18" name="Has_Video">
              <a:extLst>
                <a:ext uri="{FF2B5EF4-FFF2-40B4-BE49-F238E27FC236}">
                  <a16:creationId xmlns:a16="http://schemas.microsoft.com/office/drawing/2014/main" id="{1B1E6C80-808F-4EC3-810F-A13FD8968542}"/>
                </a:ext>
              </a:extLst>
            </xdr:cNvPr>
            <xdr:cNvGraphicFramePr/>
          </xdr:nvGraphicFramePr>
          <xdr:xfrm>
            <a:off x="0" y="0"/>
            <a:ext cx="0" cy="0"/>
          </xdr:xfrm>
          <a:graphic>
            <a:graphicData uri="http://schemas.microsoft.com/office/drawing/2010/slicer">
              <sle:slicer xmlns:sle="http://schemas.microsoft.com/office/drawing/2010/slicer" name="Has_Video"/>
            </a:graphicData>
          </a:graphic>
        </xdr:graphicFrame>
      </mc:Choice>
      <mc:Fallback>
        <xdr:sp macro="" textlink="">
          <xdr:nvSpPr>
            <xdr:cNvPr id="0" name=""/>
            <xdr:cNvSpPr>
              <a:spLocks noTextEdit="1"/>
            </xdr:cNvSpPr>
          </xdr:nvSpPr>
          <xdr:spPr>
            <a:xfrm>
              <a:off x="15143017" y="2318657"/>
              <a:ext cx="2424545" cy="992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xdr:colOff>
      <xdr:row>30</xdr:row>
      <xdr:rowOff>0</xdr:rowOff>
    </xdr:from>
    <xdr:to>
      <xdr:col>10</xdr:col>
      <xdr:colOff>421177</xdr:colOff>
      <xdr:row>47</xdr:row>
      <xdr:rowOff>138545</xdr:rowOff>
    </xdr:to>
    <xdr:graphicFrame macro="">
      <xdr:nvGraphicFramePr>
        <xdr:cNvPr id="2" name="Chart 1">
          <a:extLst>
            <a:ext uri="{FF2B5EF4-FFF2-40B4-BE49-F238E27FC236}">
              <a16:creationId xmlns:a16="http://schemas.microsoft.com/office/drawing/2014/main" id="{9749B8E0-F8A8-43CE-BEA3-DD3C10F76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jal Nimkar" refreshedDate="46303.964526736112" createdVersion="8" refreshedVersion="8" minRefreshableVersion="3" recordCount="1000" xr:uid="{B3692DD9-F103-4EE6-B592-B3228B167450}">
  <cacheSource type="worksheet">
    <worksheetSource name="TwitterClean"/>
  </cacheSource>
  <cacheFields count="38">
    <cacheField name="id" numFmtId="0">
      <sharedItems containsSemiMixedTypes="0" containsString="0" containsNumber="1" containsInteger="1" minValue="1.6188377652690985E+18" maxValue="1.8685237389640379E+18"/>
    </cacheField>
    <cacheField name="user_posted" numFmtId="0">
      <sharedItems/>
    </cacheField>
    <cacheField name="name" numFmtId="0">
      <sharedItems/>
    </cacheField>
    <cacheField name="description" numFmtId="0">
      <sharedItems longText="1"/>
    </cacheField>
    <cacheField name="date_posted" numFmtId="0">
      <sharedItems/>
    </cacheField>
    <cacheField name="photos" numFmtId="0">
      <sharedItems/>
    </cacheField>
    <cacheField name="url" numFmtId="0">
      <sharedItems/>
    </cacheField>
    <cacheField name="tagged_users" numFmtId="0">
      <sharedItems longText="1"/>
    </cacheField>
    <cacheField name="replies" numFmtId="0">
      <sharedItems containsSemiMixedTypes="0" containsString="0" containsNumber="1" containsInteger="1" minValue="0" maxValue="28180"/>
    </cacheField>
    <cacheField name="reposts" numFmtId="0">
      <sharedItems containsSemiMixedTypes="0" containsString="0" containsNumber="1" containsInteger="1" minValue="0" maxValue="109327"/>
    </cacheField>
    <cacheField name="likes" numFmtId="0">
      <sharedItems containsSemiMixedTypes="0" containsString="0" containsNumber="1" containsInteger="1" minValue="2" maxValue="592538"/>
    </cacheField>
    <cacheField name="views" numFmtId="0">
      <sharedItems containsSemiMixedTypes="0" containsString="0" containsNumber="1" containsInteger="1" minValue="287" maxValue="95074893"/>
    </cacheField>
    <cacheField name="external_url" numFmtId="0">
      <sharedItems/>
    </cacheField>
    <cacheField name="hashtags" numFmtId="0">
      <sharedItems/>
    </cacheField>
    <cacheField name="followers" numFmtId="0">
      <sharedItems containsSemiMixedTypes="0" containsString="0" containsNumber="1" containsInteger="1" minValue="397" maxValue="94676201"/>
    </cacheField>
    <cacheField name="biography" numFmtId="0">
      <sharedItems/>
    </cacheField>
    <cacheField name="posts_count" numFmtId="0">
      <sharedItems containsSemiMixedTypes="0" containsString="0" containsNumber="1" containsInteger="1" minValue="294" maxValue="1125277"/>
    </cacheField>
    <cacheField name="profile_image_link" numFmtId="0">
      <sharedItems/>
    </cacheField>
    <cacheField name="following" numFmtId="0">
      <sharedItems containsSemiMixedTypes="0" containsString="0" containsNumber="1" containsInteger="1" minValue="0" maxValue="339854"/>
    </cacheField>
    <cacheField name="is_verified" numFmtId="0">
      <sharedItems/>
    </cacheField>
    <cacheField name="quotes" numFmtId="0">
      <sharedItems containsSemiMixedTypes="0" containsString="0" containsNumber="1" containsInteger="1" minValue="0" maxValue="120743"/>
    </cacheField>
    <cacheField name="bookmarks" numFmtId="0">
      <sharedItems containsSemiMixedTypes="0" containsString="0" containsNumber="1" containsInteger="1" minValue="0" maxValue="6748"/>
    </cacheField>
    <cacheField name="parent_post_details" numFmtId="0">
      <sharedItems/>
    </cacheField>
    <cacheField name="external_image_urls" numFmtId="0">
      <sharedItems/>
    </cacheField>
    <cacheField name="videos" numFmtId="0">
      <sharedItems longText="1"/>
    </cacheField>
    <cacheField name="quoted_post" numFmtId="0">
      <sharedItems longText="1"/>
    </cacheField>
    <cacheField name="Total_Engagements" numFmtId="0">
      <sharedItems containsSemiMixedTypes="0" containsString="0" containsNumber="1" containsInteger="1" minValue="7" maxValue="857536"/>
    </cacheField>
    <cacheField name="Engagement_Rate" numFmtId="10">
      <sharedItems containsSemiMixedTypes="0" containsString="0" containsNumber="1" minValue="3.88932103567063E-4" maxValue="0.12511128697200513"/>
    </cacheField>
    <cacheField name="Post_Date" numFmtId="14">
      <sharedItems containsSemiMixedTypes="0" containsNonDate="0" containsDate="1" containsString="0" minDate="2023-01-27T00:00:00" maxDate="2024-12-17T00:00:00"/>
    </cacheField>
    <cacheField name="Post_Time" numFmtId="0">
      <sharedItems containsSemiMixedTypes="0" containsString="0" containsNumber="1" minValue="0" maxValue="0.99936342592592597"/>
    </cacheField>
    <cacheField name="Day_of_Week" numFmtId="14">
      <sharedItems count="7">
        <s v="Sunday"/>
        <s v="Friday"/>
        <s v="Monday"/>
        <s v="Tuesday"/>
        <s v="Wednesday"/>
        <s v="Saturday"/>
        <s v="Thursday"/>
      </sharedItems>
    </cacheField>
    <cacheField name="Post_Hour" numFmtId="0">
      <sharedItems containsSemiMixedTypes="0" containsString="0" containsNumber="1" containsInteger="1" minValue="0" maxValue="23" count="24">
        <n v="12"/>
        <n v="14"/>
        <n v="2"/>
        <n v="20"/>
        <n v="19"/>
        <n v="0"/>
        <n v="8"/>
        <n v="23"/>
        <n v="18"/>
        <n v="4"/>
        <n v="21"/>
        <n v="22"/>
        <n v="17"/>
        <n v="15"/>
        <n v="13"/>
        <n v="16"/>
        <n v="11"/>
        <n v="10"/>
        <n v="9"/>
        <n v="1"/>
        <n v="7"/>
        <n v="3"/>
        <n v="5"/>
        <n v="6"/>
      </sharedItems>
    </cacheField>
    <cacheField name="Has_Video" numFmtId="0">
      <sharedItems count="2">
        <s v="No"/>
        <s v="Yes"/>
      </sharedItems>
    </cacheField>
    <cacheField name="Has_Photo" numFmtId="0">
      <sharedItems count="2">
        <s v="Yes"/>
        <s v="No"/>
      </sharedItems>
    </cacheField>
    <cacheField name="Has_Hashtag" numFmtId="0">
      <sharedItems count="2">
        <s v="No"/>
        <s v="Yes"/>
      </sharedItems>
    </cacheField>
    <cacheField name="Has_External_Link" numFmtId="0">
      <sharedItems count="1">
        <s v="No"/>
      </sharedItems>
    </cacheField>
    <cacheField name="Post_Length" numFmtId="0">
      <sharedItems containsSemiMixedTypes="0" containsString="0" containsNumber="1" containsInteger="1" minValue="7" maxValue="722"/>
    </cacheField>
    <cacheField name="Follower_Bucket" numFmtId="0">
      <sharedItems count="4">
        <s v="1M-10M"/>
        <s v="10M+"/>
        <s v="100K-1M"/>
        <s v="&lt;100K"/>
      </sharedItems>
    </cacheField>
  </cacheFields>
  <extLst>
    <ext xmlns:x14="http://schemas.microsoft.com/office/spreadsheetml/2009/9/main" uri="{725AE2AE-9491-48be-B2B4-4EB974FC3084}">
      <x14:pivotCacheDefinition pivotCacheId="18308578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8682740692058156E+18"/>
    <s v="Che███aFC███"/>
    <s v="Che███a F███ome███"/>
    <s v="Congratulations on your Chelsea debut, @AlejandraBern00! 🤩"/>
    <s v="&quot;2024-12-15T12:37:03.000Z&quot;"/>
    <s v="[&quot;https://pbs.twimg.com/media/Ge1xXN7XEAA_Xl2.jpg&quot;]"/>
    <s v="https://x.com/ChelseaFCW/status/1868274069205815481"/>
    <s v="[{&quot;biography&quot;:null,&quot;followers&quot;:null,&quot;following&quot;:null,&quot;is_verified&quot;:null,&quot;profile_id&quot;:&quot;1154697810954149893&quot;,&quot;profile_name&quot;:&quot;alejandraabernabe&quot;,&quot;url&quot;:&quot;https://x.com/alejandrabern00&quot;}]"/>
    <n v="40"/>
    <n v="257"/>
    <n v="4743"/>
    <n v="40436"/>
    <s v=""/>
    <s v="null"/>
    <n v="1033714"/>
    <s v="Come and watch the Chels. 🎟️👇"/>
    <n v="37993"/>
    <s v="https://pbs.twimg.com/profile_images/1856392259823951873/QNvWT4m2_normal.jpg"/>
    <n v="127"/>
    <b v="0"/>
    <n v="10"/>
    <n v="9"/>
    <s v="{&quot;post_id&quot;:null,&quot;profile_id&quot;:null,&quot;profile_name&quot;:null}"/>
    <s v="null"/>
    <s v="null"/>
    <s v="{&quot;data_posted&quot;:null,&quot;description&quot;:null,&quot;photos&quot;:null,&quot;post_id&quot;:null,&quot;profile_id&quot;:null,&quot;profile_name&quot;:null,&quot;url&quot;:null,&quot;videos&quot;:null}"/>
    <n v="5059"/>
    <n v="0.12511128697200513"/>
    <d v="2024-12-15T00:00:00"/>
    <n v="0.52572916666666669"/>
    <x v="0"/>
    <x v="0"/>
    <x v="0"/>
    <x v="0"/>
    <x v="0"/>
    <x v="0"/>
    <n v="58"/>
    <x v="0"/>
  </r>
  <r>
    <n v="1.8683046570908306E+18"/>
    <s v="Che███aFC███"/>
    <s v="Che███a F███ome███"/>
    <s v="Looking ahead to our last game of 2024. 🔜✨_x000a__x000a_#UWCL"/>
    <s v="&quot;2024-12-15T14:38:36.000Z&quot;"/>
    <s v="[&quot;https://pbs.twimg.com/media/Ge2NLluWQAEH9L5.jpg&quot;]"/>
    <s v="https://x.com/ChelseaFCW/status/1868304657090830718"/>
    <s v="null"/>
    <n v="43"/>
    <n v="326"/>
    <n v="5101"/>
    <n v="44602"/>
    <s v=""/>
    <s v="[&quot;UWCL&quot;]"/>
    <n v="1033751"/>
    <s v="Come and watch the Chels. 🎟️👇"/>
    <n v="37993"/>
    <s v="https://pbs.twimg.com/profile_images/1856392259823951873/QNvWT4m2_normal.jpg"/>
    <n v="127"/>
    <b v="0"/>
    <n v="16"/>
    <n v="7"/>
    <s v="{&quot;post_id&quot;:null,&quot;profile_id&quot;:null,&quot;profile_name&quot;:null}"/>
    <s v="null"/>
    <s v="null"/>
    <s v="{&quot;data_posted&quot;:null,&quot;description&quot;:null,&quot;photos&quot;:null,&quot;post_id&quot;:null,&quot;profile_id&quot;:null,&quot;profile_name&quot;:null,&quot;url&quot;:null,&quot;videos&quot;:null}"/>
    <n v="5493"/>
    <n v="0.12315591229092866"/>
    <d v="2024-12-15T00:00:00"/>
    <n v="0.6101388888888889"/>
    <x v="0"/>
    <x v="1"/>
    <x v="0"/>
    <x v="0"/>
    <x v="1"/>
    <x v="0"/>
    <n v="49"/>
    <x v="0"/>
  </r>
  <r>
    <n v="1.868113795878462E+18"/>
    <s v="bil███ard███"/>
    <s v="bil███ard███"/>
    <s v="Stray Kids Accepts the Top Global K-Pop Artist | Billboard Music Awards 2024"/>
    <s v="&quot;2024-12-15T02:00:11.000Z&quot;"/>
    <s v="null"/>
    <s v="https://x.com/billboard/status/1868113795878461891"/>
    <s v="null"/>
    <n v="12"/>
    <n v="1219"/>
    <n v="4997"/>
    <n v="53724"/>
    <s v="https://www.billboard.com/video/stray-kids-accepts-billboard-music-awards-top-global-k-pop-artist/?utm_campaign=trueanthem&amp;utm_medium=social&amp;utm_source=twitter"/>
    <s v="null"/>
    <n v="14257910"/>
    <s v="@billboardcharts • @billboardhiphop • @billboardlatin • @billboardfamily • @billboardpro • @shopbillboard • @billboarddance • @billboardpride"/>
    <n v="357584"/>
    <s v="https://pbs.twimg.com/profile_images/1696577202496966657/FhNkxqHF_normal.jpg"/>
    <n v="3784"/>
    <b v="0"/>
    <n v="4"/>
    <n v="88"/>
    <s v="{&quot;post_id&quot;:null,&quot;profile_id&quot;:null,&quot;profile_name&quot;:null}"/>
    <s v="[&quot;https://pbs.twimg.com/card_img/1867403483823190019/FKkzMoHu?format=jpg&amp;name=orig&quot;]"/>
    <s v="null"/>
    <s v="{&quot;data_posted&quot;:null,&quot;description&quot;:null,&quot;photos&quot;:null,&quot;post_id&quot;:null,&quot;profile_id&quot;:null,&quot;profile_name&quot;:null,&quot;url&quot;:null,&quot;videos&quot;:null}"/>
    <n v="6320"/>
    <n v="0.11763829945648127"/>
    <d v="2024-12-15T00:00:00"/>
    <n v="8.3460648148148145E-2"/>
    <x v="0"/>
    <x v="2"/>
    <x v="0"/>
    <x v="1"/>
    <x v="0"/>
    <x v="0"/>
    <n v="76"/>
    <x v="1"/>
  </r>
  <r>
    <n v="1.8683927878735014E+18"/>
    <s v="LoC███oGi███ni"/>
    <s v="Gio███i L███els███"/>
    <s v="Orgulloso de mi equipo y la gente 💚 _x000a_Esto va por ustedes béticos !! _x000a_Gracias por la cálida bienvenida en un lugar que fui muy feliz 🙏🏼 @VillarrealCF"/>
    <s v="&quot;2024-12-15T20:28:48.000Z&quot;"/>
    <s v="[&quot;https://pbs.twimg.com/media/Ge3dU6mXIAAhhct.jpg&quot;,&quot;https://pbs.twimg.com/media/Ge3dU6hXkAAynMK.jpg&quot;,&quot;https://pbs.twimg.com/media/Ge3dU6lWUAAbxvr.jpg&quot;]"/>
    <s v="https://x.com/LoCelsoGiovani/status/1868392787873501543"/>
    <s v="[{&quot;biography&quot;:null,&quot;followers&quot;:null,&quot;following&quot;:null,&quot;is_verified&quot;:null,&quot;profile_id&quot;:&quot;46862437&quot;,&quot;profile_name&quot;:&quot;Villarreal CF&quot;,&quot;url&quot;:&quot;https://x.com/VillarrealCF&quot;}]"/>
    <n v="88"/>
    <n v="465"/>
    <n v="4864"/>
    <n v="53291"/>
    <s v=""/>
    <s v="null"/>
    <n v="274313"/>
    <s v="Instagram @locelsogiovani"/>
    <n v="398"/>
    <s v="https://pbs.twimg.com/profile_images/1585014778883350547/8Gb1d7zk_normal.jpg"/>
    <n v="104"/>
    <b v="0"/>
    <n v="16"/>
    <n v="11"/>
    <s v="{&quot;post_id&quot;:null,&quot;profile_id&quot;:null,&quot;profile_name&quot;:null}"/>
    <s v="null"/>
    <s v="null"/>
    <s v="{&quot;data_posted&quot;:null,&quot;description&quot;:null,&quot;photos&quot;:null,&quot;post_id&quot;:null,&quot;profile_id&quot;:null,&quot;profile_name&quot;:null,&quot;url&quot;:null,&quot;videos&quot;:null}"/>
    <n v="5444"/>
    <n v="0.1021560863935749"/>
    <d v="2024-12-15T00:00:00"/>
    <n v="0.85333333333333339"/>
    <x v="0"/>
    <x v="3"/>
    <x v="0"/>
    <x v="0"/>
    <x v="0"/>
    <x v="0"/>
    <n v="148"/>
    <x v="2"/>
  </r>
  <r>
    <n v="1.868373711880852E+18"/>
    <s v="Man███Wom███"/>
    <s v="Man███ste███nit█████████"/>
    <s v="See you in 2️⃣0️⃣2️⃣5️⃣, Reds ❤️_x000a__x000a_Today, and always, thank you for your tremendous backing 👏_x000a__x000a_#MUWomen"/>
    <s v="&quot;2024-12-15T19:13:00.000Z&quot;"/>
    <s v="[&quot;https://pbs.twimg.com/media/Ge2l-ISa4AAh4bR.jpg&quot;,&quot;https://pbs.twimg.com/media/Ge2mBs8aYAAh7xM.jpg&quot;,&quot;https://pbs.twimg.com/media/Ge2l9Ooa8AAcM-s.jpg&quot;,&quot;https://pbs.twimg.com/media/Ge2l8YWXQAA1VMX.jpg&quot;]"/>
    <s v="https://x.com/ManUtdWomen/status/1868373711880851952"/>
    <s v="null"/>
    <n v="14"/>
    <n v="166"/>
    <n v="1931"/>
    <n v="22543"/>
    <s v=""/>
    <s v="[&quot;MUWomen&quot;]"/>
    <n v="462263"/>
    <s v="Explore our Christmas deals on United Store now 🛍️⤵️"/>
    <n v="16271"/>
    <s v="https://pbs.twimg.com/profile_images/1856421977373741056/jWwLjKK5_normal.jpg"/>
    <n v="38"/>
    <b v="0"/>
    <n v="7"/>
    <n v="4"/>
    <s v="{&quot;post_id&quot;:null,&quot;profile_id&quot;:null,&quot;profile_name&quot;:null}"/>
    <s v="null"/>
    <s v="null"/>
    <s v="{&quot;data_posted&quot;:null,&quot;description&quot;:null,&quot;photos&quot;:null,&quot;post_id&quot;:null,&quot;profile_id&quot;:null,&quot;profile_name&quot;:null,&quot;url&quot;:null,&quot;videos&quot;:null}"/>
    <n v="2122"/>
    <n v="9.413121589850508E-2"/>
    <d v="2024-12-15T00:00:00"/>
    <n v="0.80069444444444449"/>
    <x v="0"/>
    <x v="4"/>
    <x v="0"/>
    <x v="0"/>
    <x v="1"/>
    <x v="0"/>
    <n v="102"/>
    <x v="2"/>
  </r>
  <r>
    <n v="1.8683856993359017E+18"/>
    <s v="Rep███cyM███"/>
    <s v="Rep███anc███ace███"/>
    <s v="Last week, we welcomed Uno—the first of nearly 4,000 beagles rescued from one of Dr. Fauci’s testing facilities. _x000a__x000a_Huge thanks to @WhiteCoatWaste for your work to end federally funded experiments on animals and help them all!"/>
    <s v="&quot;2024-12-15T20:00:38.000Z&quot;"/>
    <s v="[&quot;https://pbs.twimg.com/media/Ge3W5G4XEAAqCtQ.jpg&quot;]"/>
    <s v="https://x.com/RepNancyMace/status/1868385699335901637"/>
    <s v="[{&quot;biography&quot;:null,&quot;followers&quot;:null,&quot;following&quot;:null,&quot;is_verified&quot;:null,&quot;profile_id&quot;:&quot;248859211&quot;,&quot;profile_name&quot;:&quot;White Coat Waste Project 🥼🗑️&quot;,&quot;url&quot;:&quot;https://x.com/WhiteCoatWaste&quot;}]"/>
    <n v="264"/>
    <n v="889"/>
    <n v="5859"/>
    <n v="78899"/>
    <s v=""/>
    <s v="null"/>
    <n v="519659"/>
    <s v="From Waffle House ➡ The Citadel ➡ US House. Working hard serving South Carolina. #SC01 #LowcountryFirst @GOPoversight @HASCRepublicans"/>
    <n v="7220"/>
    <s v="https://pbs.twimg.com/profile_images/1592954456483762181/uhnU3tIp_normal.jpg"/>
    <n v="1417"/>
    <b v="0"/>
    <n v="58"/>
    <n v="66"/>
    <s v="{&quot;post_id&quot;:null,&quot;profile_id&quot;:null,&quot;profile_name&quot;:null}"/>
    <s v="null"/>
    <s v="null"/>
    <s v="{&quot;data_posted&quot;:null,&quot;description&quot;:null,&quot;photos&quot;:null,&quot;post_id&quot;:null,&quot;profile_id&quot;:null,&quot;profile_name&quot;:null,&quot;url&quot;:null,&quot;videos&quot;:null}"/>
    <n v="7136"/>
    <n v="9.0444745814268881E-2"/>
    <d v="2024-12-15T00:00:00"/>
    <n v="0.83377314814814818"/>
    <x v="0"/>
    <x v="3"/>
    <x v="0"/>
    <x v="0"/>
    <x v="0"/>
    <x v="0"/>
    <n v="225"/>
    <x v="2"/>
  </r>
  <r>
    <n v="1.8683056414561405E+18"/>
    <s v="Man███Wom███"/>
    <s v="Man███ste███nit█████████"/>
    <s v="💫 @Hinata_1509 _x000a__x000a_#MUWomen"/>
    <s v="&quot;2024-12-15T14:42:31.000Z&quot;"/>
    <s v="[&quot;https://pbs.twimg.com/media/Ge2OE5-WEAAfkRz.jpg&quot;]"/>
    <s v="https://x.com/ManUtdWomen/status/1868305641456140532"/>
    <s v="[{&quot;biography&quot;:null,&quot;followers&quot;:null,&quot;following&quot;:null,&quot;is_verified&quot;:null,&quot;profile_id&quot;:&quot;1424286351336239113&quot;,&quot;profile_name&quot;:&quot;宮澤ひなた&quot;,&quot;url&quot;:&quot;https://x.com/hinata_1509&quot;}]"/>
    <n v="14"/>
    <n v="114"/>
    <n v="1769"/>
    <n v="21276"/>
    <s v=""/>
    <s v="[&quot;MUWomen&quot;]"/>
    <n v="462263"/>
    <s v="Explore our Christmas deals on United Store now 🛍️⤵️"/>
    <n v="16271"/>
    <s v="https://pbs.twimg.com/profile_images/1856421977373741056/jWwLjKK5_normal.jpg"/>
    <n v="38"/>
    <b v="0"/>
    <n v="5"/>
    <n v="7"/>
    <s v="{&quot;post_id&quot;:null,&quot;profile_id&quot;:null,&quot;profile_name&quot;:null}"/>
    <s v="null"/>
    <s v="null"/>
    <s v="{&quot;data_posted&quot;:null,&quot;description&quot;:null,&quot;photos&quot;:null,&quot;post_id&quot;:null,&quot;profile_id&quot;:null,&quot;profile_name&quot;:null,&quot;url&quot;:null,&quot;videos&quot;:null}"/>
    <n v="1909"/>
    <n v="8.9725512314344807E-2"/>
    <d v="2024-12-15T00:00:00"/>
    <n v="0.61285879629629625"/>
    <x v="0"/>
    <x v="1"/>
    <x v="0"/>
    <x v="0"/>
    <x v="1"/>
    <x v="0"/>
    <n v="25"/>
    <x v="2"/>
  </r>
  <r>
    <n v="1.8681213734255168E+18"/>
    <s v="bil███ard███"/>
    <s v="bil███ard███"/>
    <s v="SEVENTEEN on How They Feel About Being on the Billboard Charts, How Much CARATs Mean to Them | Billboard Music Awards 2024"/>
    <s v="&quot;2024-12-15T02:30:18.000Z&quot;"/>
    <s v="null"/>
    <s v="https://x.com/billboard/status/1868121373425516847"/>
    <s v="null"/>
    <n v="5"/>
    <n v="848"/>
    <n v="2162"/>
    <n v="36042"/>
    <s v="https://www.billboard.com/video/seventeen-how-much-carats-mean-billboard-music-awards-2024-interview/?utm_campaign=trueanthem&amp;utm_medium=social&amp;utm_source=twitter"/>
    <s v="null"/>
    <n v="14257910"/>
    <s v="@billboardcharts • @billboardhiphop • @billboardlatin • @billboardfamily • @billboardpro • @shopbillboard • @billboarddance • @billboardpride"/>
    <n v="357584"/>
    <s v="https://pbs.twimg.com/profile_images/1696577202496966657/FhNkxqHF_normal.jpg"/>
    <n v="3784"/>
    <b v="0"/>
    <n v="4"/>
    <n v="46"/>
    <s v="{&quot;post_id&quot;:null,&quot;profile_id&quot;:null,&quot;profile_name&quot;:null}"/>
    <s v="[&quot;https://pbs.twimg.com/card_img/1867346570292699136/jbNGlz9A?format=jpg&amp;name=orig&quot;]"/>
    <s v="null"/>
    <s v="{&quot;data_posted&quot;:null,&quot;description&quot;:null,&quot;photos&quot;:null,&quot;post_id&quot;:null,&quot;profile_id&quot;:null,&quot;profile_name&quot;:null,&quot;url&quot;:null,&quot;videos&quot;:null}"/>
    <n v="3065"/>
    <n v="8.5039675933632985E-2"/>
    <d v="2024-12-15T00:00:00"/>
    <n v="0.104375"/>
    <x v="0"/>
    <x v="2"/>
    <x v="0"/>
    <x v="1"/>
    <x v="0"/>
    <x v="0"/>
    <n v="122"/>
    <x v="1"/>
  </r>
  <r>
    <n v="1.8680837224712358E+18"/>
    <s v="bil███ard███"/>
    <s v="bil███ard███"/>
    <s v="SEVENTEEN Talk BBMAs Performance, DJ Khaled Collab &amp;amp; More | Billboard Music Awards 2024"/>
    <s v="&quot;2024-12-15T00:00:41.000Z&quot;"/>
    <s v="null"/>
    <s v="https://x.com/billboard/status/1868083722471235914"/>
    <s v="null"/>
    <n v="6"/>
    <n v="721"/>
    <n v="1945"/>
    <n v="32803"/>
    <s v="https://www.billboard.com/video/seventeen-talk-bbmas-performance-dj-khaled-collab-and-more/?utm_campaign=trueanthem&amp;utm_medium=social&amp;utm_source=twitter"/>
    <s v="null"/>
    <n v="14257909"/>
    <s v="@billboardcharts • @billboardhiphop • @billboardlatin • @billboardfamily • @billboardpro • @shopbillboard • @billboarddance • @billboardpride"/>
    <n v="357584"/>
    <s v="https://pbs.twimg.com/profile_images/1696577202496966657/FhNkxqHF_normal.jpg"/>
    <n v="3784"/>
    <b v="0"/>
    <n v="2"/>
    <n v="33"/>
    <s v="{&quot;post_id&quot;:null,&quot;profile_id&quot;:null,&quot;profile_name&quot;:null}"/>
    <s v="[&quot;https://pbs.twimg.com/card_img/1867345602104934400/ZjPjmjvb?format=jpg&amp;name=orig&quot;]"/>
    <s v="null"/>
    <s v="{&quot;data_posted&quot;:null,&quot;description&quot;:null,&quot;photos&quot;:null,&quot;post_id&quot;:null,&quot;profile_id&quot;:null,&quot;profile_name&quot;:null,&quot;url&quot;:null,&quot;videos&quot;:null}"/>
    <n v="2707"/>
    <n v="8.2522939975002291E-2"/>
    <d v="2024-12-15T00:00:00"/>
    <n v="4.7453703703703704E-4"/>
    <x v="0"/>
    <x v="5"/>
    <x v="0"/>
    <x v="1"/>
    <x v="0"/>
    <x v="0"/>
    <n v="91"/>
    <x v="1"/>
  </r>
  <r>
    <n v="1.8683077734250947E+18"/>
    <s v="Man███Wom███"/>
    <s v="Man███ste███nit█████████"/>
    <s v="DEADLOCK = BROKEN! 🔓⚽️_x000a__x000a_#MUWomen"/>
    <s v="&quot;2024-12-15T14:50:59.000Z&quot;"/>
    <s v="[&quot;https://pbs.twimg.com/media/Ge2P4LCW4AABLAK.jpg&quot;]"/>
    <s v="https://x.com/ManUtdWomen/status/1868307773425094713"/>
    <s v="null"/>
    <n v="33"/>
    <n v="184"/>
    <n v="2948"/>
    <n v="39924"/>
    <s v=""/>
    <s v="[&quot;MUWomen&quot;]"/>
    <n v="462263"/>
    <s v="Explore our Christmas deals on United Store now 🛍️⤵️"/>
    <n v="16271"/>
    <s v="https://pbs.twimg.com/profile_images/1856421977373741056/jWwLjKK5_normal.jpg"/>
    <n v="38"/>
    <b v="0"/>
    <n v="21"/>
    <n v="5"/>
    <s v="{&quot;post_id&quot;:null,&quot;profile_id&quot;:null,&quot;profile_name&quot;:null}"/>
    <s v="null"/>
    <s v="null"/>
    <s v="{&quot;data_posted&quot;:null,&quot;description&quot;:null,&quot;photos&quot;:null,&quot;post_id&quot;:null,&quot;profile_id&quot;:null,&quot;profile_name&quot;:null,&quot;url&quot;:null,&quot;videos&quot;:null}"/>
    <n v="3191"/>
    <n v="7.9926861035968341E-2"/>
    <d v="2024-12-15T00:00:00"/>
    <n v="0.61873842592592587"/>
    <x v="0"/>
    <x v="1"/>
    <x v="0"/>
    <x v="0"/>
    <x v="1"/>
    <x v="0"/>
    <n v="32"/>
    <x v="2"/>
  </r>
  <r>
    <n v="1.8683876914922373E+18"/>
    <s v="ote███"/>
    <s v="O T███o"/>
    <s v="Com 13 conquistas individuais, Wallace se credencia como um dos maiores do vôlei mundial_x000a__x000a_Wallace também possui quatro Mundiais de Clubes pelo Sada Cruzeiro"/>
    <s v="&quot;2024-12-15T20:08:33.000Z&quot;"/>
    <s v="null"/>
    <s v="https://x.com/otempo/status/1868387691492237364"/>
    <s v="null"/>
    <n v="1"/>
    <n v="22"/>
    <n v="424"/>
    <n v="5837"/>
    <s v="https://www.otempo.com.br/sports/volei/2024/12/15/com-13-conquistas-individuais-wallace-se-credencia-como-um-dos-maiores-do-volei-mundial"/>
    <s v="null"/>
    <n v="450865"/>
    <s v="Perfil oficial do jornal O Tempo, de Belo Horizonte, Minas Gerais."/>
    <n v="647794"/>
    <s v="https://pbs.twimg.com/profile_images/1623114146458791936/N7peJ_jC_normal.jpg"/>
    <n v="131"/>
    <b v="0"/>
    <n v="1"/>
    <n v="2"/>
    <s v="{&quot;post_id&quot;:null,&quot;profile_id&quot;:null,&quot;profile_name&quot;:null}"/>
    <s v="[&quot;https://pbs.twimg.com/card_img/1868387666007293952/eLekK1rC?format=jpg&amp;name=orig&quot;]"/>
    <s v="null"/>
    <s v="{&quot;data_posted&quot;:null,&quot;description&quot;:null,&quot;photos&quot;:null,&quot;post_id&quot;:null,&quot;profile_id&quot;:null,&quot;profile_name&quot;:null,&quot;url&quot;:null,&quot;videos&quot;:null}"/>
    <n v="450"/>
    <n v="7.7094397807092679E-2"/>
    <d v="2024-12-15T00:00:00"/>
    <n v="0.8392708333333333"/>
    <x v="0"/>
    <x v="3"/>
    <x v="0"/>
    <x v="1"/>
    <x v="0"/>
    <x v="0"/>
    <n v="156"/>
    <x v="2"/>
  </r>
  <r>
    <n v="1.8683781676955446E+18"/>
    <s v="Vis███cot███d"/>
    <s v="Vis███cot███d"/>
    <s v="This gatehouse looks like it's been plucked straight out of a fairytale! ✨❄️_x000a__x000a_📍 The Gatehouse at Ballindalloch Castle, @MoraySpeyside 📷 IG/emilyinscotland"/>
    <s v="&quot;2024-12-15T19:30:42.000Z&quot;"/>
    <s v="[&quot;https://pbs.twimg.com/media/Ge3QCgKWkAANQrs.jpg&quot;]"/>
    <s v="https://x.com/VisitScotland/status/1868378167695544669"/>
    <s v="[{&quot;biography&quot;:null,&quot;followers&quot;:null,&quot;following&quot;:null,&quot;is_verified&quot;:null,&quot;profile_id&quot;:&quot;191468866&quot;,&quot;profile_name&quot;:&quot;Visit Moray Speyside&quot;,&quot;url&quot;:&quot;https://x.com/MoraySpeyside&quot;}]"/>
    <n v="4"/>
    <n v="90"/>
    <n v="956"/>
    <n v="14291"/>
    <s v=""/>
    <s v="null"/>
    <n v="472709"/>
    <s v="Official home of Scotland's national tourism organisation. Share your experiences using #VisitScotland, #ScotlandIsCalling, or tag @VisitScotland on all socials"/>
    <n v="36881"/>
    <s v="https://pbs.twimg.com/profile_images/1572169607879823360/T57pZ87R_normal.jpg"/>
    <n v="1078"/>
    <b v="0"/>
    <n v="6"/>
    <n v="24"/>
    <s v="{&quot;post_id&quot;:null,&quot;profile_id&quot;:null,&quot;profile_name&quot;:null}"/>
    <s v="null"/>
    <s v="null"/>
    <s v="{&quot;data_posted&quot;:null,&quot;description&quot;:null,&quot;photos&quot;:null,&quot;post_id&quot;:null,&quot;profile_id&quot;:null,&quot;profile_name&quot;:null,&quot;url&quot;:null,&quot;videos&quot;:null}"/>
    <n v="1080"/>
    <n v="7.5572038345812054E-2"/>
    <d v="2024-12-15T00:00:00"/>
    <n v="0.81298611111111108"/>
    <x v="0"/>
    <x v="4"/>
    <x v="0"/>
    <x v="0"/>
    <x v="0"/>
    <x v="0"/>
    <n v="154"/>
    <x v="2"/>
  </r>
  <r>
    <n v="1.8683870453051804E+18"/>
    <s v="ote███"/>
    <s v="O T███o"/>
    <s v="Sada Cruzeiro chega a 55 títulos desde 2010 com a conquista do Mundial de Clubes de Vôlei_x000a__x000a_Confira a lista de títulos do clube nos últimos 14 anos"/>
    <s v="&quot;2024-12-15T20:05:59.000Z&quot;"/>
    <s v="null"/>
    <s v="https://x.com/otempo/status/1868387045305180485"/>
    <s v="null"/>
    <n v="5"/>
    <n v="49"/>
    <n v="622"/>
    <n v="9124"/>
    <s v="https://www.otempo.com.br/sports/volei/2024/12/15/sada-cruzeiro-chega-a-55-titulos-desde-2010-com-a-conquista-do-mundial-de-clubes-de-volei"/>
    <s v="null"/>
    <n v="450865"/>
    <s v="Perfil oficial do jornal O Tempo, de Belo Horizonte, Minas Gerais."/>
    <n v="647794"/>
    <s v="https://pbs.twimg.com/profile_images/1623114146458791936/N7peJ_jC_normal.jpg"/>
    <n v="131"/>
    <b v="0"/>
    <n v="7"/>
    <n v="2"/>
    <s v="{&quot;post_id&quot;:null,&quot;profile_id&quot;:null,&quot;profile_name&quot;:null}"/>
    <s v="[&quot;https://pbs.twimg.com/card_img/1868387020365602816/BkQ7JFvB?format=jpg&amp;name=orig&quot;]"/>
    <s v="null"/>
    <s v="{&quot;data_posted&quot;:null,&quot;description&quot;:null,&quot;photos&quot;:null,&quot;post_id&quot;:null,&quot;profile_id&quot;:null,&quot;profile_name&quot;:null,&quot;url&quot;:null,&quot;videos&quot;:null}"/>
    <n v="685"/>
    <n v="7.5076720736519068E-2"/>
    <d v="2024-12-15T00:00:00"/>
    <n v="0.83748842592592587"/>
    <x v="0"/>
    <x v="3"/>
    <x v="0"/>
    <x v="1"/>
    <x v="0"/>
    <x v="0"/>
    <n v="146"/>
    <x v="2"/>
  </r>
  <r>
    <n v="1.8676600268419036E+18"/>
    <s v="dea███unj███e"/>
    <s v="Dea███yun███ ❣️███"/>
    <s v="I've made some &quot;So Good&quot; Spotify playlists!_x000a__x000a_🔗 3 Hours (20 total streams):"/>
    <s v="&quot;2024-12-13T19:57:04.000Z&quot;"/>
    <s v="[&quot;https://pbs.twimg.com/media/GetC5Z4WMAAi7KO.jpg&quot;]"/>
    <s v="https://x.com/dearhyunjinie/status/1867660026841903561"/>
    <s v="null"/>
    <n v="2"/>
    <n v="86"/>
    <n v="124"/>
    <n v="3498"/>
    <s v="https://open.spotify.com/playlist/75RPo1N8EFvZheW3a6T0O0?si=ipv4M6LjRYyNOLGguRgYuA&amp;pi=wBAAUHVUTW-Po"/>
    <s v="[&quot;SoGoodOUTNOW&quot;]"/>
    <n v="1723"/>
    <s v="Cartier &amp; Versace GBA | Main Dancer | Performance Leader | Passion King | Rapper | Artist | #LoveSTAY"/>
    <n v="11208"/>
    <s v="https://pbs.twimg.com/profile_images/1709298026173308928/8TPK3CVQ_normal.jpg"/>
    <n v="70"/>
    <b v="0"/>
    <n v="6"/>
    <n v="42"/>
    <s v="{&quot;post_id&quot;:null,&quot;profile_id&quot;:null,&quot;profile_name&quot;:null}"/>
    <s v="null"/>
    <s v="null"/>
    <s v="{&quot;data_posted&quot;:null,&quot;description&quot;:null,&quot;photos&quot;:null,&quot;post_id&quot;:null,&quot;profile_id&quot;:null,&quot;profile_name&quot;:null,&quot;url&quot;:null,&quot;videos&quot;:null}"/>
    <n v="260"/>
    <n v="7.432818753573471E-2"/>
    <d v="2024-12-13T00:00:00"/>
    <n v="0.83129629629629631"/>
    <x v="1"/>
    <x v="4"/>
    <x v="0"/>
    <x v="0"/>
    <x v="1"/>
    <x v="0"/>
    <n v="74"/>
    <x v="3"/>
  </r>
  <r>
    <n v="1.8682108434456046E+18"/>
    <s v="Pro███sWo███CSA███"/>
    <s v="Pro███s W███n"/>
    <s v="Smile everyone!😁_x000a__x000a_A &quot;Historic Moment&quot; in Women's Test Match Cricket for South Africa🇿🇦🏏_x000a__x000a_#AlwaysRising #WozaNawe_x000a_#BePartOfIt #SAvENG"/>
    <s v="&quot;2024-12-15T08:25:49.000Z&quot;"/>
    <s v="[&quot;https://pbs.twimg.com/media/Ge03W2uXAAA0BOm.jpg&quot;]"/>
    <s v="https://x.com/ProteasWomenCSA/status/1868210843445604691"/>
    <s v="null"/>
    <n v="1"/>
    <n v="46"/>
    <n v="276"/>
    <n v="4420"/>
    <s v=""/>
    <s v="[&quot;AlwaysRising&quot;,&quot;WozaNawe&quot;,&quot;BePartOfIt&quot;,&quot;SAvENG&quot;]"/>
    <n v="12061"/>
    <s v="Welcome to the official handle of girls and women's cricket in South Africa._x000a__x000a_#AlwaysRising _x000a_#WozaNawe"/>
    <n v="2422"/>
    <s v="https://pbs.twimg.com/profile_images/1866034724629577728/Ze5gN3PC_normal.jpg"/>
    <n v="81"/>
    <b v="0"/>
    <n v="1"/>
    <n v="1"/>
    <s v="{&quot;post_id&quot;:null,&quot;profile_id&quot;:null,&quot;profile_name&quot;:null}"/>
    <s v="null"/>
    <s v="null"/>
    <s v="{&quot;data_posted&quot;:null,&quot;description&quot;:null,&quot;photos&quot;:null,&quot;post_id&quot;:null,&quot;profile_id&quot;:null,&quot;profile_name&quot;:null,&quot;url&quot;:null,&quot;videos&quot;:null}"/>
    <n v="325"/>
    <n v="7.3529411764705885E-2"/>
    <d v="2024-12-15T00:00:00"/>
    <n v="0.3512615740740741"/>
    <x v="0"/>
    <x v="6"/>
    <x v="0"/>
    <x v="0"/>
    <x v="1"/>
    <x v="0"/>
    <n v="132"/>
    <x v="3"/>
  </r>
  <r>
    <n v="1.8684310908448771E+18"/>
    <s v="Man███"/>
    <s v="Man███ste███nit███"/>
    <s v="Goodnight, Reds ✌️_x000a__x000a_#MUFC || #MCIMUN"/>
    <s v="&quot;2024-12-15T23:01:00.000Z&quot;"/>
    <s v="[&quot;https://pbs.twimg.com/media/Ge3KJRiXoAAubsV.jpg&quot;,&quot;https://pbs.twimg.com/media/Ge3KLhEWkAAch1M.jpg&quot;]"/>
    <s v="https://x.com/ManUtd/status/1868431090844876946"/>
    <s v="null"/>
    <n v="218"/>
    <n v="1981"/>
    <n v="18668"/>
    <n v="292571"/>
    <s v=""/>
    <s v="[&quot;MUFC&quot;,&quot;MCIMUN&quot;]"/>
    <n v="38439078"/>
    <s v="’Tis the season to gift United! 🎁🎄"/>
    <n v="92455"/>
    <s v="https://pbs.twimg.com/profile_images/1856418426496880640/iIvJaO5T_normal.png"/>
    <n v="145"/>
    <b v="0"/>
    <n v="46"/>
    <n v="92"/>
    <s v="{&quot;post_id&quot;:null,&quot;profile_id&quot;:null,&quot;profile_name&quot;:null}"/>
    <s v="null"/>
    <s v="null"/>
    <s v="{&quot;data_posted&quot;:null,&quot;description&quot;:null,&quot;photos&quot;:null,&quot;post_id&quot;:null,&quot;profile_id&quot;:null,&quot;profile_name&quot;:null,&quot;url&quot;:null,&quot;videos&quot;:null}"/>
    <n v="21005"/>
    <n v="7.1794538761531385E-2"/>
    <d v="2024-12-15T00:00:00"/>
    <n v="0.95902777777777781"/>
    <x v="0"/>
    <x v="7"/>
    <x v="0"/>
    <x v="0"/>
    <x v="1"/>
    <x v="0"/>
    <n v="36"/>
    <x v="1"/>
  </r>
  <r>
    <n v="1.868380774279328E+18"/>
    <s v="Cel███FC"/>
    <s v="Cel███ Fo███all██████"/>
    <s v="🏆 A prolific pair! 🏆_x000a__x000a_#CELRAN | #PremierSportsCup | #CelticFC🍀"/>
    <s v="&quot;2024-12-15T19:41:04.000Z&quot;"/>
    <s v="[&quot;https://pbs.twimg.com/media/Ge3SZZgXUAAKFtj.jpg&quot;]"/>
    <s v="https://x.com/CelticFC/status/1868380774279327902"/>
    <s v="null"/>
    <n v="25"/>
    <n v="478"/>
    <n v="6067"/>
    <n v="93848"/>
    <s v=""/>
    <s v="[&quot;CELRAN&quot;,&quot;PremierSportsCup&quot;,&quot;CelticFC&quot;]"/>
    <n v="984263"/>
    <s v="Glasgow Celtic - 2023/24 Double Winners! 🍀🏆 🟢 @CelticFCWomen ⚪ @CelticFCB 🎌 @CelticFCJPN 📽 @CelticTV 🛒 @CelticFCShop 🎟 @CelticFCTickets"/>
    <n v="136135"/>
    <s v="https://pbs.twimg.com/profile_images/1808866900228665344/xZAZuYBY_normal.jpg"/>
    <n v="438"/>
    <b v="0"/>
    <n v="19"/>
    <n v="28"/>
    <s v="{&quot;post_id&quot;:null,&quot;profile_id&quot;:null,&quot;profile_name&quot;:null}"/>
    <s v="null"/>
    <s v="null"/>
    <s v="{&quot;data_posted&quot;:null,&quot;description&quot;:null,&quot;photos&quot;:null,&quot;post_id&quot;:null,&quot;profile_id&quot;:null,&quot;profile_name&quot;:null,&quot;url&quot;:null,&quot;videos&quot;:null}"/>
    <n v="6617"/>
    <n v="7.0507629358110988E-2"/>
    <d v="2024-12-15T00:00:00"/>
    <n v="0.82018518518518524"/>
    <x v="0"/>
    <x v="4"/>
    <x v="0"/>
    <x v="0"/>
    <x v="1"/>
    <x v="0"/>
    <n v="62"/>
    <x v="2"/>
  </r>
  <r>
    <n v="1.8683812629998963E+18"/>
    <s v="Ars███lWF███"/>
    <s v="Ars███l W███n"/>
    <s v="Seven consecutive victories. We keep on moving - together ✊_x000a__x000a_@MastercardUK 🤝"/>
    <s v="&quot;2024-12-15T19:43:00.000Z&quot;"/>
    <s v="[&quot;https://pbs.twimg.com/media/Ge3SZ0EX0AAly6G.jpg&quot;]"/>
    <s v="https://x.com/ArsenalWFC/status/1868381262999896289"/>
    <s v="[{&quot;biography&quot;:null,&quot;followers&quot;:null,&quot;following&quot;:null,&quot;is_verified&quot;:null,&quot;profile_id&quot;:&quot;409176513&quot;,&quot;profile_name&quot;:&quot;MastercardUK&quot;,&quot;url&quot;:&quot;https://x.com/MastercardUK&quot;}]"/>
    <n v="12"/>
    <n v="130"/>
    <n v="1904"/>
    <n v="29340"/>
    <s v=""/>
    <s v="null"/>
    <n v="756191"/>
    <s v="The home of Arsenal Women 🏡"/>
    <n v="32997"/>
    <s v="https://pbs.twimg.com/profile_images/1867639436789305344/r3fPR8sb_normal.jpg"/>
    <n v="303"/>
    <b v="0"/>
    <n v="9"/>
    <n v="11"/>
    <s v="{&quot;post_id&quot;:null,&quot;profile_id&quot;:null,&quot;profile_name&quot;:null}"/>
    <s v="null"/>
    <s v="null"/>
    <s v="{&quot;data_posted&quot;:null,&quot;description&quot;:null,&quot;photos&quot;:null,&quot;post_id&quot;:null,&quot;profile_id&quot;:null,&quot;profile_name&quot;:null,&quot;url&quot;:null,&quot;videos&quot;:null}"/>
    <n v="2066"/>
    <n v="7.0415814587593731E-2"/>
    <d v="2024-12-15T00:00:00"/>
    <n v="0.82152777777777775"/>
    <x v="0"/>
    <x v="4"/>
    <x v="0"/>
    <x v="0"/>
    <x v="0"/>
    <x v="0"/>
    <n v="76"/>
    <x v="2"/>
  </r>
  <r>
    <n v="1.8683683284165105E+18"/>
    <s v="Man███"/>
    <s v="Man███ste███nit███"/>
    <s v="It's just what we do 🔴_x000a__x000a_#MUFC || #MCIMUN"/>
    <s v="&quot;2024-12-15T18:51:36.000Z&quot;"/>
    <s v="[&quot;https://pbs.twimg.com/media/Ge3G9J1XYAAXLd3.jpg&quot;]"/>
    <s v="https://x.com/ManUtd/status/1868368328416510441"/>
    <s v="null"/>
    <n v="499"/>
    <n v="5812"/>
    <n v="48615"/>
    <n v="788950"/>
    <s v=""/>
    <s v="[&quot;MUFC&quot;,&quot;MCIMUN&quot;]"/>
    <n v="38438997"/>
    <s v="’Tis the season to gift United! 🎁🎄"/>
    <n v="92455"/>
    <s v="https://pbs.twimg.com/profile_images/1856418426496880640/iIvJaO5T_normal.png"/>
    <n v="145"/>
    <b v="0"/>
    <n v="227"/>
    <n v="325"/>
    <s v="{&quot;post_id&quot;:null,&quot;profile_id&quot;:null,&quot;profile_name&quot;:null}"/>
    <s v="null"/>
    <s v="null"/>
    <s v="{&quot;data_posted&quot;:null,&quot;description&quot;:null,&quot;photos&quot;:null,&quot;post_id&quot;:null,&quot;profile_id&quot;:null,&quot;profile_name&quot;:null,&quot;url&quot;:null,&quot;videos&quot;:null}"/>
    <n v="55478"/>
    <n v="7.0318778122821474E-2"/>
    <d v="2024-12-15T00:00:00"/>
    <n v="0.78583333333333338"/>
    <x v="0"/>
    <x v="8"/>
    <x v="0"/>
    <x v="0"/>
    <x v="1"/>
    <x v="0"/>
    <n v="40"/>
    <x v="1"/>
  </r>
  <r>
    <n v="1.868151532622955E+18"/>
    <s v="bil███ard███"/>
    <s v="bil███ard███"/>
    <s v="Friday Music Guide: New Music From Stray Kids, Bossman Dlow, Snoop Dogg &amp;amp; More"/>
    <s v="&quot;2024-12-15T04:30:08.000Z&quot;"/>
    <s v="null"/>
    <s v="https://x.com/billboard/status/1868151532622955003"/>
    <s v="null"/>
    <n v="9"/>
    <n v="463"/>
    <n v="1977"/>
    <n v="35672"/>
    <s v="https://www.billboard.com/music/pop/friday-music-guide-stray-kids-bossman-dlow-snoop-dogg-1235856416/?utm_campaign=trueanthem&amp;utm_medium=social&amp;utm_source=twitter"/>
    <s v="null"/>
    <n v="14257909"/>
    <s v="@billboardcharts • @billboardhiphop • @billboardlatin • @billboardfamily • @billboardpro • @shopbillboard • @billboarddance • @billboardpride"/>
    <n v="357584"/>
    <s v="https://pbs.twimg.com/profile_images/1696577202496966657/FhNkxqHF_normal.jpg"/>
    <n v="3784"/>
    <b v="0"/>
    <n v="2"/>
    <n v="26"/>
    <s v="{&quot;post_id&quot;:null,&quot;profile_id&quot;:null,&quot;profile_name&quot;:null}"/>
    <s v="[&quot;https://pbs.twimg.com/card_img/1865210076203565057/m9mmbqO7?format=jpg&amp;name=orig&quot;]"/>
    <s v="null"/>
    <s v="{&quot;data_posted&quot;:null,&quot;description&quot;:null,&quot;photos&quot;:null,&quot;post_id&quot;:null,&quot;profile_id&quot;:null,&quot;profile_name&quot;:null,&quot;url&quot;:null,&quot;videos&quot;:null}"/>
    <n v="2477"/>
    <n v="6.9438214846378118E-2"/>
    <d v="2024-12-15T00:00:00"/>
    <n v="0.18759259259259259"/>
    <x v="0"/>
    <x v="9"/>
    <x v="0"/>
    <x v="1"/>
    <x v="0"/>
    <x v="0"/>
    <n v="82"/>
    <x v="1"/>
  </r>
  <r>
    <n v="1.8684150508446356E+18"/>
    <s v="Cel███FC"/>
    <s v="Cel███ Fo███all██████"/>
    <s v="Back home 🏆💚_x000a__x000a_#PremierSportsCup | #CelticFC🍀"/>
    <s v="&quot;2024-12-15T21:57:16.000Z&quot;"/>
    <s v="[&quot;https://pbs.twimg.com/media/Ge3wq0eWAAA0xTS.jpg&quot;]"/>
    <s v="https://x.com/CelticFC/status/1868415050844635588"/>
    <s v="null"/>
    <n v="49"/>
    <n v="555"/>
    <n v="5544"/>
    <n v="89574"/>
    <s v=""/>
    <s v="[&quot;PremierSportsCup&quot;,&quot;CelticFC&quot;]"/>
    <n v="984256"/>
    <s v="Glasgow Celtic - 2023/24 Double Winners! 🍀🏆 🟢 @CelticFCWomen ⚪ @CelticFCB 🎌 @CelticFCJPN 📽 @CelticTV 🛒 @CelticFCShop 🎟 @CelticFCTickets"/>
    <n v="136135"/>
    <s v="https://pbs.twimg.com/profile_images/1808866900228665344/xZAZuYBY_normal.jpg"/>
    <n v="438"/>
    <b v="0"/>
    <n v="21"/>
    <n v="27"/>
    <s v="{&quot;post_id&quot;:null,&quot;profile_id&quot;:null,&quot;profile_name&quot;:null}"/>
    <s v="null"/>
    <s v="null"/>
    <s v="{&quot;data_posted&quot;:null,&quot;description&quot;:null,&quot;photos&quot;:null,&quot;post_id&quot;:null,&quot;profile_id&quot;:null,&quot;profile_name&quot;:null,&quot;url&quot;:null,&quot;videos&quot;:null}"/>
    <n v="6196"/>
    <n v="6.9171857905195699E-2"/>
    <d v="2024-12-15T00:00:00"/>
    <n v="0.91476851851851848"/>
    <x v="0"/>
    <x v="10"/>
    <x v="0"/>
    <x v="0"/>
    <x v="1"/>
    <x v="0"/>
    <n v="44"/>
    <x v="2"/>
  </r>
  <r>
    <n v="1.8683708020953459E+18"/>
    <s v="Man███"/>
    <s v="Man███ste███nit███"/>
    <s v="UNITED! UNITED! UNITED! 🗣️_x000a__x000a_🤳 @Snapdragon_x000a__x000a_#MUFC || #ShotOnSnapdragon"/>
    <s v="&quot;2024-12-15T19:01:26.000Z&quot;"/>
    <s v="null"/>
    <s v="https://x.com/ManUtd/status/1868370802095345951"/>
    <s v="[{&quot;biography&quot;:null,&quot;followers&quot;:null,&quot;following&quot;:null,&quot;is_verified&quot;:null,&quot;profile_id&quot;:&quot;18238788&quot;,&quot;profile_name&quot;:&quot;Snapdragon&quot;,&quot;url&quot;:&quot;https://x.com/Snapdragon&quot;}]"/>
    <n v="336"/>
    <n v="4231"/>
    <n v="28303"/>
    <n v="505731"/>
    <s v=""/>
    <s v="[&quot;MUFC&quot;,&quot;ShotOnSnapdragon&quot;]"/>
    <n v="38439064"/>
    <s v="’Tis the season to gift United! 🎁🎄"/>
    <n v="92455"/>
    <s v="https://pbs.twimg.com/profile_images/1856418426496880640/iIvJaO5T_normal.png"/>
    <n v="145"/>
    <b v="0"/>
    <n v="174"/>
    <n v="589"/>
    <s v="{&quot;post_id&quot;:null,&quot;profile_id&quot;:null,&quot;profile_name&quot;:null}"/>
    <s v="null"/>
    <s v="[{&quot;duration&quot;:48166,&quot;video_url&quot;:&quot;https://video.twimg.com/ext_tw_video/1868370352763461632/pu/vid/avc1/720x1280/GCG9mbfBKLCKhVws.mp4?tag=12&quot;}]"/>
    <s v="{&quot;data_posted&quot;:null,&quot;description&quot;:null,&quot;photos&quot;:null,&quot;post_id&quot;:null,&quot;profile_id&quot;:null,&quot;profile_name&quot;:null,&quot;url&quot;:null,&quot;videos&quot;:null}"/>
    <n v="33633"/>
    <n v="6.6503734198615466E-2"/>
    <d v="2024-12-15T00:00:00"/>
    <n v="0.79266203703703708"/>
    <x v="0"/>
    <x v="4"/>
    <x v="1"/>
    <x v="1"/>
    <x v="1"/>
    <x v="0"/>
    <n v="69"/>
    <x v="1"/>
  </r>
  <r>
    <n v="1.8683616507615398E+18"/>
    <s v="Ars███lWF███"/>
    <s v="Ars███l W███n"/>
    <s v="🥁 This afternoon's @BarclaysWSL Player of the Match, featuring a very special guest… _x000a__x000a_@alessiarusso7 🏆"/>
    <s v="&quot;2024-12-15T18:25:04.000Z&quot;"/>
    <s v="null"/>
    <s v="https://x.com/ArsenalWFC/status/1868361650761539940"/>
    <s v="[{&quot;biography&quot;:null,&quot;followers&quot;:null,&quot;following&quot;:null,&quot;is_verified&quot;:null,&quot;profile_id&quot;:&quot;273665871&quot;,&quot;profile_name&quot;:&quot;Barclays Women's Super League&quot;,&quot;url&quot;:&quot;https://x.com/BarclaysWSL&quot;},{&quot;biography&quot;:null,&quot;followers&quot;:null,&quot;following&quot;:null,&quot;is_verified&quot;:null,&quot;profile_id&quot;:&quot;244906756&quot;,&quot;profile_name&quot;:&quot;Alessia Russo&quot;,&quot;url&quot;:&quot;https://x.com/alessiarusso7&quot;}]"/>
    <n v="12"/>
    <n v="207"/>
    <n v="2316"/>
    <n v="40548"/>
    <s v=""/>
    <s v="null"/>
    <n v="756191"/>
    <s v="The home of Arsenal Women 🏡"/>
    <n v="32997"/>
    <s v="https://pbs.twimg.com/profile_images/1867639436789305344/r3fPR8sb_normal.jpg"/>
    <n v="303"/>
    <b v="0"/>
    <n v="27"/>
    <n v="96"/>
    <s v="{&quot;post_id&quot;:null,&quot;profile_id&quot;:null,&quot;profile_name&quot;:null}"/>
    <s v="null"/>
    <s v="[{&quot;duration&quot;:8166,&quot;video_url&quot;:&quot;https://video.twimg.com/ext_tw_video/1868358792791879680/pu/vid/avc1/1080x1920/qn9qXGfz20EiSJW_.mp4?tag=14&quot;}]"/>
    <s v="{&quot;data_posted&quot;:null,&quot;description&quot;:null,&quot;photos&quot;:null,&quot;post_id&quot;:null,&quot;profile_id&quot;:null,&quot;profile_name&quot;:null,&quot;url&quot;:null,&quot;videos&quot;:null}"/>
    <n v="2658"/>
    <n v="6.5551938443326421E-2"/>
    <d v="2024-12-15T00:00:00"/>
    <n v="0.76740740740740743"/>
    <x v="0"/>
    <x v="8"/>
    <x v="1"/>
    <x v="1"/>
    <x v="0"/>
    <x v="0"/>
    <n v="103"/>
    <x v="2"/>
  </r>
  <r>
    <n v="1.8683655577347566E+18"/>
    <s v="Man███"/>
    <s v="Man███ste███nit███"/>
    <s v="🔊🔊🔊_x000a__x000a_#MUFC || #MCIMUN"/>
    <s v="&quot;2024-12-15T18:40:36.000Z&quot;"/>
    <s v="null"/>
    <s v="https://x.com/ManUtd/status/1868365557734756583"/>
    <s v="null"/>
    <n v="346"/>
    <n v="4113"/>
    <n v="24850"/>
    <n v="464062"/>
    <s v=""/>
    <s v="[&quot;MUFC&quot;,&quot;MCIMUN&quot;]"/>
    <n v="38439066"/>
    <s v="’Tis the season to gift United! 🎁🎄"/>
    <n v="92455"/>
    <s v="https://pbs.twimg.com/profile_images/1856418426496880640/iIvJaO5T_normal.png"/>
    <n v="145"/>
    <b v="0"/>
    <n v="206"/>
    <n v="556"/>
    <s v="{&quot;post_id&quot;:null,&quot;profile_id&quot;:null,&quot;profile_name&quot;:null}"/>
    <s v="null"/>
    <s v="[{&quot;duration&quot;:30733,&quot;video_url&quot;:&quot;https://video.twimg.com/ext_tw_video/1868365249641861120/pu/vid/avc1/720x1280/Ul3Ghh_Ewd3uu0sW.mp4?tag=12&quot;}]"/>
    <s v="{&quot;data_posted&quot;:null,&quot;description&quot;:null,&quot;photos&quot;:null,&quot;post_id&quot;:null,&quot;profile_id&quot;:null,&quot;profile_name&quot;:null,&quot;url&quot;:null,&quot;videos&quot;:null}"/>
    <n v="30071"/>
    <n v="6.4799531097137889E-2"/>
    <d v="2024-12-15T00:00:00"/>
    <n v="0.77819444444444441"/>
    <x v="0"/>
    <x v="8"/>
    <x v="1"/>
    <x v="1"/>
    <x v="1"/>
    <x v="0"/>
    <n v="21"/>
    <x v="1"/>
  </r>
  <r>
    <n v="1.8683625168011512E+18"/>
    <s v="Pro███sWo███CSA███"/>
    <s v="Pro███s W███n"/>
    <s v="Day 1 at Mangaung Oval was pure magic! 🏏📸_x000a__x000a_The Proteas Women stepped onto the field with pride, determination, and that unstoppable #AlwaysRising spirit! 💪🇿🇦 _x000a__x000a_The journey has just begun – let’s keep backing our ladies as they take on England in this historic Test match!_x000a__x000a_#WozaNawe #BePartOfIt"/>
    <s v="&quot;2024-12-15T18:28:31.000Z&quot;"/>
    <s v="[&quot;https://pbs.twimg.com/media/Ge3BujZXkAAiZo9.jpg&quot;,&quot;https://pbs.twimg.com/media/Ge3BujZX0AAMD3V.jpg&quot;,&quot;https://pbs.twimg.com/media/Ge3BujcWIAALqMf.jpg&quot;,&quot;https://pbs.twimg.com/media/Ge3BujZXAAAPcWC.jpg&quot;]"/>
    <s v="https://x.com/ProteasWomenCSA/status/1868362516801151192"/>
    <s v="null"/>
    <n v="1"/>
    <n v="17"/>
    <n v="116"/>
    <n v="2101"/>
    <s v=""/>
    <s v="[&quot;AlwaysRising&quot;]"/>
    <n v="12060"/>
    <s v="Welcome to the official handle of girls and women's cricket in South Africa._x000a__x000a_#AlwaysRising _x000a_#WozaNawe"/>
    <n v="2422"/>
    <s v="https://pbs.twimg.com/profile_images/1866034724629577728/Ze5gN3PC_normal.jpg"/>
    <n v="81"/>
    <b v="0"/>
    <n v="1"/>
    <n v="1"/>
    <s v="{&quot;post_id&quot;:null,&quot;profile_id&quot;:null,&quot;profile_name&quot;:null}"/>
    <s v="null"/>
    <s v="null"/>
    <s v="{&quot;data_posted&quot;:null,&quot;description&quot;:null,&quot;photos&quot;:null,&quot;post_id&quot;:null,&quot;profile_id&quot;:null,&quot;profile_name&quot;:null,&quot;url&quot;:null,&quot;videos&quot;:null}"/>
    <n v="136"/>
    <n v="6.4731080437886723E-2"/>
    <d v="2024-12-15T00:00:00"/>
    <n v="0.76980324074074069"/>
    <x v="0"/>
    <x v="8"/>
    <x v="0"/>
    <x v="0"/>
    <x v="1"/>
    <x v="0"/>
    <n v="294"/>
    <x v="3"/>
  </r>
  <r>
    <n v="1.8683638081435077E+18"/>
    <s v="Man███"/>
    <s v="Man███ste███nit███"/>
    <s v="What a feeling ❤️_x000a__x000a_#MUFC || #MCIMUN"/>
    <s v="&quot;2024-12-15T18:33:39.000Z&quot;"/>
    <s v="[&quot;https://pbs.twimg.com/media/Ge3C4ldXAAAz4ou.jpg&quot;,&quot;https://pbs.twimg.com/media/Ge3C6vLWgAA56ZL.jpg&quot;]"/>
    <s v="https://x.com/ManUtd/status/1868363808143507774"/>
    <s v="null"/>
    <n v="915"/>
    <n v="10869"/>
    <n v="65288"/>
    <n v="1268628"/>
    <s v=""/>
    <s v="[&quot;MUFC&quot;,&quot;MCIMUN&quot;]"/>
    <n v="38439077"/>
    <s v="’Tis the season to gift United! 🎁🎄"/>
    <n v="92455"/>
    <s v="https://pbs.twimg.com/profile_images/1856418426496880640/iIvJaO5T_normal.png"/>
    <n v="145"/>
    <b v="0"/>
    <n v="720"/>
    <n v="465"/>
    <s v="{&quot;post_id&quot;:null,&quot;profile_id&quot;:null,&quot;profile_name&quot;:null}"/>
    <s v="null"/>
    <s v="null"/>
    <s v="{&quot;data_posted&quot;:null,&quot;description&quot;:null,&quot;photos&quot;:null,&quot;post_id&quot;:null,&quot;profile_id&quot;:null,&quot;profile_name&quot;:null,&quot;url&quot;:null,&quot;videos&quot;:null}"/>
    <n v="78257"/>
    <n v="6.1686325699889959E-2"/>
    <d v="2024-12-15T00:00:00"/>
    <n v="0.77336805555555554"/>
    <x v="0"/>
    <x v="8"/>
    <x v="0"/>
    <x v="0"/>
    <x v="1"/>
    <x v="0"/>
    <n v="35"/>
    <x v="1"/>
  </r>
  <r>
    <n v="1.868421338333078E+18"/>
    <s v="TNT███rts███"/>
    <s v="TNT███ort███R"/>
    <s v="FOI UMA HONRA, IMPERADOR! 👏👏👏_x000a_Hoje o Adriano Imperador se despediu dos gramados em um jogo comemorativo no Maracanã! Que carreira fod@, com passagem por quatro clubes no Brasil e grande destaque na Internazionale e na #SeleçãoBrasileira!"/>
    <s v="&quot;2024-12-15T22:22:15.000Z&quot;"/>
    <s v="[&quot;https://pbs.twimg.com/media/Ge33TDEX0AAfgjZ.jpg&quot;]"/>
    <s v="https://x.com/TNTSportsBR/status/1868421338333077960"/>
    <s v="null"/>
    <n v="21"/>
    <n v="189"/>
    <n v="2737"/>
    <n v="48418"/>
    <s v=""/>
    <s v="[&quot;SeleçãoBrasileira&quot;]"/>
    <n v="8293192"/>
    <s v="⚽️ É muito mais Champions na Max, com TODOS os jogos ao vivo!_x000a_👇🏻Assine e assista clicando no link👇🏻"/>
    <n v="456734"/>
    <s v="https://pbs.twimg.com/profile_images/1807013047975768065/8sm_IGpw_normal.jpg"/>
    <n v="859"/>
    <b v="0"/>
    <n v="10"/>
    <n v="21"/>
    <s v="{&quot;post_id&quot;:null,&quot;profile_id&quot;:null,&quot;profile_name&quot;:null}"/>
    <s v="null"/>
    <s v="null"/>
    <s v="{&quot;data_posted&quot;:null,&quot;description&quot;:null,&quot;photos&quot;:null,&quot;post_id&quot;:null,&quot;profile_id&quot;:null,&quot;profile_name&quot;:null,&quot;url&quot;:null,&quot;videos&quot;:null}"/>
    <n v="2978"/>
    <n v="6.1506051468462143E-2"/>
    <d v="2024-12-15T00:00:00"/>
    <n v="0.9321180555555556"/>
    <x v="0"/>
    <x v="11"/>
    <x v="0"/>
    <x v="0"/>
    <x v="1"/>
    <x v="0"/>
    <n v="237"/>
    <x v="0"/>
  </r>
  <r>
    <n v="1.8684006319179986E+18"/>
    <s v="acm███n"/>
    <s v="AC ███an"/>
    <s v="🤩 @T_Reijnders"/>
    <s v="&quot;2024-12-15T20:59:58.000Z&quot;"/>
    <s v="[&quot;https://pbs.twimg.com/media/Ge3kXFAWkAA9Rcf.jpg&quot;]"/>
    <s v="https://x.com/acmilan/status/1868400631917998495"/>
    <s v="[{&quot;biography&quot;:null,&quot;followers&quot;:null,&quot;following&quot;:null,&quot;is_verified&quot;:null,&quot;profile_id&quot;:&quot;1681337486939676672&quot;,&quot;profile_name&quot;:&quot;Tijjani Reijnders&quot;,&quot;url&quot;:&quot;https://x.com/T_Reijnders&quot;}]"/>
    <n v="48"/>
    <n v="238"/>
    <n v="4148"/>
    <n v="74303"/>
    <s v=""/>
    <s v="null"/>
    <n v="8539601"/>
    <s v="❤🖤 125 years together, worth every minute ❤🖤 _x000a__x000a_#SempreMilan since 1899! 🔙 _x000a__x000a_Arabic: @acmilanar | Portuguese: @acmilanbr | #MilanYouth: @acmilanyouth"/>
    <n v="75535"/>
    <s v="https://pbs.twimg.com/profile_images/1848748720050868225/FQY9F6Hn_normal.jpg"/>
    <n v="117"/>
    <b v="0"/>
    <n v="28"/>
    <n v="54"/>
    <s v="{&quot;post_id&quot;:null,&quot;profile_id&quot;:null,&quot;profile_name&quot;:null}"/>
    <s v="null"/>
    <s v="null"/>
    <s v="{&quot;data_posted&quot;:null,&quot;description&quot;:null,&quot;photos&quot;:null,&quot;post_id&quot;:null,&quot;profile_id&quot;:null,&quot;profile_name&quot;:null,&quot;url&quot;:null,&quot;videos&quot;:null}"/>
    <n v="4516"/>
    <n v="6.077816508081773E-2"/>
    <d v="2024-12-15T00:00:00"/>
    <n v="0.87497685185185181"/>
    <x v="0"/>
    <x v="3"/>
    <x v="0"/>
    <x v="0"/>
    <x v="0"/>
    <x v="0"/>
    <n v="14"/>
    <x v="0"/>
  </r>
  <r>
    <n v="1.8683409971486193E+18"/>
    <s v="Man███Wom███"/>
    <s v="Man███ste███nit█████████"/>
    <s v="Our Grace, our matchwinner 🫶_x000a__x000a_#MUWomen"/>
    <s v="&quot;2024-12-15T17:03:00.000Z&quot;"/>
    <s v="null"/>
    <s v="https://x.com/ManUtdWomen/status/1868340997148619258"/>
    <s v="null"/>
    <n v="9"/>
    <n v="84"/>
    <n v="987"/>
    <n v="18011"/>
    <s v="https://store.manutd.com/en-gb/c/shop-by-player/womens-team/clinton?t=y&amp;utm_source=twitter&amp;utm_medium=post&amp;utm_campaign=ecom&amp;utm_content=clintonpalacepotm"/>
    <s v="[&quot;MUWomen&quot;]"/>
    <n v="462263"/>
    <s v="Explore our Christmas deals on United Store now 🛍️⤵️"/>
    <n v="16271"/>
    <s v="https://pbs.twimg.com/profile_images/1856421977373741056/jWwLjKK5_normal.jpg"/>
    <n v="38"/>
    <b v="0"/>
    <n v="8"/>
    <n v="2"/>
    <s v="{&quot;post_id&quot;:null,&quot;profile_id&quot;:null,&quot;profile_name&quot;:null}"/>
    <s v="null"/>
    <s v="null"/>
    <s v="{&quot;data_posted&quot;:null,&quot;description&quot;:null,&quot;photos&quot;:null,&quot;post_id&quot;:null,&quot;profile_id&quot;:null,&quot;profile_name&quot;:null,&quot;url&quot;:null,&quot;videos&quot;:null}"/>
    <n v="1090"/>
    <n v="6.0518571983787683E-2"/>
    <d v="2024-12-15T00:00:00"/>
    <n v="0.7104166666666667"/>
    <x v="0"/>
    <x v="12"/>
    <x v="0"/>
    <x v="1"/>
    <x v="1"/>
    <x v="0"/>
    <n v="38"/>
    <x v="2"/>
  </r>
  <r>
    <n v="1.8683179074130371E+18"/>
    <s v="ESP███asi███"/>
    <s v="ESP███ras███"/>
    <s v="Ela é absurda! 🇧🇷_x000a__x000a_Rayssa Leal conquista a SLS Super Crown em São Paulo!_x000a__x000a_#SkateNaESPN"/>
    <s v="&quot;2024-12-15T15:31:15.000Z&quot;"/>
    <s v="[&quot;https://pbs.twimg.com/media/Ge2ZOZ6XQAAal65.jpg&quot;]"/>
    <s v="https://x.com/ESPNBrasil/status/1868317907413037091"/>
    <s v="null"/>
    <n v="9"/>
    <n v="39"/>
    <n v="914"/>
    <n v="16048"/>
    <s v=""/>
    <s v="[&quot;SkateNaESPN&quot;]"/>
    <n v="3768924"/>
    <s v="ESPN: o melhor do esporte você assiste aqui!"/>
    <n v="897934"/>
    <s v="https://pbs.twimg.com/profile_images/1224436194152345608/dCEm_D7K_normal.jpg"/>
    <n v="28"/>
    <b v="0"/>
    <n v="1"/>
    <n v="2"/>
    <s v="{&quot;post_id&quot;:null,&quot;profile_id&quot;:null,&quot;profile_name&quot;:null}"/>
    <s v="null"/>
    <s v="null"/>
    <s v="{&quot;data_posted&quot;:null,&quot;description&quot;:null,&quot;photos&quot;:null,&quot;post_id&quot;:null,&quot;profile_id&quot;:null,&quot;profile_name&quot;:null,&quot;url&quot;:null,&quot;videos&quot;:null}"/>
    <n v="965"/>
    <n v="6.0132103688933201E-2"/>
    <d v="2024-12-15T00:00:00"/>
    <n v="0.64670138888888884"/>
    <x v="0"/>
    <x v="13"/>
    <x v="0"/>
    <x v="0"/>
    <x v="1"/>
    <x v="0"/>
    <n v="86"/>
    <x v="0"/>
  </r>
  <r>
    <n v="1.868451827131298E+18"/>
    <s v="tvg███o"/>
    <s v="TV ███bo ███"/>
    <s v="foi um dia histórico e uma homenagem linda! ❤️ @SBTonline ❤️ #MelhoresDoAno #Domingão"/>
    <s v="&quot;2024-12-16T00:23:24.000Z&quot;"/>
    <s v="[&quot;https://pbs.twimg.com/media/Ge4TCFQWsAASvc1.jpg&quot;]"/>
    <s v="https://x.com/tvglobo/status/1868451827131298043"/>
    <s v="[{&quot;biography&quot;:null,&quot;followers&quot;:null,&quot;following&quot;:null,&quot;is_verified&quot;:null,&quot;profile_id&quot;:&quot;20600456&quot;,&quot;profile_name&quot;:&quot;SBT&quot;,&quot;url&quot;:&quot;https://x.com/SBTonline&quot;}]"/>
    <n v="30"/>
    <n v="261"/>
    <n v="5324"/>
    <n v="95358"/>
    <s v=""/>
    <s v="[&quot;MelhoresDoAno&quot;,&quot;Domingão&quot;]"/>
    <n v="13492372"/>
    <s v="oi, eu sou a Glô 😜"/>
    <n v="314515"/>
    <s v="https://pbs.twimg.com/profile_images/1863599216829792256/r5M1uKA8_normal.jpg"/>
    <n v="708"/>
    <b v="0"/>
    <n v="15"/>
    <n v="66"/>
    <s v="{&quot;post_id&quot;:null,&quot;profile_id&quot;:null,&quot;profile_name&quot;:null}"/>
    <s v="null"/>
    <s v="null"/>
    <s v="{&quot;data_posted&quot;:&quot;2009-02-11T16:27:31.000Z&quot;,&quot;description&quot;:&quot;Patricia Abravanel recebe homenagem a Silvio Santos: \&quot;Ele preparou cada uma de nós\&quot;\n\nhttps://t.co/I1rODhskpN https://t.co/XyPRXq4FWs&quot;,&quot;photos&quot;:[&quot;https://pbs.twimg.com/media/Ge4LWW_WcAAXny9.jpg&quot;],&quot;post_id&quot;:&quot;1868443376414069072&quot;,&quot;profile_id&quot;:&quot;SBTonline&quot;,&quot;profile_name&quot;:&quot;SBT&quot;,&quot;url&quot;:&quot;https://x.com/SBTonline/status/1868443376414069072&quot;,&quot;videos&quot;:null}"/>
    <n v="5696"/>
    <n v="5.9732796409320665E-2"/>
    <d v="2024-12-16T00:00:00"/>
    <n v="1.6250000000000001E-2"/>
    <x v="2"/>
    <x v="5"/>
    <x v="0"/>
    <x v="0"/>
    <x v="1"/>
    <x v="0"/>
    <n v="85"/>
    <x v="1"/>
  </r>
  <r>
    <n v="1.8682841949857674E+18"/>
    <s v="Man███Wom███"/>
    <s v="Man███ste███nit█████████"/>
    <s v="These two 🫶_x000a__x000a_#MUWomen"/>
    <s v="&quot;2024-12-15T13:17:17.000Z&quot;"/>
    <s v="[&quot;https://pbs.twimg.com/media/Ge16kJuXsAAFKOo.jpg&quot;,&quot;https://pbs.twimg.com/media/Ge16kJtX0AA4Lzp.jpg&quot;]"/>
    <s v="https://x.com/ManUtdWomen/status/1868284194985767308"/>
    <s v="null"/>
    <n v="16"/>
    <n v="148"/>
    <n v="2046"/>
    <n v="38686"/>
    <s v=""/>
    <s v="[&quot;MUWomen&quot;]"/>
    <n v="462263"/>
    <s v="Explore our Christmas deals on United Store now 🛍️⤵️"/>
    <n v="16271"/>
    <s v="https://pbs.twimg.com/profile_images/1856421977373741056/jWwLjKK5_normal.jpg"/>
    <n v="38"/>
    <b v="0"/>
    <n v="35"/>
    <n v="33"/>
    <s v="{&quot;post_id&quot;:null,&quot;profile_id&quot;:null,&quot;profile_name&quot;:null}"/>
    <s v="null"/>
    <s v="null"/>
    <s v="{&quot;data_posted&quot;:null,&quot;description&quot;:null,&quot;photos&quot;:null,&quot;post_id&quot;:null,&quot;profile_id&quot;:null,&quot;profile_name&quot;:null,&quot;url&quot;:null,&quot;videos&quot;:null}"/>
    <n v="2278"/>
    <n v="5.8884350927984282E-2"/>
    <d v="2024-12-15T00:00:00"/>
    <n v="0.55366898148148147"/>
    <x v="0"/>
    <x v="14"/>
    <x v="0"/>
    <x v="0"/>
    <x v="1"/>
    <x v="0"/>
    <n v="21"/>
    <x v="2"/>
  </r>
  <r>
    <n v="1.8683763677435412E+18"/>
    <s v="top███ugb███"/>
    <s v="TOP███ Ru███"/>
    <s v="Le @StadeToulousain déroule à Exeter 💪_x000a_Sans trembler, Toulouse l'emporte en passant une nouvelle fois la barre des 60 points 📈 #TOP14 #InvestecChampionsCup"/>
    <s v="&quot;2024-12-15T19:23:33.000Z&quot;"/>
    <s v="[&quot;https://pbs.twimg.com/media/Ge3OYsMW8AA45zo.jpg&quot;]"/>
    <s v="https://x.com/top14rugby/status/1868376367743541370"/>
    <s v="[{&quot;biography&quot;:null,&quot;followers&quot;:null,&quot;following&quot;:null,&quot;is_verified&quot;:null,&quot;profile_id&quot;:&quot;267228287&quot;,&quot;profile_name&quot;:&quot;Stade Toulousain&quot;,&quot;url&quot;:&quot;https://x.com/StadeToulousain&quot;}]"/>
    <n v="5"/>
    <n v="32"/>
    <n v="426"/>
    <n v="7928"/>
    <s v=""/>
    <s v="[&quot;TOP14&quot;,&quot;InvestecChampionsCup&quot;]"/>
    <n v="247129"/>
    <s v="Compte officiel du championnat de France professionnel de rugby à XV #TOP14 @lnrofficiel"/>
    <n v="78213"/>
    <s v="https://pbs.twimg.com/profile_images/1660209856731643905/f1K1xeM7_normal.jpg"/>
    <n v="1031"/>
    <b v="0"/>
    <n v="1"/>
    <n v="0"/>
    <s v="{&quot;post_id&quot;:null,&quot;profile_id&quot;:null,&quot;profile_name&quot;:null}"/>
    <s v="null"/>
    <s v="null"/>
    <s v="{&quot;data_posted&quot;:null,&quot;description&quot;:null,&quot;photos&quot;:null,&quot;post_id&quot;:null,&quot;profile_id&quot;:null,&quot;profile_name&quot;:null,&quot;url&quot;:null,&quot;videos&quot;:null}"/>
    <n v="464"/>
    <n v="5.8526740665993948E-2"/>
    <d v="2024-12-15T00:00:00"/>
    <n v="0.8080208333333333"/>
    <x v="0"/>
    <x v="4"/>
    <x v="0"/>
    <x v="0"/>
    <x v="1"/>
    <x v="0"/>
    <n v="155"/>
    <x v="2"/>
  </r>
  <r>
    <n v="1.8683759412418483E+18"/>
    <s v="Man███"/>
    <s v="Man███ste███nit███"/>
    <s v="Together 💪_x000a__x000a_#MUFC || #MCIMUN"/>
    <s v="&quot;2024-12-15T19:21:51.000Z&quot;"/>
    <s v="[&quot;https://pbs.twimg.com/media/Ge3No-QWgAANHcO.jpg&quot;,&quot;https://pbs.twimg.com/media/Ge3NrMvXIAACvAp.jpg&quot;,&quot;https://pbs.twimg.com/media/Ge3N2eKXgAAHWLS.jpg&quot;,&quot;https://pbs.twimg.com/media/Ge3N5bSXUAAXOWh.jpg&quot;]"/>
    <s v="https://x.com/ManUtd/status/1868375941241848237"/>
    <s v="null"/>
    <n v="274"/>
    <n v="2496"/>
    <n v="17768"/>
    <n v="354623"/>
    <s v=""/>
    <s v="[&quot;MUFC&quot;,&quot;MCIMUN&quot;]"/>
    <n v="38439079"/>
    <s v="’Tis the season to gift United! 🎁🎄"/>
    <n v="92455"/>
    <s v="https://pbs.twimg.com/profile_images/1856418426496880640/iIvJaO5T_normal.png"/>
    <n v="145"/>
    <b v="0"/>
    <n v="60"/>
    <n v="120"/>
    <s v="{&quot;post_id&quot;:null,&quot;profile_id&quot;:null,&quot;profile_name&quot;:null}"/>
    <s v="null"/>
    <s v="null"/>
    <s v="{&quot;data_posted&quot;:null,&quot;description&quot;:null,&quot;photos&quot;:null,&quot;post_id&quot;:null,&quot;profile_id&quot;:null,&quot;profile_name&quot;:null,&quot;url&quot;:null,&quot;videos&quot;:null}"/>
    <n v="20718"/>
    <n v="5.8422606542722834E-2"/>
    <d v="2024-12-15T00:00:00"/>
    <n v="0.80684027777777778"/>
    <x v="0"/>
    <x v="4"/>
    <x v="0"/>
    <x v="0"/>
    <x v="1"/>
    <x v="0"/>
    <n v="28"/>
    <x v="1"/>
  </r>
  <r>
    <n v="1.8683009382237719E+18"/>
    <s v="Bar███ysW███"/>
    <s v="Bar███ys ███en'█████████eag███"/>
    <s v="Manchester United's number eight 🔥_x000a__x000a_#BarclaysWSL @ManUtdWomen"/>
    <s v="&quot;2024-12-15T14:23:49.000Z&quot;"/>
    <s v="[&quot;https://pbs.twimg.com/media/Ge2IaWyWoAA8FGE.jpg&quot;]"/>
    <s v="https://x.com/BarclaysWSL/status/1868300938223771962"/>
    <s v="[{&quot;biography&quot;:null,&quot;followers&quot;:null,&quot;following&quot;:null,&quot;is_verified&quot;:null,&quot;profile_id&quot;:&quot;977180963846443013&quot;,&quot;profile_name&quot;:&quot;Manchester United Women&quot;,&quot;url&quot;:&quot;https://x.com/ManUtdWomen&quot;}]"/>
    <n v="6"/>
    <n v="57"/>
    <n v="1008"/>
    <n v="18464"/>
    <s v=""/>
    <s v="[&quot;BarclaysWSL&quot;]"/>
    <n v="337839"/>
    <s v="The home of top-flight women's football in England! 🤩_x000a__x000a_Subscribe to our brand-new BWSL YouTube Channel! 📺 #BarclaysWSL"/>
    <n v="57638"/>
    <s v="https://pbs.twimg.com/profile_images/1605171595160555521/NKG9mgxv_normal.jpg"/>
    <n v="587"/>
    <b v="0"/>
    <n v="0"/>
    <n v="6"/>
    <s v="{&quot;post_id&quot;:null,&quot;profile_id&quot;:null,&quot;profile_name&quot;:null}"/>
    <s v="null"/>
    <s v="null"/>
    <s v="{&quot;data_posted&quot;:null,&quot;description&quot;:null,&quot;photos&quot;:null,&quot;post_id&quot;:null,&quot;profile_id&quot;:null,&quot;profile_name&quot;:null,&quot;url&quot;:null,&quot;videos&quot;:null}"/>
    <n v="1077"/>
    <n v="5.8329722703639515E-2"/>
    <d v="2024-12-15T00:00:00"/>
    <n v="0.59987268518518522"/>
    <x v="0"/>
    <x v="1"/>
    <x v="0"/>
    <x v="0"/>
    <x v="1"/>
    <x v="0"/>
    <n v="61"/>
    <x v="2"/>
  </r>
  <r>
    <n v="1.8683350325129385E+18"/>
    <s v="Man███Wom███"/>
    <s v="Man███ste███nit█████████"/>
    <s v="The skipper signs off for 2024! 👋_x000a__x000a_🤳 @MayaLeTissier_x000a__x000a_#MUWomen"/>
    <s v="&quot;2024-12-15T16:39:18.000Z&quot;"/>
    <s v="null"/>
    <s v="https://x.com/ManUtdWomen/status/1868335032512938388"/>
    <s v="[{&quot;biography&quot;:null,&quot;followers&quot;:null,&quot;following&quot;:null,&quot;is_verified&quot;:null,&quot;profile_id&quot;:&quot;1029076404531593216&quot;,&quot;profile_name&quot;:&quot;Maya Le Tissier&quot;,&quot;url&quot;:&quot;https://x.com/MayaLeTissier&quot;}]"/>
    <n v="10"/>
    <n v="62"/>
    <n v="684"/>
    <n v="13214"/>
    <s v=""/>
    <s v="[&quot;MUWomen&quot;]"/>
    <n v="462262"/>
    <s v="Explore our Christmas deals on United Store now 🛍️⤵️"/>
    <n v="16271"/>
    <s v="https://pbs.twimg.com/profile_images/1856421977373741056/jWwLjKK5_normal.jpg"/>
    <n v="38"/>
    <b v="0"/>
    <n v="3"/>
    <n v="10"/>
    <s v="{&quot;post_id&quot;:null,&quot;profile_id&quot;:null,&quot;profile_name&quot;:null}"/>
    <s v="null"/>
    <s v="[{&quot;duration&quot;:6360,&quot;video_url&quot;:&quot;https://video.twimg.com/amplify_video/1868332085162770432/vid/avc1/720x1280/uWBhSgLwonYkTDSF.mp4?tag=14&quot;}]"/>
    <s v="{&quot;data_posted&quot;:null,&quot;description&quot;:null,&quot;photos&quot;:null,&quot;post_id&quot;:null,&quot;profile_id&quot;:null,&quot;profile_name&quot;:null,&quot;url&quot;:null,&quot;videos&quot;:null}"/>
    <n v="769"/>
    <n v="5.8195852883305588E-2"/>
    <d v="2024-12-15T00:00:00"/>
    <n v="0.69395833333333334"/>
    <x v="0"/>
    <x v="15"/>
    <x v="1"/>
    <x v="1"/>
    <x v="1"/>
    <x v="0"/>
    <n v="61"/>
    <x v="2"/>
  </r>
  <r>
    <n v="1.8684320970748974E+18"/>
    <s v="CPFC"/>
    <s v="Cry███l P███ce ██████"/>
    <s v="Night, Palace fans 😘_x000a__x000a_#CPFC"/>
    <s v="&quot;2024-12-15T23:05:00.000Z&quot;"/>
    <s v="[&quot;https://pbs.twimg.com/media/Ge3hU7jWwAAwsHM.jpg&quot;]"/>
    <s v="https://x.com/CPFC/status/1868432097074897370"/>
    <s v="null"/>
    <n v="7"/>
    <n v="92"/>
    <n v="1107"/>
    <n v="21437"/>
    <s v=""/>
    <s v="[&quot;CPFC&quot;]"/>
    <n v="1480966"/>
    <s v="The Pride of South London."/>
    <n v="103753"/>
    <s v="https://pbs.twimg.com/profile_images/1857393032883994624/qN-MGWEH_normal.jpg"/>
    <n v="552"/>
    <b v="0"/>
    <n v="10"/>
    <n v="15"/>
    <s v="{&quot;post_id&quot;:null,&quot;profile_id&quot;:null,&quot;profile_name&quot;:null}"/>
    <s v="null"/>
    <s v="null"/>
    <s v="{&quot;data_posted&quot;:null,&quot;description&quot;:null,&quot;photos&quot;:null,&quot;post_id&quot;:null,&quot;profile_id&quot;:null,&quot;profile_name&quot;:null,&quot;url&quot;:null,&quot;videos&quot;:null}"/>
    <n v="1231"/>
    <n v="5.7424079861920975E-2"/>
    <d v="2024-12-15T00:00:00"/>
    <n v="0.96180555555555558"/>
    <x v="0"/>
    <x v="7"/>
    <x v="0"/>
    <x v="0"/>
    <x v="1"/>
    <x v="0"/>
    <n v="27"/>
    <x v="0"/>
  </r>
  <r>
    <n v="1.8684296182960005E+18"/>
    <s v="tvg███o"/>
    <s v="TV ███bo ███"/>
    <s v="O agradecimento da Patricia pro Luciano 🥰 @SBTonline #MelhoresDoAno #Domingão"/>
    <s v="&quot;2024-12-15T22:55:09.000Z&quot;"/>
    <s v="null"/>
    <s v="https://x.com/tvglobo/status/1868429618296000624"/>
    <s v="[{&quot;biography&quot;:null,&quot;followers&quot;:null,&quot;following&quot;:null,&quot;is_verified&quot;:null,&quot;profile_id&quot;:&quot;20600456&quot;,&quot;profile_name&quot;:&quot;SBT&quot;,&quot;url&quot;:&quot;https://x.com/SBTonline&quot;}]"/>
    <n v="18"/>
    <n v="89"/>
    <n v="1049"/>
    <n v="21052"/>
    <s v=""/>
    <s v="[&quot;MelhoresDoAno&quot;,&quot;Domingão&quot;]"/>
    <n v="13492430"/>
    <s v="oi, eu sou a Glô 😜"/>
    <n v="314515"/>
    <s v="https://pbs.twimg.com/profile_images/1863599216829792256/r5M1uKA8_normal.jpg"/>
    <n v="708"/>
    <b v="0"/>
    <n v="3"/>
    <n v="37"/>
    <s v="{&quot;post_id&quot;:null,&quot;profile_id&quot;:null,&quot;profile_name&quot;:null}"/>
    <s v="null"/>
    <s v="[{&quot;duration&quot;:60810,&quot;video_url&quot;:&quot;https://video.twimg.com/amplify_video/1868428309316689920/vid/avc1/1920x1080/LaRPrDEKB1N7D2sF.mp4?tag=16&quot;}]"/>
    <s v="{&quot;data_posted&quot;:null,&quot;description&quot;:null,&quot;photos&quot;:null,&quot;post_id&quot;:null,&quot;profile_id&quot;:null,&quot;profile_name&quot;:null,&quot;url&quot;:null,&quot;videos&quot;:null}"/>
    <n v="1196"/>
    <n v="5.6811704351130532E-2"/>
    <d v="2024-12-15T00:00:00"/>
    <n v="0.95496527777777773"/>
    <x v="0"/>
    <x v="11"/>
    <x v="1"/>
    <x v="1"/>
    <x v="1"/>
    <x v="0"/>
    <n v="77"/>
    <x v="1"/>
  </r>
  <r>
    <n v="1.8684286700852349E+18"/>
    <s v="tvg███o"/>
    <s v="TV ███bo ███"/>
    <s v="QUE DIA HISTÓRICO ❤️ @SBTonline _x000a__x000a_#MelhoresDoAno #Domingão"/>
    <s v="&quot;2024-12-15T22:51:23.000Z&quot;"/>
    <s v="[&quot;https://pbs.twimg.com/media/Ge39-IkW4AAaie0.jpg&quot;]"/>
    <s v="https://x.com/tvglobo/status/1868428670085234956"/>
    <s v="[{&quot;biography&quot;:null,&quot;followers&quot;:null,&quot;following&quot;:null,&quot;is_verified&quot;:null,&quot;profile_id&quot;:&quot;20600456&quot;,&quot;profile_name&quot;:&quot;SBT&quot;,&quot;url&quot;:&quot;https://x.com/SBTonline&quot;}]"/>
    <n v="100"/>
    <n v="492"/>
    <n v="6129"/>
    <n v="121959"/>
    <s v=""/>
    <s v="[&quot;MelhoresDoAno&quot;,&quot;Domingão&quot;]"/>
    <n v="13492430"/>
    <s v="oi, eu sou a Glô 😜"/>
    <n v="314515"/>
    <s v="https://pbs.twimg.com/profile_images/1863599216829792256/r5M1uKA8_normal.jpg"/>
    <n v="708"/>
    <b v="0"/>
    <n v="47"/>
    <n v="79"/>
    <s v="{&quot;post_id&quot;:null,&quot;profile_id&quot;:null,&quot;profile_name&quot;:null}"/>
    <s v="null"/>
    <s v="null"/>
    <s v="{&quot;data_posted&quot;:null,&quot;description&quot;:null,&quot;photos&quot;:null,&quot;post_id&quot;:null,&quot;profile_id&quot;:null,&quot;profile_name&quot;:null,&quot;url&quot;:null,&quot;videos&quot;:null}"/>
    <n v="6847"/>
    <n v="5.61418181520019E-2"/>
    <d v="2024-12-15T00:00:00"/>
    <n v="0.95234953703703706"/>
    <x v="0"/>
    <x v="11"/>
    <x v="0"/>
    <x v="0"/>
    <x v="1"/>
    <x v="0"/>
    <n v="58"/>
    <x v="1"/>
  </r>
  <r>
    <n v="1.8682497052741102E+18"/>
    <s v="US7███lee███"/>
    <s v="7th███eet███"/>
    <s v="Sailors assigned to the forward-deployed amphibious assault ship USS America (LHA 6), participate in a firefighting drill on the flight deck during routine operations, Dec. 13._x000a__x000a_📸 by MCSN Jeadan Andre_x000a__x000a_#USNavy | #OperationalReadiness"/>
    <s v="&quot;2024-12-15T11:00:14.000Z&quot;"/>
    <s v="[&quot;https://pbs.twimg.com/media/Ge1bNAEXIAASIWL.jpg&quot;,&quot;https://pbs.twimg.com/media/Ge1bNCCXIAAV9q9.jpg&quot;,&quot;https://pbs.twimg.com/media/Ge1bM_XW8AELpXp.jpg&quot;,&quot;https://pbs.twimg.com/media/Ge1bM_1XcAAwH9D.jpg&quot;]"/>
    <s v="https://x.com/US7thFleet/status/1868249705274110216"/>
    <s v="null"/>
    <n v="10"/>
    <n v="41"/>
    <n v="188"/>
    <n v="4441"/>
    <s v=""/>
    <s v="[&quot;USNavy&quot;,&quot;OperationalReadiness&quot;]"/>
    <n v="200100"/>
    <s v="At any given time, there are 50-70 ships, 150 aircraft and more than 20,000 Sailors and Marines assigned to the U.S. 7th Fleet."/>
    <n v="6797"/>
    <s v="https://pbs.twimg.com/profile_images/1817182471118794752/ez7SDQWK_normal.jpg"/>
    <n v="126"/>
    <b v="0"/>
    <n v="3"/>
    <n v="7"/>
    <s v="{&quot;post_id&quot;:null,&quot;profile_id&quot;:null,&quot;profile_name&quot;:null}"/>
    <s v="null"/>
    <s v="null"/>
    <s v="{&quot;data_posted&quot;:null,&quot;description&quot;:null,&quot;photos&quot;:null,&quot;post_id&quot;:null,&quot;profile_id&quot;:null,&quot;profile_name&quot;:null,&quot;url&quot;:null,&quot;videos&quot;:null}"/>
    <n v="249"/>
    <n v="5.6068453051114617E-2"/>
    <d v="2024-12-15T00:00:00"/>
    <n v="0.45849537037037036"/>
    <x v="0"/>
    <x v="16"/>
    <x v="0"/>
    <x v="0"/>
    <x v="1"/>
    <x v="0"/>
    <n v="233"/>
    <x v="2"/>
  </r>
  <r>
    <n v="1.8683434068687299E+18"/>
    <s v="Bro███ynN███"/>
    <s v="Bro███yn ███s"/>
    <s v="Thank you, @DS17_FG"/>
    <s v="&quot;2024-12-15T17:12:34.000Z&quot;"/>
    <s v="[&quot;https://pbs.twimg.com/media/Ge2wT69XoAApU4L.jpg&quot;]"/>
    <s v="https://x.com/BrooklynNets/status/1868343406868729976"/>
    <s v="[{&quot;biography&quot;:null,&quot;followers&quot;:null,&quot;following&quot;:null,&quot;is_verified&quot;:null,&quot;profile_id&quot;:&quot;1631770885714583553&quot;,&quot;profile_name&quot;:&quot;Dennis Schröder&quot;,&quot;url&quot;:&quot;https://x.com/DS17_FG&quot;}]"/>
    <n v="60"/>
    <n v="285"/>
    <n v="4504"/>
    <n v="88375"/>
    <s v=""/>
    <s v="null"/>
    <n v="2035097"/>
    <s v="Tweets from #NetsWorld"/>
    <n v="106867"/>
    <s v="https://pbs.twimg.com/profile_images/1811024920870277122/1wQgAUZH_normal.jpg"/>
    <n v="411"/>
    <b v="0"/>
    <n v="53"/>
    <n v="35"/>
    <s v="{&quot;post_id&quot;:null,&quot;profile_id&quot;:null,&quot;profile_name&quot;:null}"/>
    <s v="null"/>
    <s v="null"/>
    <s v="{&quot;data_posted&quot;:null,&quot;description&quot;:null,&quot;photos&quot;:null,&quot;post_id&quot;:null,&quot;profile_id&quot;:null,&quot;profile_name&quot;:null,&quot;url&quot;:null,&quot;videos&quot;:null}"/>
    <n v="4937"/>
    <n v="5.5864214992927867E-2"/>
    <d v="2024-12-15T00:00:00"/>
    <n v="0.71706018518518522"/>
    <x v="0"/>
    <x v="12"/>
    <x v="0"/>
    <x v="0"/>
    <x v="0"/>
    <x v="0"/>
    <n v="19"/>
    <x v="0"/>
  </r>
  <r>
    <n v="1.8683668948831155E+18"/>
    <s v="Man███"/>
    <s v="Man███ste███nit███"/>
    <s v="For you that, Reds._x000a__x000a_#MUFC || #MCIMUN"/>
    <s v="&quot;2024-12-15T18:45:54.000Z&quot;"/>
    <s v="[&quot;https://pbs.twimg.com/media/Ge3Djg-XIAAShfl.jpg&quot;]"/>
    <s v="https://x.com/ManUtd/status/1868366894883115448"/>
    <s v="null"/>
    <n v="288"/>
    <n v="3484"/>
    <n v="28062"/>
    <n v="577299"/>
    <s v=""/>
    <s v="[&quot;MUFC&quot;,&quot;MCIMUN&quot;]"/>
    <n v="38439072"/>
    <s v="’Tis the season to gift United! 🎁🎄"/>
    <n v="92455"/>
    <s v="https://pbs.twimg.com/profile_images/1856418426496880640/iIvJaO5T_normal.png"/>
    <n v="145"/>
    <b v="0"/>
    <n v="114"/>
    <n v="186"/>
    <s v="{&quot;post_id&quot;:null,&quot;profile_id&quot;:null,&quot;profile_name&quot;:null}"/>
    <s v="null"/>
    <s v="null"/>
    <s v="{&quot;data_posted&quot;:null,&quot;description&quot;:null,&quot;photos&quot;:null,&quot;post_id&quot;:null,&quot;profile_id&quot;:null,&quot;profile_name&quot;:null,&quot;url&quot;:null,&quot;videos&quot;:null}"/>
    <n v="32134"/>
    <n v="5.5662663541769519E-2"/>
    <d v="2024-12-15T00:00:00"/>
    <n v="0.78187499999999999"/>
    <x v="0"/>
    <x v="8"/>
    <x v="0"/>
    <x v="0"/>
    <x v="1"/>
    <x v="0"/>
    <n v="37"/>
    <x v="1"/>
  </r>
  <r>
    <n v="1.8683631258018081E+18"/>
    <s v="TNT███rts███"/>
    <s v="TNT███ort███R"/>
    <s v="QUE LOUCURA! 😳 O City vencia até os 88 do segundo tempo, mas o United foi buscar uma virada HISTÓRICA! É, Guardiola... 👀 #PremierLeague"/>
    <s v="&quot;2024-12-15T18:30:56.000Z&quot;"/>
    <s v="[&quot;https://pbs.twimg.com/media/Ge3CIP2XcAAPpLH.jpg&quot;]"/>
    <s v="https://x.com/TNTSportsBR/status/1868363125801808049"/>
    <s v="null"/>
    <n v="70"/>
    <n v="83"/>
    <n v="2528"/>
    <n v="50653"/>
    <s v=""/>
    <s v="[&quot;PremierLeague&quot;]"/>
    <n v="8293201"/>
    <s v="⚽️ É muito mais Champions na Max, com TODOS os jogos ao vivo!_x000a_👇🏻Assine e assista clicando no link👇🏻"/>
    <n v="456734"/>
    <s v="https://pbs.twimg.com/profile_images/1807013047975768065/8sm_IGpw_normal.jpg"/>
    <n v="859"/>
    <b v="0"/>
    <n v="42"/>
    <n v="14"/>
    <s v="{&quot;post_id&quot;:null,&quot;profile_id&quot;:null,&quot;profile_name&quot;:null}"/>
    <s v="null"/>
    <s v="null"/>
    <s v="{&quot;data_posted&quot;:null,&quot;description&quot;:null,&quot;photos&quot;:null,&quot;post_id&quot;:null,&quot;profile_id&quot;:null,&quot;profile_name&quot;:null,&quot;url&quot;:null,&quot;videos&quot;:null}"/>
    <n v="2737"/>
    <n v="5.4034311886758932E-2"/>
    <d v="2024-12-15T00:00:00"/>
    <n v="0.77148148148148143"/>
    <x v="0"/>
    <x v="8"/>
    <x v="0"/>
    <x v="0"/>
    <x v="1"/>
    <x v="0"/>
    <n v="135"/>
    <x v="0"/>
  </r>
  <r>
    <n v="1.8683922781440164E+18"/>
    <s v="acm███n"/>
    <s v="AC ███an"/>
    <s v="Born in 2007, kitted out like it's 1899 ❤️‍🔥_x000a__x000a_#MilanGenoa #ACMilanWorthEveryMinute #SempreMilan"/>
    <s v="&quot;2024-12-15T20:26:46.000Z&quot;"/>
    <s v="[&quot;https://pbs.twimg.com/media/Ge3ci2cWwAMTTOO.jpg&quot;]"/>
    <s v="https://x.com/acmilan/status/1868392278144016435"/>
    <s v="null"/>
    <n v="25"/>
    <n v="322"/>
    <n v="5077"/>
    <n v="102362"/>
    <s v=""/>
    <s v="[&quot;MilanGenoa&quot;,&quot;ACMilanWorthEveryMinute&quot;,&quot;SempreMilan&quot;]"/>
    <n v="8539604"/>
    <s v="❤🖤 125 years together, worth every minute ❤🖤 _x000a__x000a_#SempreMilan since 1899! 🔙 _x000a__x000a_Arabic: @acmilanar | Portuguese: @acmilanbr | #MilanYouth: @acmilanyouth"/>
    <n v="75535"/>
    <s v="https://pbs.twimg.com/profile_images/1848748720050868225/FQY9F6Hn_normal.jpg"/>
    <n v="117"/>
    <b v="0"/>
    <n v="31"/>
    <n v="63"/>
    <s v="{&quot;post_id&quot;:null,&quot;profile_id&quot;:null,&quot;profile_name&quot;:null}"/>
    <s v="null"/>
    <s v="null"/>
    <s v="{&quot;data_posted&quot;:null,&quot;description&quot;:null,&quot;photos&quot;:null,&quot;post_id&quot;:null,&quot;profile_id&quot;:null,&quot;profile_name&quot;:null,&quot;url&quot;:null,&quot;videos&quot;:null}"/>
    <n v="5518"/>
    <n v="5.3906723198061779E-2"/>
    <d v="2024-12-15T00:00:00"/>
    <n v="0.85192129629629632"/>
    <x v="0"/>
    <x v="3"/>
    <x v="0"/>
    <x v="0"/>
    <x v="1"/>
    <x v="0"/>
    <n v="95"/>
    <x v="0"/>
  </r>
  <r>
    <n v="1.8683024939453033E+18"/>
    <s v="McL███nF1███"/>
    <s v="McL███n"/>
    <s v="This time last week. 🤩🏆_x000a__x000a_#ThisTeam_x000a__x000a_#ThisTeam"/>
    <s v="&quot;2024-12-15T14:30:00.000Z&quot;"/>
    <s v="null"/>
    <s v="https://x.com/McLarenF1/status/1868302493945303194"/>
    <s v="null"/>
    <n v="41"/>
    <n v="316"/>
    <n v="3423"/>
    <n v="74207"/>
    <s v=""/>
    <s v="[&quot;ThisTeam&quot;,&quot;ThisTeam&quot;]"/>
    <n v="4240900"/>
    <s v="THIS TEAM HAS JUST WON IT. 🧡 2024 CONSTRUCTORS’ CHAMPIONS! 🏆"/>
    <n v="60308"/>
    <s v="https://pbs.twimg.com/profile_images/1865766127109820416/EGGL8SUG_normal.png"/>
    <n v="26587"/>
    <b v="0"/>
    <n v="10"/>
    <n v="116"/>
    <s v="{&quot;post_id&quot;:null,&quot;profile_id&quot;:null,&quot;profile_name&quot;:null}"/>
    <s v="null"/>
    <s v="[{&quot;duration&quot;:28960,&quot;video_url&quot;:&quot;https://video.twimg.com/amplify_video/1867218328495747072/vid/avc1/720x1280/ekM6Qy1Agrun0woy.mp4?tag=14&quot;}]"/>
    <s v="{&quot;data_posted&quot;:null,&quot;description&quot;:null,&quot;photos&quot;:null,&quot;post_id&quot;:null,&quot;profile_id&quot;:null,&quot;profile_name&quot;:null,&quot;url&quot;:null,&quot;videos&quot;:null}"/>
    <n v="3906"/>
    <n v="5.2636543722290347E-2"/>
    <d v="2024-12-15T00:00:00"/>
    <n v="0.60416666666666663"/>
    <x v="0"/>
    <x v="1"/>
    <x v="1"/>
    <x v="1"/>
    <x v="1"/>
    <x v="0"/>
    <n v="45"/>
    <x v="0"/>
  </r>
  <r>
    <n v="1.8684275852075584E+18"/>
    <s v="tvg███o"/>
    <s v="TV ███bo ███"/>
    <s v="&quot;Chegou o momento de homenagear o melhor dos melhores e não só do ano, mas de todos os tempos!&quot; 🤍 @SBTonline e eu hoje estamos juntinhas transmitindo essa homenagem pra vocês! #MelhoresDoAno #Domingão"/>
    <s v="&quot;2024-12-15T22:47:04.000Z&quot;"/>
    <s v="null"/>
    <s v="https://x.com/tvglobo/status/1868427585207558407"/>
    <s v="[{&quot;biography&quot;:null,&quot;followers&quot;:null,&quot;following&quot;:null,&quot;is_verified&quot;:null,&quot;profile_id&quot;:&quot;20600456&quot;,&quot;profile_name&quot;:&quot;SBT&quot;,&quot;url&quot;:&quot;https://x.com/SBTonline&quot;}]"/>
    <n v="29"/>
    <n v="225"/>
    <n v="1891"/>
    <n v="42884"/>
    <s v=""/>
    <s v="[&quot;MelhoresDoAno&quot;,&quot;Domingão&quot;]"/>
    <n v="13492430"/>
    <s v="oi, eu sou a Glô 😜"/>
    <n v="314515"/>
    <s v="https://pbs.twimg.com/profile_images/1863599216829792256/r5M1uKA8_normal.jpg"/>
    <n v="708"/>
    <b v="0"/>
    <n v="15"/>
    <n v="84"/>
    <s v="{&quot;post_id&quot;:null,&quot;profile_id&quot;:null,&quot;profile_name&quot;:null}"/>
    <s v="null"/>
    <s v="[{&quot;duration&quot;:76760,&quot;video_url&quot;:&quot;https://video.twimg.com/amplify_video/1868426525856645120/vid/avc1/1920x1080/EFY6NxlgsvrKnOHf.mp4?tag=16&quot;}]"/>
    <s v="{&quot;data_posted&quot;:null,&quot;description&quot;:null,&quot;photos&quot;:null,&quot;post_id&quot;:null,&quot;profile_id&quot;:null,&quot;profile_name&quot;:null,&quot;url&quot;:null,&quot;videos&quot;:null}"/>
    <n v="2244"/>
    <n v="5.2327208282809443E-2"/>
    <d v="2024-12-15T00:00:00"/>
    <n v="0.94935185185185189"/>
    <x v="0"/>
    <x v="11"/>
    <x v="1"/>
    <x v="1"/>
    <x v="1"/>
    <x v="0"/>
    <n v="200"/>
    <x v="1"/>
  </r>
  <r>
    <n v="1.8682858177239578E+18"/>
    <s v="Man███Wom███"/>
    <s v="Man███ste███nit█████████"/>
    <s v="Getting acquainted with today’s stage 🚶‍♀️🏟️_x000a__x000a_#MUWomen"/>
    <s v="&quot;2024-12-15T13:23:44.000Z&quot;"/>
    <s v="null"/>
    <s v="https://x.com/ManUtdWomen/status/1868285817723957700"/>
    <s v="null"/>
    <n v="14"/>
    <n v="73"/>
    <n v="919"/>
    <n v="19752"/>
    <s v=""/>
    <s v="[&quot;MUWomen&quot;]"/>
    <n v="462262"/>
    <s v="Explore our Christmas deals on United Store now 🛍️⤵️"/>
    <n v="16271"/>
    <s v="https://pbs.twimg.com/profile_images/1856421977373741056/jWwLjKK5_normal.jpg"/>
    <n v="38"/>
    <b v="0"/>
    <n v="14"/>
    <n v="8"/>
    <s v="{&quot;post_id&quot;:null,&quot;profile_id&quot;:null,&quot;profile_name&quot;:null}"/>
    <s v="null"/>
    <s v="[{&quot;duration&quot;:16066,&quot;video_url&quot;:&quot;https://video.twimg.com/amplify_video/1868285710341476352/vid/avc1/1080x1920/UyKHSDIjVsClQ47Q.mp4?tag=16&quot;}]"/>
    <s v="{&quot;data_posted&quot;:null,&quot;description&quot;:null,&quot;photos&quot;:null,&quot;post_id&quot;:null,&quot;profile_id&quot;:null,&quot;profile_name&quot;:null,&quot;url&quot;:null,&quot;videos&quot;:null}"/>
    <n v="1028"/>
    <n v="5.2045362494937221E-2"/>
    <d v="2024-12-15T00:00:00"/>
    <n v="0.55814814814814817"/>
    <x v="0"/>
    <x v="14"/>
    <x v="1"/>
    <x v="1"/>
    <x v="1"/>
    <x v="0"/>
    <n v="54"/>
    <x v="2"/>
  </r>
  <r>
    <n v="1.8682420948691108E+18"/>
    <s v="Haa███Tea███"/>
    <s v="Mon███ram███as █████████"/>
    <s v="Enjoying Esteban's first time in our colors 🤩_x000a__x000a_#HaasF1 #F1 | @OconEsteban"/>
    <s v="&quot;2024-12-15T10:30:00.000Z&quot;"/>
    <s v="[&quot;https://pbs.twimg.com/media/GescscsXgAAh4_v.jpg&quot;,&quot;https://pbs.twimg.com/media/GescuNmWwAAUMs5.jpg&quot;,&quot;https://pbs.twimg.com/media/GescvzGWwAE1imw.jpg&quot;,&quot;https://pbs.twimg.com/media/GescwsOWMAAY3DU.jpg&quot;]"/>
    <s v="https://x.com/HaasF1Team/status/1868242094869110787"/>
    <s v="[{&quot;biography&quot;:null,&quot;followers&quot;:null,&quot;following&quot;:null,&quot;is_verified&quot;:null,&quot;profile_id&quot;:&quot;490756890&quot;,&quot;profile_name&quot;:&quot;Esteban Ocon&quot;,&quot;url&quot;:&quot;https://x.com/OconEsteban&quot;}]"/>
    <n v="21"/>
    <n v="195"/>
    <n v="2978"/>
    <n v="63300"/>
    <s v=""/>
    <s v="[&quot;HaasF1&quot;,&quot;F1&quot;]"/>
    <n v="1754361"/>
    <s v="America's #F1 team."/>
    <n v="35513"/>
    <s v="https://pbs.twimg.com/profile_images/1861474960734113793/6oNJOriy_normal.jpg"/>
    <n v="313"/>
    <b v="0"/>
    <n v="17"/>
    <n v="28"/>
    <s v="{&quot;post_id&quot;:null,&quot;profile_id&quot;:null,&quot;profile_name&quot;:null}"/>
    <s v="null"/>
    <s v="null"/>
    <s v="{&quot;data_posted&quot;:null,&quot;description&quot;:null,&quot;photos&quot;:null,&quot;post_id&quot;:null,&quot;profile_id&quot;:null,&quot;profile_name&quot;:null,&quot;url&quot;:null,&quot;videos&quot;:null}"/>
    <n v="3239"/>
    <n v="5.1169036334913112E-2"/>
    <d v="2024-12-15T00:00:00"/>
    <n v="0.4375"/>
    <x v="0"/>
    <x v="17"/>
    <x v="0"/>
    <x v="0"/>
    <x v="1"/>
    <x v="0"/>
    <n v="73"/>
    <x v="0"/>
  </r>
  <r>
    <n v="1.7795603888597609E+18"/>
    <s v="Fab███ioR███no"/>
    <s v="Fab███io ███ano███"/>
    <s v="🔴⚫️🏆 Bayer Leverkusen win the Bundesliga title for the FIRST time in their history!_x000a__x000a_74 goals scored, 19 goals conceded, ZERO defeats._x000a__x000a_Insane job by Xabi Alonso and this group of fantastic players._x000a__x000a_Congratulations, @bayer04fussball! ✨"/>
    <s v="&quot;2024-04-14T17:20:33.000Z&quot;"/>
    <s v="[&quot;https://pbs.twimg.com/media/GLJEvNmW0AAGDv8.jpg&quot;]"/>
    <s v="https://x.com/FabrizioRomano/status/1779560388859760867"/>
    <s v="[{&quot;biography&quot;:null,&quot;followers&quot;:null,&quot;following&quot;:null,&quot;is_verified&quot;:null,&quot;profile_id&quot;:&quot;180720589&quot;,&quot;profile_name&quot;:&quot;Bayer 04 Leverkusen&quot;,&quot;url&quot;:&quot;https://x.com/bayer04fussball&quot;}]"/>
    <n v="2645"/>
    <n v="48199"/>
    <n v="375518"/>
    <n v="8521649"/>
    <s v=""/>
    <s v="null"/>
    <n v="22924916"/>
    <s v="Here we go! © fabrizio.romano93@gmail.com 📩"/>
    <n v="52582"/>
    <s v="https://pbs.twimg.com/profile_images/1741753635158024192/j0m8Ucvv_normal.jpg"/>
    <n v="2602"/>
    <b v="0"/>
    <n v="4977"/>
    <n v="2337"/>
    <s v="{&quot;post_id&quot;:null,&quot;profile_id&quot;:null,&quot;profile_name&quot;:null}"/>
    <s v="null"/>
    <s v="null"/>
    <s v="{&quot;data_posted&quot;:null,&quot;description&quot;:null,&quot;photos&quot;:null,&quot;post_id&quot;:null,&quot;profile_id&quot;:null,&quot;profile_name&quot;:null,&quot;url&quot;:null,&quot;videos&quot;:null}"/>
    <n v="433676"/>
    <n v="5.0891089271571738E-2"/>
    <d v="2024-04-14T00:00:00"/>
    <n v="0.72260416666666671"/>
    <x v="0"/>
    <x v="12"/>
    <x v="0"/>
    <x v="0"/>
    <x v="0"/>
    <x v="0"/>
    <n v="236"/>
    <x v="1"/>
  </r>
  <r>
    <n v="1.8683637911693972E+18"/>
    <s v="SLB███ica███"/>
    <s v="SL ███fic███"/>
    <s v="🏹_x000a__x000a_#AVSSLB • #LigaPortugalBetclic"/>
    <s v="&quot;2024-12-15T18:33:34.000Z&quot;"/>
    <s v="[&quot;https://pbs.twimg.com/media/Ge3Cz_vXUAAfGZo.jpg&quot;]"/>
    <s v="https://x.com/SLBenfica/status/1868363791169397226"/>
    <s v="null"/>
    <n v="5"/>
    <n v="119"/>
    <n v="1484"/>
    <n v="32990"/>
    <s v=""/>
    <s v="[&quot;AVSSLB&quot;,&quot;LigaPortugalBetclic&quot;]"/>
    <n v="1906482"/>
    <s v="Twitter Oficial do 𝗦𝗽𝗼𝗿𝘁 𝗟𝗶𝘀𝗯𝗼𝗮 𝗲 𝗕𝗲𝗻𝗳𝗶𝗰𝗮 _x000a_English account: @SLBenfica_EN 🇬🇧🇺🇸_x000a_Modalidades: @ModalidadesSLB 🏑🏀"/>
    <n v="124666"/>
    <s v="https://pbs.twimg.com/profile_images/1845888754898161664/8uDsALMU_normal.jpg"/>
    <n v="432"/>
    <b v="0"/>
    <n v="4"/>
    <n v="5"/>
    <s v="{&quot;post_id&quot;:null,&quot;profile_id&quot;:null,&quot;profile_name&quot;:null}"/>
    <s v="null"/>
    <s v="null"/>
    <s v="{&quot;data_posted&quot;:null,&quot;description&quot;:null,&quot;photos&quot;:null,&quot;post_id&quot;:null,&quot;profile_id&quot;:null,&quot;profile_name&quot;:null,&quot;url&quot;:null,&quot;videos&quot;:null}"/>
    <n v="1617"/>
    <n v="4.9014852985753261E-2"/>
    <d v="2024-12-15T00:00:00"/>
    <n v="0.77331018518518524"/>
    <x v="0"/>
    <x v="8"/>
    <x v="0"/>
    <x v="0"/>
    <x v="1"/>
    <x v="0"/>
    <n v="33"/>
    <x v="0"/>
  </r>
  <r>
    <n v="1.8682993587827999E+18"/>
    <s v="CNN███sil███"/>
    <s v="CNN███asi███"/>
    <s v="Lula tem alta hospitalar neste domingo (15)"/>
    <s v="&quot;2024-12-15T14:17:33.000Z&quot;"/>
    <s v="null"/>
    <s v="https://x.com/CNNBrasil/status/1868299358782799883"/>
    <s v="null"/>
    <n v="193"/>
    <n v="71"/>
    <n v="847"/>
    <n v="23155"/>
    <s v="https://www.cnnbrasil.com.br/politica/lula-tem-alta-hospitalar-neste-domingo-15/?utm_source=social&amp;utm_medium=twitter&amp;utm_campaign=politica"/>
    <s v="null"/>
    <n v="2819409"/>
    <s v="Pense bem, pense CNN._x000a_Acompanhe também pelo canal 577, app ou site. _x000a_⚽ @esportescnn_x000a_⚡️ @cnnpop_x000a_💰 @cnneconomia_x000a_💵 @nolucrocnn"/>
    <n v="286269"/>
    <s v="https://pbs.twimg.com/profile_images/1202609722257485824/NcFn6f7X_normal.jpg"/>
    <n v="4"/>
    <b v="0"/>
    <n v="19"/>
    <n v="3"/>
    <s v="{&quot;post_id&quot;:null,&quot;profile_id&quot;:null,&quot;profile_name&quot;:null}"/>
    <s v="[&quot;https://pbs.twimg.com/card_img/1867783193597722627/QPlvRSWa?format=jpg&amp;name=orig&quot;]"/>
    <s v="null"/>
    <s v="{&quot;data_posted&quot;:null,&quot;description&quot;:null,&quot;photos&quot;:null,&quot;post_id&quot;:null,&quot;profile_id&quot;:null,&quot;profile_name&quot;:null,&quot;url&quot;:null,&quot;videos&quot;:null}"/>
    <n v="1133"/>
    <n v="4.8931116389548696E-2"/>
    <d v="2024-12-15T00:00:00"/>
    <n v="0.59552083333333339"/>
    <x v="0"/>
    <x v="1"/>
    <x v="0"/>
    <x v="1"/>
    <x v="0"/>
    <x v="0"/>
    <n v="43"/>
    <x v="0"/>
  </r>
  <r>
    <n v="1.868309777727554E+18"/>
    <s v="CNN███sil███"/>
    <s v="CNN███asi███"/>
    <s v="Em entrevista coletiva, o presidente Luiz Inácio Lula da Silva (PT) falou sobre a prisão do general Walter Braga Netto e disse que ele tem todo o direito à presunção de inocência, mas que, se tentou planejar um golpe de Estado, deve ser punido. #AgoraCNN"/>
    <s v="&quot;2024-12-15T14:58:57.000Z&quot;"/>
    <s v="null"/>
    <s v="https://x.com/CNNBrasil/status/1868309777727554041"/>
    <s v="null"/>
    <n v="327"/>
    <n v="236"/>
    <n v="1026"/>
    <n v="33354"/>
    <s v=""/>
    <s v="[&quot;AgoraCNN&quot;]"/>
    <n v="2819409"/>
    <s v="Pense bem, pense CNN._x000a_Acompanhe também pelo canal 577, app ou site. _x000a_⚽ @esportescnn_x000a_⚡️ @cnnpop_x000a_💰 @cnneconomia_x000a_💵 @nolucrocnn"/>
    <n v="286269"/>
    <s v="https://pbs.twimg.com/profile_images/1202609722257485824/NcFn6f7X_normal.jpg"/>
    <n v="4"/>
    <b v="0"/>
    <n v="22"/>
    <n v="16"/>
    <s v="{&quot;post_id&quot;:null,&quot;profile_id&quot;:null,&quot;profile_name&quot;:null}"/>
    <s v="null"/>
    <s v="[{&quot;duration&quot;:101500,&quot;video_url&quot;:&quot;https://video.twimg.com/amplify_video/1868309661935362048/vid/avc1/1920x1080/VwGOrRGcKtIoQKpW.mp4?tag=16&quot;}]"/>
    <s v="{&quot;data_posted&quot;:null,&quot;description&quot;:null,&quot;photos&quot;:null,&quot;post_id&quot;:null,&quot;profile_id&quot;:null,&quot;profile_name&quot;:null,&quot;url&quot;:null,&quot;videos&quot;:null}"/>
    <n v="1627"/>
    <n v="4.877975655093842E-2"/>
    <d v="2024-12-15T00:00:00"/>
    <n v="0.62427083333333333"/>
    <x v="0"/>
    <x v="1"/>
    <x v="1"/>
    <x v="1"/>
    <x v="1"/>
    <x v="0"/>
    <n v="254"/>
    <x v="0"/>
  </r>
  <r>
    <n v="1.8684232901566221E+18"/>
    <s v="quem"/>
    <s v="Quem"/>
    <s v="Ex-BBB Amanda Meirelles e o namorado, Thiago Pannaforte, curtem viagem; vídeos"/>
    <s v="&quot;2024-12-15T22:30:00.000Z&quot;"/>
    <s v="null"/>
    <s v="https://x.com/quem/status/1868423290156622078"/>
    <s v="null"/>
    <n v="50"/>
    <n v="34"/>
    <n v="388"/>
    <n v="10053"/>
    <s v="https://revistaquem.globo.com/noticias/amor-e-sexo/noticia/2024/12/ex-bbb-amanda-meirelles-e-o-namorado-thiago-pannaforte-curtem-viagem-videos.ghtml?utm_source=twitter&amp;utm_medium=social&amp;utm_campaign=post"/>
    <s v="null"/>
    <n v="509204"/>
    <s v="Bem-vindos ao Twitter oficial da Quem! Agora em modo turbo só pensando nos Ensaios da Anitta!"/>
    <n v="147136"/>
    <s v="https://pbs.twimg.com/profile_images/1332372057800253442/CrWhlYl5_normal.jpg"/>
    <n v="2446"/>
    <b v="0"/>
    <n v="12"/>
    <n v="5"/>
    <s v="{&quot;post_id&quot;:null,&quot;profile_id&quot;:null,&quot;profile_name&quot;:null}"/>
    <s v="[&quot;https://pbs.twimg.com/card_img/1868407511574847488/l6KZdtpr?format=jpg&amp;name=orig&quot;]"/>
    <s v="null"/>
    <s v="{&quot;data_posted&quot;:null,&quot;description&quot;:null,&quot;photos&quot;:null,&quot;post_id&quot;:null,&quot;profile_id&quot;:null,&quot;profile_name&quot;:null,&quot;url&quot;:null,&quot;videos&quot;:null}"/>
    <n v="489"/>
    <n v="4.8642196359295731E-2"/>
    <d v="2024-12-15T00:00:00"/>
    <n v="0.9375"/>
    <x v="0"/>
    <x v="11"/>
    <x v="0"/>
    <x v="1"/>
    <x v="0"/>
    <x v="0"/>
    <n v="78"/>
    <x v="2"/>
  </r>
  <r>
    <n v="1.868347287845409E+18"/>
    <s v="Man███Wom███"/>
    <s v="Man███ste███nit█████████"/>
    <s v="Appreciating our saving Grace 🤍_x000a__x000a_#MUWomen"/>
    <s v="&quot;2024-12-15T17:28:00.000Z&quot;"/>
    <s v="[&quot;https://pbs.twimg.com/media/Ge2u-bxXsAA9EUo.jpg&quot;]"/>
    <s v="https://x.com/ManUtdWomen/status/1868347287845408920"/>
    <s v="null"/>
    <n v="10"/>
    <n v="54"/>
    <n v="842"/>
    <n v="18769"/>
    <s v=""/>
    <s v="[&quot;MUWomen&quot;]"/>
    <n v="462263"/>
    <s v="Explore our Christmas deals on United Store now 🛍️⤵️"/>
    <n v="16271"/>
    <s v="https://pbs.twimg.com/profile_images/1856421977373741056/jWwLjKK5_normal.jpg"/>
    <n v="38"/>
    <b v="0"/>
    <n v="3"/>
    <n v="2"/>
    <s v="{&quot;post_id&quot;:null,&quot;profile_id&quot;:null,&quot;profile_name&quot;:null}"/>
    <s v="null"/>
    <s v="null"/>
    <s v="{&quot;data_posted&quot;:null,&quot;description&quot;:null,&quot;photos&quot;:null,&quot;post_id&quot;:null,&quot;profile_id&quot;:null,&quot;profile_name&quot;:null,&quot;url&quot;:null,&quot;videos&quot;:null}"/>
    <n v="911"/>
    <n v="4.8537482018221535E-2"/>
    <d v="2024-12-15T00:00:00"/>
    <n v="0.72777777777777775"/>
    <x v="0"/>
    <x v="12"/>
    <x v="0"/>
    <x v="0"/>
    <x v="1"/>
    <x v="0"/>
    <n v="41"/>
    <x v="2"/>
  </r>
  <r>
    <n v="1.8684061759154668E+18"/>
    <s v="Man███"/>
    <s v="Man███ste███nit███"/>
    <s v="Loud and proud — what an away end today, Reds 🔊_x000a__x000a_#MUFC || #MCIMUN"/>
    <s v="&quot;2024-12-15T21:22:00.000Z&quot;"/>
    <s v="[&quot;https://pbs.twimg.com/media/Ge3WlIXWQAA1liT.jpg&quot;]"/>
    <s v="https://x.com/ManUtd/status/1868406175915466819"/>
    <s v="null"/>
    <n v="116"/>
    <n v="1046"/>
    <n v="12098"/>
    <n v="277577"/>
    <s v=""/>
    <s v="[&quot;MUFC&quot;,&quot;MCIMUN&quot;]"/>
    <n v="38439077"/>
    <s v="’Tis the season to gift United! 🎁🎄"/>
    <n v="92455"/>
    <s v="https://pbs.twimg.com/profile_images/1856418426496880640/iIvJaO5T_normal.png"/>
    <n v="145"/>
    <b v="0"/>
    <n v="37"/>
    <n v="68"/>
    <s v="{&quot;post_id&quot;:null,&quot;profile_id&quot;:null,&quot;profile_name&quot;:null}"/>
    <s v="null"/>
    <s v="null"/>
    <s v="{&quot;data_posted&quot;:null,&quot;description&quot;:null,&quot;photos&quot;:null,&quot;post_id&quot;:null,&quot;profile_id&quot;:null,&quot;profile_name&quot;:null,&quot;url&quot;:null,&quot;videos&quot;:null}"/>
    <n v="13365"/>
    <n v="4.8148801954052391E-2"/>
    <d v="2024-12-15T00:00:00"/>
    <n v="0.89027777777777772"/>
    <x v="0"/>
    <x v="10"/>
    <x v="0"/>
    <x v="0"/>
    <x v="1"/>
    <x v="0"/>
    <n v="65"/>
    <x v="1"/>
  </r>
  <r>
    <n v="1.8683812616955087E+18"/>
    <s v="Bar███ysW███"/>
    <s v="Bar███ys ███en'█████████eag███"/>
    <s v="Leading by example 🫡_x000a__x000a_#BarclaysWSL @ManUtdWomen @MayaLeTissier"/>
    <s v="&quot;2024-12-15T19:43:00.000Z&quot;"/>
    <s v="[&quot;https://pbs.twimg.com/media/Ge2i-adXQAA5WAq.jpg&quot;]"/>
    <s v="https://x.com/BarclaysWSL/status/1868381261695508703"/>
    <s v="[{&quot;biography&quot;:null,&quot;followers&quot;:null,&quot;following&quot;:null,&quot;is_verified&quot;:null,&quot;profile_id&quot;:&quot;977180963846443013&quot;,&quot;profile_name&quot;:&quot;Manchester United Women&quot;,&quot;url&quot;:&quot;https://x.com/ManUtdWomen&quot;},{&quot;biography&quot;:null,&quot;followers&quot;:null,&quot;following&quot;:null,&quot;is_verified&quot;:null,&quot;profile_id&quot;:&quot;1029076404531593216&quot;,&quot;profile_name&quot;:&quot;Maya Le Tissier&quot;,&quot;url&quot;:&quot;https://x.com/MayaLeTissier&quot;}]"/>
    <n v="3"/>
    <n v="37"/>
    <n v="455"/>
    <n v="10513"/>
    <s v=""/>
    <s v="[&quot;BarclaysWSL&quot;]"/>
    <n v="337839"/>
    <s v="The home of top-flight women's football in England! 🤩_x000a__x000a_Subscribe to our brand-new BWSL YouTube Channel! 📺 #BarclaysWSL"/>
    <n v="57638"/>
    <s v="https://pbs.twimg.com/profile_images/1605171595160555521/NKG9mgxv_normal.jpg"/>
    <n v="587"/>
    <b v="0"/>
    <n v="1"/>
    <n v="1"/>
    <s v="{&quot;post_id&quot;:null,&quot;profile_id&quot;:null,&quot;profile_name&quot;:null}"/>
    <s v="null"/>
    <s v="null"/>
    <s v="{&quot;data_posted&quot;:null,&quot;description&quot;:null,&quot;photos&quot;:null,&quot;post_id&quot;:null,&quot;profile_id&quot;:null,&quot;profile_name&quot;:null,&quot;url&quot;:null,&quot;videos&quot;:null}"/>
    <n v="497"/>
    <n v="4.7274802625321029E-2"/>
    <d v="2024-12-15T00:00:00"/>
    <n v="0.82152777777777775"/>
    <x v="0"/>
    <x v="4"/>
    <x v="0"/>
    <x v="0"/>
    <x v="1"/>
    <x v="0"/>
    <n v="62"/>
    <x v="2"/>
  </r>
  <r>
    <n v="1.8683611116802586E+18"/>
    <s v="Cel███FC"/>
    <s v="Cel███ Fo███all██████"/>
    <s v="WE HAVE DONE IT!!!!!!!!!!!!!! 🏆_x000a__x000a_#CELRAN | #PremierSportsCup | #CelticFC🍀"/>
    <s v="&quot;2024-12-15T18:22:56.000Z&quot;"/>
    <s v="[&quot;https://pbs.twimg.com/media/Ge3AgXpWcAAtk2e.jpg&quot;]"/>
    <s v="https://x.com/CelticFC/status/1868361111680258488"/>
    <s v="null"/>
    <n v="212"/>
    <n v="1588"/>
    <n v="10144"/>
    <n v="260021"/>
    <s v=""/>
    <s v="[&quot;CELRAN&quot;,&quot;PremierSportsCup&quot;,&quot;CelticFC&quot;]"/>
    <n v="984256"/>
    <s v="Glasgow Celtic - 2023/24 Double Winners! 🍀🏆 🟢 @CelticFCWomen ⚪ @CelticFCB 🎌 @CelticFCJPN 📽 @CelticTV 🛒 @CelticFCShop 🎟 @CelticFCTickets"/>
    <n v="136135"/>
    <s v="https://pbs.twimg.com/profile_images/1808866900228665344/xZAZuYBY_normal.jpg"/>
    <n v="438"/>
    <b v="0"/>
    <n v="246"/>
    <n v="41"/>
    <s v="{&quot;post_id&quot;:null,&quot;profile_id&quot;:null,&quot;profile_name&quot;:null}"/>
    <s v="null"/>
    <s v="null"/>
    <s v="{&quot;data_posted&quot;:null,&quot;description&quot;:null,&quot;photos&quot;:null,&quot;post_id&quot;:null,&quot;profile_id&quot;:null,&quot;profile_name&quot;:null,&quot;url&quot;:null,&quot;videos&quot;:null}"/>
    <n v="12231"/>
    <n v="4.7038508428165419E-2"/>
    <d v="2024-12-15T00:00:00"/>
    <n v="0.7659259259259259"/>
    <x v="0"/>
    <x v="8"/>
    <x v="0"/>
    <x v="0"/>
    <x v="1"/>
    <x v="0"/>
    <n v="73"/>
    <x v="2"/>
  </r>
  <r>
    <n v="1.8683857919252687E+18"/>
    <s v="Man███"/>
    <s v="Man███ste███nit███"/>
    <s v="&quot;Oh what fun it is to see United win away...&quot; 🎅_x000a__x000a_#MUFC || #MCIMUN"/>
    <s v="&quot;2024-12-15T20:01:00.000Z&quot;"/>
    <s v="[&quot;https://pbs.twimg.com/media/Ge3SS9sXIAASgfJ.jpg&quot;,&quot;https://pbs.twimg.com/media/Ge3SS9sWcAAlUYd.jpg&quot;,&quot;https://pbs.twimg.com/media/Ge3SS9sWEAAGv7N.jpg&quot;]"/>
    <s v="https://x.com/ManUtd/status/1868385791925268708"/>
    <s v="null"/>
    <n v="148"/>
    <n v="980"/>
    <n v="10007"/>
    <n v="238145"/>
    <s v=""/>
    <s v="[&quot;MUFC&quot;,&quot;MCIMUN&quot;]"/>
    <n v="38439078"/>
    <s v="’Tis the season to gift United! 🎁🎄"/>
    <n v="92455"/>
    <s v="https://pbs.twimg.com/profile_images/1856418426496880640/iIvJaO5T_normal.png"/>
    <n v="145"/>
    <b v="0"/>
    <n v="13"/>
    <n v="47"/>
    <s v="{&quot;post_id&quot;:null,&quot;profile_id&quot;:null,&quot;profile_name&quot;:null}"/>
    <s v="null"/>
    <s v="null"/>
    <s v="{&quot;data_posted&quot;:null,&quot;description&quot;:null,&quot;photos&quot;:null,&quot;post_id&quot;:null,&quot;profile_id&quot;:null,&quot;profile_name&quot;:null,&quot;url&quot;:null,&quot;videos&quot;:null}"/>
    <n v="11195"/>
    <n v="4.7009175082407775E-2"/>
    <d v="2024-12-15T00:00:00"/>
    <n v="0.83402777777777781"/>
    <x v="0"/>
    <x v="3"/>
    <x v="0"/>
    <x v="0"/>
    <x v="1"/>
    <x v="0"/>
    <n v="65"/>
    <x v="1"/>
  </r>
  <r>
    <n v="1.8684291252007777E+18"/>
    <s v="tvg███o"/>
    <s v="TV ███bo ███"/>
    <s v="QUE HONRA, QUE DIA HISTÓRICO!!! 🥹🥹🥹 Patricia Abravanel representando o @SBTonline no palco do #Domingão 🫶 #MelhoresDoAno"/>
    <s v="&quot;2024-12-15T22:53:11.000Z&quot;"/>
    <s v="null"/>
    <s v="https://x.com/tvglobo/status/1868429125200777694"/>
    <s v="[{&quot;biography&quot;:null,&quot;followers&quot;:null,&quot;following&quot;:null,&quot;is_verified&quot;:null,&quot;profile_id&quot;:&quot;20600456&quot;,&quot;profile_name&quot;:&quot;SBT&quot;,&quot;url&quot;:&quot;https://x.com/SBTonline&quot;}]"/>
    <n v="19"/>
    <n v="188"/>
    <n v="2072"/>
    <n v="50637"/>
    <s v=""/>
    <s v="[&quot;Domingão&quot;,&quot;MelhoresDoAno&quot;]"/>
    <n v="13492430"/>
    <s v="oi, eu sou a Glô 😜"/>
    <n v="314515"/>
    <s v="https://pbs.twimg.com/profile_images/1863599216829792256/r5M1uKA8_normal.jpg"/>
    <n v="708"/>
    <b v="0"/>
    <n v="16"/>
    <n v="82"/>
    <s v="{&quot;post_id&quot;:null,&quot;profile_id&quot;:null,&quot;profile_name&quot;:null}"/>
    <s v="null"/>
    <s v="[{&quot;duration&quot;:58220,&quot;video_url&quot;:&quot;https://video.twimg.com/amplify_video/1868426803846762496/vid/avc1/1920x1080/yZ1b7JazloBfaRnq.mp4?tag=16&quot;}]"/>
    <s v="{&quot;data_posted&quot;:null,&quot;description&quot;:null,&quot;photos&quot;:null,&quot;post_id&quot;:null,&quot;profile_id&quot;:null,&quot;profile_name&quot;:null,&quot;url&quot;:null,&quot;videos&quot;:null}"/>
    <n v="2377"/>
    <n v="4.6941959436775482E-2"/>
    <d v="2024-12-15T00:00:00"/>
    <n v="0.95359953703703704"/>
    <x v="0"/>
    <x v="11"/>
    <x v="1"/>
    <x v="1"/>
    <x v="1"/>
    <x v="0"/>
    <n v="120"/>
    <x v="1"/>
  </r>
  <r>
    <n v="1.8683083442318254E+18"/>
    <s v="Bar███ysW███"/>
    <s v="Bar███ys ███en'█████████eag███"/>
    <s v="Right place right time!_x000a__x000a_@alessiarusso7 finishes off the set-piece for @ArsenalWFC!_x000a__x000a_#BarclaysWSL"/>
    <s v="&quot;2024-12-15T14:53:15.000Z&quot;"/>
    <s v="null"/>
    <s v="https://x.com/BarclaysWSL/status/1868308344231825481"/>
    <s v="[{&quot;biography&quot;:null,&quot;followers&quot;:null,&quot;following&quot;:null,&quot;is_verified&quot;:null,&quot;profile_id&quot;:&quot;244906756&quot;,&quot;profile_name&quot;:&quot;Alessia Russo&quot;,&quot;url&quot;:&quot;https://x.com/alessiarusso7&quot;},{&quot;biography&quot;:null,&quot;followers&quot;:null,&quot;following&quot;:null,&quot;is_verified&quot;:null,&quot;profile_id&quot;:&quot;256551011&quot;,&quot;profile_name&quot;:&quot;Arsenal Women&quot;,&quot;url&quot;:&quot;https://x.com/ArsenalWFC&quot;}]"/>
    <n v="7"/>
    <n v="137"/>
    <n v="956"/>
    <n v="24555"/>
    <s v=""/>
    <s v="[&quot;BarclaysWSL&quot;]"/>
    <n v="337839"/>
    <s v="The home of top-flight women's football in England! 🤩_x000a__x000a_Subscribe to our brand-new BWSL YouTube Channel! 📺 #BarclaysWSL"/>
    <n v="57638"/>
    <s v="https://pbs.twimg.com/profile_images/1605171595160555521/NKG9mgxv_normal.jpg"/>
    <n v="587"/>
    <b v="0"/>
    <n v="19"/>
    <n v="27"/>
    <s v="{&quot;post_id&quot;:null,&quot;profile_id&quot;:null,&quot;profile_name&quot;:null}"/>
    <s v="null"/>
    <s v="[{&quot;duration&quot;:25278,&quot;video_url&quot;:&quot;https://video.twimg.com/amplify_video/1868308317920985088/vid/avc1/1280x720/p00SNXC2PoUfOPHe.mp4?tag=16&quot;}]"/>
    <s v="{&quot;data_posted&quot;:null,&quot;description&quot;:null,&quot;photos&quot;:null,&quot;post_id&quot;:null,&quot;profile_id&quot;:null,&quot;profile_name&quot;:null,&quot;url&quot;:null,&quot;videos&quot;:null}"/>
    <n v="1146"/>
    <n v="4.6670739156994503E-2"/>
    <d v="2024-12-15T00:00:00"/>
    <n v="0.62031250000000004"/>
    <x v="0"/>
    <x v="1"/>
    <x v="1"/>
    <x v="1"/>
    <x v="1"/>
    <x v="0"/>
    <n v="97"/>
    <x v="2"/>
  </r>
  <r>
    <n v="1.8684157445951247E+18"/>
    <s v="Man███"/>
    <s v="Man███ste███nit███"/>
    <s v="This angle though 🥶_x000a__x000a_🤳 @Snapdragon_x000a__x000a_#MUFC || #ShotOnSnapdragon"/>
    <s v="&quot;2024-12-15T22:00:01.000Z&quot;"/>
    <s v="null"/>
    <s v="https://x.com/ManUtd/status/1868415744595124669"/>
    <s v="[{&quot;biography&quot;:null,&quot;followers&quot;:null,&quot;following&quot;:null,&quot;is_verified&quot;:null,&quot;profile_id&quot;:&quot;18238788&quot;,&quot;profile_name&quot;:&quot;Snapdragon&quot;,&quot;url&quot;:&quot;https://x.com/Snapdragon&quot;}]"/>
    <n v="126"/>
    <n v="1919"/>
    <n v="14258"/>
    <n v="361236"/>
    <s v=""/>
    <s v="[&quot;MUFC&quot;,&quot;ShotOnSnapdragon&quot;]"/>
    <n v="38439065"/>
    <s v="’Tis the season to gift United! 🎁🎄"/>
    <n v="92455"/>
    <s v="https://pbs.twimg.com/profile_images/1856418426496880640/iIvJaO5T_normal.png"/>
    <n v="145"/>
    <b v="0"/>
    <n v="67"/>
    <n v="464"/>
    <s v="{&quot;post_id&quot;:null,&quot;profile_id&quot;:null,&quot;profile_name&quot;:null}"/>
    <s v="null"/>
    <s v="[{&quot;duration&quot;:36066,&quot;video_url&quot;:&quot;https://video.twimg.com/ext_tw_video/1868378659179859968/pu/vid/avc1/720x1280/UOweRLg_4Abcm0s1.mp4?tag=12&quot;}]"/>
    <s v="{&quot;data_posted&quot;:null,&quot;description&quot;:null,&quot;photos&quot;:null,&quot;post_id&quot;:null,&quot;profile_id&quot;:null,&quot;profile_name&quot;:null,&quot;url&quot;:null,&quot;videos&quot;:null}"/>
    <n v="16834"/>
    <n v="4.6601113953205105E-2"/>
    <d v="2024-12-15T00:00:00"/>
    <n v="0.91667824074074078"/>
    <x v="0"/>
    <x v="11"/>
    <x v="1"/>
    <x v="1"/>
    <x v="1"/>
    <x v="0"/>
    <n v="62"/>
    <x v="1"/>
  </r>
  <r>
    <n v="1.8684141459739405E+18"/>
    <s v="Glo███ews███"/>
    <s v="Glo███ews███"/>
    <s v=".@miriamleitao: &quot;O que está se vendo agora, nunca se viu antes: o Exército dizer que está colaborando com as investigações. Antes, as Forças Armadas protegiam os seus. Dessa vez, a ideia é de que é preciso preservar a instituição&quot;._x000a__x000a_➡ Assista: https://t.co/mgnXyoxnmY #EspecialDeDomingo #GloboNews"/>
    <s v="&quot;2024-12-15T21:53:40.000Z&quot;"/>
    <s v="null"/>
    <s v="https://x.com/GloboNews/status/1868414145973940591"/>
    <s v="[{&quot;biography&quot;:null,&quot;followers&quot;:null,&quot;following&quot;:null,&quot;is_verified&quot;:null,&quot;profile_id&quot;:&quot;16814640&quot;,&quot;profile_name&quot;:&quot;Míriam Leitão&quot;,&quot;url&quot;:&quot;https://x.com/miriamleitao&quot;}]"/>
    <n v="136"/>
    <n v="142"/>
    <n v="922"/>
    <n v="26775"/>
    <s v="http://glo.bo/39WjXAu"/>
    <s v="null"/>
    <n v="5771757"/>
    <s v="Nunca desliga"/>
    <n v="222223"/>
    <s v="https://pbs.twimg.com/profile_images/1559102712435933185/mYnEVnNs_normal.jpg"/>
    <n v="122"/>
    <b v="0"/>
    <n v="4"/>
    <n v="20"/>
    <s v="{&quot;post_id&quot;:null,&quot;profile_id&quot;:null,&quot;profile_name&quot;:null}"/>
    <s v="null"/>
    <s v="[{&quot;duration&quot;:268934,&quot;video_url&quot;:&quot;https://video.twimg.com/ext_tw_video/1868413915568263168/pu/vid/avc1/1280x720/7GQ5__Ap7WRZMFtl.mp4?tag=12&quot;}]"/>
    <s v="{&quot;data_posted&quot;:null,&quot;description&quot;:null,&quot;photos&quot;:null,&quot;post_id&quot;:null,&quot;profile_id&quot;:null,&quot;profile_name&quot;:null,&quot;url&quot;:null,&quot;videos&quot;:null}"/>
    <n v="1224"/>
    <n v="4.5714285714285714E-2"/>
    <d v="2024-12-15T00:00:00"/>
    <n v="0.91226851851851853"/>
    <x v="0"/>
    <x v="10"/>
    <x v="1"/>
    <x v="1"/>
    <x v="0"/>
    <x v="0"/>
    <n v="297"/>
    <x v="0"/>
  </r>
  <r>
    <n v="1.8683248828467612E+18"/>
    <s v="Rep███apa███"/>
    <s v="Rep███ram███ Ja██████"/>
    <s v="The climate crisis is here and now, and every single day that goes by where we don’t take action, it is getting worse._x000a__x000a_We cannot wait. We must take bold, immediate steps to save our planet and our people."/>
    <s v="&quot;2024-12-15T15:58:58.000Z&quot;"/>
    <s v="null"/>
    <s v="https://x.com/RepJayapal/status/1868324882846761097"/>
    <s v="null"/>
    <n v="1074"/>
    <n v="67"/>
    <n v="184"/>
    <n v="30147"/>
    <s v="https://www.npr.org/2024/12/10/nx-s1-5215967/arctic-tundra-contributes-climate-warming-pollution-report-finds"/>
    <s v="null"/>
    <n v="562371"/>
    <s v="Congresswoman, lifelong organizer, mom. Proudly serving WA-07. Chair of @USProgressives, Member of @HouseJudiciary, @EdWorkforceDems. She/her."/>
    <n v="33258"/>
    <s v="https://pbs.twimg.com/profile_images/978268908057751552/LdIDc0tc_normal.jpg"/>
    <n v="2464"/>
    <b v="0"/>
    <n v="41"/>
    <n v="11"/>
    <s v="{&quot;post_id&quot;:null,&quot;profile_id&quot;:null,&quot;profile_name&quot;:null}"/>
    <s v="[&quot;https://pbs.twimg.com/card_img/1866515719615094785/Cb4qksKE?format=jpg&amp;name=orig&quot;]"/>
    <s v="null"/>
    <s v="{&quot;data_posted&quot;:null,&quot;description&quot;:null,&quot;photos&quot;:null,&quot;post_id&quot;:null,&quot;profile_id&quot;:null,&quot;profile_name&quot;:null,&quot;url&quot;:null,&quot;videos&quot;:null}"/>
    <n v="1377"/>
    <n v="4.5676186685242315E-2"/>
    <d v="2024-12-15T00:00:00"/>
    <n v="0.66594907407407411"/>
    <x v="0"/>
    <x v="13"/>
    <x v="0"/>
    <x v="1"/>
    <x v="0"/>
    <x v="0"/>
    <n v="205"/>
    <x v="2"/>
  </r>
  <r>
    <n v="1.868430586404086E+18"/>
    <s v="tvg███o"/>
    <s v="TV ███bo ███"/>
    <s v="ÔI, ÔI ✈️✈️✈️ QUEM QUER DINHEIROOOO??? 🤭 @SBTonline obrigada pelos mimos, amoreee #MelhoresDoAno #Domingão"/>
    <s v="&quot;2024-12-15T22:59:00.000Z&quot;"/>
    <s v="null"/>
    <s v="https://x.com/tvglobo/status/1868430586404086042"/>
    <s v="[{&quot;biography&quot;:null,&quot;followers&quot;:null,&quot;following&quot;:null,&quot;is_verified&quot;:null,&quot;profile_id&quot;:&quot;20600456&quot;,&quot;profile_name&quot;:&quot;SBT&quot;,&quot;url&quot;:&quot;https://x.com/SBTonline&quot;}]"/>
    <n v="18"/>
    <n v="150"/>
    <n v="1740"/>
    <n v="43252"/>
    <s v=""/>
    <s v="[&quot;MelhoresDoAno&quot;,&quot;Domingão&quot;]"/>
    <n v="13492372"/>
    <s v="oi, eu sou a Glô 😜"/>
    <n v="314515"/>
    <s v="https://pbs.twimg.com/profile_images/1863599216829792256/r5M1uKA8_normal.jpg"/>
    <n v="708"/>
    <b v="0"/>
    <n v="17"/>
    <n v="45"/>
    <s v="{&quot;post_id&quot;:null,&quot;profile_id&quot;:null,&quot;profile_name&quot;:null}"/>
    <s v="null"/>
    <s v="[{&quot;duration&quot;:58660,&quot;video_url&quot;:&quot;https://video.twimg.com/amplify_video/1868429779281879040/vid/avc1/1920x1080/IEDmlDnwsbVw-eDw.mp4?tag=16&quot;}]"/>
    <s v="{&quot;data_posted&quot;:null,&quot;description&quot;:null,&quot;photos&quot;:null,&quot;post_id&quot;:null,&quot;profile_id&quot;:null,&quot;profile_name&quot;:null,&quot;url&quot;:null,&quot;videos&quot;:null}"/>
    <n v="1970"/>
    <n v="4.5547026727087762E-2"/>
    <d v="2024-12-15T00:00:00"/>
    <n v="0.95763888888888893"/>
    <x v="0"/>
    <x v="11"/>
    <x v="1"/>
    <x v="1"/>
    <x v="1"/>
    <x v="0"/>
    <n v="106"/>
    <x v="1"/>
  </r>
  <r>
    <n v="1.868366799961727E+18"/>
    <s v="Cel███FC"/>
    <s v="Cel███ Fo███all██████"/>
    <s v="Beautiful Sunday! 🏆_x000a__x000a_#CELRAN | #PremierSportsCup | #CelticFC🍀"/>
    <s v="&quot;2024-12-15T18:45:32.000Z&quot;"/>
    <s v="[&quot;https://pbs.twimg.com/media/Ge3FiDCXEAASoQX.jpg&quot;]"/>
    <s v="https://x.com/CelticFC/status/1868366799961727090"/>
    <s v="null"/>
    <n v="80"/>
    <n v="1373"/>
    <n v="7968"/>
    <n v="213748"/>
    <s v=""/>
    <s v="[&quot;CELRAN&quot;,&quot;PremierSportsCup&quot;,&quot;CelticFC&quot;]"/>
    <n v="984263"/>
    <s v="Glasgow Celtic - 2023/24 Double Winners! 🍀🏆 🟢 @CelticFCWomen ⚪ @CelticFCB 🎌 @CelticFCJPN 📽 @CelticTV 🛒 @CelticFCShop 🎟 @CelticFCTickets"/>
    <n v="136135"/>
    <s v="https://pbs.twimg.com/profile_images/1808866900228665344/xZAZuYBY_normal.jpg"/>
    <n v="438"/>
    <b v="0"/>
    <n v="87"/>
    <n v="44"/>
    <s v="{&quot;post_id&quot;:null,&quot;profile_id&quot;:null,&quot;profile_name&quot;:null}"/>
    <s v="null"/>
    <s v="null"/>
    <s v="{&quot;data_posted&quot;:null,&quot;description&quot;:null,&quot;photos&quot;:null,&quot;post_id&quot;:null,&quot;profile_id&quot;:null,&quot;profile_name&quot;:null,&quot;url&quot;:null,&quot;videos&quot;:null}"/>
    <n v="9552"/>
    <n v="4.4688137432864872E-2"/>
    <d v="2024-12-15T00:00:00"/>
    <n v="0.78162037037037035"/>
    <x v="0"/>
    <x v="8"/>
    <x v="0"/>
    <x v="0"/>
    <x v="1"/>
    <x v="0"/>
    <n v="61"/>
    <x v="2"/>
  </r>
  <r>
    <n v="1.8683305576981752E+18"/>
    <s v="Man███Wom███"/>
    <s v="Man███ste███nit█████████"/>
    <s v="Full-time scenes at Sutton 👏_x000a__x000a_Thank you to all the Reds who made the trip down south ❤️_x000a__x000a_#MUWomen"/>
    <s v="&quot;2024-12-15T16:21:31.000Z&quot;"/>
    <s v="null"/>
    <s v="https://x.com/ManUtdWomen/status/1868330557698175126"/>
    <s v="null"/>
    <n v="18"/>
    <n v="71"/>
    <n v="733"/>
    <n v="18748"/>
    <s v=""/>
    <s v="[&quot;MUWomen&quot;]"/>
    <n v="462261"/>
    <s v="Explore our Christmas deals on United Store now 🛍️⤵️"/>
    <n v="16271"/>
    <s v="https://pbs.twimg.com/profile_images/1856421977373741056/jWwLjKK5_normal.jpg"/>
    <n v="38"/>
    <b v="0"/>
    <n v="5"/>
    <n v="5"/>
    <s v="{&quot;post_id&quot;:null,&quot;profile_id&quot;:null,&quot;profile_name&quot;:null}"/>
    <s v="null"/>
    <s v="[{&quot;duration&quot;:15534,&quot;video_url&quot;:&quot;https://video.twimg.com/amplify_video/1868329729410957312/vid/avc1/720x1280/N6vl0BOHDDEXZcL6.mp4?tag=14&quot;}]"/>
    <s v="{&quot;data_posted&quot;:null,&quot;description&quot;:null,&quot;photos&quot;:null,&quot;post_id&quot;:null,&quot;profile_id&quot;:null,&quot;profile_name&quot;:null,&quot;url&quot;:null,&quot;videos&quot;:null}"/>
    <n v="832"/>
    <n v="4.4378066993812672E-2"/>
    <d v="2024-12-15T00:00:00"/>
    <n v="0.68160879629629634"/>
    <x v="0"/>
    <x v="15"/>
    <x v="1"/>
    <x v="1"/>
    <x v="1"/>
    <x v="0"/>
    <n v="97"/>
    <x v="2"/>
  </r>
  <r>
    <n v="1.8682954866265134E+18"/>
    <s v="Bar███ysW███"/>
    <s v="Bar███ys ███en'█████████eag███"/>
    <s v="The first player to 200 #BarclaysWSL appearances!_x000a__x000a_Jordan Nobbs 🤩"/>
    <s v="&quot;2024-12-15T14:02:09.000Z&quot;"/>
    <s v="[&quot;https://pbs.twimg.com/media/Ge2EiT6WgAAgA6o.jpg&quot;]"/>
    <s v="https://x.com/BarclaysWSL/status/1868295486626513400"/>
    <s v="null"/>
    <n v="12"/>
    <n v="175"/>
    <n v="2094"/>
    <n v="52433"/>
    <s v=""/>
    <s v="[&quot;BarclaysWSL&quot;]"/>
    <n v="337839"/>
    <s v="The home of top-flight women's football in England! 🤩_x000a__x000a_Subscribe to our brand-new BWSL YouTube Channel! 📺 #BarclaysWSL"/>
    <n v="57638"/>
    <s v="https://pbs.twimg.com/profile_images/1605171595160555521/NKG9mgxv_normal.jpg"/>
    <n v="587"/>
    <b v="0"/>
    <n v="17"/>
    <n v="21"/>
    <s v="{&quot;post_id&quot;:null,&quot;profile_id&quot;:null,&quot;profile_name&quot;:null}"/>
    <s v="null"/>
    <s v="null"/>
    <s v="{&quot;data_posted&quot;:null,&quot;description&quot;:null,&quot;photos&quot;:null,&quot;post_id&quot;:null,&quot;profile_id&quot;:null,&quot;profile_name&quot;:null,&quot;url&quot;:null,&quot;videos&quot;:null}"/>
    <n v="2319"/>
    <n v="4.4227871760151048E-2"/>
    <d v="2024-12-15T00:00:00"/>
    <n v="0.58482638888888894"/>
    <x v="0"/>
    <x v="1"/>
    <x v="0"/>
    <x v="0"/>
    <x v="1"/>
    <x v="0"/>
    <n v="65"/>
    <x v="2"/>
  </r>
  <r>
    <n v="1.8683169056874127E+18"/>
    <s v="Man███Wom███"/>
    <s v="Man███ste███nit█████████"/>
    <s v="👏 @GabsGeorge on the attack!_x000a__x000a_#MUWomen"/>
    <s v="&quot;2024-12-15T15:27:16.000Z&quot;"/>
    <s v="[&quot;https://pbs.twimg.com/media/Ge2YUnKX0AAUSFt.jpg&quot;,&quot;https://pbs.twimg.com/media/Ge2YUnTW4AAe9ZG.jpg&quot;]"/>
    <s v="https://x.com/ManUtdWomen/status/1868316905687412789"/>
    <s v="[{&quot;biography&quot;:null,&quot;followers&quot;:null,&quot;following&quot;:null,&quot;is_verified&quot;:null,&quot;profile_id&quot;:&quot;254624579&quot;,&quot;profile_name&quot;:&quot;Gabby George&quot;,&quot;url&quot;:&quot;https://x.com/gabsgeorge&quot;}]"/>
    <n v="3"/>
    <n v="43"/>
    <n v="627"/>
    <n v="15318"/>
    <s v=""/>
    <s v="[&quot;MUWomen&quot;]"/>
    <n v="462263"/>
    <s v="Explore our Christmas deals on United Store now 🛍️⤵️"/>
    <n v="16271"/>
    <s v="https://pbs.twimg.com/profile_images/1856421977373741056/jWwLjKK5_normal.jpg"/>
    <n v="38"/>
    <b v="0"/>
    <n v="0"/>
    <n v="3"/>
    <s v="{&quot;post_id&quot;:null,&quot;profile_id&quot;:null,&quot;profile_name&quot;:null}"/>
    <s v="null"/>
    <s v="null"/>
    <s v="{&quot;data_posted&quot;:null,&quot;description&quot;:null,&quot;photos&quot;:null,&quot;post_id&quot;:null,&quot;profile_id&quot;:null,&quot;profile_name&quot;:null,&quot;url&quot;:null,&quot;videos&quot;:null}"/>
    <n v="676"/>
    <n v="4.4131087609348481E-2"/>
    <d v="2024-12-15T00:00:00"/>
    <n v="0.64393518518518522"/>
    <x v="0"/>
    <x v="13"/>
    <x v="0"/>
    <x v="0"/>
    <x v="1"/>
    <x v="0"/>
    <n v="38"/>
    <x v="2"/>
  </r>
  <r>
    <n v="1.8683616299578209E+18"/>
    <s v="Cel███FC"/>
    <s v="Cel███ Fo███all██████"/>
    <s v="Glasgow Celtic are the 2024 #PremierSportsCup Winners! 🏆 _x000a__x000a_Congratulations to Brendan Rodgers &amp;amp; the Bhoys! 👏_x000a__x000a_#CelticFC🍀"/>
    <s v="&quot;2024-12-15T18:24:59.000Z&quot;"/>
    <s v="[&quot;https://pbs.twimg.com/media/Ge3A7WlW8AE7cp9.jpg&quot;]"/>
    <s v="https://x.com/CelticFC/status/1868361629957820914"/>
    <s v="null"/>
    <n v="4"/>
    <n v="79"/>
    <n v="367"/>
    <n v="10495"/>
    <s v=""/>
    <s v="[&quot;PremierSportsCup&quot;,&quot;CelticFC&quot;]"/>
    <n v="984256"/>
    <s v="Glasgow Celtic - 2023/24 Double Winners! 🍀🏆 🟢 @CelticFCWomen ⚪ @CelticFCB 🎌 @CelticFCJPN 📽 @CelticTV 🛒 @CelticFCShop 🎟 @CelticFCTickets"/>
    <n v="136135"/>
    <s v="https://pbs.twimg.com/profile_images/1808866900228665344/xZAZuYBY_normal.jpg"/>
    <n v="438"/>
    <b v="0"/>
    <n v="4"/>
    <n v="2"/>
    <s v="{&quot;post_id&quot;:null,&quot;profile_id&quot;:null,&quot;profile_name&quot;:null}"/>
    <s v="null"/>
    <s v="null"/>
    <s v="{&quot;data_posted&quot;:null,&quot;description&quot;:null,&quot;photos&quot;:null,&quot;post_id&quot;:null,&quot;profile_id&quot;:null,&quot;profile_name&quot;:null,&quot;url&quot;:null,&quot;videos&quot;:null}"/>
    <n v="456"/>
    <n v="4.3449261553120531E-2"/>
    <d v="2024-12-15T00:00:00"/>
    <n v="0.76734953703703701"/>
    <x v="0"/>
    <x v="8"/>
    <x v="0"/>
    <x v="0"/>
    <x v="1"/>
    <x v="0"/>
    <n v="124"/>
    <x v="2"/>
  </r>
  <r>
    <n v="1.8683249273690527E+18"/>
    <s v="CNN███sil███"/>
    <s v="CNN███asi███"/>
    <s v="Lula deixa hospital após receber alta"/>
    <s v="&quot;2024-12-15T15:59:09.000Z&quot;"/>
    <s v="null"/>
    <s v="https://x.com/CNNBrasil/status/1868324927369052621"/>
    <s v="null"/>
    <n v="209"/>
    <n v="51"/>
    <n v="643"/>
    <n v="21326"/>
    <s v="https://www.cnnbrasil.com.br/politica/lula-deixa-hospital-apos-receber-alta/?utm_source=social&amp;utm_medium=twitter&amp;utm_campaign=politica"/>
    <s v="null"/>
    <n v="2819405"/>
    <s v="Pense bem, pense CNN._x000a_Acompanhe também pelo canal 577, app ou site. _x000a_⚽ @esportescnn_x000a_⚡️ @cnnpop_x000a_💰 @cnneconomia_x000a_💵 @nolucrocnn"/>
    <n v="286269"/>
    <s v="https://pbs.twimg.com/profile_images/1202609722257485824/NcFn6f7X_normal.jpg"/>
    <n v="4"/>
    <b v="0"/>
    <n v="8"/>
    <n v="3"/>
    <s v="{&quot;post_id&quot;:null,&quot;profile_id&quot;:null,&quot;profile_name&quot;:null}"/>
    <s v="[&quot;https://pbs.twimg.com/card_img/1868324928807727104/hZhBM0ya?format=jpg&amp;name=orig&quot;]"/>
    <s v="null"/>
    <s v="{&quot;data_posted&quot;:null,&quot;description&quot;:null,&quot;photos&quot;:null,&quot;post_id&quot;:null,&quot;profile_id&quot;:null,&quot;profile_name&quot;:null,&quot;url&quot;:null,&quot;videos&quot;:null}"/>
    <n v="914"/>
    <n v="4.2858482603394914E-2"/>
    <d v="2024-12-15T00:00:00"/>
    <n v="0.66607638888888887"/>
    <x v="0"/>
    <x v="13"/>
    <x v="0"/>
    <x v="1"/>
    <x v="0"/>
    <x v="0"/>
    <n v="37"/>
    <x v="0"/>
  </r>
  <r>
    <n v="1.868390573041685E+18"/>
    <s v="LFC"/>
    <s v="Liv███ool███"/>
    <s v="Up next: A @Carabao_Cup quarter-final on the south coast 👊"/>
    <s v="&quot;2024-12-15T20:20:00.000Z&quot;"/>
    <s v="[&quot;https://pbs.twimg.com/media/Ge1SmquWMAAmMf3.jpg&quot;]"/>
    <s v="https://x.com/LFC/status/1868390573041684919"/>
    <s v="[{&quot;biography&quot;:null,&quot;followers&quot;:null,&quot;following&quot;:null,&quot;is_verified&quot;:null,&quot;profile_id&quot;:&quot;462495637&quot;,&quot;profile_name&quot;:&quot;Carabao Cup&quot;,&quot;url&quot;:&quot;https://x.com/Carabao_Cup&quot;}]"/>
    <n v="106"/>
    <n v="588"/>
    <n v="8035"/>
    <n v="208486"/>
    <s v=""/>
    <s v="null"/>
    <n v="24644781"/>
    <s v="Official X account of Liverpool Football Club 🔴 Stop The Hate, Report It. #RedTogether ✊ @LFCHelp 💻"/>
    <n v="122426"/>
    <s v="https://pbs.twimg.com/profile_images/1856268307868844032/lbdn4-vK_normal.jpg"/>
    <n v="339854"/>
    <b v="0"/>
    <n v="43"/>
    <n v="26"/>
    <s v="{&quot;post_id&quot;:null,&quot;profile_id&quot;:null,&quot;profile_name&quot;:null}"/>
    <s v="null"/>
    <s v="null"/>
    <s v="{&quot;data_posted&quot;:null,&quot;description&quot;:null,&quot;photos&quot;:null,&quot;post_id&quot;:null,&quot;profile_id&quot;:null,&quot;profile_name&quot;:null,&quot;url&quot;:null,&quot;videos&quot;:null}"/>
    <n v="8798"/>
    <n v="4.2199476223823182E-2"/>
    <d v="2024-12-15T00:00:00"/>
    <n v="0.84722222222222221"/>
    <x v="0"/>
    <x v="3"/>
    <x v="0"/>
    <x v="0"/>
    <x v="0"/>
    <x v="0"/>
    <n v="58"/>
    <x v="1"/>
  </r>
  <r>
    <n v="1.868362781205889E+18"/>
    <s v="Man███"/>
    <s v="Man███ste███nit███"/>
    <s v="MANCHESTER. IS. RED. 🔴_x000a__x000a_#MUFC || #MCIMUN"/>
    <s v="&quot;2024-12-15T18:29:34.000Z&quot;"/>
    <s v="null"/>
    <s v="https://x.com/ManUtd/status/1868362781205889088"/>
    <s v="null"/>
    <n v="2729"/>
    <n v="26332"/>
    <n v="100329"/>
    <n v="3189307"/>
    <s v="https://www.manutd.com/en/matches/matchcenter?matchId=2444625"/>
    <s v="[&quot;MUFC&quot;,&quot;MCIMUN&quot;]"/>
    <n v="38439078"/>
    <s v="’Tis the season to gift United! 🎁🎄"/>
    <n v="92455"/>
    <s v="https://pbs.twimg.com/profile_images/1856418426496880640/iIvJaO5T_normal.png"/>
    <n v="145"/>
    <b v="0"/>
    <n v="4251"/>
    <n v="671"/>
    <s v="{&quot;post_id&quot;:null,&quot;profile_id&quot;:null,&quot;profile_name&quot;:null}"/>
    <s v="null"/>
    <s v="null"/>
    <s v="{&quot;data_posted&quot;:null,&quot;description&quot;:null,&quot;photos&quot;:null,&quot;post_id&quot;:null,&quot;profile_id&quot;:null,&quot;profile_name&quot;:null,&quot;url&quot;:null,&quot;videos&quot;:null}"/>
    <n v="134312"/>
    <n v="4.2113223969972163E-2"/>
    <d v="2024-12-15T00:00:00"/>
    <n v="0.77053240740740736"/>
    <x v="0"/>
    <x v="8"/>
    <x v="0"/>
    <x v="1"/>
    <x v="1"/>
    <x v="0"/>
    <n v="40"/>
    <x v="1"/>
  </r>
  <r>
    <n v="1.8682194457363049E+18"/>
    <s v="acm███n"/>
    <s v="AC ███an"/>
    <s v="Let's rise to the occasion ❤️‍🔥_x000a__x000a_#ACMilanWorthEveryMinute #MilanGenoa #SempreMilan"/>
    <s v="&quot;2024-12-15T09:00:00.000Z&quot;"/>
    <s v="[&quot;https://pbs.twimg.com/media/Gexm3sRXsAEDL0u.jpg&quot;]"/>
    <s v="https://x.com/acmilan/status/1868219445736304967"/>
    <s v="null"/>
    <n v="27"/>
    <n v="159"/>
    <n v="1859"/>
    <n v="49212"/>
    <s v=""/>
    <s v="[&quot;ACMilanWorthEveryMinute&quot;,&quot;MilanGenoa&quot;,&quot;SempreMilan&quot;]"/>
    <n v="8539604"/>
    <s v="❤🖤 125 years together, worth every minute ❤🖤 _x000a__x000a_#SempreMilan since 1899! 🔙 _x000a__x000a_Arabic: @acmilanar | Portuguese: @acmilanbr | #MilanYouth: @acmilanyouth"/>
    <n v="75535"/>
    <s v="https://pbs.twimg.com/profile_images/1848748720050868225/FQY9F6Hn_normal.jpg"/>
    <n v="117"/>
    <b v="0"/>
    <n v="17"/>
    <n v="6"/>
    <s v="{&quot;post_id&quot;:null,&quot;profile_id&quot;:null,&quot;profile_name&quot;:null}"/>
    <s v="null"/>
    <s v="null"/>
    <s v="{&quot;data_posted&quot;:null,&quot;description&quot;:null,&quot;photos&quot;:null,&quot;post_id&quot;:null,&quot;profile_id&quot;:null,&quot;profile_name&quot;:null,&quot;url&quot;:null,&quot;videos&quot;:null}"/>
    <n v="2068"/>
    <n v="4.202227099081525E-2"/>
    <d v="2024-12-15T00:00:00"/>
    <n v="0.375"/>
    <x v="0"/>
    <x v="18"/>
    <x v="0"/>
    <x v="0"/>
    <x v="1"/>
    <x v="0"/>
    <n v="82"/>
    <x v="0"/>
  </r>
  <r>
    <n v="1.8680968796212884E+18"/>
    <s v="nyp███"/>
    <s v="New███rk ███t"/>
    <s v="Waiter fired after comments about refusing service to some Trump officials"/>
    <s v="&quot;2024-12-15T00:52:58.000Z&quot;"/>
    <s v="[&quot;https://pbs.twimg.com/media/GezQNmUXkAAU3My.jpg&quot;]"/>
    <s v="https://x.com/nypost/status/1868096879621288402"/>
    <s v="null"/>
    <n v="311"/>
    <n v="769"/>
    <n v="5599"/>
    <n v="162174"/>
    <s v="https://trib.al/8u53AcQ"/>
    <s v="null"/>
    <n v="3313897"/>
    <s v="Breaking news &amp; features from The New York Post. Follow your favorite sections: @pagesix, @nypmetro, @nypostbiz, @nypostsports, @nypfashion, @nypostopinion"/>
    <n v="706459"/>
    <s v="https://pbs.twimg.com/profile_images/966372680306868224/60wfGe9e_normal.jpg"/>
    <n v="10308"/>
    <b v="0"/>
    <n v="64"/>
    <n v="65"/>
    <s v="{&quot;post_id&quot;:null,&quot;profile_id&quot;:null,&quot;profile_name&quot;:null}"/>
    <s v="null"/>
    <s v="null"/>
    <s v="{&quot;data_posted&quot;:null,&quot;description&quot;:null,&quot;photos&quot;:null,&quot;post_id&quot;:null,&quot;profile_id&quot;:null,&quot;profile_name&quot;:null,&quot;url&quot;:null,&quot;videos&quot;:null}"/>
    <n v="6808"/>
    <n v="4.1979602155709297E-2"/>
    <d v="2024-12-15T00:00:00"/>
    <n v="3.6782407407407409E-2"/>
    <x v="0"/>
    <x v="5"/>
    <x v="0"/>
    <x v="0"/>
    <x v="0"/>
    <x v="0"/>
    <n v="74"/>
    <x v="0"/>
  </r>
  <r>
    <n v="1.8681207117113677E+18"/>
    <s v="WWE"/>
    <s v="WWE"/>
    <s v="HISTORY. _x000a__x000a_@ImChelseaGreen is the first-ever Women's United States Champion! 🇺🇸_x000a__x000a_#SNME"/>
    <s v="&quot;2024-12-15T02:27:40.000Z&quot;"/>
    <s v="[&quot;https://pbs.twimg.com/media/GezlvIvWcAE4mvg.jpg&quot;]"/>
    <s v="https://x.com/WWE/status/1868120711711367598"/>
    <s v="[{&quot;biography&quot;:null,&quot;followers&quot;:null,&quot;following&quot;:null,&quot;is_verified&quot;:null,&quot;profile_id&quot;:&quot;3351327093&quot;,&quot;profile_name&quot;:&quot;CHELSEA GREEN&quot;,&quot;url&quot;:&quot;https://x.com/ImChelseaGreen&quot;}]"/>
    <n v="888"/>
    <n v="5108"/>
    <n v="35883"/>
    <n v="1036071"/>
    <s v=""/>
    <s v="[&quot;SNME&quot;]"/>
    <n v="14375935"/>
    <s v="WWE Raw | Mondays at 8/7c on USA Network _x000a_WWE NXT | Tuesdays at 8/7c on The CW _x000a_WWE SmackDown | Fridays at 8/7c on USA Network"/>
    <n v="346973"/>
    <s v="https://pbs.twimg.com/profile_images/1383079031805972485/3sWoMX-R_normal.jpg"/>
    <n v="392"/>
    <b v="0"/>
    <n v="632"/>
    <n v="581"/>
    <s v="{&quot;post_id&quot;:null,&quot;profile_id&quot;:null,&quot;profile_name&quot;:null}"/>
    <s v="null"/>
    <s v="null"/>
    <s v="{&quot;data_posted&quot;:null,&quot;description&quot;:null,&quot;photos&quot;:null,&quot;post_id&quot;:null,&quot;profile_id&quot;:null,&quot;profile_name&quot;:null,&quot;url&quot;:null,&quot;videos&quot;:null}"/>
    <n v="43092"/>
    <n v="4.1591744195137205E-2"/>
    <d v="2024-12-15T00:00:00"/>
    <n v="0.1025462962962963"/>
    <x v="0"/>
    <x v="2"/>
    <x v="0"/>
    <x v="0"/>
    <x v="1"/>
    <x v="0"/>
    <n v="86"/>
    <x v="1"/>
  </r>
  <r>
    <n v="1.8684032740614144E+18"/>
    <s v="Rep███Gol███n"/>
    <s v="Rep███an ███dma███"/>
    <s v="I spent this week preserving an essential piece of NYC history, demanding accountability for the mail theft occurring in #NY10, and discussing strategies to combat food insecurity with @RepMcGovern._x000a__x000a_Check out the week’s highlights below."/>
    <s v="&quot;2024-12-15T21:10:28.000Z&quot;"/>
    <s v="[&quot;https://pbs.twimg.com/media/Ge3m3_cWkAA1oWG.jpg&quot;]"/>
    <s v="https://x.com/RepDanGoldman/status/1868403274061414481"/>
    <s v="[{&quot;biography&quot;:null,&quot;followers&quot;:null,&quot;following&quot;:null,&quot;is_verified&quot;:null,&quot;profile_id&quot;:&quot;242426145&quot;,&quot;profile_name&quot;:&quot;Rep. Jim McGovern&quot;,&quot;url&quot;:&quot;https://x.com/RepMcGovern&quot;}]"/>
    <n v="4"/>
    <n v="21"/>
    <n v="80"/>
    <n v="2568"/>
    <s v=""/>
    <s v="[&quot;NY10&quot;]"/>
    <n v="83499"/>
    <s v="Congressman for New York's 10th District in the House of Representatives"/>
    <n v="2027"/>
    <s v="https://pbs.twimg.com/profile_images/1612460750630518785/GlrrEjFZ_normal.jpg"/>
    <n v="413"/>
    <b v="0"/>
    <n v="0"/>
    <n v="1"/>
    <s v="{&quot;post_id&quot;:null,&quot;profile_id&quot;:null,&quot;profile_name&quot;:null}"/>
    <s v="null"/>
    <s v="null"/>
    <s v="{&quot;data_posted&quot;:null,&quot;description&quot;:null,&quot;photos&quot;:null,&quot;post_id&quot;:null,&quot;profile_id&quot;:null,&quot;profile_name&quot;:null,&quot;url&quot;:null,&quot;videos&quot;:null}"/>
    <n v="106"/>
    <n v="4.1277258566978191E-2"/>
    <d v="2024-12-15T00:00:00"/>
    <n v="0.88226851851851851"/>
    <x v="0"/>
    <x v="10"/>
    <x v="0"/>
    <x v="0"/>
    <x v="1"/>
    <x v="0"/>
    <n v="238"/>
    <x v="3"/>
  </r>
  <r>
    <n v="1.8683270099000074E+18"/>
    <s v="CPFC"/>
    <s v="Cry███l P███ce ██████"/>
    <s v="Made by Grok._x000a__x000a_#CPFC"/>
    <s v="&quot;2024-12-15T16:07:25.000Z&quot;"/>
    <s v="[&quot;https://pbs.twimg.com/media/Ge2hgx3WEAAS2Es.jpg&quot;]"/>
    <s v="https://x.com/CPFC/status/1868327009900007484"/>
    <s v="null"/>
    <n v="46"/>
    <n v="399"/>
    <n v="5555"/>
    <n v="148528"/>
    <s v=""/>
    <s v="[&quot;CPFC&quot;]"/>
    <n v="1480964"/>
    <s v="The Pride of South London."/>
    <n v="103753"/>
    <s v="https://pbs.twimg.com/profile_images/1857393032883994624/qN-MGWEH_normal.jpg"/>
    <n v="552"/>
    <b v="0"/>
    <n v="44"/>
    <n v="59"/>
    <s v="{&quot;post_id&quot;:null,&quot;profile_id&quot;:null,&quot;profile_name&quot;:null}"/>
    <s v="null"/>
    <s v="null"/>
    <s v="{&quot;data_posted&quot;:null,&quot;description&quot;:null,&quot;photos&quot;:null,&quot;post_id&quot;:null,&quot;profile_id&quot;:null,&quot;profile_name&quot;:null,&quot;url&quot;:null,&quot;videos&quot;:null}"/>
    <n v="6103"/>
    <n v="4.1089895507917702E-2"/>
    <d v="2024-12-15T00:00:00"/>
    <n v="0.67181712962962958"/>
    <x v="0"/>
    <x v="15"/>
    <x v="0"/>
    <x v="0"/>
    <x v="1"/>
    <x v="0"/>
    <n v="20"/>
    <x v="0"/>
  </r>
  <r>
    <n v="1.8683763603029156E+18"/>
    <s v="acm███n"/>
    <s v="AC ███an"/>
    <s v="Oi oi oi, Pippo Inzaghi segna per noi... 🔊_x000a__x000a_#MilanGenoa #ACMilanWorthEveryMinute #SempreMilan"/>
    <s v="&quot;2024-12-15T19:23:31.000Z&quot;"/>
    <s v="null"/>
    <s v="https://x.com/acmilan/status/1868376360302915712"/>
    <s v="null"/>
    <n v="32"/>
    <n v="433"/>
    <n v="3199"/>
    <n v="93379"/>
    <s v=""/>
    <s v="[&quot;MilanGenoa&quot;,&quot;ACMilanWorthEveryMinute&quot;,&quot;SempreMilan&quot;]"/>
    <n v="8539601"/>
    <s v="❤🖤 125 years together, worth every minute ❤🖤 _x000a__x000a_#SempreMilan since 1899! 🔙 _x000a__x000a_Arabic: @acmilanar | Portuguese: @acmilanbr | #MilanYouth: @acmilanyouth"/>
    <n v="75535"/>
    <s v="https://pbs.twimg.com/profile_images/1848748720050868225/FQY9F6Hn_normal.jpg"/>
    <n v="117"/>
    <b v="0"/>
    <n v="46"/>
    <n v="87"/>
    <s v="{&quot;post_id&quot;:null,&quot;profile_id&quot;:null,&quot;profile_name&quot;:null}"/>
    <s v="null"/>
    <s v="[{&quot;duration&quot;:13605,&quot;video_url&quot;:&quot;https://video.twimg.com/amplify_video/1868376202416627712/vid/avc1/720x1280/K1q5p3hRRXL2OnkX.mp4?tag=14&quot;}]"/>
    <s v="{&quot;data_posted&quot;:null,&quot;description&quot;:null,&quot;photos&quot;:null,&quot;post_id&quot;:null,&quot;profile_id&quot;:null,&quot;profile_name&quot;:null,&quot;url&quot;:null,&quot;videos&quot;:null}"/>
    <n v="3797"/>
    <n v="4.0662247400379103E-2"/>
    <d v="2024-12-15T00:00:00"/>
    <n v="0.80799768518518522"/>
    <x v="0"/>
    <x v="4"/>
    <x v="1"/>
    <x v="1"/>
    <x v="1"/>
    <x v="0"/>
    <n v="93"/>
    <x v="0"/>
  </r>
  <r>
    <n v="1.8683098897828009E+18"/>
    <s v="Man███Wom███"/>
    <s v="Man███ste███nit█████████"/>
    <s v="Good pressing, better finish ✨_x000a__x000a_🎥: @BarclaysWSL _x000a__x000a_#MUWomen"/>
    <s v="&quot;2024-12-15T14:59:23.000Z&quot;"/>
    <s v="null"/>
    <s v="https://x.com/ManUtdWomen/status/1868309889782800894"/>
    <s v="[{&quot;biography&quot;:null,&quot;followers&quot;:null,&quot;following&quot;:null,&quot;is_verified&quot;:null,&quot;profile_id&quot;:&quot;273665871&quot;,&quot;profile_name&quot;:&quot;Barclays Women's Super League&quot;,&quot;url&quot;:&quot;https://x.com/BarclaysWSL&quot;}]"/>
    <n v="7"/>
    <n v="91"/>
    <n v="825"/>
    <n v="23647"/>
    <s v=""/>
    <s v="[&quot;MUWomen&quot;]"/>
    <n v="462262"/>
    <s v="Explore our Christmas deals on United Store now 🛍️⤵️"/>
    <n v="16271"/>
    <s v="https://pbs.twimg.com/profile_images/1856421977373741056/jWwLjKK5_normal.jpg"/>
    <n v="38"/>
    <b v="0"/>
    <n v="8"/>
    <n v="8"/>
    <s v="{&quot;post_id&quot;:null,&quot;profile_id&quot;:null,&quot;profile_name&quot;:null}"/>
    <s v="null"/>
    <s v="[{&quot;duration&quot;:27773,&quot;video_url&quot;:&quot;https://video.twimg.com/amplify_video/1868308686172499968/vid/avc1/1280x720/nzY4LI4W-mCp8z8u.mp4?tag=16&quot;}]"/>
    <s v="{&quot;data_posted&quot;:null,&quot;description&quot;:null,&quot;photos&quot;:null,&quot;post_id&quot;:null,&quot;profile_id&quot;:null,&quot;profile_name&quot;:null,&quot;url&quot;:null,&quot;videos&quot;:null}"/>
    <n v="939"/>
    <n v="3.9709054002621896E-2"/>
    <d v="2024-12-15T00:00:00"/>
    <n v="0.62457175925925923"/>
    <x v="0"/>
    <x v="1"/>
    <x v="1"/>
    <x v="1"/>
    <x v="1"/>
    <x v="0"/>
    <n v="58"/>
    <x v="2"/>
  </r>
  <r>
    <n v="1.8684155362391532E+18"/>
    <s v="SLB███ica███"/>
    <s v="SL ███fic███"/>
    <s v="❤️⚪_x000a__x000a_#AVSSLB • #LigaPortugalBetclic"/>
    <s v="&quot;2024-12-15T21:59:11.000Z&quot;"/>
    <s v="[&quot;https://pbs.twimg.com/media/Ge3uWBbXAAA4_u8.jpg&quot;]"/>
    <s v="https://x.com/SLBenfica/status/1868415536239153250"/>
    <s v="null"/>
    <n v="10"/>
    <n v="22"/>
    <n v="520"/>
    <n v="14234"/>
    <s v=""/>
    <s v="[&quot;AVSSLB&quot;,&quot;LigaPortugalBetclic&quot;]"/>
    <n v="1906482"/>
    <s v="Twitter Oficial do 𝗦𝗽𝗼𝗿𝘁 𝗟𝗶𝘀𝗯𝗼𝗮 𝗲 𝗕𝗲𝗻𝗳𝗶𝗰𝗮 _x000a_English account: @SLBenfica_EN 🇬🇧🇺🇸_x000a_Modalidades: @ModalidadesSLB 🏑🏀"/>
    <n v="124666"/>
    <s v="https://pbs.twimg.com/profile_images/1845888754898161664/8uDsALMU_normal.jpg"/>
    <n v="432"/>
    <b v="0"/>
    <n v="4"/>
    <n v="7"/>
    <s v="{&quot;post_id&quot;:null,&quot;profile_id&quot;:null,&quot;profile_name&quot;:null}"/>
    <s v="null"/>
    <s v="null"/>
    <s v="{&quot;data_posted&quot;:null,&quot;description&quot;:null,&quot;photos&quot;:null,&quot;post_id&quot;:null,&quot;profile_id&quot;:null,&quot;profile_name&quot;:null,&quot;url&quot;:null,&quot;videos&quot;:null}"/>
    <n v="563"/>
    <n v="3.9553182520725025E-2"/>
    <d v="2024-12-15T00:00:00"/>
    <n v="0.91609953703703706"/>
    <x v="0"/>
    <x v="10"/>
    <x v="0"/>
    <x v="0"/>
    <x v="1"/>
    <x v="0"/>
    <n v="35"/>
    <x v="0"/>
  </r>
  <r>
    <n v="1.8683359633001062E+18"/>
    <s v="Bar███ysW███"/>
    <s v="Bar███ys ███en'█████████eag███"/>
    <s v="The final #BarclaysWSL table of 2024! 👀"/>
    <s v="&quot;2024-12-15T16:43:00.000Z&quot;"/>
    <s v="[&quot;https://pbs.twimg.com/media/Ge2n-dYW0AAglIe.jpg&quot;]"/>
    <s v="https://x.com/BarclaysWSL/status/1868335963300106319"/>
    <s v="null"/>
    <n v="27"/>
    <n v="218"/>
    <n v="1699"/>
    <n v="50876"/>
    <s v=""/>
    <s v="[&quot;BarclaysWSL&quot;]"/>
    <n v="337839"/>
    <s v="The home of top-flight women's football in England! 🤩_x000a__x000a_Subscribe to our brand-new BWSL YouTube Channel! 📺 #BarclaysWSL"/>
    <n v="57638"/>
    <s v="https://pbs.twimg.com/profile_images/1605171595160555521/NKG9mgxv_normal.jpg"/>
    <n v="587"/>
    <b v="0"/>
    <n v="41"/>
    <n v="24"/>
    <s v="{&quot;post_id&quot;:null,&quot;profile_id&quot;:null,&quot;profile_name&quot;:null}"/>
    <s v="null"/>
    <s v="null"/>
    <s v="{&quot;data_posted&quot;:null,&quot;description&quot;:null,&quot;photos&quot;:null,&quot;post_id&quot;:null,&quot;profile_id&quot;:null,&quot;profile_name&quot;:null,&quot;url&quot;:null,&quot;videos&quot;:null}"/>
    <n v="2009"/>
    <n v="3.9488167308750689E-2"/>
    <d v="2024-12-15T00:00:00"/>
    <n v="0.69652777777777775"/>
    <x v="0"/>
    <x v="15"/>
    <x v="0"/>
    <x v="0"/>
    <x v="1"/>
    <x v="0"/>
    <n v="39"/>
    <x v="2"/>
  </r>
  <r>
    <n v="1.8684080609531087E+18"/>
    <s v="tvg███o"/>
    <s v="TV ███bo ███"/>
    <s v="AQUI FOI O JOÃO PEDRO ABRAÇANDO O PAINHO DELE 🥺💖 #MelhoresDoAno #Domingão"/>
    <s v="&quot;2024-12-15T21:29:29.000Z&quot;"/>
    <s v="null"/>
    <s v="https://x.com/tvglobo/status/1868408060953108810"/>
    <s v="null"/>
    <n v="3"/>
    <n v="75"/>
    <n v="517"/>
    <n v="15980"/>
    <s v=""/>
    <s v="[&quot;MelhoresDoAno&quot;,&quot;Domingão&quot;]"/>
    <n v="13492430"/>
    <s v="oi, eu sou a Glô 😜"/>
    <n v="314515"/>
    <s v="https://pbs.twimg.com/profile_images/1863599216829792256/r5M1uKA8_normal.jpg"/>
    <n v="708"/>
    <b v="0"/>
    <n v="18"/>
    <n v="18"/>
    <s v="{&quot;post_id&quot;:null,&quot;profile_id&quot;:null,&quot;profile_name&quot;:null}"/>
    <s v="null"/>
    <s v="[{&quot;duration&quot;:7650,&quot;video_url&quot;:&quot;https://video.twimg.com/amplify_video/1868407740525129729/vid/avc1/1920x1080/k4vaE9NxgmH2kjhm.mp4?tag=16&quot;}]"/>
    <s v="{&quot;data_posted&quot;:null,&quot;description&quot;:null,&quot;photos&quot;:null,&quot;post_id&quot;:null,&quot;profile_id&quot;:null,&quot;profile_name&quot;:null,&quot;url&quot;:null,&quot;videos&quot;:null}"/>
    <n v="631"/>
    <n v="3.9486858573216523E-2"/>
    <d v="2024-12-15T00:00:00"/>
    <n v="0.89547453703703705"/>
    <x v="0"/>
    <x v="10"/>
    <x v="1"/>
    <x v="1"/>
    <x v="1"/>
    <x v="0"/>
    <n v="73"/>
    <x v="1"/>
  </r>
  <r>
    <n v="1.8682798679656696E+18"/>
    <s v="Man███Wom███"/>
    <s v="Man███ste███nit█████████"/>
    <s v="Our final starting XI of the calendar year 👊_x000a__x000a_BRING ON UNITED! 🇾🇪_x000a__x000a_#MUWomen || #BarclaysWSL"/>
    <s v="&quot;2024-12-15T13:00:06.000Z&quot;"/>
    <s v="null"/>
    <s v="https://x.com/ManUtdWomen/status/1868279867965669736"/>
    <s v="null"/>
    <n v="31"/>
    <n v="182"/>
    <n v="1513"/>
    <n v="45300"/>
    <s v="https://store.manutd.com/en-gb/c/kit/third?t=y&amp;utm_source=twitter&amp;utm_medium=post&amp;utm_campaign=ecom&amp;utm_content=muwvpalacemd"/>
    <s v="[&quot;MUWomen&quot;,&quot;BarclaysWSL&quot;]"/>
    <n v="462263"/>
    <s v="Explore our Christmas deals on United Store now 🛍️⤵️"/>
    <n v="16271"/>
    <s v="https://pbs.twimg.com/profile_images/1856421977373741056/jWwLjKK5_normal.jpg"/>
    <n v="38"/>
    <b v="0"/>
    <n v="53"/>
    <n v="6"/>
    <s v="{&quot;post_id&quot;:null,&quot;profile_id&quot;:null,&quot;profile_name&quot;:null}"/>
    <s v="null"/>
    <s v="null"/>
    <s v="{&quot;data_posted&quot;:null,&quot;description&quot;:null,&quot;photos&quot;:null,&quot;post_id&quot;:null,&quot;profile_id&quot;:null,&quot;profile_name&quot;:null,&quot;url&quot;:null,&quot;videos&quot;:null}"/>
    <n v="1785"/>
    <n v="3.9403973509933778E-2"/>
    <d v="2024-12-15T00:00:00"/>
    <n v="0.54173611111111108"/>
    <x v="0"/>
    <x v="14"/>
    <x v="0"/>
    <x v="1"/>
    <x v="1"/>
    <x v="0"/>
    <n v="91"/>
    <x v="2"/>
  </r>
  <r>
    <n v="1.8683565993305172E+18"/>
    <s v="Man███Wom███"/>
    <s v="Man███ste███nit█████████"/>
    <s v="Congratulations to our U21s, who beat Loughborough Lightning 3-0 to progress into the semi-finals of the FA WNL Plate 💪🇾🇪_x000a__x000a_#MUWomen || #MUAcademy"/>
    <s v="&quot;2024-12-15T18:05:00.000Z&quot;"/>
    <s v="[&quot;https://pbs.twimg.com/media/Ge2thdrWMAA-pO8.jpg&quot;]"/>
    <s v="https://x.com/ManUtdWomen/status/1868356599330517253"/>
    <s v="null"/>
    <n v="9"/>
    <n v="104"/>
    <n v="871"/>
    <n v="25400"/>
    <s v=""/>
    <s v="[&quot;MUWomen&quot;,&quot;MUAcademy&quot;]"/>
    <n v="462263"/>
    <s v="Explore our Christmas deals on United Store now 🛍️⤵️"/>
    <n v="16271"/>
    <s v="https://pbs.twimg.com/profile_images/1856421977373741056/jWwLjKK5_normal.jpg"/>
    <n v="38"/>
    <b v="0"/>
    <n v="7"/>
    <n v="7"/>
    <s v="{&quot;post_id&quot;:null,&quot;profile_id&quot;:null,&quot;profile_name&quot;:null}"/>
    <s v="null"/>
    <s v="null"/>
    <s v="{&quot;data_posted&quot;:null,&quot;description&quot;:null,&quot;photos&quot;:null,&quot;post_id&quot;:null,&quot;profile_id&quot;:null,&quot;profile_name&quot;:null,&quot;url&quot;:null,&quot;videos&quot;:null}"/>
    <n v="998"/>
    <n v="3.9291338582677166E-2"/>
    <d v="2024-12-15T00:00:00"/>
    <n v="0.75347222222222221"/>
    <x v="0"/>
    <x v="8"/>
    <x v="0"/>
    <x v="0"/>
    <x v="1"/>
    <x v="0"/>
    <n v="145"/>
    <x v="2"/>
  </r>
  <r>
    <n v="1.8683766562909844E+18"/>
    <s v="Spu███ffi███l"/>
    <s v="Tot███ham███tsp███"/>
    <s v="100 @premierleague appearances and counting 🔥"/>
    <s v="&quot;2024-12-15T19:24:42.000Z&quot;"/>
    <s v="[&quot;https://pbs.twimg.com/media/Ge3OmJQWwAAJ7Fe.jpg&quot;,&quot;https://pbs.twimg.com/media/Ge3OmJSXMAAvAB6.jpg&quot;]"/>
    <s v="https://x.com/SpursOfficial/status/1868376656290984434"/>
    <s v="[{&quot;biography&quot;:null,&quot;followers&quot;:null,&quot;following&quot;:null,&quot;is_verified&quot;:null,&quot;profile_id&quot;:&quot;343627165&quot;,&quot;profile_name&quot;:&quot;Premier League&quot;,&quot;url&quot;:&quot;https://x.com/premierleague&quot;}]"/>
    <n v="23"/>
    <n v="282"/>
    <n v="4679"/>
    <n v="128216"/>
    <s v=""/>
    <s v="null"/>
    <n v="8885747"/>
    <s v="COYS 🤍"/>
    <n v="115852"/>
    <s v="https://pbs.twimg.com/profile_images/1864976047902498816/FUkKarj7_normal.jpg"/>
    <n v="469"/>
    <b v="0"/>
    <n v="17"/>
    <n v="22"/>
    <s v="{&quot;post_id&quot;:null,&quot;profile_id&quot;:null,&quot;profile_name&quot;:null}"/>
    <s v="null"/>
    <s v="null"/>
    <s v="{&quot;data_posted&quot;:null,&quot;description&quot;:null,&quot;photos&quot;:null,&quot;post_id&quot;:null,&quot;profile_id&quot;:null,&quot;profile_name&quot;:null,&quot;url&quot;:null,&quot;videos&quot;:null}"/>
    <n v="5023"/>
    <n v="3.917607786859674E-2"/>
    <d v="2024-12-15T00:00:00"/>
    <n v="0.80881944444444442"/>
    <x v="0"/>
    <x v="4"/>
    <x v="0"/>
    <x v="0"/>
    <x v="0"/>
    <x v="0"/>
    <n v="45"/>
    <x v="0"/>
  </r>
  <r>
    <n v="1.868420657110729E+18"/>
    <s v="tvg███o"/>
    <s v="TV ███bo ███"/>
    <s v="Ela falando da Zefa Leonel com muito amor! 🥹🥹🥹 #MelhoresDoAno #Domingão"/>
    <s v="&quot;2024-12-15T22:19:32.000Z&quot;"/>
    <s v="null"/>
    <s v="https://x.com/tvglobo/status/1868420657110728869"/>
    <s v="null"/>
    <n v="12"/>
    <n v="49"/>
    <n v="401"/>
    <n v="12697"/>
    <s v=""/>
    <s v="[&quot;MelhoresDoAno&quot;,&quot;Domingão&quot;]"/>
    <n v="13492430"/>
    <s v="oi, eu sou a Glô 😜"/>
    <n v="314515"/>
    <s v="https://pbs.twimg.com/profile_images/1863599216829792256/r5M1uKA8_normal.jpg"/>
    <n v="708"/>
    <b v="0"/>
    <n v="15"/>
    <n v="20"/>
    <s v="{&quot;post_id&quot;:null,&quot;profile_id&quot;:null,&quot;profile_name&quot;:null}"/>
    <s v="null"/>
    <s v="[{&quot;duration&quot;:119900,&quot;video_url&quot;:&quot;https://video.twimg.com/amplify_video/1868420475010883584/vid/avc1/1920x1080/yv4jqjlDP_qpJjZp.mp4?tag=16&quot;}]"/>
    <s v="{&quot;data_posted&quot;:null,&quot;description&quot;:null,&quot;photos&quot;:null,&quot;post_id&quot;:null,&quot;profile_id&quot;:null,&quot;profile_name&quot;:null,&quot;url&quot;:null,&quot;videos&quot;:null}"/>
    <n v="497"/>
    <n v="3.9143104670394578E-2"/>
    <d v="2024-12-15T00:00:00"/>
    <n v="0.93023148148148149"/>
    <x v="0"/>
    <x v="11"/>
    <x v="1"/>
    <x v="1"/>
    <x v="1"/>
    <x v="0"/>
    <n v="71"/>
    <x v="1"/>
  </r>
  <r>
    <n v="1.8683178464443146E+18"/>
    <s v="CPFC"/>
    <s v="Cry███l P███ce ██████"/>
    <s v="Glasner._x000a__x000a_#CPFC // #BHACRY"/>
    <s v="&quot;2024-12-15T15:31:00.000Z&quot;"/>
    <s v="[&quot;https://pbs.twimg.com/media/Ge2ZGdPXYAAMDYZ.jpg&quot;]"/>
    <s v="https://x.com/CPFC/status/1868317846444314746"/>
    <s v="null"/>
    <n v="15"/>
    <n v="18"/>
    <n v="856"/>
    <n v="22874"/>
    <s v=""/>
    <s v="[&quot;CPFC&quot;,&quot;BHACRY&quot;]"/>
    <n v="1480966"/>
    <s v="The Pride of South London."/>
    <n v="103753"/>
    <s v="https://pbs.twimg.com/profile_images/1857393032883994624/qN-MGWEH_normal.jpg"/>
    <n v="552"/>
    <b v="0"/>
    <n v="3"/>
    <n v="3"/>
    <s v="{&quot;post_id&quot;:null,&quot;profile_id&quot;:null,&quot;profile_name&quot;:null}"/>
    <s v="null"/>
    <s v="null"/>
    <s v="{&quot;data_posted&quot;:null,&quot;description&quot;:null,&quot;photos&quot;:null,&quot;post_id&quot;:null,&quot;profile_id&quot;:null,&quot;profile_name&quot;:null,&quot;url&quot;:null,&quot;videos&quot;:null}"/>
    <n v="895"/>
    <n v="3.9127393547258894E-2"/>
    <d v="2024-12-15T00:00:00"/>
    <n v="0.64652777777777781"/>
    <x v="0"/>
    <x v="13"/>
    <x v="0"/>
    <x v="0"/>
    <x v="1"/>
    <x v="0"/>
    <n v="26"/>
    <x v="0"/>
  </r>
  <r>
    <n v="1.8683948513369667E+18"/>
    <s v="Man███"/>
    <s v="Man███ste███nit███"/>
    <s v="Grab your popcorn for this one: today's match highlights have landed 🍿_x000a__x000a_#MUFC || #MCIMUN"/>
    <s v="&quot;2024-12-15T20:37:00.000Z&quot;"/>
    <s v="null"/>
    <s v="https://x.com/ManUtd/status/1868394851336966642"/>
    <s v="null"/>
    <n v="137"/>
    <n v="584"/>
    <n v="7065"/>
    <n v="201982"/>
    <s v="https://www.manutd.com/en/videos/detail/Short-match-highlights-Manchester-City-v-Man-Utd-15-December-2024"/>
    <s v="[&quot;MUFC&quot;,&quot;MCIMUN&quot;]"/>
    <n v="38438997"/>
    <s v="’Tis the season to gift United! 🎁🎄"/>
    <n v="92455"/>
    <s v="https://pbs.twimg.com/profile_images/1856418426496880640/iIvJaO5T_normal.png"/>
    <n v="145"/>
    <b v="0"/>
    <n v="24"/>
    <n v="65"/>
    <s v="{&quot;post_id&quot;:null,&quot;profile_id&quot;:null,&quot;profile_name&quot;:null}"/>
    <s v="null"/>
    <s v="null"/>
    <s v="{&quot;data_posted&quot;:null,&quot;description&quot;:null,&quot;photos&quot;:null,&quot;post_id&quot;:null,&quot;profile_id&quot;:null,&quot;profile_name&quot;:null,&quot;url&quot;:null,&quot;videos&quot;:null}"/>
    <n v="7875"/>
    <n v="3.8988622748561755E-2"/>
    <d v="2024-12-15T00:00:00"/>
    <n v="0.85902777777777772"/>
    <x v="0"/>
    <x v="3"/>
    <x v="0"/>
    <x v="1"/>
    <x v="1"/>
    <x v="0"/>
    <n v="88"/>
    <x v="1"/>
  </r>
  <r>
    <n v="1.8683647218560824E+18"/>
    <s v="spfl"/>
    <s v="SPFL"/>
    <s v="Congratulations to @CelticFC, who are your Premier Sports Cup 24/25 champions after winning a thrilling cup final at Hampden Park via a penalty shootout! 👏"/>
    <s v="&quot;2024-12-15T18:37:16.000Z&quot;"/>
    <s v="[&quot;https://pbs.twimg.com/media/Ge3DxIyXwAADEgQ.jpg&quot;]"/>
    <s v="https://x.com/spfl/status/1868364721856082388"/>
    <s v="[{&quot;biography&quot;:null,&quot;followers&quot;:null,&quot;following&quot;:null,&quot;is_verified&quot;:null,&quot;profile_id&quot;:&quot;15203904&quot;,&quot;profile_name&quot;:&quot;Celtic Football Club&quot;,&quot;url&quot;:&quot;https://x.com/CelticFC&quot;}]"/>
    <n v="14"/>
    <n v="51"/>
    <n v="686"/>
    <n v="19398"/>
    <s v=""/>
    <s v="null"/>
    <n v="294711"/>
    <s v="Official Twitter/X account for the Scottish Professional Football League, sponsored by @WilliamHill."/>
    <n v="66342"/>
    <s v="https://pbs.twimg.com/profile_images/1798999022348496896/ZZU_hFqY_normal.jpg"/>
    <n v="1449"/>
    <b v="0"/>
    <n v="1"/>
    <n v="1"/>
    <s v="{&quot;post_id&quot;:null,&quot;profile_id&quot;:null,&quot;profile_name&quot;:null}"/>
    <s v="null"/>
    <s v="null"/>
    <s v="{&quot;data_posted&quot;:null,&quot;description&quot;:null,&quot;photos&quot;:null,&quot;post_id&quot;:null,&quot;profile_id&quot;:null,&quot;profile_name&quot;:null,&quot;url&quot;:null,&quot;videos&quot;:null}"/>
    <n v="753"/>
    <n v="3.8818434890194868E-2"/>
    <d v="2024-12-15T00:00:00"/>
    <n v="0.77587962962962964"/>
    <x v="0"/>
    <x v="8"/>
    <x v="0"/>
    <x v="0"/>
    <x v="0"/>
    <x v="0"/>
    <n v="155"/>
    <x v="2"/>
  </r>
  <r>
    <n v="1.8684066306031949E+18"/>
    <s v="tvg███o"/>
    <s v="TV ███bo ███"/>
    <s v="LINDA, PERFEITA &amp;amp; MARAVILHOSA ❤️ MARJORIE INSPIRADORA E TALENTOSÍSSIMA #MelhoresDoAno #Domingão"/>
    <s v="&quot;2024-12-15T21:23:48.000Z&quot;"/>
    <s v="null"/>
    <s v="https://x.com/tvglobo/status/1868406630603194872"/>
    <s v="null"/>
    <n v="14"/>
    <n v="91"/>
    <n v="826"/>
    <n v="25771"/>
    <s v=""/>
    <s v="[&quot;MelhoresDoAno&quot;,&quot;Domingão&quot;]"/>
    <n v="13492430"/>
    <s v="oi, eu sou a Glô 😜"/>
    <n v="314515"/>
    <s v="https://pbs.twimg.com/profile_images/1863599216829792256/r5M1uKA8_normal.jpg"/>
    <n v="708"/>
    <b v="0"/>
    <n v="35"/>
    <n v="32"/>
    <s v="{&quot;post_id&quot;:null,&quot;profile_id&quot;:null,&quot;profile_name&quot;:null}"/>
    <s v="null"/>
    <s v="[{&quot;duration&quot;:145140,&quot;video_url&quot;:&quot;https://video.twimg.com/amplify_video/1868406210229055488/vid/avc1/1920x1080/LdWakHBcw-fIwTuZ.mp4?tag=16&quot;}]"/>
    <s v="{&quot;data_posted&quot;:null,&quot;description&quot;:null,&quot;photos&quot;:null,&quot;post_id&quot;:null,&quot;profile_id&quot;:null,&quot;profile_name&quot;:null,&quot;url&quot;:null,&quot;videos&quot;:null}"/>
    <n v="998"/>
    <n v="3.8725699429591399E-2"/>
    <d v="2024-12-15T00:00:00"/>
    <n v="0.89152777777777781"/>
    <x v="0"/>
    <x v="10"/>
    <x v="1"/>
    <x v="1"/>
    <x v="1"/>
    <x v="0"/>
    <n v="99"/>
    <x v="1"/>
  </r>
  <r>
    <n v="1.8683730059001654E+18"/>
    <s v="Cel███FC"/>
    <s v="Cel███ Fo███all██████"/>
    <s v="More momentous moments! 🤩_x000a__x000a_#CELRAN | #PremierSportsCup | #CelticFC🍀"/>
    <s v="&quot;2024-12-15T19:10:11.000Z&quot;"/>
    <s v="[&quot;https://pbs.twimg.com/media/Ge3LOuaXUAAea_v.jpg&quot;,&quot;https://pbs.twimg.com/media/Ge3LUUvXgAA7XgD.jpg&quot;]"/>
    <s v="https://x.com/CelticFC/status/1868373005900165346"/>
    <s v="null"/>
    <n v="17"/>
    <n v="180"/>
    <n v="2682"/>
    <n v="74792"/>
    <s v=""/>
    <s v="[&quot;CELRAN&quot;,&quot;PremierSportsCup&quot;,&quot;CelticFC&quot;]"/>
    <n v="984256"/>
    <s v="Glasgow Celtic - 2023/24 Double Winners! 🍀🏆 🟢 @CelticFCWomen ⚪ @CelticFCB 🎌 @CelticFCJPN 📽 @CelticTV 🛒 @CelticFCShop 🎟 @CelticFCTickets"/>
    <n v="136135"/>
    <s v="https://pbs.twimg.com/profile_images/1808866900228665344/xZAZuYBY_normal.jpg"/>
    <n v="438"/>
    <b v="0"/>
    <n v="4"/>
    <n v="13"/>
    <s v="{&quot;post_id&quot;:null,&quot;profile_id&quot;:null,&quot;profile_name&quot;:null}"/>
    <s v="null"/>
    <s v="null"/>
    <s v="{&quot;data_posted&quot;:null,&quot;description&quot;:null,&quot;photos&quot;:null,&quot;post_id&quot;:null,&quot;profile_id&quot;:null,&quot;profile_name&quot;:null,&quot;url&quot;:null,&quot;videos&quot;:null}"/>
    <n v="2896"/>
    <n v="3.8720718793453845E-2"/>
    <d v="2024-12-15T00:00:00"/>
    <n v="0.79873842592592592"/>
    <x v="0"/>
    <x v="4"/>
    <x v="0"/>
    <x v="0"/>
    <x v="1"/>
    <x v="0"/>
    <n v="67"/>
    <x v="2"/>
  </r>
  <r>
    <n v="1.8683893147043558E+18"/>
    <s v="CPFC"/>
    <s v="Cry███l P███ce ██████"/>
    <s v="👀_x000a__x000a_#CPFC // #BHACRY"/>
    <s v="&quot;2024-12-15T20:15:00.000Z&quot;"/>
    <s v="[&quot;https://pbs.twimg.com/media/Ge2t3rbXsAAotpz.jpg&quot;,&quot;https://pbs.twimg.com/media/Ge2t3raWcAE5JPh.jpg&quot;,&quot;https://pbs.twimg.com/media/Ge2t3rcWcAIprcK.jpg&quot;,&quot;https://pbs.twimg.com/media/Ge2t3rdXYAA0OTz.jpg&quot;]"/>
    <s v="https://x.com/CPFC/status/1868389314704355759"/>
    <s v="null"/>
    <n v="5"/>
    <n v="34"/>
    <n v="761"/>
    <n v="20916"/>
    <s v=""/>
    <s v="[&quot;CPFC&quot;,&quot;BHACRY&quot;]"/>
    <n v="1480962"/>
    <s v="The Pride of South London."/>
    <n v="103753"/>
    <s v="https://pbs.twimg.com/profile_images/1857393032883994624/qN-MGWEH_normal.jpg"/>
    <n v="552"/>
    <b v="0"/>
    <n v="1"/>
    <n v="8"/>
    <s v="{&quot;post_id&quot;:null,&quot;profile_id&quot;:null,&quot;profile_name&quot;:null}"/>
    <s v="null"/>
    <s v="null"/>
    <s v="{&quot;data_posted&quot;:null,&quot;description&quot;:null,&quot;photos&quot;:null,&quot;post_id&quot;:null,&quot;profile_id&quot;:null,&quot;profile_name&quot;:null,&quot;url&quot;:null,&quot;videos&quot;:null}"/>
    <n v="809"/>
    <n v="3.8678523618282654E-2"/>
    <d v="2024-12-15T00:00:00"/>
    <n v="0.84375"/>
    <x v="0"/>
    <x v="3"/>
    <x v="0"/>
    <x v="0"/>
    <x v="1"/>
    <x v="0"/>
    <n v="19"/>
    <x v="0"/>
  </r>
  <r>
    <n v="1.8683786778238894E+18"/>
    <s v="Alh███l_F███"/>
    <s v="ناد███لهل███الس██████"/>
    <s v="🔙 نعـود إلى العمـل 💪💙_x000a__x000a_#الهلال"/>
    <s v="&quot;2024-12-15T19:32:44.000Z&quot;"/>
    <s v="null"/>
    <s v="https://x.com/Alhilal_FC/status/1868378677823889504"/>
    <s v="null"/>
    <n v="201"/>
    <n v="924"/>
    <n v="3340"/>
    <n v="118077"/>
    <s v=""/>
    <s v="[&quot;الهلال&quot;]"/>
    <n v="12131042"/>
    <s v="الحساب الرسمي لنادي الهلال السعودي | English account @Alhilal_EN الحساب الرسمي لألعاب الهلال المختلفة @Alhilal_SG"/>
    <n v="55551"/>
    <s v="https://pbs.twimg.com/profile_images/1561793965359235073/354zGAdx_normal.jpg"/>
    <n v="76"/>
    <b v="0"/>
    <n v="19"/>
    <n v="64"/>
    <s v="{&quot;post_id&quot;:null,&quot;profile_id&quot;:null,&quot;profile_name&quot;:null}"/>
    <s v="null"/>
    <s v="[{&quot;duration&quot;:66396,&quot;video_url&quot;:&quot;https://video.twimg.com/ext_tw_video/1868377763658309632/pu/vid/avc1/1080x1350/evhowrWrMIxbVgnf.mp4?tag=14&quot;}]"/>
    <s v="{&quot;data_posted&quot;:null,&quot;description&quot;:null,&quot;photos&quot;:null,&quot;post_id&quot;:null,&quot;profile_id&quot;:null,&quot;profile_name&quot;:null,&quot;url&quot;:null,&quot;videos&quot;:null}"/>
    <n v="4548"/>
    <n v="3.8517238750984527E-2"/>
    <d v="2024-12-15T00:00:00"/>
    <n v="0.81439814814814815"/>
    <x v="0"/>
    <x v="4"/>
    <x v="1"/>
    <x v="1"/>
    <x v="1"/>
    <x v="0"/>
    <n v="30"/>
    <x v="1"/>
  </r>
  <r>
    <n v="1.8684067790860744E+18"/>
    <s v="Glo███ews███"/>
    <s v="Glo███ews███"/>
    <s v=".@miriamleitao fala sobre elementos que culminaram na prisão de Braga Netto, e diz que a PF analisa agora celulares e dezenas de pendrives apreendidos no sábado (14). &quot;As investigações continuam, porque mais informações estão chegando&quot;._x000a__x000a_➡ Assista à #GloboNews: https://t.co/mgnXyoxVcw #EspecialDeDomingo"/>
    <s v="&quot;2024-12-15T21:24:24.000Z&quot;"/>
    <s v="null"/>
    <s v="https://x.com/GloboNews/status/1868406779086074332"/>
    <s v="[{&quot;biography&quot;:null,&quot;followers&quot;:null,&quot;following&quot;:null,&quot;is_verified&quot;:null,&quot;profile_id&quot;:&quot;16814640&quot;,&quot;profile_name&quot;:&quot;Míriam Leitão&quot;,&quot;url&quot;:&quot;https://x.com/miriamleitao&quot;}]"/>
    <n v="148"/>
    <n v="105"/>
    <n v="572"/>
    <n v="22414"/>
    <s v=""/>
    <s v="[&quot;GloboNews&quot;]"/>
    <n v="5771760"/>
    <s v="Nunca desliga"/>
    <n v="222223"/>
    <s v="https://pbs.twimg.com/profile_images/1559102712435933185/mYnEVnNs_normal.jpg"/>
    <n v="122"/>
    <b v="0"/>
    <n v="16"/>
    <n v="16"/>
    <s v="{&quot;post_id&quot;:null,&quot;profile_id&quot;:null,&quot;profile_name&quot;:null}"/>
    <s v="null"/>
    <s v="[{&quot;duration&quot;:164534,&quot;video_url&quot;:&quot;https://video.twimg.com/ext_tw_video/1868406640489164800/pu/vid/avc1/1280x720/FqaGcQZLwL2IARnF.mp4?tag=12&quot;}]"/>
    <s v="{&quot;data_posted&quot;:null,&quot;description&quot;:null,&quot;photos&quot;:null,&quot;post_id&quot;:null,&quot;profile_id&quot;:null,&quot;profile_name&quot;:null,&quot;url&quot;:null,&quot;videos&quot;:null}"/>
    <n v="857"/>
    <n v="3.8235031676630678E-2"/>
    <d v="2024-12-15T00:00:00"/>
    <n v="0.89194444444444443"/>
    <x v="0"/>
    <x v="10"/>
    <x v="1"/>
    <x v="1"/>
    <x v="1"/>
    <x v="0"/>
    <n v="304"/>
    <x v="0"/>
  </r>
  <r>
    <n v="1.8684072457356534E+18"/>
    <s v="tvg███o"/>
    <s v="TV ███bo ███"/>
    <s v="ELE MERECE, ELE MERECE, ELE MERECEEEEE ❤️ Juan Paiva levou o prêmio de &quot;Ator de Série&quot; #MelhoresDoAno #Domingão"/>
    <s v="&quot;2024-12-15T21:26:15.000Z&quot;"/>
    <s v="null"/>
    <s v="https://x.com/tvglobo/status/1868407245735653417"/>
    <s v="null"/>
    <n v="34"/>
    <n v="116"/>
    <n v="759"/>
    <n v="25820"/>
    <s v=""/>
    <s v="[&quot;MelhoresDoAno&quot;,&quot;Domingão&quot;]"/>
    <n v="13492430"/>
    <s v="oi, eu sou a Glô 😜"/>
    <n v="314515"/>
    <s v="https://pbs.twimg.com/profile_images/1863599216829792256/r5M1uKA8_normal.jpg"/>
    <n v="708"/>
    <b v="0"/>
    <n v="55"/>
    <n v="22"/>
    <s v="{&quot;post_id&quot;:null,&quot;profile_id&quot;:null,&quot;profile_name&quot;:null}"/>
    <s v="null"/>
    <s v="[{&quot;duration&quot;:31350,&quot;video_url&quot;:&quot;https://video.twimg.com/amplify_video/1868406892625620992/vid/avc1/1920x1080/EjVNlae36pKsHDHI.mp4?tag=16&quot;}]"/>
    <s v="{&quot;data_posted&quot;:null,&quot;description&quot;:null,&quot;photos&quot;:null,&quot;post_id&quot;:null,&quot;profile_id&quot;:null,&quot;profile_name&quot;:null,&quot;url&quot;:null,&quot;videos&quot;:null}"/>
    <n v="986"/>
    <n v="3.8187451587916345E-2"/>
    <d v="2024-12-15T00:00:00"/>
    <n v="0.89322916666666663"/>
    <x v="0"/>
    <x v="10"/>
    <x v="1"/>
    <x v="1"/>
    <x v="1"/>
    <x v="0"/>
    <n v="111"/>
    <x v="1"/>
  </r>
  <r>
    <n v="1.8683605724185439E+18"/>
    <s v="spfl"/>
    <s v="SPFL"/>
    <s v="It's all over at Hampden Park!_x000a__x000a_Daizen Maeda converts the crucial penalty and @CelticFC are your Premier Sports Cup champions 🏆"/>
    <s v="&quot;2024-12-15T18:20:47.000Z&quot;"/>
    <s v="[&quot;https://pbs.twimg.com/media/Ge2_8tJXsAETs_f.jpg&quot;]"/>
    <s v="https://x.com/spfl/status/1868360572418543886"/>
    <s v="[{&quot;biography&quot;:null,&quot;followers&quot;:null,&quot;following&quot;:null,&quot;is_verified&quot;:null,&quot;profile_id&quot;:&quot;15203904&quot;,&quot;profile_name&quot;:&quot;Celtic Football Club&quot;,&quot;url&quot;:&quot;https://x.com/CelticFC&quot;}]"/>
    <n v="24"/>
    <n v="101"/>
    <n v="1345"/>
    <n v="39065"/>
    <s v=""/>
    <s v="null"/>
    <n v="294711"/>
    <s v="Official Twitter/X account for the Scottish Professional Football League, sponsored by @WilliamHill."/>
    <n v="66342"/>
    <s v="https://pbs.twimg.com/profile_images/1798999022348496896/ZZU_hFqY_normal.jpg"/>
    <n v="1449"/>
    <b v="0"/>
    <n v="11"/>
    <n v="7"/>
    <s v="{&quot;post_id&quot;:null,&quot;profile_id&quot;:null,&quot;profile_name&quot;:null}"/>
    <s v="null"/>
    <s v="null"/>
    <s v="{&quot;data_posted&quot;:null,&quot;description&quot;:null,&quot;photos&quot;:null,&quot;post_id&quot;:null,&quot;profile_id&quot;:null,&quot;profile_name&quot;:null,&quot;url&quot;:null,&quot;videos&quot;:null}"/>
    <n v="1488"/>
    <n v="3.8090362216818122E-2"/>
    <d v="2024-12-15T00:00:00"/>
    <n v="0.76443287037037033"/>
    <x v="0"/>
    <x v="8"/>
    <x v="0"/>
    <x v="0"/>
    <x v="0"/>
    <x v="0"/>
    <n v="127"/>
    <x v="2"/>
  </r>
  <r>
    <n v="1.8683269565775219E+18"/>
    <s v="Rep███ove███"/>
    <s v="Rep███im ███ove███"/>
    <s v="Heading on @MSNBC around 11:25 this morning to talk about my call for @POTUS to pardon environmental lawyer Steven Donziger—he took on Chevron &amp;amp; won a $9.5 billion case, then faced a vicious campaign of corporate retaliation designed to destroy his life."/>
    <s v="&quot;2024-12-15T16:07:12.000Z&quot;"/>
    <s v="null"/>
    <s v="https://x.com/RepMcGovern/status/1868326956577522043"/>
    <s v="[{&quot;biography&quot;:null,&quot;followers&quot;:null,&quot;following&quot;:null,&quot;is_verified&quot;:null,&quot;profile_id&quot;:&quot;2836421&quot;,&quot;profile_name&quot;:&quot;MSNBC&quot;,&quot;url&quot;:&quot;https://x.com/MSNBC&quot;},{&quot;biography&quot;:null,&quot;followers&quot;:null,&quot;following&quot;:null,&quot;is_verified&quot;:null,&quot;profile_id&quot;:&quot;1349149096909668363&quot;,&quot;profile_name&quot;:&quot;President Biden&quot;,&quot;url&quot;:&quot;https://x.com/POTUS&quot;}]"/>
    <n v="9"/>
    <n v="56"/>
    <n v="174"/>
    <n v="6443"/>
    <s v="https://www.theguardian.com/commentisfree/2024/dec/13/president-biden-stand-up-to-chevron-and-pardon-steven-donziger"/>
    <s v="null"/>
    <n v="121019"/>
    <s v="Lisa's husband. Patrick &amp; Molly's dad. Serving #MA02 &amp; working to #EndHungerNow. Top Dem on @RulesDemocrats. Co-Chair @TLhumanrights. Member of @CECCgov. he/him"/>
    <n v="17813"/>
    <s v="https://pbs.twimg.com/profile_images/1553032233799360512/E1Y69xeF_normal.jpg"/>
    <n v="697"/>
    <b v="0"/>
    <n v="0"/>
    <n v="5"/>
    <s v="{&quot;post_id&quot;:null,&quot;profile_id&quot;:null,&quot;profile_name&quot;:null}"/>
    <s v="[&quot;https://pbs.twimg.com/card_img/1867531886135758848/3bu-QTZ2?format=jpg&amp;name=orig&quot;]"/>
    <s v="null"/>
    <s v="{&quot;data_posted&quot;:null,&quot;description&quot;:null,&quot;photos&quot;:null,&quot;post_id&quot;:null,&quot;profile_id&quot;:null,&quot;profile_name&quot;:null,&quot;url&quot;:null,&quot;videos&quot;:null}"/>
    <n v="244"/>
    <n v="3.7870557193853793E-2"/>
    <d v="2024-12-15T00:00:00"/>
    <n v="0.67166666666666663"/>
    <x v="0"/>
    <x v="15"/>
    <x v="0"/>
    <x v="1"/>
    <x v="0"/>
    <x v="0"/>
    <n v="258"/>
    <x v="2"/>
  </r>
  <r>
    <n v="1.8684077772084838E+18"/>
    <s v="tvg███o"/>
    <s v="TV ███bo ███"/>
    <s v="Um discurso carregado de muita emoção 🥹 Temos muito orgulho do ARTISTA que cê é, Juan!!! #MelhoresDoAno #Domingão"/>
    <s v="&quot;2024-12-15T21:28:22.000Z&quot;"/>
    <s v="null"/>
    <s v="https://x.com/tvglobo/status/1868407777208483919"/>
    <s v="null"/>
    <n v="12"/>
    <n v="107"/>
    <n v="613"/>
    <n v="21774"/>
    <s v=""/>
    <s v="[&quot;MelhoresDoAno&quot;,&quot;Domingão&quot;]"/>
    <n v="13492430"/>
    <s v="oi, eu sou a Glô 😜"/>
    <n v="314515"/>
    <s v="https://pbs.twimg.com/profile_images/1863599216829792256/r5M1uKA8_normal.jpg"/>
    <n v="708"/>
    <b v="0"/>
    <n v="57"/>
    <n v="31"/>
    <s v="{&quot;post_id&quot;:null,&quot;profile_id&quot;:null,&quot;profile_name&quot;:null}"/>
    <s v="null"/>
    <s v="[{&quot;duration&quot;:113870,&quot;video_url&quot;:&quot;https://video.twimg.com/amplify_video/1868407483221364736/vid/avc1/1920x1080/MXGr_mAyWNG6isqW.mp4?tag=16&quot;}]"/>
    <s v="{&quot;data_posted&quot;:null,&quot;description&quot;:null,&quot;photos&quot;:null,&quot;post_id&quot;:null,&quot;profile_id&quot;:null,&quot;profile_name&quot;:null,&quot;url&quot;:null,&quot;videos&quot;:null}"/>
    <n v="820"/>
    <n v="3.7659594011206027E-2"/>
    <d v="2024-12-15T00:00:00"/>
    <n v="0.89469907407407412"/>
    <x v="0"/>
    <x v="10"/>
    <x v="1"/>
    <x v="1"/>
    <x v="1"/>
    <x v="0"/>
    <n v="113"/>
    <x v="1"/>
  </r>
  <r>
    <n v="1.8683939830026732E+18"/>
    <s v="TNT███rts███"/>
    <s v="TNT███ort███R"/>
    <s v="QUE ENCONTRO! ESSES CARAS SÃO LENDÁRIOS! 🔥_x000a_Ronaldo e Adriano se reencontraram no Maracanã no dia da despedida do Imperador! Esses caras fazem falta demais na nossa #SeleçãoBrasileira..."/>
    <s v="&quot;2024-12-15T20:33:33.000Z&quot;"/>
    <s v="[&quot;https://pbs.twimg.com/media/Ge3ea5jX0AA0ShG.jpg&quot;]"/>
    <s v="https://x.com/TNTSportsBR/status/1868393983002673179"/>
    <s v="null"/>
    <n v="7"/>
    <n v="38"/>
    <n v="1031"/>
    <n v="28933"/>
    <s v=""/>
    <s v="[&quot;SeleçãoBrasileira&quot;]"/>
    <n v="8293200"/>
    <s v="⚽️ É muito mais Champions na Max, com TODOS os jogos ao vivo!_x000a_👇🏻Assine e assista clicando no link👇🏻"/>
    <n v="456734"/>
    <s v="https://pbs.twimg.com/profile_images/1807013047975768065/8sm_IGpw_normal.jpg"/>
    <n v="859"/>
    <b v="0"/>
    <n v="5"/>
    <n v="4"/>
    <s v="{&quot;post_id&quot;:null,&quot;profile_id&quot;:null,&quot;profile_name&quot;:null}"/>
    <s v="null"/>
    <s v="null"/>
    <s v="{&quot;data_posted&quot;:null,&quot;description&quot;:null,&quot;photos&quot;:null,&quot;post_id&quot;:null,&quot;profile_id&quot;:null,&quot;profile_name&quot;:null,&quot;url&quot;:null,&quot;videos&quot;:null}"/>
    <n v="1085"/>
    <n v="3.7500432032627103E-2"/>
    <d v="2024-12-15T00:00:00"/>
    <n v="0.85663194444444446"/>
    <x v="0"/>
    <x v="3"/>
    <x v="0"/>
    <x v="0"/>
    <x v="1"/>
    <x v="0"/>
    <n v="185"/>
    <x v="0"/>
  </r>
  <r>
    <n v="1.8683926132605381E+18"/>
    <s v="Met███ole███"/>
    <s v="Met███ole███"/>
    <s v="⏯️Paulo Vieira debocha da prisão de Braga Netto ao vivo na Globo_x000a__x000a_Durante a apresentação do Melhores do Ano, do Domingão, o humorista fez uma piada com a prisão do general_x000a__x000a_Leia na coluna da @OliveiraFabia_:"/>
    <s v="&quot;2024-12-15T20:28:06.000Z&quot;"/>
    <s v="null"/>
    <s v="https://x.com/Metropoles/status/1868392613260538144"/>
    <s v="[{&quot;biography&quot;:null,&quot;followers&quot;:null,&quot;following&quot;:null,&quot;is_verified&quot;:null,&quot;profile_id&quot;:&quot;1121108752873283589&quot;,&quot;profile_name&quot;:&quot;Fábia Oliveira&quot;,&quot;url&quot;:&quot;https://x.com/OliveiraFabia_&quot;}]"/>
    <n v="222"/>
    <n v="159"/>
    <n v="1388"/>
    <n v="49353"/>
    <s v="https://curt.link/PQutR"/>
    <s v="null"/>
    <n v="1239616"/>
    <s v="📱 O seu portal de notícias. Tudo sobre política, saúde, justiça, comportamento, entretenimento. Confira os fatos relevantes do país e do mundo em tempo real."/>
    <n v="402839"/>
    <s v="https://pbs.twimg.com/profile_images/1642966741138415647/fHdgQUGl_normal.jpg"/>
    <n v="1644"/>
    <b v="0"/>
    <n v="22"/>
    <n v="56"/>
    <s v="{&quot;post_id&quot;:null,&quot;profile_id&quot;:null,&quot;profile_name&quot;:null}"/>
    <s v="null"/>
    <s v="[{&quot;duration&quot;:12053,&quot;video_url&quot;:&quot;https://video.twimg.com/ext_tw_video/1868392577835077632/pu/vid/avc1/1024x576/ky75nXf2-ezfDdUy.mp4?tag=12&quot;}]"/>
    <s v="{&quot;data_posted&quot;:null,&quot;description&quot;:null,&quot;photos&quot;:null,&quot;post_id&quot;:null,&quot;profile_id&quot;:null,&quot;profile_name&quot;:null,&quot;url&quot;:null,&quot;videos&quot;:null}"/>
    <n v="1847"/>
    <n v="3.7424270054505299E-2"/>
    <d v="2024-12-15T00:00:00"/>
    <n v="0.8528472222222222"/>
    <x v="0"/>
    <x v="3"/>
    <x v="1"/>
    <x v="1"/>
    <x v="0"/>
    <x v="0"/>
    <n v="207"/>
    <x v="0"/>
  </r>
  <r>
    <n v="1.8683963937164211E+18"/>
    <s v="acm███n"/>
    <s v="AC ███an"/>
    <s v="In an alternate universe perhaps we'd be smashing sixes... 🏏_x000a__x000a_#MilanGenoa #ACMilanWorthEveryMinute #SempreMilan"/>
    <s v="&quot;2024-12-15T20:43:08.000Z&quot;"/>
    <s v="[&quot;https://pbs.twimg.com/media/Ge3gYpOXsAA1PK4.jpg&quot;]"/>
    <s v="https://x.com/acmilan/status/1868396393716421040"/>
    <s v="null"/>
    <n v="53"/>
    <n v="179"/>
    <n v="1860"/>
    <n v="58458"/>
    <s v=""/>
    <s v="[&quot;MilanGenoa&quot;,&quot;ACMilanWorthEveryMinute&quot;,&quot;SempreMilan&quot;]"/>
    <n v="8539601"/>
    <s v="❤🖤 125 years together, worth every minute ❤🖤 _x000a__x000a_#SempreMilan since 1899! 🔙 _x000a__x000a_Arabic: @acmilanar | Portuguese: @acmilanbr | #MilanYouth: @acmilanyouth"/>
    <n v="75535"/>
    <s v="https://pbs.twimg.com/profile_images/1848748720050868225/FQY9F6Hn_normal.jpg"/>
    <n v="117"/>
    <b v="0"/>
    <n v="12"/>
    <n v="31"/>
    <s v="{&quot;post_id&quot;:null,&quot;profile_id&quot;:null,&quot;profile_name&quot;:null}"/>
    <s v="null"/>
    <s v="null"/>
    <s v="{&quot;data_posted&quot;:null,&quot;description&quot;:null,&quot;photos&quot;:null,&quot;post_id&quot;:null,&quot;profile_id&quot;:null,&quot;profile_name&quot;:null,&quot;url&quot;:null,&quot;videos&quot;:null}"/>
    <n v="2135"/>
    <n v="3.6521947381025696E-2"/>
    <d v="2024-12-15T00:00:00"/>
    <n v="0.86328703703703702"/>
    <x v="0"/>
    <x v="3"/>
    <x v="0"/>
    <x v="0"/>
    <x v="1"/>
    <x v="0"/>
    <n v="111"/>
    <x v="0"/>
  </r>
  <r>
    <n v="1.8683376997084244E+18"/>
    <s v="Met███ole███"/>
    <s v="Met███ole███"/>
    <s v="➡️ “Vivo, inteiro e com mais vontade de trabalhar”, diz Lula após alta_x000a__x000a_Presidente Lula teve alta hospitalar neste domingo (15/12), após 6 dias internado por causa de cirurgia para conter uma hemorragia na cabeça_x000a__x000a_Leia:"/>
    <s v="&quot;2024-12-15T16:49:54.000Z&quot;"/>
    <s v="null"/>
    <s v="https://x.com/Metropoles/status/1868337699708424547"/>
    <s v="null"/>
    <n v="116"/>
    <n v="46"/>
    <n v="241"/>
    <n v="11334"/>
    <s v="https://curt.link/grXSi"/>
    <s v="null"/>
    <n v="1239617"/>
    <s v="📱 O seu portal de notícias. Tudo sobre política, saúde, justiça, comportamento, entretenimento. Confira os fatos relevantes do país e do mundo em tempo real."/>
    <n v="402839"/>
    <s v="https://pbs.twimg.com/profile_images/1642966741138415647/fHdgQUGl_normal.jpg"/>
    <n v="1644"/>
    <b v="0"/>
    <n v="5"/>
    <n v="4"/>
    <s v="{&quot;post_id&quot;:null,&quot;profile_id&quot;:null,&quot;profile_name&quot;:null}"/>
    <s v="null"/>
    <s v="[{&quot;duration&quot;:31207,&quot;video_url&quot;:&quot;https://video.twimg.com/ext_tw_video/1868337667231920128/pu/vid/avc1/1280x720/WUKiIvaQgfa5VxiU.mp4?tag=12&quot;}]"/>
    <s v="{&quot;data_posted&quot;:null,&quot;description&quot;:null,&quot;photos&quot;:null,&quot;post_id&quot;:null,&quot;profile_id&quot;:null,&quot;profile_name&quot;:null,&quot;url&quot;:null,&quot;videos&quot;:null}"/>
    <n v="412"/>
    <n v="3.6350802893947418E-2"/>
    <d v="2024-12-15T00:00:00"/>
    <n v="0.7013194444444445"/>
    <x v="0"/>
    <x v="15"/>
    <x v="1"/>
    <x v="1"/>
    <x v="0"/>
    <x v="0"/>
    <n v="219"/>
    <x v="0"/>
  </r>
  <r>
    <n v="1.8684300644144947E+18"/>
    <s v="tvg███o"/>
    <s v="TV ███bo ███"/>
    <s v="&quot;Nós, eu e as minhas irmãs, nós temos o compromisso de dar continuidade a esse legado tão maravilhoso...&quot; 🤍🤍🤍 @SBTonline #MelhoresDoAno #Domingão"/>
    <s v="&quot;2024-12-15T22:56:55.000Z&quot;"/>
    <s v="null"/>
    <s v="https://x.com/tvglobo/status/1868430064414494797"/>
    <s v="[{&quot;biography&quot;:null,&quot;followers&quot;:null,&quot;following&quot;:null,&quot;is_verified&quot;:null,&quot;profile_id&quot;:&quot;20600456&quot;,&quot;profile_name&quot;:&quot;SBT&quot;,&quot;url&quot;:&quot;https://x.com/SBTonline&quot;}]"/>
    <n v="23"/>
    <n v="101"/>
    <n v="1359"/>
    <n v="42037"/>
    <s v=""/>
    <s v="[&quot;MelhoresDoAno&quot;,&quot;Domingão&quot;]"/>
    <n v="13492430"/>
    <s v="oi, eu sou a Glô 😜"/>
    <n v="314515"/>
    <s v="https://pbs.twimg.com/profile_images/1863599216829792256/r5M1uKA8_normal.jpg"/>
    <n v="708"/>
    <b v="0"/>
    <n v="3"/>
    <n v="37"/>
    <s v="{&quot;post_id&quot;:null,&quot;profile_id&quot;:null,&quot;profile_name&quot;:null}"/>
    <s v="null"/>
    <s v="[{&quot;duration&quot;:48919,&quot;video_url&quot;:&quot;https://video.twimg.com/amplify_video/1868428821877395457/vid/avc1/1920x1080/QSpQFgDCSszlGSLM.mp4?tag=16&quot;}]"/>
    <s v="{&quot;data_posted&quot;:null,&quot;description&quot;:null,&quot;photos&quot;:null,&quot;post_id&quot;:null,&quot;profile_id&quot;:null,&quot;profile_name&quot;:null,&quot;url&quot;:null,&quot;videos&quot;:null}"/>
    <n v="1523"/>
    <n v="3.6229987867830722E-2"/>
    <d v="2024-12-15T00:00:00"/>
    <n v="0.95619212962962963"/>
    <x v="0"/>
    <x v="11"/>
    <x v="1"/>
    <x v="1"/>
    <x v="1"/>
    <x v="0"/>
    <n v="145"/>
    <x v="1"/>
  </r>
  <r>
    <n v="1.8683916490400074E+18"/>
    <s v="Spu███ffi███l"/>
    <s v="Tot███ham███tsp███"/>
    <s v="A first @premierleague start for both Djed and Lucas 👏"/>
    <s v="&quot;2024-12-15T20:24:16.000Z&quot;"/>
    <s v="[&quot;https://pbs.twimg.com/media/Ge3cRHxWwAAM0PV.jpg&quot;,&quot;https://pbs.twimg.com/media/Ge3cSVTX0AAM4ZV.jpg&quot;]"/>
    <s v="https://x.com/SpursOfficial/status/1868391649040007502"/>
    <s v="[{&quot;biography&quot;:null,&quot;followers&quot;:null,&quot;following&quot;:null,&quot;is_verified&quot;:null,&quot;profile_id&quot;:&quot;343627165&quot;,&quot;profile_name&quot;:&quot;Premier League&quot;,&quot;url&quot;:&quot;https://x.com/premierleague&quot;}]"/>
    <n v="40"/>
    <n v="186"/>
    <n v="4559"/>
    <n v="134600"/>
    <s v=""/>
    <s v="null"/>
    <n v="8885747"/>
    <s v="COYS 🤍"/>
    <n v="115852"/>
    <s v="https://pbs.twimg.com/profile_images/1864976047902498816/FUkKarj7_normal.jpg"/>
    <n v="469"/>
    <b v="0"/>
    <n v="15"/>
    <n v="28"/>
    <s v="{&quot;post_id&quot;:null,&quot;profile_id&quot;:null,&quot;profile_name&quot;:null}"/>
    <s v="null"/>
    <s v="null"/>
    <s v="{&quot;data_posted&quot;:null,&quot;description&quot;:null,&quot;photos&quot;:null,&quot;post_id&quot;:null,&quot;profile_id&quot;:null,&quot;profile_name&quot;:null,&quot;url&quot;:null,&quot;videos&quot;:null}"/>
    <n v="4828"/>
    <n v="3.5869242199108468E-2"/>
    <d v="2024-12-15T00:00:00"/>
    <n v="0.85018518518518515"/>
    <x v="0"/>
    <x v="3"/>
    <x v="0"/>
    <x v="0"/>
    <x v="0"/>
    <x v="0"/>
    <n v="54"/>
    <x v="0"/>
  </r>
  <r>
    <n v="1.868308167781974E+18"/>
    <s v="Man███Wom███"/>
    <s v="Man███ste███nit█████████"/>
    <s v="Grace's goal has us ahead at the break 💪_x000a__x000a_#MUWomen"/>
    <s v="&quot;2024-12-15T14:52:33.000Z&quot;"/>
    <s v="null"/>
    <s v="https://x.com/ManUtdWomen/status/1868308167781974126"/>
    <s v="null"/>
    <n v="22"/>
    <n v="51"/>
    <n v="557"/>
    <n v="17931"/>
    <s v="https://www.manutd.com/en/news/women"/>
    <s v="[&quot;MUWomen&quot;]"/>
    <n v="462263"/>
    <s v="Explore our Christmas deals on United Store now 🛍️⤵️"/>
    <n v="16271"/>
    <s v="https://pbs.twimg.com/profile_images/1856421977373741056/jWwLjKK5_normal.jpg"/>
    <n v="38"/>
    <b v="0"/>
    <n v="6"/>
    <n v="2"/>
    <s v="{&quot;post_id&quot;:null,&quot;profile_id&quot;:null,&quot;profile_name&quot;:null}"/>
    <s v="null"/>
    <s v="null"/>
    <s v="{&quot;data_posted&quot;:null,&quot;description&quot;:null,&quot;photos&quot;:null,&quot;post_id&quot;:null,&quot;profile_id&quot;:null,&quot;profile_name&quot;:null,&quot;url&quot;:null,&quot;videos&quot;:null}"/>
    <n v="638"/>
    <n v="3.5580837655457033E-2"/>
    <d v="2024-12-15T00:00:00"/>
    <n v="0.61982638888888886"/>
    <x v="0"/>
    <x v="1"/>
    <x v="0"/>
    <x v="1"/>
    <x v="1"/>
    <x v="0"/>
    <n v="50"/>
    <x v="2"/>
  </r>
  <r>
    <n v="1.8683808324376044E+18"/>
    <s v="rsc███erl███t"/>
    <s v="RSC███der███ht"/>
    <s v="⁠Sporting wint op Stayen. 🟣⚪️ #STVAND"/>
    <s v="&quot;2024-12-15T19:41:17.000Z&quot;"/>
    <s v="[&quot;https://pbs.twimg.com/media/Ge3SaCJXkAAAS18.jpg&quot;]"/>
    <s v="https://x.com/rscanderlecht/status/1868380832437604421"/>
    <s v="null"/>
    <n v="10"/>
    <n v="23"/>
    <n v="301"/>
    <n v="9654"/>
    <s v=""/>
    <s v="[&quot;STVAND&quot;]"/>
    <n v="220409"/>
    <s v="Noblesse Oblige ♔_x000a__x000a_@rscaneerpede | @rscawomen | @rscafutsal | @rscaesports"/>
    <n v="43155"/>
    <s v="https://pbs.twimg.com/profile_images/1687466854531338240/-rar7Bjv_normal.jpg"/>
    <n v="199"/>
    <b v="0"/>
    <n v="7"/>
    <n v="2"/>
    <s v="{&quot;post_id&quot;:null,&quot;profile_id&quot;:null,&quot;profile_name&quot;:null}"/>
    <s v="null"/>
    <s v="null"/>
    <s v="{&quot;data_posted&quot;:null,&quot;description&quot;:null,&quot;photos&quot;:null,&quot;post_id&quot;:null,&quot;profile_id&quot;:null,&quot;profile_name&quot;:null,&quot;url&quot;:null,&quot;videos&quot;:null}"/>
    <n v="343"/>
    <n v="3.5529314273876116E-2"/>
    <d v="2024-12-15T00:00:00"/>
    <n v="0.82033564814814819"/>
    <x v="0"/>
    <x v="4"/>
    <x v="0"/>
    <x v="0"/>
    <x v="1"/>
    <x v="0"/>
    <n v="37"/>
    <x v="2"/>
  </r>
  <r>
    <n v="1.8683543744072748E+18"/>
    <s v="SLB███ica███"/>
    <s v="SL ███fic███"/>
    <s v="🌡️💨_x000a__x000a_#AVSSLB • #LigaPortugalBetclic"/>
    <s v="&quot;2024-12-15T17:56:09.000Z&quot;"/>
    <s v="[&quot;https://pbs.twimg.com/media/Ge26O_FWQAAGI41.jpg&quot;,&quot;https://pbs.twimg.com/media/Ge26QStWQAE_lHo.jpg&quot;,&quot;https://pbs.twimg.com/media/Ge26QSqWsAAYNTR.jpg&quot;]"/>
    <s v="https://x.com/SLBenfica/status/1868354374407274725"/>
    <s v="null"/>
    <n v="5"/>
    <n v="19"/>
    <n v="627"/>
    <n v="18683"/>
    <s v=""/>
    <s v="[&quot;AVSSLB&quot;,&quot;LigaPortugalBetclic&quot;]"/>
    <n v="1906495"/>
    <s v="Twitter Oficial do 𝗦𝗽𝗼𝗿𝘁 𝗟𝗶𝘀𝗯𝗼𝗮 𝗲 𝗕𝗲𝗻𝗳𝗶𝗰𝗮 _x000a_English account: @SLBenfica_EN 🇬🇧🇺🇸_x000a_Modalidades: @ModalidadesSLB 🏑🏀"/>
    <n v="124666"/>
    <s v="https://pbs.twimg.com/profile_images/1845888754898161664/8uDsALMU_normal.jpg"/>
    <n v="432"/>
    <b v="0"/>
    <n v="2"/>
    <n v="10"/>
    <s v="{&quot;post_id&quot;:null,&quot;profile_id&quot;:null,&quot;profile_name&quot;:null}"/>
    <s v="null"/>
    <s v="null"/>
    <s v="{&quot;data_posted&quot;:null,&quot;description&quot;:null,&quot;photos&quot;:null,&quot;post_id&quot;:null,&quot;profile_id&quot;:null,&quot;profile_name&quot;:null,&quot;url&quot;:null,&quot;videos&quot;:null}"/>
    <n v="663"/>
    <n v="3.5486806187443133E-2"/>
    <d v="2024-12-15T00:00:00"/>
    <n v="0.74732638888888892"/>
    <x v="0"/>
    <x v="12"/>
    <x v="0"/>
    <x v="0"/>
    <x v="1"/>
    <x v="0"/>
    <n v="35"/>
    <x v="0"/>
  </r>
  <r>
    <n v="1.8684175162233039E+18"/>
    <s v="Spu███ffi███l"/>
    <s v="Tot███ham███tsp███"/>
    <s v="Cementing his legacy 🤍_x000a__x000a_Sonny is now the all-time @premierleague assist leader for the Club with 68! 👑"/>
    <s v="&quot;2024-12-15T22:07:04.000Z&quot;"/>
    <s v="null"/>
    <s v="https://x.com/SpursOfficial/status/1868417516223303898"/>
    <s v="[{&quot;biography&quot;:null,&quot;followers&quot;:null,&quot;following&quot;:null,&quot;is_verified&quot;:null,&quot;profile_id&quot;:&quot;343627165&quot;,&quot;profile_name&quot;:&quot;Premier League&quot;,&quot;url&quot;:&quot;https://x.com/premierleague&quot;}]"/>
    <n v="48"/>
    <n v="689"/>
    <n v="3814"/>
    <n v="134963"/>
    <s v=""/>
    <s v="null"/>
    <n v="8885748"/>
    <s v="COYS 🤍"/>
    <n v="115852"/>
    <s v="https://pbs.twimg.com/profile_images/1864976047902498816/FUkKarj7_normal.jpg"/>
    <n v="469"/>
    <b v="0"/>
    <n v="70"/>
    <n v="133"/>
    <s v="{&quot;post_id&quot;:null,&quot;profile_id&quot;:null,&quot;profile_name&quot;:null}"/>
    <s v="null"/>
    <s v="[{&quot;duration&quot;:20900,&quot;video_url&quot;:&quot;https://video.twimg.com/ext_tw_video/1868417201650159616/pu/vid/avc1/720x1280/m6JriDBUjtaE7SKi.mp4?tag=12&quot;}]"/>
    <s v="{&quot;data_posted&quot;:null,&quot;description&quot;:null,&quot;photos&quot;:null,&quot;post_id&quot;:null,&quot;profile_id&quot;:null,&quot;profile_name&quot;:null,&quot;url&quot;:null,&quot;videos&quot;:null}"/>
    <n v="4754"/>
    <n v="3.5224468928521151E-2"/>
    <d v="2024-12-15T00:00:00"/>
    <n v="0.9215740740740741"/>
    <x v="0"/>
    <x v="11"/>
    <x v="1"/>
    <x v="1"/>
    <x v="0"/>
    <x v="0"/>
    <n v="102"/>
    <x v="0"/>
  </r>
  <r>
    <n v="1.8683152591588106E+18"/>
    <s v="Man███Wom███"/>
    <s v="Man███ste███nit█████████"/>
    <s v="⏩ @Hinata_1509 on the move ⚡️_x000a__x000a_#MUWomen"/>
    <s v="&quot;2024-12-15T15:20:44.000Z&quot;"/>
    <s v="[&quot;https://pbs.twimg.com/media/Ge2W0v3X0AAlI8p.jpg&quot;,&quot;https://pbs.twimg.com/media/Ge2W0wEXsAAZ6t6.jpg&quot;,&quot;https://pbs.twimg.com/media/Ge2W0v_WoAAGVTR.jpg&quot;,&quot;https://pbs.twimg.com/media/Ge2W0v3XAAABo1O.jpg&quot;]"/>
    <s v="https://x.com/ManUtdWomen/status/1868315259158810715"/>
    <s v="[{&quot;biography&quot;:null,&quot;followers&quot;:null,&quot;following&quot;:null,&quot;is_verified&quot;:null,&quot;profile_id&quot;:&quot;1424286351336239113&quot;,&quot;profile_name&quot;:&quot;宮澤ひなた&quot;,&quot;url&quot;:&quot;https://x.com/hinata_1509&quot;}]"/>
    <n v="5"/>
    <n v="44"/>
    <n v="476"/>
    <n v="15281"/>
    <s v=""/>
    <s v="[&quot;MUWomen&quot;]"/>
    <n v="462263"/>
    <s v="Explore our Christmas deals on United Store now 🛍️⤵️"/>
    <n v="16271"/>
    <s v="https://pbs.twimg.com/profile_images/1856421977373741056/jWwLjKK5_normal.jpg"/>
    <n v="38"/>
    <b v="0"/>
    <n v="4"/>
    <n v="4"/>
    <s v="{&quot;post_id&quot;:null,&quot;profile_id&quot;:null,&quot;profile_name&quot;:null}"/>
    <s v="null"/>
    <s v="null"/>
    <s v="{&quot;data_posted&quot;:null,&quot;description&quot;:null,&quot;photos&quot;:null,&quot;post_id&quot;:null,&quot;profile_id&quot;:null,&quot;profile_name&quot;:null,&quot;url&quot;:null,&quot;videos&quot;:null}"/>
    <n v="533"/>
    <n v="3.4879916235848442E-2"/>
    <d v="2024-12-15T00:00:00"/>
    <n v="0.6393981481481481"/>
    <x v="0"/>
    <x v="13"/>
    <x v="0"/>
    <x v="0"/>
    <x v="1"/>
    <x v="0"/>
    <n v="39"/>
    <x v="2"/>
  </r>
  <r>
    <n v="1.8683423667610506E+18"/>
    <s v="top███ugb███"/>
    <s v="TOP███ Ru███"/>
    <s v="Un gros combat contre les Warriors 🛡️_x000a_Mais le @RCTofficiel a tenu bon pour s'offrir le tenant du titre de l'URC 🔴⚫️ #TOP14 #InvestecChampionsCup"/>
    <s v="&quot;2024-12-15T17:08:27.000Z&quot;"/>
    <s v="[&quot;https://pbs.twimg.com/media/Ge2vcuUWsAARDVV.jpg&quot;]"/>
    <s v="https://x.com/top14rugby/status/1868342366761050620"/>
    <s v="[{&quot;biography&quot;:null,&quot;followers&quot;:null,&quot;following&quot;:null,&quot;is_verified&quot;:null,&quot;profile_id&quot;:&quot;377915688&quot;,&quot;profile_name&quot;:&quot;RCT - RC Toulon&quot;,&quot;url&quot;:&quot;https://x.com/RCTofficiel&quot;}]"/>
    <n v="6"/>
    <n v="11"/>
    <n v="165"/>
    <n v="5253"/>
    <s v=""/>
    <s v="[&quot;TOP14&quot;,&quot;InvestecChampionsCup&quot;]"/>
    <n v="247129"/>
    <s v="Compte officiel du championnat de France professionnel de rugby à XV #TOP14 @lnrofficiel"/>
    <n v="78213"/>
    <s v="https://pbs.twimg.com/profile_images/1660209856731643905/f1K1xeM7_normal.jpg"/>
    <n v="1031"/>
    <b v="0"/>
    <n v="1"/>
    <n v="0"/>
    <s v="{&quot;post_id&quot;:null,&quot;profile_id&quot;:null,&quot;profile_name&quot;:null}"/>
    <s v="null"/>
    <s v="null"/>
    <s v="{&quot;data_posted&quot;:null,&quot;description&quot;:null,&quot;photos&quot;:null,&quot;post_id&quot;:null,&quot;profile_id&quot;:null,&quot;profile_name&quot;:null,&quot;url&quot;:null,&quot;videos&quot;:null}"/>
    <n v="183"/>
    <n v="3.4837235865219876E-2"/>
    <d v="2024-12-15T00:00:00"/>
    <n v="0.71420138888888884"/>
    <x v="0"/>
    <x v="12"/>
    <x v="0"/>
    <x v="0"/>
    <x v="1"/>
    <x v="0"/>
    <n v="144"/>
    <x v="2"/>
  </r>
  <r>
    <n v="1.8683599709299589E+18"/>
    <s v="SLB███ica███"/>
    <s v="SL ███fic███"/>
    <s v="⚽ 17' GOOOLOOOOOOO!!!! AMDOUNI!!!!!_x000a__x000a_#AVSSLB • 0-1 • #LigaPortugalBetclic"/>
    <s v="&quot;2024-12-15T18:18:24.000Z&quot;"/>
    <s v="[&quot;https://pbs.twimg.com/media/Ge2_XxMXIAAfMp6.jpg&quot;]"/>
    <s v="https://x.com/SLBenfica/status/1868359970929958933"/>
    <s v="null"/>
    <n v="32"/>
    <n v="203"/>
    <n v="2169"/>
    <n v="70255"/>
    <s v=""/>
    <s v="[&quot;AVSSLB&quot;,&quot;LigaPortugalBetclic&quot;]"/>
    <n v="1906482"/>
    <s v="Twitter Oficial do 𝗦𝗽𝗼𝗿𝘁 𝗟𝗶𝘀𝗯𝗼𝗮 𝗲 𝗕𝗲𝗻𝗳𝗶𝗰𝗮 _x000a_English account: @SLBenfica_EN 🇬🇧🇺🇸_x000a_Modalidades: @ModalidadesSLB 🏑🏀"/>
    <n v="124666"/>
    <s v="https://pbs.twimg.com/profile_images/1845888754898161664/8uDsALMU_normal.jpg"/>
    <n v="432"/>
    <b v="0"/>
    <n v="27"/>
    <n v="10"/>
    <s v="{&quot;post_id&quot;:null,&quot;profile_id&quot;:null,&quot;profile_name&quot;:null}"/>
    <s v="null"/>
    <s v="null"/>
    <s v="{&quot;data_posted&quot;:null,&quot;description&quot;:null,&quot;photos&quot;:null,&quot;post_id&quot;:null,&quot;profile_id&quot;:null,&quot;profile_name&quot;:null,&quot;url&quot;:null,&quot;videos&quot;:null}"/>
    <n v="2441"/>
    <n v="3.4744858017222977E-2"/>
    <d v="2024-12-15T00:00:00"/>
    <n v="0.76277777777777778"/>
    <x v="0"/>
    <x v="8"/>
    <x v="0"/>
    <x v="0"/>
    <x v="1"/>
    <x v="0"/>
    <n v="73"/>
    <x v="0"/>
  </r>
  <r>
    <n v="1.8684881017539546E+18"/>
    <s v="CNN███sil███"/>
    <s v="CNN███asi███"/>
    <s v="Não é o mercado que tem se preocupar com os gastos do governo, é o governo, diz Lula"/>
    <s v="&quot;2024-12-16T02:47:32.000Z&quot;"/>
    <s v="null"/>
    <s v="https://x.com/CNNBrasil/status/1868488101753954626"/>
    <s v="null"/>
    <n v="36"/>
    <n v="6"/>
    <n v="63"/>
    <n v="3199"/>
    <s v="https://www.cnnbrasil.com.br/politica/nao-e-o-mercado-que-tem-se-preocupar-com-os-gastos-do-governo-e-o-governo-diz-lula/?utm_source=social&amp;utm_medium=twitter&amp;utm_campaign=politica"/>
    <s v="null"/>
    <n v="2819404"/>
    <s v="Pense bem, pense CNN._x000a_Acompanhe também pelo canal 577, app ou site. _x000a_⚽ @esportescnn_x000a_⚡️ @cnnpop_x000a_💰 @cnneconomia_x000a_💵 @nolucrocnn"/>
    <n v="286268"/>
    <s v="https://pbs.twimg.com/profile_images/1202609722257485824/NcFn6f7X_normal.jpg"/>
    <n v="4"/>
    <b v="0"/>
    <n v="5"/>
    <n v="1"/>
    <s v="{&quot;post_id&quot;:null,&quot;profile_id&quot;:null,&quot;profile_name&quot;:null}"/>
    <s v="[&quot;https://pbs.twimg.com/card_img/1868488103234613249/uobVex9p?format=jpg&amp;name=orig&quot;]"/>
    <s v="null"/>
    <s v="{&quot;data_posted&quot;:null,&quot;description&quot;:null,&quot;photos&quot;:null,&quot;post_id&quot;:null,&quot;profile_id&quot;:null,&quot;profile_name&quot;:null,&quot;url&quot;:null,&quot;videos&quot;:null}"/>
    <n v="111"/>
    <n v="3.4698343232260079E-2"/>
    <d v="2024-12-16T00:00:00"/>
    <n v="0.11634259259259259"/>
    <x v="2"/>
    <x v="2"/>
    <x v="0"/>
    <x v="1"/>
    <x v="0"/>
    <x v="0"/>
    <n v="84"/>
    <x v="0"/>
  </r>
  <r>
    <n v="1.8684156242480128E+18"/>
    <s v="tvg███o"/>
    <s v="TV ███bo ███"/>
    <s v="Discurso lindo e inspirador do Paulo 💖 É SEU!!! ESSE PRÊMIO É TODO SEU!!! #MelhoresDoAno #Domingão"/>
    <s v="&quot;2024-12-15T21:59:32.000Z&quot;"/>
    <s v="null"/>
    <s v="https://x.com/tvglobo/status/1868415624248012808"/>
    <s v="null"/>
    <n v="20"/>
    <n v="38"/>
    <n v="442"/>
    <n v="14985"/>
    <s v=""/>
    <s v="[&quot;MelhoresDoAno&quot;,&quot;Domingão&quot;]"/>
    <n v="13492372"/>
    <s v="oi, eu sou a Glô 😜"/>
    <n v="314515"/>
    <s v="https://pbs.twimg.com/profile_images/1863599216829792256/r5M1uKA8_normal.jpg"/>
    <n v="708"/>
    <b v="0"/>
    <n v="6"/>
    <n v="9"/>
    <s v="{&quot;post_id&quot;:null,&quot;profile_id&quot;:null,&quot;profile_name&quot;:null}"/>
    <s v="null"/>
    <s v="[{&quot;duration&quot;:140329,&quot;video_url&quot;:&quot;https://video.twimg.com/amplify_video/1868415334274744320/vid/avc1/1920x1080/wQd8ePgFg_hlWfB5.mp4?tag=16&quot;}]"/>
    <s v="{&quot;data_posted&quot;:null,&quot;description&quot;:null,&quot;photos&quot;:null,&quot;post_id&quot;:null,&quot;profile_id&quot;:null,&quot;profile_name&quot;:null,&quot;url&quot;:null,&quot;videos&quot;:null}"/>
    <n v="515"/>
    <n v="3.4367701034367704E-2"/>
    <d v="2024-12-15T00:00:00"/>
    <n v="0.91634259259259254"/>
    <x v="0"/>
    <x v="10"/>
    <x v="1"/>
    <x v="1"/>
    <x v="1"/>
    <x v="0"/>
    <n v="98"/>
    <x v="1"/>
  </r>
  <r>
    <n v="1.8684186656300608E+18"/>
    <s v="tvg███o"/>
    <s v="TV ███bo ███"/>
    <s v="HIT ATEMPORAL 💃 Impossível ficar parada com a @ivetesangalo cantando &quot;Macetando&quot; 🅰️🅰️🅰️ #MelhoresDoAno #Domingão"/>
    <s v="&quot;2024-12-15T22:11:38.000Z&quot;"/>
    <s v="null"/>
    <s v="https://x.com/tvglobo/status/1868418665630060694"/>
    <s v="[{&quot;biography&quot;:null,&quot;followers&quot;:null,&quot;following&quot;:null,&quot;is_verified&quot;:null,&quot;profile_id&quot;:&quot;14502789&quot;,&quot;profile_name&quot;:&quot;Ivete Sangalo&quot;,&quot;url&quot;:&quot;https://x.com/ivetesangalo&quot;}]"/>
    <n v="22"/>
    <n v="46"/>
    <n v="254"/>
    <n v="9926"/>
    <s v=""/>
    <s v="[&quot;MelhoresDoAno&quot;,&quot;Domingão&quot;]"/>
    <n v="13492430"/>
    <s v="oi, eu sou a Glô 😜"/>
    <n v="314515"/>
    <s v="https://pbs.twimg.com/profile_images/1863599216829792256/r5M1uKA8_normal.jpg"/>
    <n v="708"/>
    <b v="0"/>
    <n v="3"/>
    <n v="14"/>
    <s v="{&quot;post_id&quot;:null,&quot;profile_id&quot;:null,&quot;profile_name&quot;:null}"/>
    <s v="null"/>
    <s v="[{&quot;duration&quot;:42070,&quot;video_url&quot;:&quot;https://video.twimg.com/amplify_video/1868418391880392704/vid/avc1/1920x1080/es-0hOa4UtgTtoJ2.mp4?tag=16&quot;}]"/>
    <s v="{&quot;data_posted&quot;:null,&quot;description&quot;:null,&quot;photos&quot;:null,&quot;post_id&quot;:null,&quot;profile_id&quot;:null,&quot;profile_name&quot;:null,&quot;url&quot;:null,&quot;videos&quot;:null}"/>
    <n v="339"/>
    <n v="3.4152730203505947E-2"/>
    <d v="2024-12-15T00:00:00"/>
    <n v="0.92474537037037041"/>
    <x v="0"/>
    <x v="11"/>
    <x v="1"/>
    <x v="1"/>
    <x v="1"/>
    <x v="0"/>
    <n v="112"/>
    <x v="1"/>
  </r>
  <r>
    <n v="1.865975830012404E+18"/>
    <s v="NFL"/>
    <s v="NFL"/>
    <s v="The @Chiefs win the AFC West for the 9th straight season!"/>
    <s v="&quot;2024-12-09T04:24:40.000Z&quot;"/>
    <s v="[&quot;https://pbs.twimg.com/media/GeVG8rsacAACprG.jpg&quot;]"/>
    <s v="https://x.com/NFL/status/1865975830012403906"/>
    <s v="[{&quot;biography&quot;:null,&quot;followers&quot;:null,&quot;following&quot;:null,&quot;is_verified&quot;:null,&quot;profile_id&quot;:&quot;33583496&quot;,&quot;profile_name&quot;:&quot;Kansas City Chiefs&quot;,&quot;url&quot;:&quot;https://x.com/Chiefs&quot;}]"/>
    <n v="220"/>
    <n v="1642"/>
    <n v="11156"/>
    <n v="391634"/>
    <s v=""/>
    <s v="null"/>
    <n v="36981731"/>
    <s v="four weeks left to flip the standings"/>
    <n v="280303"/>
    <s v="https://pbs.twimg.com/profile_images/1619895559334273028/PHKS_mjX_normal.jpg"/>
    <n v="2821"/>
    <b v="0"/>
    <n v="115"/>
    <n v="180"/>
    <s v="{&quot;post_id&quot;:null,&quot;profile_id&quot;:null,&quot;profile_name&quot;:null}"/>
    <s v="null"/>
    <s v="null"/>
    <s v="{&quot;data_posted&quot;:null,&quot;description&quot;:null,&quot;photos&quot;:null,&quot;post_id&quot;:null,&quot;profile_id&quot;:null,&quot;profile_name&quot;:null,&quot;url&quot;:null,&quot;videos&quot;:null}"/>
    <n v="13313"/>
    <n v="3.3993473498215174E-2"/>
    <d v="2024-12-09T00:00:00"/>
    <n v="0.18379629629629629"/>
    <x v="2"/>
    <x v="9"/>
    <x v="0"/>
    <x v="0"/>
    <x v="0"/>
    <x v="0"/>
    <n v="57"/>
    <x v="1"/>
  </r>
  <r>
    <n v="1.8681098353484273E+18"/>
    <s v="WWE"/>
    <s v="WWE"/>
    <s v="The Liv Morgan World Tour rolls on! 👊_x000a__x000a_@YaOnlyLivvOnce outlasts @Iyo_SkyWWE at #SNME!"/>
    <s v="&quot;2024-12-15T01:44:27.000Z&quot;"/>
    <s v="[&quot;https://pbs.twimg.com/media/GezbfHHWgAAsxh4.jpg&quot;]"/>
    <s v="https://x.com/WWE/status/1868109835348427226"/>
    <s v="[{&quot;biography&quot;:null,&quot;followers&quot;:null,&quot;following&quot;:null,&quot;is_verified&quot;:null,&quot;profile_id&quot;:&quot;2245639517&quot;,&quot;profile_name&quot;:&quot;LIV Morgan&quot;,&quot;url&quot;:&quot;https://x.com/YaOnlyLivvOnce&quot;},{&quot;biography&quot;:null,&quot;followers&quot;:null,&quot;following&quot;:null,&quot;is_verified&quot;:null,&quot;profile_id&quot;:&quot;169267113&quot;,&quot;profile_name&quot;:&quot;IYO SKY&quot;,&quot;url&quot;:&quot;https://x.com/Iyo_SkyWWE&quot;}]"/>
    <n v="532"/>
    <n v="1805"/>
    <n v="11582"/>
    <n v="425214"/>
    <s v=""/>
    <s v="[&quot;SNME&quot;]"/>
    <n v="14375935"/>
    <s v="WWE Raw | Mondays at 8/7c on USA Network _x000a_WWE NXT | Tuesdays at 8/7c on The CW _x000a_WWE SmackDown | Fridays at 8/7c on USA Network"/>
    <n v="346973"/>
    <s v="https://pbs.twimg.com/profile_images/1383079031805972485/3sWoMX-R_normal.jpg"/>
    <n v="392"/>
    <b v="0"/>
    <n v="235"/>
    <n v="263"/>
    <s v="{&quot;post_id&quot;:null,&quot;profile_id&quot;:null,&quot;profile_name&quot;:null}"/>
    <s v="null"/>
    <s v="null"/>
    <s v="{&quot;data_posted&quot;:null,&quot;description&quot;:null,&quot;photos&quot;:null,&quot;post_id&quot;:null,&quot;profile_id&quot;:null,&quot;profile_name&quot;:null,&quot;url&quot;:null,&quot;videos&quot;:null}"/>
    <n v="14417"/>
    <n v="3.390528063516253E-2"/>
    <d v="2024-12-15T00:00:00"/>
    <n v="7.2534722222222223E-2"/>
    <x v="0"/>
    <x v="19"/>
    <x v="0"/>
    <x v="0"/>
    <x v="1"/>
    <x v="0"/>
    <n v="85"/>
    <x v="1"/>
  </r>
  <r>
    <n v="1.8682829375921277E+18"/>
    <s v="Man███Wom███"/>
    <s v="Man███ste███nit█████████"/>
    <s v="Reporting for duty in the @adidasFootball Lunar New Year range 😮‍💨_x000a__x000a_#MUWomen"/>
    <s v="&quot;2024-12-15T13:12:17.000Z&quot;"/>
    <s v="null"/>
    <s v="https://x.com/ManUtdWomen/status/1868282937592127770"/>
    <s v="[{&quot;biography&quot;:null,&quot;followers&quot;:null,&quot;following&quot;:null,&quot;is_verified&quot;:null,&quot;profile_id&quot;:&quot;219683269&quot;,&quot;profile_name&quot;:&quot;adidas Football&quot;,&quot;url&quot;:&quot;https://x.com/adidasfootball&quot;}]"/>
    <n v="2"/>
    <n v="30"/>
    <n v="390"/>
    <n v="12818"/>
    <s v="https://store.manutd.com/en-gb/c/fashion/collections/adidas-lny-x-manchester-united?t=y&amp;utm_source=twitter&amp;utm_medium=post&amp;utm_campaign=ecom&amp;utm_content=womenmdlny"/>
    <s v="[&quot;MUWomen&quot;]"/>
    <n v="462263"/>
    <s v="Explore our Christmas deals on United Store now 🛍️⤵️"/>
    <n v="16271"/>
    <s v="https://pbs.twimg.com/profile_images/1856421977373741056/jWwLjKK5_normal.jpg"/>
    <n v="38"/>
    <b v="0"/>
    <n v="8"/>
    <n v="3"/>
    <s v="{&quot;post_id&quot;:null,&quot;profile_id&quot;:null,&quot;profile_name&quot;:null}"/>
    <s v="null"/>
    <s v="null"/>
    <s v="{&quot;data_posted&quot;:null,&quot;description&quot;:null,&quot;photos&quot;:null,&quot;post_id&quot;:null,&quot;profile_id&quot;:null,&quot;profile_name&quot;:null,&quot;url&quot;:null,&quot;videos&quot;:null}"/>
    <n v="433"/>
    <n v="3.3780621001716339E-2"/>
    <d v="2024-12-15T00:00:00"/>
    <n v="0.55019675925925926"/>
    <x v="0"/>
    <x v="14"/>
    <x v="0"/>
    <x v="1"/>
    <x v="1"/>
    <x v="0"/>
    <n v="76"/>
    <x v="2"/>
  </r>
  <r>
    <n v="1.8684381262862833E+18"/>
    <s v="tvg███o"/>
    <s v="TV ███bo ███"/>
    <s v="QUE FESTA LINDAAAAAAAAAA 🥹🥹🥹 #MelhoresDoAno chega ao fim, em grande estilo! QUE NOITEEE!!!! ✨✨✨ #Domingão"/>
    <s v="&quot;2024-12-15T23:28:57.000Z&quot;"/>
    <s v="null"/>
    <s v="https://x.com/tvglobo/status/1868438126286283142"/>
    <s v="null"/>
    <n v="20"/>
    <n v="46"/>
    <n v="413"/>
    <n v="14755"/>
    <s v=""/>
    <s v="[&quot;MelhoresDoAno&quot;,&quot;Domingão&quot;]"/>
    <n v="13492430"/>
    <s v="oi, eu sou a Glô 😜"/>
    <n v="314515"/>
    <s v="https://pbs.twimg.com/profile_images/1863599216829792256/r5M1uKA8_normal.jpg"/>
    <n v="708"/>
    <b v="0"/>
    <n v="8"/>
    <n v="11"/>
    <s v="{&quot;post_id&quot;:null,&quot;profile_id&quot;:null,&quot;profile_name&quot;:null}"/>
    <s v="null"/>
    <s v="[{&quot;duration&quot;:43050,&quot;video_url&quot;:&quot;https://video.twimg.com/amplify_video/1868437763734876160/vid/avc1/1920x1080/tm92tRoV9c2rtzfg.mp4?tag=16&quot;}]"/>
    <s v="{&quot;data_posted&quot;:null,&quot;description&quot;:null,&quot;photos&quot;:null,&quot;post_id&quot;:null,&quot;profile_id&quot;:null,&quot;profile_name&quot;:null,&quot;url&quot;:null,&quot;videos&quot;:null}"/>
    <n v="498"/>
    <n v="3.3751270755676042E-2"/>
    <d v="2024-12-15T00:00:00"/>
    <n v="0.97843749999999996"/>
    <x v="0"/>
    <x v="7"/>
    <x v="1"/>
    <x v="1"/>
    <x v="1"/>
    <x v="0"/>
    <n v="105"/>
    <x v="1"/>
  </r>
  <r>
    <n v="1.8682647526587233E+18"/>
    <s v="Ars███lWF███"/>
    <s v="Ars███l W███n"/>
    <s v="⏮️ Last time out against Liverpool..._x000a__x000a_That @CaitlinFoord x @alessiarusso7 link up 👏"/>
    <s v="&quot;2024-12-15T12:00:02.000Z&quot;"/>
    <s v="null"/>
    <s v="https://x.com/ArsenalWFC/status/1868264752658723221"/>
    <s v="[{&quot;biography&quot;:null,&quot;followers&quot;:null,&quot;following&quot;:null,&quot;is_verified&quot;:null,&quot;profile_id&quot;:&quot;371112966&quot;,&quot;profile_name&quot;:&quot;Caitlin Foord&quot;,&quot;url&quot;:&quot;https://x.com/CaitlinFoord&quot;},{&quot;biography&quot;:null,&quot;followers&quot;:null,&quot;following&quot;:null,&quot;is_verified&quot;:null,&quot;profile_id&quot;:&quot;244906756&quot;,&quot;profile_name&quot;:&quot;Alessia Russo&quot;,&quot;url&quot;:&quot;https://x.com/alessiarusso7&quot;}]"/>
    <n v="8"/>
    <n v="86"/>
    <n v="1015"/>
    <n v="33461"/>
    <s v=""/>
    <s v="null"/>
    <n v="756191"/>
    <s v="The home of Arsenal Women 🏡"/>
    <n v="32997"/>
    <s v="https://pbs.twimg.com/profile_images/1867639436789305344/r3fPR8sb_normal.jpg"/>
    <n v="303"/>
    <b v="0"/>
    <n v="8"/>
    <n v="10"/>
    <s v="{&quot;post_id&quot;:null,&quot;profile_id&quot;:null,&quot;profile_name&quot;:null}"/>
    <s v="null"/>
    <s v="[{&quot;duration&quot;:34240,&quot;video_url&quot;:&quot;https://video.twimg.com/ext_tw_video/1868190263010553856/pu/vid/avc1/1080x1080/jHd2qGpqz2HTysKQ.mp4?tag=14&quot;}]"/>
    <s v="{&quot;data_posted&quot;:null,&quot;description&quot;:null,&quot;photos&quot;:null,&quot;post_id&quot;:null,&quot;profile_id&quot;:null,&quot;profile_name&quot;:null,&quot;url&quot;:null,&quot;videos&quot;:null}"/>
    <n v="1127"/>
    <n v="3.3681001763246766E-2"/>
    <d v="2024-12-15T00:00:00"/>
    <n v="0.50002314814814819"/>
    <x v="0"/>
    <x v="0"/>
    <x v="1"/>
    <x v="1"/>
    <x v="0"/>
    <x v="0"/>
    <n v="84"/>
    <x v="2"/>
  </r>
  <r>
    <n v="1.8683301754460575E+18"/>
    <s v="CPFC"/>
    <s v="Cry███l P███ce ██████"/>
    <s v="Yeah, Hendo gets it 😍_x000a__x000a_#CPFC // #BHACRY"/>
    <s v="&quot;2024-12-15T16:20:00.000Z&quot;"/>
    <s v="[&quot;https://pbs.twimg.com/media/Ge2h-KDWcAALY7-.jpg&quot;]"/>
    <s v="https://x.com/CPFC/status/1868330175446057346"/>
    <s v="null"/>
    <n v="18"/>
    <n v="41"/>
    <n v="1034"/>
    <n v="32944"/>
    <s v=""/>
    <s v="[&quot;CPFC&quot;,&quot;BHACRY&quot;]"/>
    <n v="1480966"/>
    <s v="The Pride of South London."/>
    <n v="103753"/>
    <s v="https://pbs.twimg.com/profile_images/1857393032883994624/qN-MGWEH_normal.jpg"/>
    <n v="552"/>
    <b v="0"/>
    <n v="13"/>
    <n v="1"/>
    <s v="{&quot;post_id&quot;:null,&quot;profile_id&quot;:null,&quot;profile_name&quot;:null}"/>
    <s v="null"/>
    <s v="null"/>
    <s v="{&quot;data_posted&quot;:null,&quot;description&quot;:null,&quot;photos&quot;:null,&quot;post_id&quot;:null,&quot;profile_id&quot;:null,&quot;profile_name&quot;:null,&quot;url&quot;:null,&quot;videos&quot;:null}"/>
    <n v="1107"/>
    <n v="3.3602476930548811E-2"/>
    <d v="2024-12-15T00:00:00"/>
    <n v="0.68055555555555558"/>
    <x v="0"/>
    <x v="15"/>
    <x v="0"/>
    <x v="0"/>
    <x v="1"/>
    <x v="0"/>
    <n v="39"/>
    <x v="0"/>
  </r>
  <r>
    <n v="1.8683003011551194E+18"/>
    <s v="Clu███ugg███"/>
    <s v="Clu███rug███KV"/>
    <s v="Our house. Our points. 🥰👊 #CLUGNK"/>
    <s v="&quot;2024-12-15T14:21:17.000Z&quot;"/>
    <s v="[&quot;https://pbs.twimg.com/media/Ge2I9lUWcAAvGpJ.jpg&quot;]"/>
    <s v="https://x.com/ClubBrugge/status/1868300301155119461"/>
    <s v="null"/>
    <n v="10"/>
    <n v="37"/>
    <n v="312"/>
    <n v="10924"/>
    <s v=""/>
    <s v="[&quot;CLUGNK&quot;]"/>
    <n v="225733"/>
    <s v="The official account of Club Brugge. 𝟭𝟵 times Champion of Belgium.🏆 Questions? https://t.co/hw2kuDvIP2"/>
    <n v="42662"/>
    <s v="https://pbs.twimg.com/profile_images/1816386150455496704/5dfk0_QE_normal.jpg"/>
    <n v="148"/>
    <b v="0"/>
    <n v="7"/>
    <n v="1"/>
    <s v="{&quot;post_id&quot;:null,&quot;profile_id&quot;:null,&quot;profile_name&quot;:null}"/>
    <s v="null"/>
    <s v="null"/>
    <s v="{&quot;data_posted&quot;:null,&quot;description&quot;:null,&quot;photos&quot;:null,&quot;post_id&quot;:null,&quot;profile_id&quot;:null,&quot;profile_name&quot;:null,&quot;url&quot;:null,&quot;videos&quot;:null}"/>
    <n v="367"/>
    <n v="3.3595752471622116E-2"/>
    <d v="2024-12-15T00:00:00"/>
    <n v="0.59811342592592598"/>
    <x v="0"/>
    <x v="1"/>
    <x v="0"/>
    <x v="0"/>
    <x v="1"/>
    <x v="0"/>
    <n v="33"/>
    <x v="2"/>
  </r>
  <r>
    <n v="1.8684006435195085E+18"/>
    <s v="tvg███o"/>
    <s v="TV ███bo ███"/>
    <s v="É DELEEEE 🤩 Vladimir Brichta levou o prêmio de &quot;Ator Coadjuvante&quot; 🤍🤍🤍 #MelhoresDoAno #Domingão"/>
    <s v="&quot;2024-12-15T21:00:01.000Z&quot;"/>
    <s v="null"/>
    <s v="https://x.com/tvglobo/status/1868400643519508537"/>
    <s v="null"/>
    <n v="3"/>
    <n v="37"/>
    <n v="362"/>
    <n v="12778"/>
    <s v=""/>
    <s v="[&quot;MelhoresDoAno&quot;,&quot;Domingão&quot;]"/>
    <n v="13492430"/>
    <s v="oi, eu sou a Glô 😜"/>
    <n v="314515"/>
    <s v="https://pbs.twimg.com/profile_images/1863599216829792256/r5M1uKA8_normal.jpg"/>
    <n v="708"/>
    <b v="0"/>
    <n v="9"/>
    <n v="18"/>
    <s v="{&quot;post_id&quot;:null,&quot;profile_id&quot;:null,&quot;profile_name&quot;:null}"/>
    <s v="null"/>
    <s v="[{&quot;duration&quot;:33540,&quot;video_url&quot;:&quot;https://video.twimg.com/amplify_video/1868400248613199872/vid/avc1/1920x1080/EVkgeKuNmqiMhuqe.mp4?tag=16&quot;}]"/>
    <s v="{&quot;data_posted&quot;:null,&quot;description&quot;:null,&quot;photos&quot;:null,&quot;post_id&quot;:null,&quot;profile_id&quot;:null,&quot;profile_name&quot;:null,&quot;url&quot;:null,&quot;videos&quot;:null}"/>
    <n v="429"/>
    <n v="3.3573329159492876E-2"/>
    <d v="2024-12-15T00:00:00"/>
    <n v="0.87501157407407404"/>
    <x v="0"/>
    <x v="10"/>
    <x v="1"/>
    <x v="1"/>
    <x v="1"/>
    <x v="0"/>
    <n v="94"/>
    <x v="1"/>
  </r>
  <r>
    <n v="1.8684687401716739E+18"/>
    <s v="TNT███rts███"/>
    <s v="TNT███ort███R"/>
    <s v="MUITA DIFERENÇA ENTRE OS CAMPEÕES! 😱💰 _x000a__x000a_Enquanto o Botafogo recebeu um prêmio de cerca de R$ 48 milhões pelo título do Brasileirão Betano, o Vélez foi campeão argentino e levou 500 mil dólares, cerca de R$ 3 milhões na conversão atual. #BrasileirãoBetano"/>
    <s v="&quot;2024-12-16T01:30:36.000Z&quot;"/>
    <s v="[&quot;https://pbs.twimg.com/media/Ge4iaGGWAAAVySv.jpg&quot;]"/>
    <s v="https://x.com/TNTSportsBR/status/1868468740171673945"/>
    <s v="null"/>
    <n v="27"/>
    <n v="25"/>
    <n v="931"/>
    <n v="30000"/>
    <s v=""/>
    <s v="[&quot;BrasileirãoBetano&quot;]"/>
    <n v="8293187"/>
    <s v="⚽️ É muito mais Champions na Max, com TODOS os jogos ao vivo!_x000a_👇🏻Assine e assista clicando no link👇🏻"/>
    <n v="456734"/>
    <s v="https://pbs.twimg.com/profile_images/1807013047975768065/8sm_IGpw_normal.jpg"/>
    <n v="859"/>
    <b v="0"/>
    <n v="8"/>
    <n v="14"/>
    <s v="{&quot;post_id&quot;:null,&quot;profile_id&quot;:null,&quot;profile_name&quot;:null}"/>
    <s v="null"/>
    <s v="null"/>
    <s v="{&quot;data_posted&quot;:null,&quot;description&quot;:null,&quot;photos&quot;:null,&quot;post_id&quot;:null,&quot;profile_id&quot;:null,&quot;profile_name&quot;:null,&quot;url&quot;:null,&quot;videos&quot;:null}"/>
    <n v="1005"/>
    <n v="3.3500000000000002E-2"/>
    <d v="2024-12-16T00:00:00"/>
    <n v="6.2916666666666662E-2"/>
    <x v="2"/>
    <x v="19"/>
    <x v="0"/>
    <x v="0"/>
    <x v="1"/>
    <x v="0"/>
    <n v="254"/>
    <x v="0"/>
  </r>
  <r>
    <n v="1.8683037702513623E+18"/>
    <s v="Man███Wom███"/>
    <s v="Man███ste███nit█████████"/>
    <s v="Just over half an hour played and we’re still searching for an opener 🔎_x000a__x000a_#MUWomen"/>
    <s v="&quot;2024-12-15T14:35:04.000Z&quot;"/>
    <s v="[&quot;https://pbs.twimg.com/media/Ge2MYEYWEAAAiqT.jpg&quot;]"/>
    <s v="https://x.com/ManUtdWomen/status/1868303770251362392"/>
    <s v="null"/>
    <n v="20"/>
    <n v="26"/>
    <n v="407"/>
    <n v="13618"/>
    <s v=""/>
    <s v="[&quot;MUWomen&quot;]"/>
    <n v="462263"/>
    <s v="Explore our Christmas deals on United Store now 🛍️⤵️"/>
    <n v="16271"/>
    <s v="https://pbs.twimg.com/profile_images/1856421977373741056/jWwLjKK5_normal.jpg"/>
    <n v="38"/>
    <b v="0"/>
    <n v="2"/>
    <n v="1"/>
    <s v="{&quot;post_id&quot;:null,&quot;profile_id&quot;:null,&quot;profile_name&quot;:null}"/>
    <s v="null"/>
    <s v="null"/>
    <s v="{&quot;data_posted&quot;:null,&quot;description&quot;:null,&quot;photos&quot;:null,&quot;post_id&quot;:null,&quot;profile_id&quot;:null,&quot;profile_name&quot;:null,&quot;url&quot;:null,&quot;videos&quot;:null}"/>
    <n v="456"/>
    <n v="3.3485093258922016E-2"/>
    <d v="2024-12-15T00:00:00"/>
    <n v="0.60768518518518522"/>
    <x v="0"/>
    <x v="1"/>
    <x v="0"/>
    <x v="0"/>
    <x v="1"/>
    <x v="0"/>
    <n v="81"/>
    <x v="2"/>
  </r>
  <r>
    <n v="1.8683246949249556E+18"/>
    <s v="CPFC"/>
    <s v="Cry███l P███ce ██████"/>
    <s v="Great day at the seaside with my friends._x000a__x000a_#CPFC // #BHACRY"/>
    <s v="&quot;2024-12-15T15:58:13.000Z&quot;"/>
    <s v="[&quot;https://pbs.twimg.com/media/Ge2fSsSWYAAR5UZ.jpg&quot;]"/>
    <s v="https://x.com/CPFC/status/1868324694924955753"/>
    <s v="null"/>
    <n v="93"/>
    <n v="607"/>
    <n v="4307"/>
    <n v="156804"/>
    <s v=""/>
    <s v="[&quot;CPFC&quot;,&quot;BHACRY&quot;]"/>
    <n v="1480966"/>
    <s v="The Pride of South London."/>
    <n v="103753"/>
    <s v="https://pbs.twimg.com/profile_images/1857393032883994624/qN-MGWEH_normal.jpg"/>
    <n v="552"/>
    <b v="0"/>
    <n v="122"/>
    <n v="28"/>
    <s v="{&quot;post_id&quot;:null,&quot;profile_id&quot;:null,&quot;profile_name&quot;:null}"/>
    <s v="null"/>
    <s v="null"/>
    <s v="{&quot;data_posted&quot;:null,&quot;description&quot;:null,&quot;photos&quot;:null,&quot;post_id&quot;:null,&quot;profile_id&quot;:null,&quot;profile_name&quot;:null,&quot;url&quot;:null,&quot;videos&quot;:null}"/>
    <n v="5157"/>
    <n v="3.2888191627764594E-2"/>
    <d v="2024-12-15T00:00:00"/>
    <n v="0.6654282407407407"/>
    <x v="0"/>
    <x v="13"/>
    <x v="0"/>
    <x v="0"/>
    <x v="1"/>
    <x v="0"/>
    <n v="59"/>
    <x v="0"/>
  </r>
  <r>
    <n v="1.8683047504979436E+18"/>
    <s v="CPFC"/>
    <s v="Cry███l P███ce ██████"/>
    <s v="Another goal on the road for Trev 🥹_x000a__x000a_#CPFC // #BHACRY"/>
    <s v="&quot;2024-12-15T14:38:58.000Z&quot;"/>
    <s v="[&quot;https://pbs.twimg.com/media/Ge2NIV5XgAAjDDD.jpg&quot;,&quot;https://pbs.twimg.com/media/Ge2NI_TWsAAyVX4.jpg&quot;]"/>
    <s v="https://x.com/CPFC/status/1868304750497943630"/>
    <s v="null"/>
    <n v="24"/>
    <n v="35"/>
    <n v="1095"/>
    <n v="35510"/>
    <s v=""/>
    <s v="[&quot;CPFC&quot;,&quot;BHACRY&quot;]"/>
    <n v="1480966"/>
    <s v="The Pride of South London."/>
    <n v="103753"/>
    <s v="https://pbs.twimg.com/profile_images/1857393032883994624/qN-MGWEH_normal.jpg"/>
    <n v="552"/>
    <b v="0"/>
    <n v="6"/>
    <n v="7"/>
    <s v="{&quot;post_id&quot;:null,&quot;profile_id&quot;:null,&quot;profile_name&quot;:null}"/>
    <s v="null"/>
    <s v="null"/>
    <s v="{&quot;data_posted&quot;:null,&quot;description&quot;:null,&quot;photos&quot;:null,&quot;post_id&quot;:null,&quot;profile_id&quot;:null,&quot;profile_name&quot;:null,&quot;url&quot;:null,&quot;videos&quot;:null}"/>
    <n v="1167"/>
    <n v="3.2863981976907916E-2"/>
    <d v="2024-12-15T00:00:00"/>
    <n v="0.61039351851851853"/>
    <x v="0"/>
    <x v="1"/>
    <x v="0"/>
    <x v="0"/>
    <x v="1"/>
    <x v="0"/>
    <n v="53"/>
    <x v="0"/>
  </r>
  <r>
    <n v="1.8660273072380644E+18"/>
    <s v="Cha███uek███"/>
    <s v="Cha███uek███ฟุต█████████ิไท███"/>
    <s v="#OFFICIAL ช้างศึก ร่วมกลุ่ม เติร์กเมนิสถาน, ไชนีส ไทเป, ศรีลังกา เอเชียน คัพ 2027 รอบคัดเลือก_x000a__x000a_#ช้างศึก #ทีมชาติไทย #AsianCup2027"/>
    <s v="&quot;2024-12-09T07:49:13.000Z&quot;"/>
    <s v="[&quot;https://pbs.twimg.com/media/GeV18JbbYAA9rhh.jpg&quot;]"/>
    <s v="https://x.com/Changsuek_TH/status/1866027307238064497"/>
    <s v="null"/>
    <n v="3"/>
    <n v="71"/>
    <n v="118"/>
    <n v="5946"/>
    <s v=""/>
    <s v="[&quot;OFFICIAL&quot;,&quot;ช้างศึก&quot;,&quot;ทีมชาติไทย&quot;,&quot;AsianCup2027&quot;]"/>
    <n v="54834"/>
    <s v="Welcome to the Official Thailand National Football Team Twitter account. stay up to date with all latest news and content. 🇹🇭"/>
    <n v="15101"/>
    <s v="https://pbs.twimg.com/profile_images/943107438923825152/Qx4Kf4a2_normal.jpg"/>
    <n v="60"/>
    <b v="0"/>
    <n v="1"/>
    <n v="2"/>
    <s v="{&quot;post_id&quot;:null,&quot;profile_id&quot;:null,&quot;profile_name&quot;:null}"/>
    <s v="null"/>
    <s v="null"/>
    <s v="{&quot;data_posted&quot;:null,&quot;description&quot;:null,&quot;photos&quot;:null,&quot;post_id&quot;:null,&quot;profile_id&quot;:null,&quot;profile_name&quot;:null,&quot;url&quot;:null,&quot;videos&quot;:null}"/>
    <n v="195"/>
    <n v="3.2795156407669022E-2"/>
    <d v="2024-12-09T00:00:00"/>
    <n v="0.3258449074074074"/>
    <x v="2"/>
    <x v="20"/>
    <x v="0"/>
    <x v="0"/>
    <x v="1"/>
    <x v="0"/>
    <n v="129"/>
    <x v="3"/>
  </r>
  <r>
    <n v="1.8683777778098916E+18"/>
    <s v="Spu███ffi███l"/>
    <s v="Tot███ham███tsp███"/>
    <s v="Milestone moment 🤝_x000a__x000a_Sonny equals Darren Anderton's all-time Spurs assist record of 67 in the @premierleague! 🌟"/>
    <s v="&quot;2024-12-15T19:29:09.000Z&quot;"/>
    <s v="[&quot;https://pbs.twimg.com/media/Ge3Pq7mXsAADYBv.jpg&quot;]"/>
    <s v="https://x.com/SpursOfficial/status/1868377777809891613"/>
    <s v="[{&quot;biography&quot;:null,&quot;followers&quot;:null,&quot;following&quot;:null,&quot;is_verified&quot;:null,&quot;profile_id&quot;:&quot;343627165&quot;,&quot;profile_name&quot;:&quot;Premier League&quot;,&quot;url&quot;:&quot;https://x.com/premierleague&quot;}]"/>
    <n v="65"/>
    <n v="761"/>
    <n v="5590"/>
    <n v="201496"/>
    <s v=""/>
    <s v="null"/>
    <n v="8885747"/>
    <s v="COYS 🤍"/>
    <n v="115852"/>
    <s v="https://pbs.twimg.com/profile_images/1864976047902498816/FUkKarj7_normal.jpg"/>
    <n v="469"/>
    <b v="0"/>
    <n v="99"/>
    <n v="81"/>
    <s v="{&quot;post_id&quot;:null,&quot;profile_id&quot;:null,&quot;profile_name&quot;:null}"/>
    <s v="null"/>
    <s v="null"/>
    <s v="{&quot;data_posted&quot;:null,&quot;description&quot;:null,&quot;photos&quot;:null,&quot;post_id&quot;:null,&quot;profile_id&quot;:null,&quot;profile_name&quot;:null,&quot;url&quot;:null,&quot;videos&quot;:null}"/>
    <n v="6596"/>
    <n v="3.273514114424108E-2"/>
    <d v="2024-12-15T00:00:00"/>
    <n v="0.81190972222222224"/>
    <x v="0"/>
    <x v="4"/>
    <x v="0"/>
    <x v="0"/>
    <x v="0"/>
    <x v="0"/>
    <n v="110"/>
    <x v="0"/>
  </r>
  <r>
    <n v="1.8684244897819238E+18"/>
    <s v="tvg███o"/>
    <s v="TV ███bo ███"/>
    <s v="VOCÊ É UM TALENTO E MERECE DEMAIS ESSE PRÊMIO, PRÍNCIPE 🫶🫶🫶 #MelhoresDoAno #Domingão"/>
    <s v="&quot;2024-12-15T22:34:46.000Z&quot;"/>
    <s v="null"/>
    <s v="https://x.com/tvglobo/status/1868424489781923940"/>
    <s v="null"/>
    <n v="21"/>
    <n v="81"/>
    <n v="518"/>
    <n v="20858"/>
    <s v=""/>
    <s v="[&quot;MelhoresDoAno&quot;,&quot;Domingão&quot;]"/>
    <n v="13492430"/>
    <s v="oi, eu sou a Glô 😜"/>
    <n v="314515"/>
    <s v="https://pbs.twimg.com/profile_images/1863599216829792256/r5M1uKA8_normal.jpg"/>
    <n v="708"/>
    <b v="0"/>
    <n v="34"/>
    <n v="27"/>
    <s v="{&quot;post_id&quot;:null,&quot;profile_id&quot;:null,&quot;profile_name&quot;:null}"/>
    <s v="null"/>
    <s v="[{&quot;duration&quot;:135880,&quot;video_url&quot;:&quot;https://video.twimg.com/amplify_video/1868424118439133184/vid/avc1/1920x1080/IRIauCWLTjvB448T.mp4?tag=16&quot;}]"/>
    <s v="{&quot;data_posted&quot;:null,&quot;description&quot;:null,&quot;photos&quot;:null,&quot;post_id&quot;:null,&quot;profile_id&quot;:null,&quot;profile_name&quot;:null,&quot;url&quot;:null,&quot;videos&quot;:null}"/>
    <n v="681"/>
    <n v="3.2649343177677627E-2"/>
    <d v="2024-12-15T00:00:00"/>
    <n v="0.94081018518518522"/>
    <x v="0"/>
    <x v="11"/>
    <x v="1"/>
    <x v="1"/>
    <x v="1"/>
    <x v="0"/>
    <n v="84"/>
    <x v="1"/>
  </r>
  <r>
    <n v="1.8683895664968174E+18"/>
    <s v="Man███"/>
    <s v="Man███ste███nit███"/>
    <s v="High praise for @AmadDiallo_19 from the captain 🫶_x000a__x000a_#MUFC || #MCIMUN"/>
    <s v="&quot;2024-12-15T20:16:00.000Z&quot;"/>
    <s v="null"/>
    <s v="https://x.com/ManUtd/status/1868389566496817300"/>
    <s v="[{&quot;biography&quot;:null,&quot;followers&quot;:null,&quot;following&quot;:null,&quot;is_verified&quot;:null,&quot;profile_id&quot;:&quot;1338814116455182336&quot;,&quot;profile_name&quot;:&quot;Amad&quot;,&quot;url&quot;:&quot;https://x.com/Amaddiallo_19&quot;}]"/>
    <n v="112"/>
    <n v="558"/>
    <n v="5781"/>
    <n v="200311"/>
    <s v=""/>
    <s v="[&quot;MUFC&quot;,&quot;MCIMUN&quot;]"/>
    <n v="38439079"/>
    <s v="’Tis the season to gift United! 🎁🎄"/>
    <n v="92455"/>
    <s v="https://pbs.twimg.com/profile_images/1856418426496880640/iIvJaO5T_normal.png"/>
    <n v="145"/>
    <b v="0"/>
    <n v="6"/>
    <n v="71"/>
    <s v="{&quot;post_id&quot;:null,&quot;profile_id&quot;:null,&quot;profile_name&quot;:null}"/>
    <s v="null"/>
    <s v="null"/>
    <s v="{&quot;data_posted&quot;:null,&quot;description&quot;:null,&quot;photos&quot;:null,&quot;post_id&quot;:null,&quot;profile_id&quot;:null,&quot;profile_name&quot;:null,&quot;url&quot;:null,&quot;videos&quot;:null}"/>
    <n v="6528"/>
    <n v="3.2589323601799204E-2"/>
    <d v="2024-12-15T00:00:00"/>
    <n v="0.84444444444444444"/>
    <x v="0"/>
    <x v="3"/>
    <x v="0"/>
    <x v="1"/>
    <x v="1"/>
    <x v="0"/>
    <n v="67"/>
    <x v="1"/>
  </r>
  <r>
    <n v="1.8683129199703698E+18"/>
    <s v="Rep███end███"/>
    <s v="Rep███ob ███end███"/>
    <s v="Today, we celebrate #BillOfRightsDay, a reminder of the foundational principles that protect our freedoms and rights as Americans. As we reflect on these values, @HouseDemocrats are committed to upholding and defending them for future generations."/>
    <s v="&quot;2024-12-15T15:11:26.000Z&quot;"/>
    <s v="[&quot;https://pbs.twimg.com/media/Ge2UstkWsAA1Nim.jpg&quot;]"/>
    <s v="https://x.com/RepMenendez/status/1868312919970369831"/>
    <s v="[{&quot;biography&quot;:null,&quot;followers&quot;:null,&quot;following&quot;:null,&quot;is_verified&quot;:null,&quot;profile_id&quot;:&quot;43963249&quot;,&quot;profile_name&quot;:&quot;House Democrats&quot;,&quot;url&quot;:&quot;https://x.com/HouseDemocrats&quot;}]"/>
    <n v="1"/>
    <n v="2"/>
    <n v="7"/>
    <n v="340"/>
    <s v=""/>
    <s v="[&quot;BillOfRightsDay&quot;]"/>
    <n v="3752"/>
    <s v="Olivia and Robert's second favorite parent. Husband to Alex. Congressman for #NJ08 - the district with the best people and food no questions asked."/>
    <n v="1280"/>
    <s v="https://pbs.twimg.com/profile_images/1639358266986618897/XZ4At_ZD_normal.jpg"/>
    <n v="327"/>
    <b v="0"/>
    <n v="0"/>
    <n v="1"/>
    <s v="{&quot;post_id&quot;:null,&quot;profile_id&quot;:null,&quot;profile_name&quot;:null}"/>
    <s v="null"/>
    <s v="null"/>
    <s v="{&quot;data_posted&quot;:null,&quot;description&quot;:null,&quot;photos&quot;:null,&quot;post_id&quot;:null,&quot;profile_id&quot;:null,&quot;profile_name&quot;:null,&quot;url&quot;:null,&quot;videos&quot;:null}"/>
    <n v="11"/>
    <n v="3.2352941176470591E-2"/>
    <d v="2024-12-15T00:00:00"/>
    <n v="0.63293981481481476"/>
    <x v="0"/>
    <x v="13"/>
    <x v="0"/>
    <x v="0"/>
    <x v="1"/>
    <x v="0"/>
    <n v="247"/>
    <x v="3"/>
  </r>
  <r>
    <n v="1.8682913404650542E+18"/>
    <s v="Man███Wom███"/>
    <s v="Man███ste███nit█████████"/>
    <s v="1️⃣5️⃣ minutes until kick-off ⏱️_x000a__x000a_Come on United! 👏_x000a__x000a_#MUWomen"/>
    <s v="&quot;2024-12-15T13:45:41.000Z&quot;"/>
    <s v="null"/>
    <s v="https://x.com/ManUtdWomen/status/1868291340465054202"/>
    <s v="null"/>
    <n v="1"/>
    <n v="30"/>
    <n v="334"/>
    <n v="11383"/>
    <s v=""/>
    <s v="[&quot;MUWomen&quot;]"/>
    <n v="462262"/>
    <s v="Explore our Christmas deals on United Store now 🛍️⤵️"/>
    <n v="16271"/>
    <s v="https://pbs.twimg.com/profile_images/1856421977373741056/jWwLjKK5_normal.jpg"/>
    <n v="38"/>
    <b v="0"/>
    <n v="1"/>
    <n v="1"/>
    <s v="{&quot;post_id&quot;:null,&quot;profile_id&quot;:null,&quot;profile_name&quot;:null}"/>
    <s v="null"/>
    <s v="[{&quot;duration&quot;:16800,&quot;video_url&quot;:&quot;https://video.twimg.com/amplify_video/1868291229277974528/vid/avc1/1080x1920/gi4tVo3Dm1Ki8fIF.mp4?tag=16&quot;}]"/>
    <s v="{&quot;data_posted&quot;:null,&quot;description&quot;:null,&quot;photos&quot;:null,&quot;post_id&quot;:null,&quot;profile_id&quot;:null,&quot;profile_name&quot;:null,&quot;url&quot;:null,&quot;videos&quot;:null}"/>
    <n v="367"/>
    <n v="3.2241061231661247E-2"/>
    <d v="2024-12-15T00:00:00"/>
    <n v="0.57339120370370367"/>
    <x v="0"/>
    <x v="14"/>
    <x v="1"/>
    <x v="1"/>
    <x v="1"/>
    <x v="0"/>
    <n v="61"/>
    <x v="2"/>
  </r>
  <r>
    <n v="1.8683893913177994E+18"/>
    <s v="acm███n"/>
    <s v="AC ███an"/>
    <s v="A masterpiece 🏟️🫶_x000a__x000a_#MilanGenoa #ACMilanWorthEveryMinute #SempreMilan"/>
    <s v="&quot;2024-12-15T20:15:18.000Z&quot;"/>
    <s v="[&quot;https://pbs.twimg.com/media/Ge3aM4RWEAA7QpG.jpg&quot;]"/>
    <s v="https://x.com/acmilan/status/1868389391317799412"/>
    <s v="null"/>
    <n v="37"/>
    <n v="311"/>
    <n v="1997"/>
    <n v="75282"/>
    <s v=""/>
    <s v="[&quot;MilanGenoa&quot;,&quot;ACMilanWorthEveryMinute&quot;,&quot;SempreMilan&quot;]"/>
    <n v="8539601"/>
    <s v="❤🖤 125 years together, worth every minute ❤🖤 _x000a__x000a_#SempreMilan since 1899! 🔙 _x000a__x000a_Arabic: @acmilanar | Portuguese: @acmilanbr | #MilanYouth: @acmilanyouth"/>
    <n v="75535"/>
    <s v="https://pbs.twimg.com/profile_images/1848748720050868225/FQY9F6Hn_normal.jpg"/>
    <n v="117"/>
    <b v="0"/>
    <n v="22"/>
    <n v="54"/>
    <s v="{&quot;post_id&quot;:null,&quot;profile_id&quot;:null,&quot;profile_name&quot;:null}"/>
    <s v="null"/>
    <s v="null"/>
    <s v="{&quot;data_posted&quot;:null,&quot;description&quot;:null,&quot;photos&quot;:null,&quot;post_id&quot;:null,&quot;profile_id&quot;:null,&quot;profile_name&quot;:null,&quot;url&quot;:null,&quot;videos&quot;:null}"/>
    <n v="2421"/>
    <n v="3.2159081852235594E-2"/>
    <d v="2024-12-15T00:00:00"/>
    <n v="0.84395833333333337"/>
    <x v="0"/>
    <x v="3"/>
    <x v="0"/>
    <x v="0"/>
    <x v="1"/>
    <x v="0"/>
    <n v="68"/>
    <x v="0"/>
  </r>
  <r>
    <n v="1.8683534529983777E+18"/>
    <s v="Bre███ord███"/>
    <s v="Bre███ord███"/>
    <s v="Sunday night in the @premierleague 🎧_x000a__x000a_#CHEBRE | @motorscouk"/>
    <s v="&quot;2024-12-15T17:52:30.000Z&quot;"/>
    <s v="[&quot;https://pbs.twimg.com/media/Ge25MfAWEAA7g3n.jpg&quot;]"/>
    <s v="https://x.com/BrentfordFC/status/1868353452998377649"/>
    <s v="[{&quot;biography&quot;:null,&quot;followers&quot;:null,&quot;following&quot;:null,&quot;is_verified&quot;:null,&quot;profile_id&quot;:&quot;343627165&quot;,&quot;profile_name&quot;:&quot;Premier League&quot;,&quot;url&quot;:&quot;https://x.com/premierleague&quot;},{&quot;biography&quot;:null,&quot;followers&quot;:null,&quot;following&quot;:null,&quot;is_verified&quot;:null,&quot;profile_id&quot;:&quot;19708957&quot;,&quot;profile_name&quot;:&quot;MOTORS&quot;,&quot;url&quot;:&quot;https://x.com/motorscouk&quot;}]"/>
    <n v="11"/>
    <n v="27"/>
    <n v="754"/>
    <n v="25005"/>
    <s v=""/>
    <s v="[&quot;CHEBRE&quot;]"/>
    <n v="376786"/>
    <s v="Chelsea away ⏳"/>
    <n v="106893"/>
    <s v="https://pbs.twimg.com/profile_images/1863925545009852417/pH2T1Sz8_normal.jpg"/>
    <n v="415"/>
    <b v="0"/>
    <n v="6"/>
    <n v="2"/>
    <s v="{&quot;post_id&quot;:null,&quot;profile_id&quot;:null,&quot;profile_name&quot;:null}"/>
    <s v="null"/>
    <s v="null"/>
    <s v="{&quot;data_posted&quot;:null,&quot;description&quot;:null,&quot;photos&quot;:null,&quot;post_id&quot;:null,&quot;profile_id&quot;:null,&quot;profile_name&quot;:null,&quot;url&quot;:null,&quot;videos&quot;:null}"/>
    <n v="800"/>
    <n v="3.1993601279744051E-2"/>
    <d v="2024-12-15T00:00:00"/>
    <n v="0.74479166666666663"/>
    <x v="0"/>
    <x v="12"/>
    <x v="0"/>
    <x v="0"/>
    <x v="1"/>
    <x v="0"/>
    <n v="59"/>
    <x v="2"/>
  </r>
  <r>
    <n v="1.8682345517822162E+18"/>
    <s v="Che███aFC███"/>
    <s v="Che███a F███"/>
    <s v="Helping to build futures through football. ⚽️_x000a__x000a_A partnership between @CFCFoundation &amp;amp; The Jimmy Aggrey Foundation. 🤝💙_x000a__x000a_More ➡️"/>
    <s v="&quot;2024-12-15T10:00:01.000Z&quot;"/>
    <s v="[&quot;https://pbs.twimg.com/media/Ge1KO-VWYAA9HL_.jpg&quot;]"/>
    <s v="https://x.com/ChelseaFC/status/1868234551782216188"/>
    <s v="[{&quot;biography&quot;:null,&quot;followers&quot;:null,&quot;following&quot;:null,&quot;is_verified&quot;:null,&quot;profile_id&quot;:&quot;831991970344091653&quot;,&quot;profile_name&quot;:&quot;Chelsea Foundation&quot;,&quot;url&quot;:&quot;https://x.com/CFCFoundation&quot;}]"/>
    <n v="74"/>
    <n v="321"/>
    <n v="4789"/>
    <n v="162577"/>
    <s v="https://bit.ly/JAF-ChelseaFC-X"/>
    <s v="null"/>
    <n v="26079172"/>
    <s v=""/>
    <n v="121345"/>
    <s v="https://pbs.twimg.com/profile_images/1856287465524367360/FKHsk_Fw_normal.jpg"/>
    <n v="277"/>
    <b v="0"/>
    <n v="2"/>
    <n v="14"/>
    <s v="{&quot;post_id&quot;:null,&quot;profile_id&quot;:null,&quot;profile_name&quot;:null}"/>
    <s v="null"/>
    <s v="null"/>
    <s v="{&quot;data_posted&quot;:null,&quot;description&quot;:null,&quot;photos&quot;:null,&quot;post_id&quot;:null,&quot;profile_id&quot;:null,&quot;profile_name&quot;:null,&quot;url&quot;:null,&quot;videos&quot;:null}"/>
    <n v="5200"/>
    <n v="3.1984844104639649E-2"/>
    <d v="2024-12-15T00:00:00"/>
    <n v="0.41667824074074072"/>
    <x v="0"/>
    <x v="17"/>
    <x v="0"/>
    <x v="0"/>
    <x v="0"/>
    <x v="0"/>
    <n v="130"/>
    <x v="1"/>
  </r>
  <r>
    <n v="1.8683232628259476E+18"/>
    <s v="CNN███sil███"/>
    <s v="CNN███asi███"/>
    <s v="Lula já pode voltar a trabalhar e avalia reunião ministerial ainda em 2024"/>
    <s v="&quot;2024-12-15T15:52:32.000Z&quot;"/>
    <s v="null"/>
    <s v="https://x.com/CNNBrasil/status/1868323262825947549"/>
    <s v="null"/>
    <n v="128"/>
    <n v="15"/>
    <n v="195"/>
    <n v="10944"/>
    <s v="https://www.cnnbrasil.com.br/politica/lula-ja-pode-voltar-a-trabalhar-e-avalia-reuniao-ministerial-ainda-em-2024/?utm_source=social&amp;utm_medium=twitter&amp;utm_campaign=politica"/>
    <s v="null"/>
    <n v="2819408"/>
    <s v="Pense bem, pense CNN._x000a_Acompanhe também pelo canal 577, app ou site. _x000a_⚽ @esportescnn_x000a_⚡️ @cnnpop_x000a_💰 @cnneconomia_x000a_💵 @nolucrocnn"/>
    <n v="286269"/>
    <s v="https://pbs.twimg.com/profile_images/1202609722257485824/NcFn6f7X_normal.jpg"/>
    <n v="4"/>
    <b v="0"/>
    <n v="4"/>
    <n v="1"/>
    <s v="{&quot;post_id&quot;:null,&quot;profile_id&quot;:null,&quot;profile_name&quot;:null}"/>
    <s v="[&quot;https://pbs.twimg.com/card_img/1868323264516296704/P4kRYMYk?format=jpg&amp;name=orig&quot;]"/>
    <s v="null"/>
    <s v="{&quot;data_posted&quot;:null,&quot;description&quot;:null,&quot;photos&quot;:null,&quot;post_id&quot;:null,&quot;profile_id&quot;:null,&quot;profile_name&quot;:null,&quot;url&quot;:null,&quot;videos&quot;:null}"/>
    <n v="343"/>
    <n v="3.1341374269005851E-2"/>
    <d v="2024-12-15T00:00:00"/>
    <n v="0.66148148148148145"/>
    <x v="0"/>
    <x v="13"/>
    <x v="0"/>
    <x v="1"/>
    <x v="0"/>
    <x v="0"/>
    <n v="74"/>
    <x v="0"/>
  </r>
  <r>
    <n v="1.8683087092034726E+18"/>
    <s v="Bar███ysW███"/>
    <s v="Bar███ys ███en'█████████eag███"/>
    <s v="Grace Clinton strikes again ⚡️_x000a__x000a_#BarclaysWSL @ManUtdWomen"/>
    <s v="&quot;2024-12-15T14:54:42.000Z&quot;"/>
    <s v="null"/>
    <s v="https://x.com/BarclaysWSL/status/1868308709203472757"/>
    <s v="[{&quot;biography&quot;:null,&quot;followers&quot;:null,&quot;following&quot;:null,&quot;is_verified&quot;:null,&quot;profile_id&quot;:&quot;977180963846443013&quot;,&quot;profile_name&quot;:&quot;Manchester United Women&quot;,&quot;url&quot;:&quot;https://x.com/ManUtdWomen&quot;}]"/>
    <n v="8"/>
    <n v="68"/>
    <n v="579"/>
    <n v="21601"/>
    <s v=""/>
    <s v="[&quot;BarclaysWSL&quot;]"/>
    <n v="337839"/>
    <s v="The home of top-flight women's football in England! 🤩_x000a__x000a_Subscribe to our brand-new BWSL YouTube Channel! 📺 #BarclaysWSL"/>
    <n v="57638"/>
    <s v="https://pbs.twimg.com/profile_images/1605171595160555521/NKG9mgxv_normal.jpg"/>
    <n v="587"/>
    <b v="0"/>
    <n v="9"/>
    <n v="10"/>
    <s v="{&quot;post_id&quot;:null,&quot;profile_id&quot;:null,&quot;profile_name&quot;:null}"/>
    <s v="null"/>
    <s v="[{&quot;duration&quot;:27773,&quot;video_url&quot;:&quot;https://video.twimg.com/amplify_video/1868308686172499968/vid/avc1/1280x720/nzY4LI4W-mCp8z8u.mp4?tag=16&quot;}]"/>
    <s v="{&quot;data_posted&quot;:null,&quot;description&quot;:null,&quot;photos&quot;:null,&quot;post_id&quot;:null,&quot;profile_id&quot;:null,&quot;profile_name&quot;:null,&quot;url&quot;:null,&quot;videos&quot;:null}"/>
    <n v="674"/>
    <n v="3.1202259154668767E-2"/>
    <d v="2024-12-15T00:00:00"/>
    <n v="0.62131944444444442"/>
    <x v="0"/>
    <x v="1"/>
    <x v="1"/>
    <x v="1"/>
    <x v="1"/>
    <x v="0"/>
    <n v="57"/>
    <x v="2"/>
  </r>
  <r>
    <n v="1.8682724862086595E+18"/>
    <s v="HKane"/>
    <s v="Har███Kan███"/>
    <s v="Means a lot to be able to thank some of the fans who have made me feel so welcome at the club. And to all the Bayern fans whose support is always unreal home and away. #MiaSanMia"/>
    <s v="&quot;2024-12-15T12:30:46.000Z&quot;"/>
    <s v="[&quot;https://pbs.twimg.com/media/Ge1v67RXYAATn9g.jpg&quot;]"/>
    <s v="https://x.com/HKane/status/1868272486208659561"/>
    <s v="null"/>
    <n v="89"/>
    <n v="303"/>
    <n v="6485"/>
    <n v="223302"/>
    <s v=""/>
    <s v="[&quot;MiaSanMia&quot;]"/>
    <n v="3966792"/>
    <s v="Footballer for Bayern and England."/>
    <n v="3157"/>
    <s v="https://pbs.twimg.com/profile_images/1606312615122288641/uDCxQ9nA_normal.jpg"/>
    <n v="228"/>
    <b v="0"/>
    <n v="30"/>
    <n v="43"/>
    <s v="{&quot;post_id&quot;:null,&quot;profile_id&quot;:null,&quot;profile_name&quot;:null}"/>
    <s v="null"/>
    <s v="null"/>
    <s v="{&quot;data_posted&quot;:null,&quot;description&quot;:null,&quot;photos&quot;:null,&quot;post_id&quot;:null,&quot;profile_id&quot;:null,&quot;profile_name&quot;:null,&quot;url&quot;:null,&quot;videos&quot;:null}"/>
    <n v="6950"/>
    <n v="3.1123769603496609E-2"/>
    <d v="2024-12-15T00:00:00"/>
    <n v="0.52136574074074071"/>
    <x v="0"/>
    <x v="0"/>
    <x v="0"/>
    <x v="0"/>
    <x v="1"/>
    <x v="0"/>
    <n v="178"/>
    <x v="0"/>
  </r>
  <r>
    <n v="1.8682748365034908E+18"/>
    <s v="CNN███sil███"/>
    <s v="CNN███asi███"/>
    <s v="O grande desafio de Lula é mostrar que a economia vai bem, avalia Arko Advice ao WW Especial"/>
    <s v="&quot;2024-12-15T12:40:06.000Z&quot;"/>
    <s v="null"/>
    <s v="https://x.com/CNNBrasil/status/1868274836503490692"/>
    <s v="null"/>
    <n v="739"/>
    <n v="18"/>
    <n v="172"/>
    <n v="30755"/>
    <s v="https://www.cnnbrasil.com.br/politica/o-grande-desafio-de-lula-e-mostrar-que-a-economia-vai-bem-avalia-arko-advice-ao-ww-especial/?utm_source=social&amp;utm_medium=twitter&amp;utm_campaign=politica"/>
    <s v="null"/>
    <n v="2819409"/>
    <s v="Pense bem, pense CNN._x000a_Acompanhe também pelo canal 577, app ou site. _x000a_⚽ @esportescnn_x000a_⚡️ @cnnpop_x000a_💰 @cnneconomia_x000a_💵 @nolucrocnn"/>
    <n v="286269"/>
    <s v="https://pbs.twimg.com/profile_images/1202609722257485824/NcFn6f7X_normal.jpg"/>
    <n v="4"/>
    <b v="0"/>
    <n v="19"/>
    <n v="4"/>
    <s v="{&quot;post_id&quot;:null,&quot;profile_id&quot;:null,&quot;profile_name&quot;:null}"/>
    <s v="[&quot;https://pbs.twimg.com/card_img/1866863985863073792/cD52Gq2d?format=jpg&amp;name=orig&quot;]"/>
    <s v="null"/>
    <s v="{&quot;data_posted&quot;:null,&quot;description&quot;:null,&quot;photos&quot;:null,&quot;post_id&quot;:null,&quot;profile_id&quot;:null,&quot;profile_name&quot;:null,&quot;url&quot;:null,&quot;videos&quot;:null}"/>
    <n v="952"/>
    <n v="3.0954316371321736E-2"/>
    <d v="2024-12-15T00:00:00"/>
    <n v="0.52784722222222225"/>
    <x v="0"/>
    <x v="0"/>
    <x v="0"/>
    <x v="1"/>
    <x v="0"/>
    <x v="0"/>
    <n v="92"/>
    <x v="0"/>
  </r>
  <r>
    <n v="1.8684349860528581E+18"/>
    <s v="tvg███o"/>
    <s v="TV ███bo ███"/>
    <s v="ESSA AQUI FAZ BATER O CORAÇÃO MAIS FORTE MESMO 🤍 #MelhoresDoAno #Domingão"/>
    <s v="&quot;2024-12-15T23:16:29.000Z&quot;"/>
    <s v="null"/>
    <s v="https://x.com/tvglobo/status/1868434986052858133"/>
    <s v="null"/>
    <n v="15"/>
    <n v="58"/>
    <n v="466"/>
    <n v="18500"/>
    <s v=""/>
    <s v="[&quot;MelhoresDoAno&quot;,&quot;Domingão&quot;]"/>
    <n v="13492430"/>
    <s v="oi, eu sou a Glô 😜"/>
    <n v="314515"/>
    <s v="https://pbs.twimg.com/profile_images/1863599216829792256/r5M1uKA8_normal.jpg"/>
    <n v="708"/>
    <b v="0"/>
    <n v="9"/>
    <n v="24"/>
    <s v="{&quot;post_id&quot;:null,&quot;profile_id&quot;:null,&quot;profile_name&quot;:null}"/>
    <s v="null"/>
    <s v="[{&quot;duration&quot;:45110,&quot;video_url&quot;:&quot;https://video.twimg.com/amplify_video/1868434715453071360/vid/avc1/1920x1080/-nMP4GBTGoy1Y7MG.mp4?tag=16&quot;}]"/>
    <s v="{&quot;data_posted&quot;:null,&quot;description&quot;:null,&quot;photos&quot;:null,&quot;post_id&quot;:null,&quot;profile_id&quot;:null,&quot;profile_name&quot;:null,&quot;url&quot;:null,&quot;videos&quot;:null}"/>
    <n v="572"/>
    <n v="3.091891891891892E-2"/>
    <d v="2024-12-15T00:00:00"/>
    <n v="0.96978009259259257"/>
    <x v="0"/>
    <x v="7"/>
    <x v="1"/>
    <x v="1"/>
    <x v="1"/>
    <x v="0"/>
    <n v="73"/>
    <x v="1"/>
  </r>
  <r>
    <n v="1.8684182435488932E+18"/>
    <s v="tvg███o"/>
    <s v="TV ███bo ███"/>
    <s v="A ENTRADA DA MÃEEEEEEEEEEEEEEE 😱 #MelhoresDoAno #Domingão"/>
    <s v="&quot;2024-12-15T22:09:57.000Z&quot;"/>
    <s v="null"/>
    <s v="https://x.com/tvglobo/status/1868418243548893267"/>
    <s v="null"/>
    <n v="7"/>
    <n v="61"/>
    <n v="222"/>
    <n v="10301"/>
    <s v=""/>
    <s v="[&quot;MelhoresDoAno&quot;,&quot;Domingão&quot;]"/>
    <n v="13492430"/>
    <s v="oi, eu sou a Glô 😜"/>
    <n v="314515"/>
    <s v="https://pbs.twimg.com/profile_images/1863599216829792256/r5M1uKA8_normal.jpg"/>
    <n v="708"/>
    <b v="0"/>
    <n v="10"/>
    <n v="18"/>
    <s v="{&quot;post_id&quot;:null,&quot;profile_id&quot;:null,&quot;profile_name&quot;:null}"/>
    <s v="null"/>
    <s v="[{&quot;duration&quot;:43810,&quot;video_url&quot;:&quot;https://video.twimg.com/amplify_video/1868418092235124736/vid/avc1/1920x1080/fW0dZKiEKsW2AzK5.mp4?tag=16&quot;}]"/>
    <s v="{&quot;data_posted&quot;:null,&quot;description&quot;:null,&quot;photos&quot;:null,&quot;post_id&quot;:null,&quot;profile_id&quot;:null,&quot;profile_name&quot;:null,&quot;url&quot;:null,&quot;videos&quot;:null}"/>
    <n v="318"/>
    <n v="3.0870789243762742E-2"/>
    <d v="2024-12-15T00:00:00"/>
    <n v="0.92357638888888893"/>
    <x v="0"/>
    <x v="11"/>
    <x v="1"/>
    <x v="1"/>
    <x v="1"/>
    <x v="0"/>
    <n v="57"/>
    <x v="1"/>
  </r>
  <r>
    <n v="1.8684158328013868E+18"/>
    <s v="wsl"/>
    <s v="Wor███Sur███eag███"/>
    <s v="History in the making!_x000a__x000a_A look back at when @gabriel1medina landed the first-ever backflip in a competition, during the Rio Pro in 2016."/>
    <s v="&quot;2024-12-15T22:00:22.000Z&quot;"/>
    <s v="null"/>
    <s v="https://x.com/wsl/status/1868415832801386824"/>
    <s v="[{&quot;biography&quot;:null,&quot;followers&quot;:null,&quot;following&quot;:null,&quot;is_verified&quot;:null,&quot;profile_id&quot;:&quot;2523613098&quot;,&quot;profile_name&quot;:&quot;Gabriel Medina&quot;,&quot;url&quot;:&quot;https://x.com/gabriel1medina&quot;}]"/>
    <n v="5"/>
    <n v="56"/>
    <n v="247"/>
    <n v="10460"/>
    <s v=""/>
    <s v="null"/>
    <n v="1947864"/>
    <s v="🏆 Championship Tour returns in January_x000a_🇧🇷 @wslbrasil"/>
    <n v="47801"/>
    <s v="https://pbs.twimg.com/profile_images/1567883499096674306/YBSrxM3I_normal.jpg"/>
    <n v="1031"/>
    <b v="0"/>
    <n v="5"/>
    <n v="9"/>
    <s v="{&quot;post_id&quot;:null,&quot;profile_id&quot;:null,&quot;profile_name&quot;:null}"/>
    <s v="null"/>
    <s v="[{&quot;duration&quot;:24924,&quot;video_url&quot;:&quot;https://video.twimg.com/ext_tw_video/1868414682677080064/pu/vid/avc1/720x1280/jybN2Dtg1xBrFhif.mp4?tag=12&quot;}]"/>
    <s v="{&quot;data_posted&quot;:null,&quot;description&quot;:null,&quot;photos&quot;:null,&quot;post_id&quot;:null,&quot;profile_id&quot;:null,&quot;profile_name&quot;:null,&quot;url&quot;:null,&quot;videos&quot;:null}"/>
    <n v="322"/>
    <n v="3.078393881453155E-2"/>
    <d v="2024-12-15T00:00:00"/>
    <n v="0.91692129629629626"/>
    <x v="0"/>
    <x v="11"/>
    <x v="1"/>
    <x v="1"/>
    <x v="0"/>
    <x v="0"/>
    <n v="136"/>
    <x v="0"/>
  </r>
  <r>
    <n v="1.8682269968508974E+18"/>
    <s v="Bar███ysW███"/>
    <s v="Bar███ys ███en'█████████eag███"/>
    <s v="The #BarclaysWSL action taking place today! 👊"/>
    <s v="&quot;2024-12-15T09:30:00.000Z&quot;"/>
    <s v="[&quot;https://pbs.twimg.com/media/GeXr2D5XIAkKrzM.jpg&quot;]"/>
    <s v="https://x.com/BarclaysWSL/status/1868226996850897407"/>
    <s v="null"/>
    <n v="3"/>
    <n v="24"/>
    <n v="455"/>
    <n v="15884"/>
    <s v=""/>
    <s v="[&quot;BarclaysWSL&quot;]"/>
    <n v="337839"/>
    <s v="The home of top-flight women's football in England! 🤩_x000a__x000a_Subscribe to our brand-new BWSL YouTube Channel! 📺 #BarclaysWSL"/>
    <n v="57638"/>
    <s v="https://pbs.twimg.com/profile_images/1605171595160555521/NKG9mgxv_normal.jpg"/>
    <n v="587"/>
    <b v="0"/>
    <n v="3"/>
    <n v="1"/>
    <s v="{&quot;post_id&quot;:null,&quot;profile_id&quot;:null,&quot;profile_name&quot;:null}"/>
    <s v="null"/>
    <s v="null"/>
    <s v="{&quot;data_posted&quot;:null,&quot;description&quot;:null,&quot;photos&quot;:null,&quot;post_id&quot;:null,&quot;profile_id&quot;:null,&quot;profile_name&quot;:null,&quot;url&quot;:null,&quot;videos&quot;:null}"/>
    <n v="486"/>
    <n v="3.0596826995718963E-2"/>
    <d v="2024-12-15T00:00:00"/>
    <n v="0.39583333333333331"/>
    <x v="0"/>
    <x v="18"/>
    <x v="0"/>
    <x v="0"/>
    <x v="1"/>
    <x v="0"/>
    <n v="45"/>
    <x v="2"/>
  </r>
  <r>
    <n v="1.8683812565403692E+18"/>
    <s v="Spu███ffi███l"/>
    <s v="Tot███ham███tsp███"/>
    <s v="Opening his @premierleague account for the season in style ✨"/>
    <s v="&quot;2024-12-15T19:42:59.000Z&quot;"/>
    <s v="[&quot;https://pbs.twimg.com/media/Ge3Ss8JWEAAIKB-.jpg&quot;]"/>
    <s v="https://x.com/SpursOfficial/status/1868381256540369141"/>
    <s v="[{&quot;biography&quot;:null,&quot;followers&quot;:null,&quot;following&quot;:null,&quot;is_verified&quot;:null,&quot;profile_id&quot;:&quot;343627165&quot;,&quot;profile_name&quot;:&quot;Premier League&quot;,&quot;url&quot;:&quot;https://x.com/premierleague&quot;}]"/>
    <n v="30"/>
    <n v="145"/>
    <n v="3117"/>
    <n v="108202"/>
    <s v=""/>
    <s v="null"/>
    <n v="8885747"/>
    <s v="COYS 🤍"/>
    <n v="115852"/>
    <s v="https://pbs.twimg.com/profile_images/1864976047902498816/FUkKarj7_normal.jpg"/>
    <n v="469"/>
    <b v="0"/>
    <n v="4"/>
    <n v="6"/>
    <s v="{&quot;post_id&quot;:null,&quot;profile_id&quot;:null,&quot;profile_name&quot;:null}"/>
    <s v="null"/>
    <s v="null"/>
    <s v="{&quot;data_posted&quot;:null,&quot;description&quot;:null,&quot;photos&quot;:null,&quot;post_id&quot;:null,&quot;profile_id&quot;:null,&quot;profile_name&quot;:null,&quot;url&quot;:null,&quot;videos&quot;:null}"/>
    <n v="3302"/>
    <n v="3.0516995988983567E-2"/>
    <d v="2024-12-15T00:00:00"/>
    <n v="0.82151620370370371"/>
    <x v="0"/>
    <x v="4"/>
    <x v="0"/>
    <x v="0"/>
    <x v="0"/>
    <x v="0"/>
    <n v="60"/>
    <x v="0"/>
  </r>
  <r>
    <n v="1.8684328616588291E+18"/>
    <s v="tvg███o"/>
    <s v="TV ███bo ███"/>
    <s v="&quot;Eu queria agradecer a Orixá, porque sem folha não tem vida e foi Orixá que levou essa novela do início ao fim!&quot; 🤎 AXÉEE #MelhoresDoAno #Domingão"/>
    <s v="&quot;2024-12-15T23:08:02.000Z&quot;"/>
    <s v="null"/>
    <s v="https://x.com/tvglobo/status/1868432861658829065"/>
    <s v="null"/>
    <n v="123"/>
    <n v="513"/>
    <n v="5064"/>
    <n v="198322"/>
    <s v=""/>
    <s v="[&quot;MelhoresDoAno&quot;,&quot;Domingão&quot;]"/>
    <n v="13492430"/>
    <s v="oi, eu sou a Glô 😜"/>
    <n v="314515"/>
    <s v="https://pbs.twimg.com/profile_images/1863599216829792256/r5M1uKA8_normal.jpg"/>
    <n v="708"/>
    <b v="0"/>
    <n v="225"/>
    <n v="115"/>
    <s v="{&quot;post_id&quot;:null,&quot;profile_id&quot;:null,&quot;profile_name&quot;:null}"/>
    <s v="null"/>
    <s v="[{&quot;duration&quot;:27500,&quot;video_url&quot;:&quot;https://video.twimg.com/amplify_video/1868432291954905088/vid/avc1/1920x1080/DyCcMLfewphudVhT.mp4?tag=16&quot;}]"/>
    <s v="{&quot;data_posted&quot;:null,&quot;description&quot;:null,&quot;photos&quot;:null,&quot;post_id&quot;:null,&quot;profile_id&quot;:null,&quot;profile_name&quot;:null,&quot;url&quot;:null,&quot;videos&quot;:null}"/>
    <n v="6040"/>
    <n v="3.0455521828138078E-2"/>
    <d v="2024-12-15T00:00:00"/>
    <n v="0.96391203703703698"/>
    <x v="0"/>
    <x v="7"/>
    <x v="1"/>
    <x v="1"/>
    <x v="1"/>
    <x v="0"/>
    <n v="145"/>
    <x v="1"/>
  </r>
  <r>
    <n v="1.8683030612585185E+18"/>
    <s v="Man███"/>
    <s v="Man███ste███nit███"/>
    <s v="Ready._x000a__x000a_#MUFC || #MCIMUN"/>
    <s v="&quot;2024-12-15T14:32:15.000Z&quot;"/>
    <s v="[&quot;https://pbs.twimg.com/media/Ge2JqL0WoAAqBaw.jpg&quot;]"/>
    <s v="https://x.com/ManUtd/status/1868303061258518617"/>
    <s v="null"/>
    <n v="301"/>
    <n v="1291"/>
    <n v="15224"/>
    <n v="561576"/>
    <s v=""/>
    <s v="[&quot;MUFC&quot;,&quot;MCIMUN&quot;]"/>
    <n v="38439073"/>
    <s v="’Tis the season to gift United! 🎁🎄"/>
    <n v="92455"/>
    <s v="https://pbs.twimg.com/profile_images/1856418426496880640/iIvJaO5T_normal.png"/>
    <n v="145"/>
    <b v="0"/>
    <n v="144"/>
    <n v="73"/>
    <s v="{&quot;post_id&quot;:null,&quot;profile_id&quot;:null,&quot;profile_name&quot;:null}"/>
    <s v="null"/>
    <s v="null"/>
    <s v="{&quot;data_posted&quot;:null,&quot;description&quot;:null,&quot;photos&quot;:null,&quot;post_id&quot;:null,&quot;profile_id&quot;:null,&quot;profile_name&quot;:null,&quot;url&quot;:null,&quot;videos&quot;:null}"/>
    <n v="17033"/>
    <n v="3.0330712138695384E-2"/>
    <d v="2024-12-15T00:00:00"/>
    <n v="0.60572916666666665"/>
    <x v="0"/>
    <x v="1"/>
    <x v="0"/>
    <x v="0"/>
    <x v="1"/>
    <x v="0"/>
    <n v="24"/>
    <x v="1"/>
  </r>
  <r>
    <n v="1.8683068749672453E+18"/>
    <s v="CPFC"/>
    <s v="Cry███l P███ce ██████"/>
    <s v="JP 🤝 copying everyone's celebrations_x000a__x000a_#CPFC // #BHACRY"/>
    <s v="&quot;2024-12-15T14:47:25.000Z&quot;"/>
    <s v="[&quot;https://pbs.twimg.com/media/Ge2PD0eXcAAzisu.jpg&quot;,&quot;https://pbs.twimg.com/media/Ge2PE2oWsAALU-D.jpg&quot;]"/>
    <s v="https://x.com/CPFC/status/1868306874967245265"/>
    <s v="null"/>
    <n v="15"/>
    <n v="27"/>
    <n v="726"/>
    <n v="25669"/>
    <s v=""/>
    <s v="[&quot;CPFC&quot;,&quot;BHACRY&quot;]"/>
    <n v="1480964"/>
    <s v="The Pride of South London."/>
    <n v="103753"/>
    <s v="https://pbs.twimg.com/profile_images/1857393032883994624/qN-MGWEH_normal.jpg"/>
    <n v="552"/>
    <b v="0"/>
    <n v="2"/>
    <n v="7"/>
    <s v="{&quot;post_id&quot;:null,&quot;profile_id&quot;:null,&quot;profile_name&quot;:null}"/>
    <s v="null"/>
    <s v="null"/>
    <s v="{&quot;data_posted&quot;:null,&quot;description&quot;:null,&quot;photos&quot;:null,&quot;post_id&quot;:null,&quot;profile_id&quot;:null,&quot;profile_name&quot;:null,&quot;url&quot;:null,&quot;videos&quot;:null}"/>
    <n v="777"/>
    <n v="3.0269975456776656E-2"/>
    <d v="2024-12-15T00:00:00"/>
    <n v="0.61626157407407411"/>
    <x v="0"/>
    <x v="1"/>
    <x v="0"/>
    <x v="0"/>
    <x v="1"/>
    <x v="0"/>
    <n v="54"/>
    <x v="0"/>
  </r>
  <r>
    <n v="1.8683212501642322E+18"/>
    <s v="CPFC"/>
    <s v="Cry███l P███ce ██████"/>
    <s v="SARRRRRRRRR!!!! 🤩_x000a__x000a_#CPFC // #BHACRY"/>
    <s v="&quot;2024-12-15T15:44:32.000Z&quot;"/>
    <s v="[&quot;https://pbs.twimg.com/media/Ge2cM7IXAAAPgZ_.jpg&quot;]"/>
    <s v="https://x.com/CPFC/status/1868321250164232265"/>
    <s v="null"/>
    <n v="58"/>
    <n v="123"/>
    <n v="1406"/>
    <n v="54100"/>
    <s v=""/>
    <s v="[&quot;CPFC&quot;,&quot;BHACRY&quot;]"/>
    <n v="1480966"/>
    <s v="The Pride of South London."/>
    <n v="103753"/>
    <s v="https://pbs.twimg.com/profile_images/1857393032883994624/qN-MGWEH_normal.jpg"/>
    <n v="552"/>
    <b v="0"/>
    <n v="45"/>
    <n v="4"/>
    <s v="{&quot;post_id&quot;:null,&quot;profile_id&quot;:null,&quot;profile_name&quot;:null}"/>
    <s v="null"/>
    <s v="null"/>
    <s v="{&quot;data_posted&quot;:null,&quot;description&quot;:null,&quot;photos&quot;:null,&quot;post_id&quot;:null,&quot;profile_id&quot;:null,&quot;profile_name&quot;:null,&quot;url&quot;:null,&quot;videos&quot;:null}"/>
    <n v="1636"/>
    <n v="3.0240295748613678E-2"/>
    <d v="2024-12-15T00:00:00"/>
    <n v="0.65592592592592591"/>
    <x v="0"/>
    <x v="13"/>
    <x v="0"/>
    <x v="0"/>
    <x v="1"/>
    <x v="0"/>
    <n v="35"/>
    <x v="0"/>
  </r>
  <r>
    <n v="1.7178747907430482E+18"/>
    <s v="tay███swi███3"/>
    <s v="Tay███ Sw███"/>
    <s v="Watching @kendricklamar create and record his verses on the Bad Blood remix was one of the most inspiring experiences of my life. I still look back on this collaboration with so much pride and gratitude, for the ways Kendrick elevated the song and the way he treats everyone around him. Every time the crowds on The Eras Tour would chant his line ‘you forgive, you forget, but you never let it… go!’, I smiled. The reality that Kendrick would go back in and re-record Bad Blood so that I could reclaim and own this work I’m so proud of is surreal and bewildering to me. I’m overjoyed to say that the Bad Blood Remix (featuring Kendrick Lamar) is available everywhere on the 1989 Deluxe Edition. 🫶🩵_x000a__x000a_https://t.co/12bONe97U2"/>
    <s v="&quot;2023-10-27T12:04:01.000Z&quot;"/>
    <s v="[&quot;https://pbs.twimg.com/media/F9cd9ZpWcAAmOMq.jpg&quot;,&quot;https://pbs.twimg.com/media/F9cd9ZoXcAAEP-t.jpg&quot;]"/>
    <s v="https://x.com/taylorswift13/status/1717874790743048259"/>
    <s v="[{&quot;biography&quot;:null,&quot;followers&quot;:null,&quot;following&quot;:null,&quot;is_verified&quot;:null,&quot;profile_id&quot;:&quot;23561980&quot;,&quot;profile_name&quot;:&quot;Kendrick Lamar&quot;,&quot;url&quot;:&quot;https://x.com/kendricklamar&quot;}]"/>
    <n v="8789"/>
    <n v="77561"/>
    <n v="489324"/>
    <n v="19911620"/>
    <s v=""/>
    <s v="null"/>
    <n v="94676198"/>
    <s v="All’s fair in love and poetry... New album THE TORTURED POETS DEPARTMENT. Out now 🤍"/>
    <n v="860"/>
    <s v="https://pbs.twimg.com/profile_images/1766836345450672128/HpuBz514_normal.jpg"/>
    <n v="0"/>
    <b v="0"/>
    <n v="21288"/>
    <n v="4596"/>
    <s v="{&quot;post_id&quot;:null,&quot;profile_id&quot;:null,&quot;profile_name&quot;:null}"/>
    <s v="null"/>
    <s v="[{&quot;duration&quot;:10411,&quot;video_url&quot;:&quot;https://video.twimg.com/amplify_video/1717874723583922176/vid/avc1/720x720/oKb7JQpHUibZsEoG.mp4?tag=14&quot;}]"/>
    <s v="{&quot;data_posted&quot;:null,&quot;description&quot;:null,&quot;photos&quot;:null,&quot;post_id&quot;:null,&quot;profile_id&quot;:null,&quot;profile_name&quot;:null,&quot;url&quot;:null,&quot;videos&quot;:null}"/>
    <n v="601558"/>
    <n v="3.0211404195138316E-2"/>
    <d v="2023-10-27T00:00:00"/>
    <n v="0.50278935185185181"/>
    <x v="1"/>
    <x v="0"/>
    <x v="1"/>
    <x v="0"/>
    <x v="0"/>
    <x v="0"/>
    <n v="722"/>
    <x v="1"/>
  </r>
  <r>
    <n v="1.8683613848971515E+18"/>
    <s v="Man███"/>
    <s v="Man███ste███nit███"/>
    <s v="Absolute scenes._x000a__x000a_#MUFC || #MCIMUN"/>
    <s v="&quot;2024-12-15T18:24:01.000Z&quot;"/>
    <s v="[&quot;https://pbs.twimg.com/media/Ge3AquFXoAAxs-S.jpg&quot;]"/>
    <s v="https://x.com/ManUtd/status/1868361384897151487"/>
    <s v="null"/>
    <n v="499"/>
    <n v="4849"/>
    <n v="27543"/>
    <n v="1117331"/>
    <s v=""/>
    <s v="[&quot;MUFC&quot;,&quot;MCIMUN&quot;]"/>
    <n v="38439079"/>
    <s v="’Tis the season to gift United! 🎁🎄"/>
    <n v="92455"/>
    <s v="https://pbs.twimg.com/profile_images/1856418426496880640/iIvJaO5T_normal.png"/>
    <n v="145"/>
    <b v="0"/>
    <n v="529"/>
    <n v="118"/>
    <s v="{&quot;post_id&quot;:null,&quot;profile_id&quot;:null,&quot;profile_name&quot;:null}"/>
    <s v="null"/>
    <s v="null"/>
    <s v="{&quot;data_posted&quot;:&quot;2012-04-20T15:17:43.000Z&quot;,&quot;description&quot;:&quot;AMAAAAAAAAAAAAAAAAADDDDDDDD&quot;,&quot;photos&quot;:null,&quot;post_id&quot;:&quot;1868361112594587928&quot;,&quot;profile_id&quot;:&quot;ManUtd&quot;,&quot;profile_name&quot;:&quot;Manchester United&quot;,&quot;url&quot;:&quot;https://x.com/ManUtd/status/1868361112594587928&quot;,&quot;videos&quot;:null}"/>
    <n v="33538"/>
    <n v="3.0016172468140596E-2"/>
    <d v="2024-12-15T00:00:00"/>
    <n v="0.76667824074074076"/>
    <x v="0"/>
    <x v="8"/>
    <x v="0"/>
    <x v="0"/>
    <x v="1"/>
    <x v="0"/>
    <n v="34"/>
    <x v="1"/>
  </r>
  <r>
    <n v="1.8681287528548068E+18"/>
    <s v="WWE"/>
    <s v="WWE"/>
    <s v="That was WILD! 😱_x000a__x000a_@CodyRhodes survives @FightOwensFight to remain the Undisputed WWE Champion at #SNME! _x000a__x000a_#AndStill"/>
    <s v="&quot;2024-12-15T02:59:37.000Z&quot;"/>
    <s v="[&quot;https://pbs.twimg.com/media/Gezs6sGXQAAXBqm.jpg&quot;]"/>
    <s v="https://x.com/WWE/status/1868128752854806807"/>
    <s v="[{&quot;biography&quot;:null,&quot;followers&quot;:null,&quot;following&quot;:null,&quot;is_verified&quot;:null,&quot;profile_id&quot;:&quot;516771605&quot;,&quot;profile_name&quot;:&quot;Cody Rhodes&quot;,&quot;url&quot;:&quot;https://x.com/CodyRhodes&quot;},{&quot;biography&quot;:null,&quot;followers&quot;:null,&quot;following&quot;:null,&quot;is_verified&quot;:null,&quot;profile_id&quot;:&quot;195508960&quot;,&quot;profile_name&quot;:&quot;Kevin&quot;,&quot;url&quot;:&quot;https://x.com/FightOwensFight&quot;}]"/>
    <n v="789"/>
    <n v="2104"/>
    <n v="20269"/>
    <n v="801086"/>
    <s v=""/>
    <s v="[&quot;SNME&quot;,&quot;AndStill&quot;]"/>
    <n v="14375935"/>
    <s v="WWE Raw | Mondays at 8/7c on USA Network _x000a_WWE NXT | Tuesdays at 8/7c on The CW _x000a_WWE SmackDown | Fridays at 8/7c on USA Network"/>
    <n v="346973"/>
    <s v="https://pbs.twimg.com/profile_images/1383079031805972485/3sWoMX-R_normal.jpg"/>
    <n v="392"/>
    <b v="0"/>
    <n v="203"/>
    <n v="452"/>
    <s v="{&quot;post_id&quot;:null,&quot;profile_id&quot;:null,&quot;profile_name&quot;:null}"/>
    <s v="null"/>
    <s v="null"/>
    <s v="{&quot;data_posted&quot;:null,&quot;description&quot;:null,&quot;photos&quot;:null,&quot;post_id&quot;:null,&quot;profile_id&quot;:null,&quot;profile_name&quot;:null,&quot;url&quot;:null,&quot;videos&quot;:null}"/>
    <n v="23817"/>
    <n v="2.9730890316395493E-2"/>
    <d v="2024-12-15T00:00:00"/>
    <n v="0.1247337962962963"/>
    <x v="0"/>
    <x v="2"/>
    <x v="0"/>
    <x v="0"/>
    <x v="1"/>
    <x v="0"/>
    <n v="115"/>
    <x v="1"/>
  </r>
  <r>
    <n v="1.8682647100652342E+18"/>
    <s v="red███lra███g"/>
    <s v="Ora███ Re███ull█████████"/>
    <s v="Throwing it back to Bahrain Testing ⏪😎_x000a__x000a_#F1 || @Max33Verstappen"/>
    <s v="&quot;2024-12-15T11:59:52.000Z&quot;"/>
    <s v="[&quot;https://pbs.twimg.com/media/Ge1owmzXsAACrje.jpg&quot;,&quot;https://pbs.twimg.com/media/Ge1owmyW0AAyEjp.jpg&quot;,&quot;https://pbs.twimg.com/media/Ge1owmyXUAAjUuL.jpg&quot;]"/>
    <s v="https://x.com/redbullracing/status/1868264710065234126"/>
    <s v="[{&quot;biography&quot;:null,&quot;followers&quot;:null,&quot;following&quot;:null,&quot;is_verified&quot;:null,&quot;profile_id&quot;:&quot;556260847&quot;,&quot;profile_name&quot;:&quot;Max Verstappen&quot;,&quot;url&quot;:&quot;https://x.com/Max33Verstappen&quot;}]"/>
    <n v="22"/>
    <n v="204"/>
    <n v="2850"/>
    <n v="106624"/>
    <s v=""/>
    <s v="[&quot;F1&quot;]"/>
    <n v="4759262"/>
    <s v="M4X VERSTAPPEN. FOUR TIME CHAMP. #GivesYouWiiings"/>
    <n v="40090"/>
    <s v="https://pbs.twimg.com/profile_images/1860585749621485568/mt8LuUQU_normal.jpg"/>
    <n v="11696"/>
    <b v="0"/>
    <n v="13"/>
    <n v="76"/>
    <s v="{&quot;post_id&quot;:null,&quot;profile_id&quot;:null,&quot;profile_name&quot;:null}"/>
    <s v="null"/>
    <s v="null"/>
    <s v="{&quot;data_posted&quot;:null,&quot;description&quot;:null,&quot;photos&quot;:null,&quot;post_id&quot;:null,&quot;profile_id&quot;:null,&quot;profile_name&quot;:null,&quot;url&quot;:null,&quot;videos&quot;:null}"/>
    <n v="3165"/>
    <n v="2.9683748499399761E-2"/>
    <d v="2024-12-15T00:00:00"/>
    <n v="0.49990740740740741"/>
    <x v="0"/>
    <x v="16"/>
    <x v="0"/>
    <x v="0"/>
    <x v="1"/>
    <x v="0"/>
    <n v="63"/>
    <x v="0"/>
  </r>
  <r>
    <n v="1.8684227870664829E+18"/>
    <s v="tvg███o"/>
    <s v="TV ███bo ███"/>
    <s v="POTÊNCIA DE MULHER, DE VOZZZZ, QUE ISSOOO @SimoneMendes 🤌🤌🤌 #MelhoresDoAno #Domingão"/>
    <s v="&quot;2024-12-15T22:28:00.000Z&quot;"/>
    <s v="null"/>
    <s v="https://x.com/tvglobo/status/1868422787066483008"/>
    <s v="[{&quot;biography&quot;:null,&quot;followers&quot;:null,&quot;following&quot;:null,&quot;is_verified&quot;:null,&quot;profile_id&quot;:&quot;86302441&quot;,&quot;profile_name&quot;:&quot;Simone Mendes 💙&quot;,&quot;url&quot;:&quot;https://x.com/SimoneMendes&quot;}]"/>
    <n v="9"/>
    <n v="51"/>
    <n v="330"/>
    <n v="14211"/>
    <s v=""/>
    <s v="[&quot;MelhoresDoAno&quot;,&quot;Domingão&quot;]"/>
    <n v="13492430"/>
    <s v="oi, eu sou a Glô 😜"/>
    <n v="314515"/>
    <s v="https://pbs.twimg.com/profile_images/1863599216829792256/r5M1uKA8_normal.jpg"/>
    <n v="708"/>
    <b v="0"/>
    <n v="17"/>
    <n v="14"/>
    <s v="{&quot;post_id&quot;:null,&quot;profile_id&quot;:null,&quot;profile_name&quot;:null}"/>
    <s v="null"/>
    <s v="[{&quot;duration&quot;:54230,&quot;video_url&quot;:&quot;https://video.twimg.com/amplify_video/1868422349827067904/vid/avc1/1920x1080/yc8BuGOjonk2MhgN.mp4?tag=16&quot;}]"/>
    <s v="{&quot;data_posted&quot;:null,&quot;description&quot;:null,&quot;photos&quot;:null,&quot;post_id&quot;:null,&quot;profile_id&quot;:null,&quot;profile_name&quot;:null,&quot;url&quot;:null,&quot;videos&quot;:null}"/>
    <n v="421"/>
    <n v="2.9624938427978326E-2"/>
    <d v="2024-12-15T00:00:00"/>
    <n v="0.93611111111111112"/>
    <x v="0"/>
    <x v="11"/>
    <x v="1"/>
    <x v="1"/>
    <x v="1"/>
    <x v="0"/>
    <n v="84"/>
    <x v="1"/>
  </r>
  <r>
    <n v="1.8683782124028974E+18"/>
    <s v="acm███n"/>
    <s v="AC ███an"/>
    <s v="Honoring the legends, with @Emirates by our side 🏆✈️ _x000a__x000a_Hall of Fame inductees take center stage as we celebrate 125 years of #ACMilan! 🔴⚫ _x000a_  _x000a_#Emirates #FlyBetter #SempreMilan"/>
    <s v="&quot;2024-12-15T19:30:53.000Z&quot;"/>
    <s v="[&quot;https://pbs.twimg.com/media/Ge3P8ERXYAAa6m1.jpg&quot;]"/>
    <s v="https://x.com/acmilan/status/1868378212402897367"/>
    <s v="[{&quot;biography&quot;:null,&quot;followers&quot;:null,&quot;following&quot;:null,&quot;is_verified&quot;:null,&quot;profile_id&quot;:&quot;821045162&quot;,&quot;profile_name&quot;:&quot;Emirates&quot;,&quot;url&quot;:&quot;https://x.com/emirates&quot;}]"/>
    <n v="38"/>
    <n v="160"/>
    <n v="960"/>
    <n v="39935"/>
    <s v=""/>
    <s v="[&quot;ACMilan&quot;,&quot;Emirates&quot;,&quot;FlyBetter&quot;,&quot;SempreMilan&quot;]"/>
    <n v="8539601"/>
    <s v="❤🖤 125 years together, worth every minute ❤🖤 _x000a__x000a_#SempreMilan since 1899! 🔙 _x000a__x000a_Arabic: @acmilanar | Portuguese: @acmilanbr | #MilanYouth: @acmilanyouth"/>
    <n v="75535"/>
    <s v="https://pbs.twimg.com/profile_images/1848748720050868225/FQY9F6Hn_normal.jpg"/>
    <n v="117"/>
    <b v="0"/>
    <n v="11"/>
    <n v="13"/>
    <s v="{&quot;post_id&quot;:null,&quot;profile_id&quot;:null,&quot;profile_name&quot;:null}"/>
    <s v="null"/>
    <s v="null"/>
    <s v="{&quot;data_posted&quot;:null,&quot;description&quot;:null,&quot;photos&quot;:null,&quot;post_id&quot;:null,&quot;profile_id&quot;:null,&quot;profile_name&quot;:null,&quot;url&quot;:null,&quot;videos&quot;:null}"/>
    <n v="1182"/>
    <n v="2.9598096907474645E-2"/>
    <d v="2024-12-15T00:00:00"/>
    <n v="0.81311342592592595"/>
    <x v="0"/>
    <x v="4"/>
    <x v="0"/>
    <x v="0"/>
    <x v="1"/>
    <x v="0"/>
    <n v="175"/>
    <x v="0"/>
  </r>
  <r>
    <n v="1.8683724004355154E+18"/>
    <s v="Che███aFC███"/>
    <s v="Che███a F███"/>
    <s v="Head to the Chelsea app for live commentary of tonight's game: 👉"/>
    <s v="&quot;2024-12-15T19:07:47.000Z&quot;"/>
    <s v="[&quot;https://pbs.twimg.com/media/Ge3Ki0kWsAAch53.jpg&quot;]"/>
    <s v="https://x.com/ChelseaFC/status/1868372400435515511"/>
    <s v="null"/>
    <n v="65"/>
    <n v="286"/>
    <n v="3857"/>
    <n v="143794"/>
    <s v="https://bit.ly/Brentford-match-centre"/>
    <s v="[&quot;CFC&quot;,&quot;CHEBRE&quot;]"/>
    <n v="26078978"/>
    <s v=""/>
    <n v="121345"/>
    <s v="https://pbs.twimg.com/profile_images/1856287465524367360/FKHsk_Fw_normal.jpg"/>
    <n v="277"/>
    <b v="0"/>
    <n v="4"/>
    <n v="22"/>
    <s v="{&quot;post_id&quot;:null,&quot;profile_id&quot;:null,&quot;profile_name&quot;:null}"/>
    <s v="null"/>
    <s v="null"/>
    <s v="{&quot;data_posted&quot;:null,&quot;description&quot;:null,&quot;photos&quot;:null,&quot;post_id&quot;:null,&quot;profile_id&quot;:null,&quot;profile_name&quot;:null,&quot;url&quot;:null,&quot;videos&quot;:null}"/>
    <n v="4234"/>
    <n v="2.944490034354702E-2"/>
    <d v="2024-12-15T00:00:00"/>
    <n v="0.79707175925925922"/>
    <x v="0"/>
    <x v="4"/>
    <x v="0"/>
    <x v="0"/>
    <x v="1"/>
    <x v="0"/>
    <n v="64"/>
    <x v="1"/>
  </r>
  <r>
    <n v="1.8683972063544079E+18"/>
    <s v="tvg███o"/>
    <s v="TV ███bo ███"/>
    <s v="ELE MERECE MUITOOOO 😍 @CesarTralli, o último romântico, obrigada pelo seu profissionalismo, você é um acontecimento! #MelhoresDoAno #Domingão"/>
    <s v="&quot;2024-12-15T20:46:21.000Z&quot;"/>
    <s v="null"/>
    <s v="https://x.com/tvglobo/status/1868397206354407891"/>
    <s v="[{&quot;biography&quot;:null,&quot;followers&quot;:null,&quot;following&quot;:null,&quot;is_verified&quot;:null,&quot;profile_id&quot;:&quot;380069148&quot;,&quot;profile_name&quot;:&quot;Cesar Tralli&quot;,&quot;url&quot;:&quot;https://x.com/CesarTralli&quot;}]"/>
    <n v="14"/>
    <n v="33"/>
    <n v="274"/>
    <n v="11818"/>
    <s v=""/>
    <s v="[&quot;MelhoresDoAno&quot;,&quot;Domingão&quot;]"/>
    <n v="13492430"/>
    <s v="oi, eu sou a Glô 😜"/>
    <n v="314515"/>
    <s v="https://pbs.twimg.com/profile_images/1863599216829792256/r5M1uKA8_normal.jpg"/>
    <n v="708"/>
    <b v="0"/>
    <n v="15"/>
    <n v="11"/>
    <s v="{&quot;post_id&quot;:null,&quot;profile_id&quot;:null,&quot;profile_name&quot;:null}"/>
    <s v="null"/>
    <s v="[{&quot;duration&quot;:104140,&quot;video_url&quot;:&quot;https://video.twimg.com/amplify_video/1868394915320713217/vid/avc1/1920x1080/OL9eBBzHIJmoTNPx.mp4?tag=16&quot;}]"/>
    <s v="{&quot;data_posted&quot;:null,&quot;description&quot;:null,&quot;photos&quot;:null,&quot;post_id&quot;:null,&quot;profile_id&quot;:null,&quot;profile_name&quot;:null,&quot;url&quot;:null,&quot;videos&quot;:null}"/>
    <n v="347"/>
    <n v="2.9361990184464375E-2"/>
    <d v="2024-12-15T00:00:00"/>
    <n v="0.86552083333333329"/>
    <x v="0"/>
    <x v="3"/>
    <x v="1"/>
    <x v="1"/>
    <x v="1"/>
    <x v="0"/>
    <n v="141"/>
    <x v="1"/>
  </r>
  <r>
    <n v="1.8681043220781263E+18"/>
    <s v="WWE"/>
    <s v="WWE"/>
    <s v="What a way to kick things off! 🔥_x000a__x000a_@DMcIntyreWWE takes down @SamiZayn at #SNME! ⚔️"/>
    <s v="&quot;2024-12-15T01:22:32.000Z&quot;"/>
    <s v="[&quot;https://pbs.twimg.com/media/GezWz8mXcAAi9yA.jpg&quot;]"/>
    <s v="https://x.com/WWE/status/1868104322078126225"/>
    <s v="[{&quot;biography&quot;:null,&quot;followers&quot;:null,&quot;following&quot;:null,&quot;is_verified&quot;:null,&quot;profile_id&quot;:&quot;299932350&quot;,&quot;profile_name&quot;:&quot;Drew&quot;,&quot;url&quot;:&quot;https://x.com/DMcIntyreWWE&quot;},{&quot;biography&quot;:null,&quot;followers&quot;:null,&quot;following&quot;:null,&quot;is_verified&quot;:null,&quot;profile_id&quot;:&quot;1289482598&quot;,&quot;profile_name&quot;:&quot;Sami Zayn&quot;,&quot;url&quot;:&quot;https://x.com/SamiZayn&quot;}]"/>
    <n v="268"/>
    <n v="1361"/>
    <n v="13409"/>
    <n v="524695"/>
    <s v=""/>
    <s v="[&quot;SNME&quot;]"/>
    <n v="14375935"/>
    <s v="WWE Raw | Mondays at 8/7c on USA Network _x000a_WWE NXT | Tuesdays at 8/7c on The CW _x000a_WWE SmackDown | Fridays at 8/7c on USA Network"/>
    <n v="346973"/>
    <s v="https://pbs.twimg.com/profile_images/1383079031805972485/3sWoMX-R_normal.jpg"/>
    <n v="392"/>
    <b v="0"/>
    <n v="146"/>
    <n v="202"/>
    <s v="{&quot;post_id&quot;:null,&quot;profile_id&quot;:null,&quot;profile_name&quot;:null}"/>
    <s v="null"/>
    <s v="null"/>
    <s v="{&quot;data_posted&quot;:null,&quot;description&quot;:null,&quot;photos&quot;:null,&quot;post_id&quot;:null,&quot;profile_id&quot;:null,&quot;profile_name&quot;:null,&quot;url&quot;:null,&quot;videos&quot;:null}"/>
    <n v="15386"/>
    <n v="2.9323702341360218E-2"/>
    <d v="2024-12-15T00:00:00"/>
    <n v="5.7314814814814811E-2"/>
    <x v="0"/>
    <x v="19"/>
    <x v="0"/>
    <x v="0"/>
    <x v="1"/>
    <x v="0"/>
    <n v="81"/>
    <x v="1"/>
  </r>
  <r>
    <n v="1.868085619307733E+18"/>
    <s v="Dim███r"/>
    <s v="DIM███R"/>
    <s v="📣 ¡𝗨𝗻 𝗚𝗿𝗮𝗻 𝗖𝗹𝘂𝗯!..._x000a__x000a_Efraín Juárez buscará ganar su primer título con @nacionaloficial #CopaBetPlayDIMAYOR 2024_x000a__x000a_🟢⚪_x000a__x000a_#LaPasiónDeMillones"/>
    <s v="&quot;2024-12-15T00:08:13.000Z&quot;"/>
    <s v="[&quot;https://pbs.twimg.com/media/GezF2_iW8AARq7h.jpg&quot;]"/>
    <s v="https://x.com/Dimayor/status/1868085619307733024"/>
    <s v="[{&quot;biography&quot;:null,&quot;followers&quot;:null,&quot;following&quot;:null,&quot;is_verified&quot;:null,&quot;profile_id&quot;:&quot;177641139&quot;,&quot;profile_name&quot;:&quot;Atlético Nacional&quot;,&quot;url&quot;:&quot;https://x.com/nacionaloficial&quot;}]"/>
    <n v="14"/>
    <n v="17"/>
    <n v="337"/>
    <n v="12666"/>
    <s v=""/>
    <s v="[&quot;CopaBetPlayDIMAYOR&quot;,&quot;LaPasiónDeMillones&quot;]"/>
    <n v="1511302"/>
    <s v="Cuenta oficial de la División Mayor del Fútbol Colombiano - 𝐃𝐈𝐌𝐀𝐘𝐎𝐑 || LigaBetPlay🏆LigaFemeninaBetPlay🏆 TorneoBetPlay🏆 CopaBetPlay🏆 || 𝟐𝟎𝟐𝟒 ||"/>
    <n v="56647"/>
    <s v="https://pbs.twimg.com/profile_images/1741738883782500353/WefLAabU_normal.jpg"/>
    <n v="80"/>
    <b v="0"/>
    <n v="0"/>
    <n v="3"/>
    <s v="{&quot;post_id&quot;:null,&quot;profile_id&quot;:null,&quot;profile_name&quot;:null}"/>
    <s v="null"/>
    <s v="null"/>
    <s v="{&quot;data_posted&quot;:null,&quot;description&quot;:null,&quot;photos&quot;:null,&quot;post_id&quot;:null,&quot;profile_id&quot;:null,&quot;profile_name&quot;:null,&quot;url&quot;:null,&quot;videos&quot;:null}"/>
    <n v="371"/>
    <n v="2.9291015316595611E-2"/>
    <d v="2024-12-15T00:00:00"/>
    <n v="5.7060185185185183E-3"/>
    <x v="0"/>
    <x v="5"/>
    <x v="0"/>
    <x v="0"/>
    <x v="1"/>
    <x v="0"/>
    <n v="136"/>
    <x v="0"/>
  </r>
  <r>
    <n v="1.8683329451628424E+18"/>
    <s v="Rep███los███"/>
    <s v="Rep███arl███A. █████████"/>
    <s v="🚨 FOX NEWS EXCLUSIVE —&amp;gt; Rep. Gimenez warns China is 'greatest threat' to US, Trump admin will 'project strength' to CCP"/>
    <s v="&quot;2024-12-15T16:31:00.000Z&quot;"/>
    <s v="null"/>
    <s v="https://x.com/RepCarlos/status/1868332945162842288"/>
    <s v="null"/>
    <n v="71"/>
    <n v="52"/>
    <n v="145"/>
    <n v="9695"/>
    <s v="https://www.foxnews.com/politics/rep-gimenez-warns-china-greatest-threat-us-trump-admin-project-strength-ccp"/>
    <s v="null"/>
    <n v="42567"/>
    <s v="U.S. Congressman | Armed Services, Homeland Security, &amp; Select Committee on China | Vice-Chair of RG2 | Firefighter &amp; Mayor of Miami-Dade #FL28"/>
    <n v="5718"/>
    <s v="https://pbs.twimg.com/profile_images/1752376536903131137/MSZ37MII_normal.jpg"/>
    <n v="430"/>
    <b v="0"/>
    <n v="11"/>
    <n v="4"/>
    <s v="{&quot;post_id&quot;:null,&quot;profile_id&quot;:null,&quot;profile_name&quot;:null}"/>
    <s v="[&quot;https://pbs.twimg.com/card_img/1867268334665801728/OFtPcUXI?format=jpg&amp;name=orig&quot;]"/>
    <s v="null"/>
    <s v="{&quot;data_posted&quot;:null,&quot;description&quot;:null,&quot;photos&quot;:null,&quot;post_id&quot;:null,&quot;profile_id&quot;:null,&quot;profile_name&quot;:null,&quot;url&quot;:null,&quot;videos&quot;:null}"/>
    <n v="283"/>
    <n v="2.9190304280556988E-2"/>
    <d v="2024-12-15T00:00:00"/>
    <n v="0.68819444444444444"/>
    <x v="0"/>
    <x v="15"/>
    <x v="0"/>
    <x v="1"/>
    <x v="0"/>
    <x v="0"/>
    <n v="122"/>
    <x v="3"/>
  </r>
  <r>
    <n v="1.8683340224533176E+18"/>
    <s v="rsc███erl███t"/>
    <s v="RSC███der███ht"/>
    <s v="Starting vs Sint-Truiden. 🟣⚪️ #STVAND"/>
    <s v="&quot;2024-12-15T16:35:17.000Z&quot;"/>
    <s v="[&quot;https://pbs.twimg.com/media/Ge2n2sPW8AA3lFR.jpg&quot;]"/>
    <s v="https://x.com/rscanderlecht/status/1868334022453317752"/>
    <s v="null"/>
    <n v="12"/>
    <n v="12"/>
    <n v="183"/>
    <n v="7205"/>
    <s v=""/>
    <s v="[&quot;STVAND&quot;]"/>
    <n v="220409"/>
    <s v="Noblesse Oblige ♔_x000a__x000a_@rscaneerpede | @rscawomen | @rscafutsal | @rscaesports"/>
    <n v="43155"/>
    <s v="https://pbs.twimg.com/profile_images/1687466854531338240/-rar7Bjv_normal.jpg"/>
    <n v="199"/>
    <b v="0"/>
    <n v="1"/>
    <n v="2"/>
    <s v="{&quot;post_id&quot;:null,&quot;profile_id&quot;:null,&quot;profile_name&quot;:null}"/>
    <s v="null"/>
    <s v="null"/>
    <s v="{&quot;data_posted&quot;:null,&quot;description&quot;:null,&quot;photos&quot;:null,&quot;post_id&quot;:null,&quot;profile_id&quot;:null,&quot;profile_name&quot;:null,&quot;url&quot;:null,&quot;videos&quot;:null}"/>
    <n v="210"/>
    <n v="2.9146426092990979E-2"/>
    <d v="2024-12-15T00:00:00"/>
    <n v="0.69116898148148154"/>
    <x v="0"/>
    <x v="15"/>
    <x v="0"/>
    <x v="0"/>
    <x v="1"/>
    <x v="0"/>
    <n v="37"/>
    <x v="2"/>
  </r>
  <r>
    <n v="1.868125259989152E+18"/>
    <s v="WWE"/>
    <s v="WWE"/>
    <s v="A special night, and a special moment for @CodyRhodes! 🦅 🏆_x000a__x000a_#SNME"/>
    <s v="&quot;2024-12-15T02:45:44.000Z&quot;"/>
    <s v="null"/>
    <s v="https://x.com/WWE/status/1868125259989152064"/>
    <s v="[{&quot;biography&quot;:null,&quot;followers&quot;:null,&quot;following&quot;:null,&quot;is_verified&quot;:null,&quot;profile_id&quot;:&quot;516771605&quot;,&quot;profile_name&quot;:&quot;Cody Rhodes&quot;,&quot;url&quot;:&quot;https://x.com/CodyRhodes&quot;}]"/>
    <n v="336"/>
    <n v="1810"/>
    <n v="9291"/>
    <n v="422505"/>
    <s v=""/>
    <s v="[&quot;SNME&quot;]"/>
    <n v="14375937"/>
    <s v="WWE Raw | Mondays at 8/7c on USA Network _x000a_WWE NXT | Tuesdays at 8/7c on The CW _x000a_WWE SmackDown | Fridays at 8/7c on USA Network"/>
    <n v="346973"/>
    <s v="https://pbs.twimg.com/profile_images/1383079031805972485/3sWoMX-R_normal.jpg"/>
    <n v="392"/>
    <b v="0"/>
    <n v="206"/>
    <n v="665"/>
    <s v="{&quot;post_id&quot;:null,&quot;profile_id&quot;:null,&quot;profile_name&quot;:null}"/>
    <s v="null"/>
    <s v="[{&quot;duration&quot;:91934,&quot;video_url&quot;:&quot;https://video.twimg.com/amplify_video/1868125152879206400/vid/avc1/1920x1080/vQNI5XFmBBattK32.mp4?tag=16&quot;}]"/>
    <s v="{&quot;data_posted&quot;:null,&quot;description&quot;:null,&quot;photos&quot;:null,&quot;post_id&quot;:null,&quot;profile_id&quot;:null,&quot;profile_name&quot;:null,&quot;url&quot;:null,&quot;videos&quot;:null}"/>
    <n v="12308"/>
    <n v="2.9131016200991705E-2"/>
    <d v="2024-12-15T00:00:00"/>
    <n v="0.11509259259259259"/>
    <x v="0"/>
    <x v="2"/>
    <x v="1"/>
    <x v="1"/>
    <x v="1"/>
    <x v="0"/>
    <n v="65"/>
    <x v="1"/>
  </r>
  <r>
    <n v="1.8683521934991974E+18"/>
    <s v="Glo███ews███"/>
    <s v="Glo███ews███"/>
    <s v="Lula teve alta neste domingo (15). O presidente estava internado desde segunda (9) em São Paulo, onde passou por uma cirurgia para drenar um hematoma na cabeça — ainda em decorrência da queda que sofreu em casa, em outubro._x000a__x000a_➡ Assista à #GloboNews:"/>
    <s v="&quot;2024-12-15T17:47:29.000Z&quot;"/>
    <s v="null"/>
    <s v="https://x.com/GloboNews/status/1868352193499197494"/>
    <s v="null"/>
    <n v="64"/>
    <n v="21"/>
    <n v="263"/>
    <n v="12074"/>
    <s v="http://glo.bo/39WjXAu"/>
    <s v="[&quot;GloboNews&quot;]"/>
    <n v="5771761"/>
    <s v="Nunca desliga"/>
    <n v="222223"/>
    <s v="https://pbs.twimg.com/profile_images/1559102712435933185/mYnEVnNs_normal.jpg"/>
    <n v="122"/>
    <b v="0"/>
    <n v="0"/>
    <n v="3"/>
    <s v="{&quot;post_id&quot;:null,&quot;profile_id&quot;:null,&quot;profile_name&quot;:null}"/>
    <s v="null"/>
    <s v="[{&quot;duration&quot;:73134,&quot;video_url&quot;:&quot;https://video.twimg.com/amplify_video/1868352125371043840/vid/avc1/1920x1080/yrKgWlcZ7NWjt33j.mp4?tag=16&quot;}]"/>
    <s v="{&quot;data_posted&quot;:null,&quot;description&quot;:null,&quot;photos&quot;:null,&quot;post_id&quot;:null,&quot;profile_id&quot;:null,&quot;profile_name&quot;:null,&quot;url&quot;:null,&quot;videos&quot;:null}"/>
    <n v="351"/>
    <n v="2.9070730495279112E-2"/>
    <d v="2024-12-15T00:00:00"/>
    <n v="0.74130787037037038"/>
    <x v="0"/>
    <x v="12"/>
    <x v="1"/>
    <x v="1"/>
    <x v="1"/>
    <x v="0"/>
    <n v="248"/>
    <x v="0"/>
  </r>
  <r>
    <n v="1.8683274881177068E+18"/>
    <s v="Man███"/>
    <s v="Man███ste███nit███"/>
    <s v="Let's go boys ✊_x000a__x000a_#MUFC || #MCIMUN"/>
    <s v="&quot;2024-12-15T16:09:19.000Z&quot;"/>
    <s v="[&quot;https://pbs.twimg.com/media/Ge2h4SIWsAAh_SO.jpg&quot;,&quot;https://pbs.twimg.com/media/Ge2h6E5WAAAGh8o.jpg&quot;,&quot;https://pbs.twimg.com/media/Ge2h2dfWYAAMqAQ.jpg&quot;,&quot;https://pbs.twimg.com/media/Ge2h0VrXMAAXluW.jpg&quot;]"/>
    <s v="https://x.com/ManUtd/status/1868327488117706849"/>
    <s v="null"/>
    <n v="193"/>
    <n v="643"/>
    <n v="7161"/>
    <n v="277966"/>
    <s v=""/>
    <s v="[&quot;MUFC&quot;,&quot;MCIMUN&quot;]"/>
    <n v="38439078"/>
    <s v="’Tis the season to gift United! 🎁🎄"/>
    <n v="92455"/>
    <s v="https://pbs.twimg.com/profile_images/1856418426496880640/iIvJaO5T_normal.png"/>
    <n v="145"/>
    <b v="0"/>
    <n v="36"/>
    <n v="31"/>
    <s v="{&quot;post_id&quot;:null,&quot;profile_id&quot;:null,&quot;profile_name&quot;:null}"/>
    <s v="null"/>
    <s v="null"/>
    <s v="{&quot;data_posted&quot;:null,&quot;description&quot;:null,&quot;photos&quot;:null,&quot;post_id&quot;:null,&quot;profile_id&quot;:null,&quot;profile_name&quot;:null,&quot;url&quot;:null,&quot;videos&quot;:null}"/>
    <n v="8064"/>
    <n v="2.9010742321003289E-2"/>
    <d v="2024-12-15T00:00:00"/>
    <n v="0.67313657407407412"/>
    <x v="0"/>
    <x v="15"/>
    <x v="0"/>
    <x v="0"/>
    <x v="1"/>
    <x v="0"/>
    <n v="33"/>
    <x v="1"/>
  </r>
  <r>
    <n v="1.8682269963226565E+18"/>
    <s v="Man███yWo███"/>
    <s v="Man███ste███ity█████████"/>
    <s v="On the road! 🛣️_x000a__x000a_#ManCity | @Gatorade"/>
    <s v="&quot;2024-12-15T09:30:00.000Z&quot;"/>
    <s v="[&quot;https://pbs.twimg.com/media/GeyZKQnXEAARFFg.jpg&quot;]"/>
    <s v="https://x.com/ManCityWomen/status/1868226996322656630"/>
    <s v="[{&quot;biography&quot;:null,&quot;followers&quot;:null,&quot;following&quot;:null,&quot;is_verified&quot;:null,&quot;profile_id&quot;:&quot;34369690&quot;,&quot;profile_name&quot;:&quot;Gatorade&quot;,&quot;url&quot;:&quot;https://x.com/Gatorade&quot;}]"/>
    <n v="5"/>
    <n v="21"/>
    <n v="382"/>
    <n v="14191"/>
    <s v=""/>
    <s v="[&quot;ManCity&quot;]"/>
    <n v="240106"/>
    <s v="Official account of Manchester City Women 🩵_x000a__x000a_🏆 1x WSL_x000a_🏆 3x Women’s FA Cup_x000a_🏆 4x FA Women’s League Cup"/>
    <n v="29070"/>
    <s v="https://pbs.twimg.com/profile_images/1856262696011755520/VOcg8JqD_normal.jpg"/>
    <n v="799"/>
    <b v="0"/>
    <n v="2"/>
    <n v="1"/>
    <s v="{&quot;post_id&quot;:null,&quot;profile_id&quot;:null,&quot;profile_name&quot;:null}"/>
    <s v="null"/>
    <s v="null"/>
    <s v="{&quot;data_posted&quot;:null,&quot;description&quot;:null,&quot;photos&quot;:null,&quot;post_id&quot;:null,&quot;profile_id&quot;:null,&quot;profile_name&quot;:null,&quot;url&quot;:null,&quot;videos&quot;:null}"/>
    <n v="411"/>
    <n v="2.8962018180536959E-2"/>
    <d v="2024-12-15T00:00:00"/>
    <n v="0.39583333333333331"/>
    <x v="0"/>
    <x v="18"/>
    <x v="0"/>
    <x v="0"/>
    <x v="1"/>
    <x v="0"/>
    <n v="37"/>
    <x v="2"/>
  </r>
  <r>
    <n v="1.8683659242708012E+18"/>
    <s v="acm███n"/>
    <s v="AC ███an"/>
    <s v="Three Dutch icons. One unforgettable legacy ♾️👑_x000a__x000a_#MilanGenoa #ACMilanWorthEveryMinute #SempreMilan"/>
    <s v="&quot;2024-12-15T18:42:03.000Z&quot;"/>
    <s v="[&quot;https://pbs.twimg.com/media/Ge3DWRKXgAAhjon.jpg&quot;]"/>
    <s v="https://x.com/acmilan/status/1868365924270801040"/>
    <s v="null"/>
    <n v="114"/>
    <n v="1571"/>
    <n v="10254"/>
    <n v="428009"/>
    <s v=""/>
    <s v="[&quot;MilanGenoa&quot;,&quot;ACMilanWorthEveryMinute&quot;,&quot;SempreMilan&quot;]"/>
    <n v="8539601"/>
    <s v="❤🖤 125 years together, worth every minute ❤🖤 _x000a__x000a_#SempreMilan since 1899! 🔙 _x000a__x000a_Arabic: @acmilanar | Portuguese: @acmilanbr | #MilanYouth: @acmilanyouth"/>
    <n v="75535"/>
    <s v="https://pbs.twimg.com/profile_images/1848748720050868225/FQY9F6Hn_normal.jpg"/>
    <n v="117"/>
    <b v="0"/>
    <n v="181"/>
    <n v="244"/>
    <s v="{&quot;post_id&quot;:null,&quot;profile_id&quot;:null,&quot;profile_name&quot;:null}"/>
    <s v="null"/>
    <s v="null"/>
    <s v="{&quot;data_posted&quot;:null,&quot;description&quot;:null,&quot;photos&quot;:null,&quot;post_id&quot;:null,&quot;profile_id&quot;:null,&quot;profile_name&quot;:null,&quot;url&quot;:null,&quot;videos&quot;:null}"/>
    <n v="12364"/>
    <n v="2.8887243025263489E-2"/>
    <d v="2024-12-15T00:00:00"/>
    <n v="0.7792013888888889"/>
    <x v="0"/>
    <x v="8"/>
    <x v="0"/>
    <x v="0"/>
    <x v="1"/>
    <x v="0"/>
    <n v="98"/>
    <x v="0"/>
  </r>
  <r>
    <n v="1.8683490496714509E+18"/>
    <s v="CPFC"/>
    <s v="Cry███l P███ce ██████"/>
    <s v="GET IN THERE _x000a__x000a_#CPFC // #BHACRY"/>
    <s v="&quot;2024-12-15T17:35:00.000Z&quot;"/>
    <s v="[&quot;https://pbs.twimg.com/media/Ge2l9WWXAAASp1d.jpg&quot;,&quot;https://pbs.twimg.com/media/Ge2l9WWWkAExkcv.jpg&quot;]"/>
    <s v="https://x.com/CPFC/status/1868349049671450775"/>
    <s v="null"/>
    <n v="9"/>
    <n v="14"/>
    <n v="481"/>
    <n v="17535"/>
    <s v=""/>
    <s v="[&quot;CPFC&quot;,&quot;BHACRY&quot;]"/>
    <n v="1480964"/>
    <s v="The Pride of South London."/>
    <n v="103753"/>
    <s v="https://pbs.twimg.com/profile_images/1857393032883994624/qN-MGWEH_normal.jpg"/>
    <n v="552"/>
    <b v="0"/>
    <n v="1"/>
    <n v="1"/>
    <s v="{&quot;post_id&quot;:null,&quot;profile_id&quot;:null,&quot;profile_name&quot;:null}"/>
    <s v="null"/>
    <s v="null"/>
    <s v="{&quot;data_posted&quot;:null,&quot;description&quot;:null,&quot;photos&quot;:null,&quot;post_id&quot;:null,&quot;profile_id&quot;:null,&quot;profile_name&quot;:null,&quot;url&quot;:null,&quot;videos&quot;:null}"/>
    <n v="506"/>
    <n v="2.8856572569147421E-2"/>
    <d v="2024-12-15T00:00:00"/>
    <n v="0.73263888888888884"/>
    <x v="0"/>
    <x v="12"/>
    <x v="0"/>
    <x v="0"/>
    <x v="1"/>
    <x v="0"/>
    <n v="31"/>
    <x v="0"/>
  </r>
  <r>
    <n v="1.8683897319579075E+18"/>
    <s v="tvg███o"/>
    <s v="TV ███bo ███"/>
    <s v="NOSSO PRÍNCIPEEEE 🫶 #MelhoresDoAno #Domingão"/>
    <s v="&quot;2024-12-15T20:16:39.000Z&quot;"/>
    <s v="null"/>
    <s v="https://x.com/tvglobo/status/1868389731957907490"/>
    <s v="null"/>
    <n v="12"/>
    <n v="48"/>
    <n v="328"/>
    <n v="14538"/>
    <s v=""/>
    <s v="[&quot;MelhoresDoAno&quot;,&quot;Domingão&quot;]"/>
    <n v="13492430"/>
    <s v="oi, eu sou a Glô 😜"/>
    <n v="314515"/>
    <s v="https://pbs.twimg.com/profile_images/1863599216829792256/r5M1uKA8_normal.jpg"/>
    <n v="708"/>
    <b v="0"/>
    <n v="11"/>
    <n v="17"/>
    <s v="{&quot;post_id&quot;:null,&quot;profile_id&quot;:null,&quot;profile_name&quot;:null}"/>
    <s v="null"/>
    <s v="[{&quot;duration&quot;:6059,&quot;video_url&quot;:&quot;https://video.twimg.com/amplify_video/1868389571752255488/vid/avc1/1920x1080/8q5jkkDfo8SCGDZw.mp4?tag=16&quot;}]"/>
    <s v="{&quot;data_posted&quot;:null,&quot;description&quot;:null,&quot;photos&quot;:null,&quot;post_id&quot;:null,&quot;profile_id&quot;:null,&quot;profile_name&quot;:null,&quot;url&quot;:null,&quot;videos&quot;:null}"/>
    <n v="416"/>
    <n v="2.861466501582061E-2"/>
    <d v="2024-12-15T00:00:00"/>
    <n v="0.84489583333333329"/>
    <x v="0"/>
    <x v="3"/>
    <x v="1"/>
    <x v="1"/>
    <x v="1"/>
    <x v="0"/>
    <n v="44"/>
    <x v="1"/>
  </r>
  <r>
    <n v="1.8683548373873544E+18"/>
    <s v="F1"/>
    <s v="For███a 1███"/>
    <s v="We've seen some sterling drives through the field this year 🚀_x000a__x000a_#F1"/>
    <s v="&quot;2024-12-15T17:58:00.000Z&quot;"/>
    <s v="[&quot;https://pbs.twimg.com/media/GesE6VqWMAAdmzb.jpg&quot;]"/>
    <s v="https://x.com/F1/status/1868354837387354453"/>
    <s v="null"/>
    <n v="108"/>
    <n v="649"/>
    <n v="9720"/>
    <n v="375536"/>
    <s v=""/>
    <s v="[&quot;F1&quot;]"/>
    <n v="10795892"/>
    <s v="The home of risk takers, late brakers and history makers 💫"/>
    <n v="95508"/>
    <s v="https://pbs.twimg.com/profile_images/1612433922733887489/7f5XFklA_normal.jpg"/>
    <n v="98"/>
    <b v="0"/>
    <n v="46"/>
    <n v="191"/>
    <s v="{&quot;post_id&quot;:null,&quot;profile_id&quot;:null,&quot;profile_name&quot;:null}"/>
    <s v="null"/>
    <s v="null"/>
    <s v="{&quot;data_posted&quot;:null,&quot;description&quot;:null,&quot;photos&quot;:null,&quot;post_id&quot;:null,&quot;profile_id&quot;:null,&quot;profile_name&quot;:null,&quot;url&quot;:null,&quot;videos&quot;:null}"/>
    <n v="10714"/>
    <n v="2.8529887946828002E-2"/>
    <d v="2024-12-15T00:00:00"/>
    <n v="0.74861111111111112"/>
    <x v="0"/>
    <x v="12"/>
    <x v="0"/>
    <x v="0"/>
    <x v="1"/>
    <x v="0"/>
    <n v="66"/>
    <x v="1"/>
  </r>
  <r>
    <n v="1.8684546172158364E+18"/>
    <s v="nyp███"/>
    <s v="New███rk ███t"/>
    <s v="Indiana girl, 8, receives lifesaving heart transplant just in time for the holidays"/>
    <s v="&quot;2024-12-16T00:34:29.000Z&quot;"/>
    <s v="[&quot;https://pbs.twimg.com/media/Ge4VkmaXEAA6t22.jpg&quot;]"/>
    <s v="https://x.com/nypost/status/1868454617215836520"/>
    <s v="null"/>
    <n v="37"/>
    <n v="69"/>
    <n v="769"/>
    <n v="31066"/>
    <s v="https://trib.al/yW7bwss"/>
    <s v="null"/>
    <n v="3313887"/>
    <s v="Breaking news &amp; features from The New York Post. Follow your favorite sections: @pagesix, @nypmetro, @nypostbiz, @nypostsports, @nypfashion, @nypostopinion"/>
    <n v="706459"/>
    <s v="https://pbs.twimg.com/profile_images/966372680306868224/60wfGe9e_normal.jpg"/>
    <n v="10308"/>
    <b v="0"/>
    <n v="7"/>
    <n v="3"/>
    <s v="{&quot;post_id&quot;:null,&quot;profile_id&quot;:null,&quot;profile_name&quot;:null}"/>
    <s v="null"/>
    <s v="null"/>
    <s v="{&quot;data_posted&quot;:null,&quot;description&quot;:null,&quot;photos&quot;:null,&quot;post_id&quot;:null,&quot;profile_id&quot;:null,&quot;profile_name&quot;:null,&quot;url&quot;:null,&quot;videos&quot;:null}"/>
    <n v="885"/>
    <n v="2.8487735788321637E-2"/>
    <d v="2024-12-16T00:00:00"/>
    <n v="2.3946759259259258E-2"/>
    <x v="2"/>
    <x v="5"/>
    <x v="0"/>
    <x v="0"/>
    <x v="0"/>
    <x v="0"/>
    <n v="83"/>
    <x v="0"/>
  </r>
  <r>
    <n v="1.8684371794347709E+18"/>
    <s v="tvg███o"/>
    <s v="TV ███bo ███"/>
    <s v="Eita como canta esse Chay 😂😂😂 #MelhoresDoAno #Domingão"/>
    <s v="&quot;2024-12-15T23:25:12.000Z&quot;"/>
    <s v="null"/>
    <s v="https://x.com/tvglobo/status/1868437179434770918"/>
    <s v="null"/>
    <n v="9"/>
    <n v="41"/>
    <n v="325"/>
    <n v="13861"/>
    <s v=""/>
    <s v="[&quot;MelhoresDoAno&quot;,&quot;Domingão&quot;]"/>
    <n v="13492430"/>
    <s v="oi, eu sou a Glô 😜"/>
    <n v="314515"/>
    <s v="https://pbs.twimg.com/profile_images/1863599216829792256/r5M1uKA8_normal.jpg"/>
    <n v="708"/>
    <b v="0"/>
    <n v="5"/>
    <n v="14"/>
    <s v="{&quot;post_id&quot;:null,&quot;profile_id&quot;:null,&quot;profile_name&quot;:null}"/>
    <s v="null"/>
    <s v="[{&quot;duration&quot;:7180,&quot;video_url&quot;:&quot;https://video.twimg.com/amplify_video/1868436956201222144/vid/avc1/1920x1080/mxcrHb11rjqgYyhc.mp4?tag=16&quot;}]"/>
    <s v="{&quot;data_posted&quot;:null,&quot;description&quot;:null,&quot;photos&quot;:null,&quot;post_id&quot;:null,&quot;profile_id&quot;:null,&quot;profile_name&quot;:null,&quot;url&quot;:null,&quot;videos&quot;:null}"/>
    <n v="394"/>
    <n v="2.8425077555731908E-2"/>
    <d v="2024-12-15T00:00:00"/>
    <n v="0.97583333333333333"/>
    <x v="0"/>
    <x v="7"/>
    <x v="1"/>
    <x v="1"/>
    <x v="1"/>
    <x v="0"/>
    <n v="54"/>
    <x v="1"/>
  </r>
  <r>
    <n v="1.8659594497202138E+18"/>
    <s v="Lig███VAM███"/>
    <s v="Lig███BVA███"/>
    <s v="¡¡¡SIGUE VIVO EL BICAMPEÓN!!🦅🦅_x000a__x000a_De manera dramática, el @ClubAmerica derrotó al Cruz Azul y avanzó a la Gran Final de #NuestraFiesta, donde buscará el tricampeonato ante @Rayados."/>
    <s v="&quot;2024-12-09T03:19:35.000Z&quot;"/>
    <s v="[&quot;https://pbs.twimg.com/media/GeU4Kt1XIAA5TqF.jpg&quot;]"/>
    <s v="https://x.com/LigaBBVAMX/status/1865959449720213791"/>
    <s v="[{&quot;biography&quot;:null,&quot;followers&quot;:null,&quot;following&quot;:null,&quot;is_verified&quot;:null,&quot;profile_id&quot;:&quot;122211977&quot;,&quot;profile_name&quot;:&quot;Club América&quot;,&quot;url&quot;:&quot;https://x.com/ClubAmerica&quot;},{&quot;biography&quot;:null,&quot;followers&quot;:null,&quot;following&quot;:null,&quot;is_verified&quot;:null,&quot;profile_id&quot;:&quot;86437426&quot;,&quot;profile_name&quot;:&quot;Rayados&quot;,&quot;url&quot;:&quot;https://x.com/Rayados&quot;}]"/>
    <n v="269"/>
    <n v="623"/>
    <n v="5591"/>
    <n v="231481"/>
    <s v=""/>
    <s v="[&quot;NuestraFiesta&quot;]"/>
    <n v="4017731"/>
    <s v="Te tqm, Liga BBVA MX. 🥰 Soy un fan más haciéndola de CM. Como dice la chaviza, es la liga más mágica del continente. ✨⚽_x000a__x000a_Cuenta corporativa ➡️ @LigaBBVAMXCorp"/>
    <n v="216529"/>
    <s v="https://pbs.twimg.com/profile_images/1853440816137510912/a14K-9q2_normal.jpg"/>
    <n v="214"/>
    <b v="0"/>
    <n v="45"/>
    <n v="48"/>
    <s v="{&quot;post_id&quot;:null,&quot;profile_id&quot;:null,&quot;profile_name&quot;:null}"/>
    <s v="null"/>
    <s v="null"/>
    <s v="{&quot;data_posted&quot;:null,&quot;description&quot;:null,&quot;photos&quot;:null,&quot;post_id&quot;:null,&quot;profile_id&quot;:null,&quot;profile_name&quot;:null,&quot;url&quot;:null,&quot;videos&quot;:null}"/>
    <n v="6576"/>
    <n v="2.8408379089428507E-2"/>
    <d v="2024-12-09T00:00:00"/>
    <n v="0.13859953703703703"/>
    <x v="2"/>
    <x v="21"/>
    <x v="0"/>
    <x v="0"/>
    <x v="1"/>
    <x v="0"/>
    <n v="179"/>
    <x v="0"/>
  </r>
  <r>
    <n v="1.8091727912683484E+18"/>
    <s v="sne███xxx███"/>
    <s v="けんけ███ﾐｹ月███6ab█████████"/>
    <s v="とっても下乳が見えるビキニ_x000a_#ビキニの日"/>
    <s v="&quot;2024-07-05T10:29:40.000Z&quot;"/>
    <s v="[&quot;https://pbs.twimg.com/media/GRt5D3qaIAAz0Iy.jpg&quot;]"/>
    <s v="https://x.com/snexxxxxxx/status/1809172791268348403"/>
    <s v="null"/>
    <n v="297"/>
    <n v="1915"/>
    <n v="31610"/>
    <n v="1372851"/>
    <s v=""/>
    <s v="[&quot;ビキニの日&quot;]"/>
    <n v="948415"/>
    <s v="マイペース 無断転載× DL写真集販売＆ファンティア▶︎ https://t.co/CaFJug08D7 Instagram等▶︎https://t.co/38o0RY1Kqo"/>
    <n v="40340"/>
    <s v="https://pbs.twimg.com/profile_images/1811042445549068288/_SQplvKt_normal.jpg"/>
    <n v="400"/>
    <b v="0"/>
    <n v="59"/>
    <n v="4603"/>
    <s v="{&quot;post_id&quot;:null,&quot;profile_id&quot;:null,&quot;profile_name&quot;:null}"/>
    <s v="null"/>
    <s v="null"/>
    <s v="{&quot;data_posted&quot;:null,&quot;description&quot;:null,&quot;photos&quot;:null,&quot;post_id&quot;:null,&quot;profile_id&quot;:null,&quot;profile_name&quot;:null,&quot;url&quot;:null,&quot;videos&quot;:null}"/>
    <n v="38484"/>
    <n v="2.8032175378100026E-2"/>
    <d v="2024-07-05T00:00:00"/>
    <n v="0.4372685185185185"/>
    <x v="1"/>
    <x v="17"/>
    <x v="0"/>
    <x v="0"/>
    <x v="1"/>
    <x v="0"/>
    <n v="20"/>
    <x v="2"/>
  </r>
  <r>
    <n v="1.8682773054972805E+18"/>
    <s v="CPFC"/>
    <s v="Cry███l P███ce ██████"/>
    <s v="💯 Palace appearances for Hughesy _x000a__x000a_#CPFC // #BHACRY"/>
    <s v="&quot;2024-12-15T12:49:55.000Z&quot;"/>
    <s v="[&quot;https://pbs.twimg.com/media/Ge10TnWXgAAtpUV.jpg&quot;]"/>
    <s v="https://x.com/CPFC/status/1868277305497280518"/>
    <s v="null"/>
    <n v="8"/>
    <n v="32"/>
    <n v="959"/>
    <n v="36130"/>
    <s v=""/>
    <s v="[&quot;CPFC&quot;,&quot;BHACRY&quot;]"/>
    <n v="1480966"/>
    <s v="The Pride of South London."/>
    <n v="103753"/>
    <s v="https://pbs.twimg.com/profile_images/1857393032883994624/qN-MGWEH_normal.jpg"/>
    <n v="552"/>
    <b v="0"/>
    <n v="10"/>
    <n v="1"/>
    <s v="{&quot;post_id&quot;:null,&quot;profile_id&quot;:null,&quot;profile_name&quot;:null}"/>
    <s v="null"/>
    <s v="null"/>
    <s v="{&quot;data_posted&quot;:null,&quot;description&quot;:null,&quot;photos&quot;:null,&quot;post_id&quot;:null,&quot;profile_id&quot;:null,&quot;profile_name&quot;:null,&quot;url&quot;:null,&quot;videos&quot;:null}"/>
    <n v="1010"/>
    <n v="2.7954608358704676E-2"/>
    <d v="2024-12-15T00:00:00"/>
    <n v="0.5346643518518519"/>
    <x v="0"/>
    <x v="0"/>
    <x v="0"/>
    <x v="0"/>
    <x v="1"/>
    <x v="0"/>
    <n v="51"/>
    <x v="0"/>
  </r>
  <r>
    <n v="1.8684503677861115E+18"/>
    <s v="Rep███baj███"/>
    <s v="Rep███alu███arb██████"/>
    <s v=".@POTUS and @SecretaryPete ensured you get a refund for cancelled or heavily delayed flights._x000a__x000a_Now there's talk of repealing those rules._x000a_Really?_x000a__x000a_Is Donald Trump so petty that he's fine letting you foot the bill when an airline leaves you behind?"/>
    <s v="&quot;2024-12-16T00:17:36.000Z&quot;"/>
    <s v="null"/>
    <s v="https://x.com/RepCarbajal/status/1868450367786111379"/>
    <s v="[{&quot;biography&quot;:null,&quot;followers&quot;:null,&quot;following&quot;:null,&quot;is_verified&quot;:null,&quot;profile_id&quot;:&quot;1349149096909668363&quot;,&quot;profile_name&quot;:&quot;President Biden&quot;,&quot;url&quot;:&quot;https://x.com/POTUS&quot;},{&quot;biography&quot;:null,&quot;followers&quot;:null,&quot;following&quot;:null,&quot;is_verified&quot;:null,&quot;profile_id&quot;:&quot;1356958547603513346&quot;,&quot;profile_name&quot;:&quot;Secretary Pete Buttigieg&quot;,&quot;url&quot;:&quot;https://x.com/SecretaryPete&quot;}]"/>
    <n v="2"/>
    <n v="2"/>
    <n v="2"/>
    <n v="287"/>
    <s v="https://www.axios.com/2024/11/28/trump-airline-refunds"/>
    <s v="null"/>
    <n v="16968"/>
    <s v="Father, husband and veteran proudly representing California’s 24th District. Working to protect the environment, improve our economy, and support our veterans."/>
    <n v="8248"/>
    <s v="https://pbs.twimg.com/profile_images/1547321189764419588/hyoV_iLL_normal.jpg"/>
    <n v="1047"/>
    <b v="0"/>
    <n v="0"/>
    <n v="2"/>
    <s v="{&quot;post_id&quot;:null,&quot;profile_id&quot;:null,&quot;profile_name&quot;:null}"/>
    <s v="[&quot;https://pbs.twimg.com/card_img/1867289017022316544/XiuPxZ4i?format=jpg&amp;name=orig&quot;]"/>
    <s v="null"/>
    <s v="{&quot;data_posted&quot;:null,&quot;description&quot;:null,&quot;photos&quot;:null,&quot;post_id&quot;:null,&quot;profile_id&quot;:null,&quot;profile_name&quot;:null,&quot;url&quot;:null,&quot;videos&quot;:null}"/>
    <n v="8"/>
    <n v="2.7874564459930314E-2"/>
    <d v="2024-12-16T00:00:00"/>
    <n v="1.2222222222222223E-2"/>
    <x v="2"/>
    <x v="5"/>
    <x v="0"/>
    <x v="1"/>
    <x v="0"/>
    <x v="0"/>
    <n v="247"/>
    <x v="3"/>
  </r>
  <r>
    <n v="1.8684011322607291E+18"/>
    <s v="tvg███o"/>
    <s v="TV ███bo ███"/>
    <s v="Fazendo gracinha como sempreeeee, o jeitinho deleeee 😂 Vlad, você é um ARTISTA completo, MUITO MERECIDO!!! #MelhoresDoAno #Domingão"/>
    <s v="&quot;2024-12-15T21:01:57.000Z&quot;"/>
    <s v="null"/>
    <s v="https://x.com/tvglobo/status/1868401132260729074"/>
    <s v="null"/>
    <n v="6"/>
    <n v="32"/>
    <n v="276"/>
    <n v="11985"/>
    <s v=""/>
    <s v="[&quot;MelhoresDoAno&quot;,&quot;Domingão&quot;]"/>
    <n v="13492430"/>
    <s v="oi, eu sou a Glô 😜"/>
    <n v="314515"/>
    <s v="https://pbs.twimg.com/profile_images/1863599216829792256/r5M1uKA8_normal.jpg"/>
    <n v="708"/>
    <b v="0"/>
    <n v="7"/>
    <n v="12"/>
    <s v="{&quot;post_id&quot;:null,&quot;profile_id&quot;:null,&quot;profile_name&quot;:null}"/>
    <s v="null"/>
    <s v="[{&quot;duration&quot;:85959,&quot;video_url&quot;:&quot;https://video.twimg.com/amplify_video/1868400794493403136/vid/avc1/1920x1080/j7yxdmFJkuKOWqL_.mp4?tag=16&quot;}]"/>
    <s v="{&quot;data_posted&quot;:null,&quot;description&quot;:null,&quot;photos&quot;:null,&quot;post_id&quot;:null,&quot;profile_id&quot;:null,&quot;profile_name&quot;:null,&quot;url&quot;:null,&quot;videos&quot;:null}"/>
    <n v="333"/>
    <n v="2.7784730913642051E-2"/>
    <d v="2024-12-15T00:00:00"/>
    <n v="0.87635416666666666"/>
    <x v="0"/>
    <x v="10"/>
    <x v="1"/>
    <x v="1"/>
    <x v="1"/>
    <x v="0"/>
    <n v="131"/>
    <x v="1"/>
  </r>
  <r>
    <n v="1.8683739636230231E+18"/>
    <s v="CPFC"/>
    <s v="Cry███l P███ce ██████"/>
    <s v="THAT'S OUR NUMBER ONE 😤_x000a__x000a_Pure @deanhenderson passion 👇_x000a__x000a_#CPFC"/>
    <s v="&quot;2024-12-15T19:14:00.000Z&quot;"/>
    <s v="null"/>
    <s v="https://x.com/CPFC/status/1868373963623022990"/>
    <s v="[{&quot;biography&quot;:null,&quot;followers&quot;:null,&quot;following&quot;:null,&quot;is_verified&quot;:null,&quot;profile_id&quot;:&quot;2802871119&quot;,&quot;profile_name&quot;:&quot;Dean Henderson&quot;,&quot;url&quot;:&quot;https://x.com/deanhenderson&quot;}]"/>
    <n v="17"/>
    <n v="95"/>
    <n v="1082"/>
    <n v="45688"/>
    <s v=""/>
    <s v="[&quot;CPFC&quot;]"/>
    <n v="1480964"/>
    <s v="The Pride of South London."/>
    <n v="103753"/>
    <s v="https://pbs.twimg.com/profile_images/1857393032883994624/qN-MGWEH_normal.jpg"/>
    <n v="552"/>
    <b v="0"/>
    <n v="38"/>
    <n v="37"/>
    <s v="{&quot;post_id&quot;:null,&quot;profile_id&quot;:null,&quot;profile_name&quot;:null}"/>
    <s v="null"/>
    <s v="[{&quot;duration&quot;:10933,&quot;video_url&quot;:&quot;https://video.twimg.com/amplify_video/1868365087041363968/vid/avc1/720x1280/8-kSOfK3KEBQCPc5.mp4?tag=14&quot;}]"/>
    <s v="{&quot;data_posted&quot;:null,&quot;description&quot;:null,&quot;photos&quot;:null,&quot;post_id&quot;:null,&quot;profile_id&quot;:null,&quot;profile_name&quot;:null,&quot;url&quot;:null,&quot;videos&quot;:null}"/>
    <n v="1269"/>
    <n v="2.7775345823848711E-2"/>
    <d v="2024-12-15T00:00:00"/>
    <n v="0.80138888888888893"/>
    <x v="0"/>
    <x v="4"/>
    <x v="1"/>
    <x v="1"/>
    <x v="1"/>
    <x v="0"/>
    <n v="61"/>
    <x v="0"/>
  </r>
  <r>
    <n v="1.8681031389197844E+18"/>
    <s v="TNT███rts███"/>
    <s v="TNT███ort███R"/>
    <s v="A IMAGEM DOS SONHOS DO TORCEDOR DO CORINTHIANS! 😍😍🦅🦅 Imagina se isso aqui se torna realidade? 😱🔥 E A TAL DA APELAÇÃO!_x000a__x000a_Crédito: @ilustrapablo"/>
    <s v="&quot;2024-12-15T01:17:50.000Z&quot;"/>
    <s v="[&quot;https://pbs.twimg.com/media/GezRi3JWUAAFZas.jpg&quot;]"/>
    <s v="https://x.com/TNTSportsBR/status/1868103138919784459"/>
    <s v="[{&quot;biography&quot;:null,&quot;followers&quot;:null,&quot;following&quot;:null,&quot;is_verified&quot;:null,&quot;profile_id&quot;:&quot;1206289532733345792&quot;,&quot;profile_name&quot;:&quot;Pablo | Ilustrador&quot;,&quot;url&quot;:&quot;https://x.com/ilustrapablo&quot;}]"/>
    <n v="14"/>
    <n v="30"/>
    <n v="936"/>
    <n v="36203"/>
    <s v=""/>
    <s v="null"/>
    <n v="8293203"/>
    <s v="⚽️ É muito mais Champions na Max, com TODOS os jogos ao vivo!_x000a_👇🏻Assine e assista clicando no link👇🏻"/>
    <n v="456734"/>
    <s v="https://pbs.twimg.com/profile_images/1807013047975768065/8sm_IGpw_normal.jpg"/>
    <n v="859"/>
    <b v="0"/>
    <n v="2"/>
    <n v="23"/>
    <s v="{&quot;post_id&quot;:null,&quot;profile_id&quot;:null,&quot;profile_name&quot;:null}"/>
    <s v="null"/>
    <s v="null"/>
    <s v="{&quot;data_posted&quot;:null,&quot;description&quot;:null,&quot;photos&quot;:null,&quot;post_id&quot;:null,&quot;profile_id&quot;:null,&quot;profile_name&quot;:null,&quot;url&quot;:null,&quot;videos&quot;:null}"/>
    <n v="1005"/>
    <n v="2.7760130375935697E-2"/>
    <d v="2024-12-15T00:00:00"/>
    <n v="5.4050925925925926E-2"/>
    <x v="0"/>
    <x v="19"/>
    <x v="0"/>
    <x v="0"/>
    <x v="0"/>
    <x v="0"/>
    <n v="141"/>
    <x v="0"/>
  </r>
  <r>
    <n v="1.8682841217613868E+18"/>
    <s v="McL███nF1███"/>
    <s v="McL███n"/>
    <s v="How were you feeling this time last Sunday? 👀_x000a__x000a_#ThisTeam"/>
    <s v="&quot;2024-12-15T13:17:00.000Z&quot;"/>
    <s v="[&quot;https://pbs.twimg.com/media/Genhb0RWQAAxXs9.jpg&quot;,&quot;https://pbs.twimg.com/media/GenhnJMWQAARq4L.jpg&quot;]"/>
    <s v="https://x.com/McLarenF1/status/1868284121761386635"/>
    <s v="null"/>
    <n v="38"/>
    <n v="50"/>
    <n v="1850"/>
    <n v="70794"/>
    <s v=""/>
    <s v="[&quot;ThisTeam&quot;]"/>
    <n v="4240900"/>
    <s v="THIS TEAM HAS JUST WON IT. 🧡 2024 CONSTRUCTORS’ CHAMPIONS! 🏆"/>
    <n v="60308"/>
    <s v="https://pbs.twimg.com/profile_images/1865766127109820416/EGGL8SUG_normal.png"/>
    <n v="26587"/>
    <b v="0"/>
    <n v="6"/>
    <n v="20"/>
    <s v="{&quot;post_id&quot;:null,&quot;profile_id&quot;:null,&quot;profile_name&quot;:null}"/>
    <s v="null"/>
    <s v="null"/>
    <s v="{&quot;data_posted&quot;:null,&quot;description&quot;:null,&quot;photos&quot;:null,&quot;post_id&quot;:null,&quot;profile_id&quot;:null,&quot;profile_name&quot;:null,&quot;url&quot;:null,&quot;videos&quot;:null}"/>
    <n v="1964"/>
    <n v="2.7742464050625758E-2"/>
    <d v="2024-12-15T00:00:00"/>
    <n v="0.55347222222222225"/>
    <x v="0"/>
    <x v="14"/>
    <x v="0"/>
    <x v="0"/>
    <x v="1"/>
    <x v="0"/>
    <n v="56"/>
    <x v="0"/>
  </r>
  <r>
    <n v="1.8660275382098048E+18"/>
    <s v="pre███rle███e"/>
    <s v="Pre███r L███ue"/>
    <s v="⏰ @LCFC have earned points from goals scored in the 90th minute or later three times this season!"/>
    <s v="&quot;2024-12-09T07:50:08.000Z&quot;"/>
    <s v="[&quot;https://pbs.twimg.com/media/GeV2KCAXgAAFL2G.jpg&quot;]"/>
    <s v="https://x.com/premierleague/status/1866027538209804728"/>
    <s v="[{&quot;biography&quot;:null,&quot;followers&quot;:null,&quot;following&quot;:null,&quot;is_verified&quot;:null,&quot;profile_id&quot;:&quot;122392884&quot;,&quot;profile_name&quot;:&quot;Leicester City&quot;,&quot;url&quot;:&quot;https://x.com/LCFC&quot;}]"/>
    <n v="136"/>
    <n v="445"/>
    <n v="7491"/>
    <n v="292389"/>
    <s v=""/>
    <s v="null"/>
    <n v="45007827"/>
    <s v="The official account of the Premier League 📱 @OfficialFPL | @PLforIndia | @PLinUSA | @PLinArabic Join us on YouTube https://t.co/qj67qjcMYx"/>
    <n v="163438"/>
    <s v="https://pbs.twimg.com/profile_images/1742837199005954048/YGI6Kw7P_normal.jpg"/>
    <n v="80"/>
    <b v="0"/>
    <n v="14"/>
    <n v="25"/>
    <s v="{&quot;post_id&quot;:null,&quot;profile_id&quot;:null,&quot;profile_name&quot;:null}"/>
    <s v="null"/>
    <s v="null"/>
    <s v="{&quot;data_posted&quot;:null,&quot;description&quot;:null,&quot;photos&quot;:null,&quot;post_id&quot;:null,&quot;profile_id&quot;:null,&quot;profile_name&quot;:null,&quot;url&quot;:null,&quot;videos&quot;:null}"/>
    <n v="8111"/>
    <n v="2.7740441671882322E-2"/>
    <d v="2024-12-09T00:00:00"/>
    <n v="0.32648148148148148"/>
    <x v="2"/>
    <x v="20"/>
    <x v="0"/>
    <x v="0"/>
    <x v="0"/>
    <x v="0"/>
    <n v="97"/>
    <x v="1"/>
  </r>
  <r>
    <n v="1.868319362488087E+18"/>
    <s v="Man███y"/>
    <s v="Man███ste███ity███"/>
    <s v="Home 🩵🏡_x000a__x000a_#ManCity | #AsahiSuperDry"/>
    <s v="&quot;2024-12-15T15:37:02.000Z&quot;"/>
    <s v="[&quot;https://pbs.twimg.com/media/Ge2acbWWwAAMxfs.jpg&quot;,&quot;https://pbs.twimg.com/media/Ge2aiakWkAAuNn0.jpg&quot;,&quot;https://pbs.twimg.com/media/Ge2ajgIXYAAWeRi.jpg&quot;]"/>
    <s v="https://x.com/ManCity/status/1868319362488087015"/>
    <s v="null"/>
    <n v="112"/>
    <n v="348"/>
    <n v="4164"/>
    <n v="169903"/>
    <s v=""/>
    <s v="[&quot;ManCity&quot;,&quot;AsahiSuperDry&quot;]"/>
    <n v="17891377"/>
    <s v="WATCH TOGETHER: 4-IN-A-ROW 🍿"/>
    <n v="168939"/>
    <s v="https://pbs.twimg.com/profile_images/1856263834400358400/RysToJDu_normal.png"/>
    <n v="47365"/>
    <b v="0"/>
    <n v="39"/>
    <n v="32"/>
    <s v="{&quot;post_id&quot;:null,&quot;profile_id&quot;:null,&quot;profile_name&quot;:null}"/>
    <s v="null"/>
    <s v="null"/>
    <s v="{&quot;data_posted&quot;:null,&quot;description&quot;:null,&quot;photos&quot;:null,&quot;post_id&quot;:null,&quot;profile_id&quot;:null,&quot;profile_name&quot;:null,&quot;url&quot;:null,&quot;videos&quot;:null}"/>
    <n v="4695"/>
    <n v="2.7633414359958329E-2"/>
    <d v="2024-12-15T00:00:00"/>
    <n v="0.65071759259259254"/>
    <x v="0"/>
    <x v="13"/>
    <x v="0"/>
    <x v="0"/>
    <x v="1"/>
    <x v="0"/>
    <n v="34"/>
    <x v="1"/>
  </r>
  <r>
    <n v="1.8682393267249482E+18"/>
    <s v="Man███"/>
    <s v="Man███ste███nit███"/>
    <s v="An away day like no other 🏙️❤️‍🔥_x000a__x000a_Let's hear you loud and proud later, Reds — UNITED! ✊🇾🇪_x000a__x000a_#MUFC || #MCIMUN"/>
    <s v="&quot;2024-12-15T10:19:00.000Z&quot;"/>
    <s v="[&quot;https://pbs.twimg.com/media/Ger6h0iWsAAMDkX.jpg&quot;,&quot;https://pbs.twimg.com/media/Ger6h0pXIAAW1ON.jpg&quot;,&quot;https://pbs.twimg.com/media/Ger6m-YXEAAGujk.jpg&quot;,&quot;https://pbs.twimg.com/media/Ger6p_AWEAArXZt.jpg&quot;]"/>
    <s v="https://x.com/ManUtd/status/1868239326724948105"/>
    <s v="null"/>
    <n v="170"/>
    <n v="565"/>
    <n v="6022"/>
    <n v="246036"/>
    <s v=""/>
    <s v="[&quot;MUFC&quot;,&quot;MCIMUN&quot;]"/>
    <n v="38439094"/>
    <s v="’Tis the season to gift United! 🎁🎄"/>
    <n v="92455"/>
    <s v="https://pbs.twimg.com/profile_images/1856418426496880640/iIvJaO5T_normal.png"/>
    <n v="145"/>
    <b v="0"/>
    <n v="21"/>
    <n v="20"/>
    <s v="{&quot;post_id&quot;:null,&quot;profile_id&quot;:null,&quot;profile_name&quot;:null}"/>
    <s v="null"/>
    <s v="null"/>
    <s v="{&quot;data_posted&quot;:null,&quot;description&quot;:null,&quot;photos&quot;:null,&quot;post_id&quot;:null,&quot;profile_id&quot;:null,&quot;profile_name&quot;:null,&quot;url&quot;:null,&quot;videos&quot;:null}"/>
    <n v="6798"/>
    <n v="2.7630102911769011E-2"/>
    <d v="2024-12-15T00:00:00"/>
    <n v="0.42986111111111114"/>
    <x v="0"/>
    <x v="17"/>
    <x v="0"/>
    <x v="0"/>
    <x v="1"/>
    <x v="0"/>
    <n v="107"/>
    <x v="1"/>
  </r>
  <r>
    <n v="1.8683434426420063E+18"/>
    <s v="dea███nde███n"/>
    <s v="Dea███end███on"/>
    <s v="What it means!! Let’s go!! I love this team💙❤️🔜🔛🔝 @CPFC"/>
    <s v="&quot;2024-12-15T17:12:43.000Z&quot;"/>
    <s v="[&quot;https://pbs.twimg.com/media/Ge2wdVZXQAEeqNl.jpg&quot;]"/>
    <s v="https://x.com/deanhenderson/status/1868343442642006395"/>
    <s v="[{&quot;biography&quot;:null,&quot;followers&quot;:null,&quot;following&quot;:null,&quot;is_verified&quot;:null,&quot;profile_id&quot;:&quot;85307509&quot;,&quot;profile_name&quot;:&quot;Crystal Palace F.C.&quot;,&quot;url&quot;:&quot;https://x.com/CPFC&quot;}]"/>
    <n v="82"/>
    <n v="156"/>
    <n v="3265"/>
    <n v="128756"/>
    <s v=""/>
    <s v="null"/>
    <n v="592483"/>
    <s v="@CPFC and @England ⚽️ 🔜🔛🔝 info@deanhendersonofficial.com"/>
    <n v="1456"/>
    <s v="https://pbs.twimg.com/profile_images/1779538100181401600/W8HAN0ep_normal.jpg"/>
    <n v="255"/>
    <b v="0"/>
    <n v="26"/>
    <n v="14"/>
    <s v="{&quot;post_id&quot;:null,&quot;profile_id&quot;:null,&quot;profile_name&quot;:null}"/>
    <s v="null"/>
    <s v="null"/>
    <s v="{&quot;data_posted&quot;:null,&quot;description&quot;:null,&quot;photos&quot;:null,&quot;post_id&quot;:null,&quot;profile_id&quot;:null,&quot;profile_name&quot;:null,&quot;url&quot;:null,&quot;videos&quot;:null}"/>
    <n v="3543"/>
    <n v="2.7517164248656373E-2"/>
    <d v="2024-12-15T00:00:00"/>
    <n v="0.7171643518518519"/>
    <x v="0"/>
    <x v="12"/>
    <x v="0"/>
    <x v="0"/>
    <x v="0"/>
    <x v="0"/>
    <n v="55"/>
    <x v="2"/>
  </r>
  <r>
    <n v="1.866014924918719E+18"/>
    <s v="LaL███"/>
    <s v="LAL███"/>
    <s v="Nunca dejes de creer. ❤️🤍_x000a__x000a_@Atleti | #LALIGAEASPORTS"/>
    <s v="&quot;2024-12-09T07:00:01.000Z&quot;"/>
    <s v="[&quot;https://pbs.twimg.com/media/GeUDWWhWAAAuGsx.jpg&quot;]"/>
    <s v="https://x.com/LaLiga/status/1866014924918718924"/>
    <s v="[{&quot;biography&quot;:null,&quot;followers&quot;:null,&quot;following&quot;:null,&quot;is_verified&quot;:null,&quot;profile_id&quot;:&quot;199354750&quot;,&quot;profile_name&quot;:&quot;Atlético de Madrid&quot;,&quot;url&quot;:&quot;https://x.com/Atleti&quot;}]"/>
    <n v="12"/>
    <n v="51"/>
    <n v="1013"/>
    <n v="39620"/>
    <s v=""/>
    <s v="[&quot;LALIGAEASPORTS&quot;]"/>
    <n v="12779158"/>
    <s v="⚽️ LALIGA EA SPORTS &amp; LALIGA HYPERMOTION  🌍 #EarnItOnThePitch"/>
    <n v="190222"/>
    <s v="https://pbs.twimg.com/profile_images/1865692791516352512/lccvCyOR_normal.jpg"/>
    <n v="637"/>
    <b v="0"/>
    <n v="3"/>
    <n v="7"/>
    <s v="{&quot;post_id&quot;:null,&quot;profile_id&quot;:null,&quot;profile_name&quot;:null}"/>
    <s v="null"/>
    <s v="null"/>
    <s v="{&quot;data_posted&quot;:null,&quot;description&quot;:null,&quot;photos&quot;:null,&quot;post_id&quot;:null,&quot;profile_id&quot;:null,&quot;profile_name&quot;:null,&quot;url&quot;:null,&quot;videos&quot;:null}"/>
    <n v="1086"/>
    <n v="2.7410398788490661E-2"/>
    <d v="2024-12-09T00:00:00"/>
    <n v="0.29167824074074072"/>
    <x v="2"/>
    <x v="20"/>
    <x v="0"/>
    <x v="0"/>
    <x v="1"/>
    <x v="0"/>
    <n v="52"/>
    <x v="1"/>
  </r>
  <r>
    <n v="1.868393715091563E+18"/>
    <s v="acm███n"/>
    <s v="AC ███an"/>
    <s v="Celebrating 125 years with those who made it unforgettable ❤️🖤_x000a__x000a_#MilanGenoa #ACMilanWorthEveryMinute #SempreMilan _x000a_Brought to you by @emirates"/>
    <s v="&quot;2024-12-15T20:32:29.000Z&quot;"/>
    <s v="[&quot;https://pbs.twimg.com/media/Ge3eE9UXEAM-ccS.jpg&quot;,&quot;https://pbs.twimg.com/media/Ge3eGF9W0AA38Dw.jpg&quot;]"/>
    <s v="https://x.com/acmilan/status/1868393715091562989"/>
    <s v="[{&quot;biography&quot;:null,&quot;followers&quot;:null,&quot;following&quot;:null,&quot;is_verified&quot;:null,&quot;profile_id&quot;:&quot;821045162&quot;,&quot;profile_name&quot;:&quot;Emirates&quot;,&quot;url&quot;:&quot;https://x.com/emirates&quot;}]"/>
    <n v="27"/>
    <n v="157"/>
    <n v="1408"/>
    <n v="59698"/>
    <s v=""/>
    <s v="[&quot;MilanGenoa&quot;,&quot;ACMilanWorthEveryMinute&quot;,&quot;SempreMilan&quot;]"/>
    <n v="8539604"/>
    <s v="❤🖤 125 years together, worth every minute ❤🖤 _x000a__x000a_#SempreMilan since 1899! 🔙 _x000a__x000a_Arabic: @acmilanar | Portuguese: @acmilanbr | #MilanYouth: @acmilanyouth"/>
    <n v="75535"/>
    <s v="https://pbs.twimg.com/profile_images/1848748720050868225/FQY9F6Hn_normal.jpg"/>
    <n v="117"/>
    <b v="0"/>
    <n v="19"/>
    <n v="24"/>
    <s v="{&quot;post_id&quot;:null,&quot;profile_id&quot;:null,&quot;profile_name&quot;:null}"/>
    <s v="null"/>
    <s v="null"/>
    <s v="{&quot;data_posted&quot;:null,&quot;description&quot;:null,&quot;photos&quot;:null,&quot;post_id&quot;:null,&quot;profile_id&quot;:null,&quot;profile_name&quot;:null,&quot;url&quot;:null,&quot;videos&quot;:null}"/>
    <n v="1635"/>
    <n v="2.7387852189353076E-2"/>
    <d v="2024-12-15T00:00:00"/>
    <n v="0.85589120370370375"/>
    <x v="0"/>
    <x v="3"/>
    <x v="0"/>
    <x v="0"/>
    <x v="1"/>
    <x v="0"/>
    <n v="142"/>
    <x v="0"/>
  </r>
  <r>
    <n v="1.8680879643429112E+18"/>
    <s v="Dim███r"/>
    <s v="DIM███R"/>
    <s v="📣 ¡𝗘𝗹 𝗖𝗮𝗽𝗶𝘁𝗮́𝗻 𝗾𝘂𝗶𝗲𝗿𝗲 𝘂𝗻 𝗻𝘂𝗲𝘃𝗼 𝘁𝗶́𝘁𝘂𝗹𝗼!..._x000a__x000a_David Ospina de @nacionaloficial espera vivir un gran partido de Vuelta de la Final de la #CopaBetPlayDIMAYOR 2024_x000a__x000a_🟢⚪_x000a__x000a_#LaPasiónDeMillones"/>
    <s v="&quot;2024-12-15T00:17:32.000Z&quot;"/>
    <s v="[&quot;https://pbs.twimg.com/media/GezHX8ZXQAAFOP0.jpg&quot;]"/>
    <s v="https://x.com/Dimayor/status/1868087964342911266"/>
    <s v="[{&quot;biography&quot;:null,&quot;followers&quot;:null,&quot;following&quot;:null,&quot;is_verified&quot;:null,&quot;profile_id&quot;:&quot;177641139&quot;,&quot;profile_name&quot;:&quot;Atlético Nacional&quot;,&quot;url&quot;:&quot;https://x.com/nacionaloficial&quot;}]"/>
    <n v="3"/>
    <n v="10"/>
    <n v="188"/>
    <n v="7529"/>
    <s v=""/>
    <s v="[&quot;CopaBetPlayDIMAYOR&quot;,&quot;LaPasiónDeMillones&quot;]"/>
    <n v="1511302"/>
    <s v="Cuenta oficial de la División Mayor del Fútbol Colombiano - 𝐃𝐈𝐌𝐀𝐘𝐎𝐑 || LigaBetPlay🏆LigaFemeninaBetPlay🏆 TorneoBetPlay🏆 CopaBetPlay🏆 || 𝟐𝟎𝟐𝟒 ||"/>
    <n v="56647"/>
    <s v="https://pbs.twimg.com/profile_images/1741738883782500353/WefLAabU_normal.jpg"/>
    <n v="80"/>
    <b v="0"/>
    <n v="0"/>
    <n v="2"/>
    <s v="{&quot;post_id&quot;:null,&quot;profile_id&quot;:null,&quot;profile_name&quot;:null}"/>
    <s v="null"/>
    <s v="null"/>
    <s v="{&quot;data_posted&quot;:null,&quot;description&quot;:null,&quot;photos&quot;:null,&quot;post_id&quot;:null,&quot;profile_id&quot;:null,&quot;profile_name&quot;:null,&quot;url&quot;:null,&quot;videos&quot;:null}"/>
    <n v="203"/>
    <n v="2.6962412006906626E-2"/>
    <d v="2024-12-15T00:00:00"/>
    <n v="1.2175925925925925E-2"/>
    <x v="0"/>
    <x v="5"/>
    <x v="0"/>
    <x v="0"/>
    <x v="1"/>
    <x v="0"/>
    <n v="183"/>
    <x v="0"/>
  </r>
  <r>
    <n v="1.8684202794514601E+18"/>
    <s v="tvg███o"/>
    <s v="TV ███bo ███"/>
    <s v="&quot;Atriz de Novela&quot; de 2024 é Andrea Beltrão ❤️ #MelhoresDoAno #Domingão"/>
    <s v="&quot;2024-12-15T22:18:02.000Z&quot;"/>
    <s v="null"/>
    <s v="https://x.com/tvglobo/status/1868420279451460022"/>
    <s v="null"/>
    <n v="23"/>
    <n v="60"/>
    <n v="399"/>
    <n v="19688"/>
    <s v=""/>
    <s v="[&quot;MelhoresDoAno&quot;,&quot;Domingão&quot;]"/>
    <n v="13492430"/>
    <s v="oi, eu sou a Glô 😜"/>
    <n v="314515"/>
    <s v="https://pbs.twimg.com/profile_images/1863599216829792256/r5M1uKA8_normal.jpg"/>
    <n v="708"/>
    <b v="0"/>
    <n v="27"/>
    <n v="20"/>
    <s v="{&quot;post_id&quot;:null,&quot;profile_id&quot;:null,&quot;profile_name&quot;:null}"/>
    <s v="null"/>
    <s v="[{&quot;duration&quot;:14760,&quot;video_url&quot;:&quot;https://video.twimg.com/amplify_video/1868419870271885312/vid/avc1/1920x1080/IpX0GqBJHpMUuB0N.mp4?tag=16&quot;}]"/>
    <s v="{&quot;data_posted&quot;:null,&quot;description&quot;:null,&quot;photos&quot;:null,&quot;post_id&quot;:null,&quot;profile_id&quot;:null,&quot;profile_name&quot;:null,&quot;url&quot;:null,&quot;videos&quot;:null}"/>
    <n v="529"/>
    <n v="2.6869158878504672E-2"/>
    <d v="2024-12-15T00:00:00"/>
    <n v="0.92918981481481477"/>
    <x v="0"/>
    <x v="11"/>
    <x v="1"/>
    <x v="1"/>
    <x v="1"/>
    <x v="0"/>
    <n v="70"/>
    <x v="1"/>
  </r>
  <r>
    <n v="1.8683415302029847E+18"/>
    <s v="SLB███ica███"/>
    <s v="SL ███fic███"/>
    <s v="🚨 TEAM NEWS! 🚨_x000a__x000a_#AVSSLB • #LigaPortugalBetclic"/>
    <s v="&quot;2024-12-15T17:05:07.000Z&quot;"/>
    <s v="[&quot;https://pbs.twimg.com/media/Ge2utM1XIAAJ3ij.jpg&quot;]"/>
    <s v="https://x.com/slbenfica_en/status/1868341530202984778"/>
    <s v="null"/>
    <n v="4"/>
    <n v="2"/>
    <n v="125"/>
    <n v="5099"/>
    <s v=""/>
    <s v="[&quot;AVSSLB&quot;,&quot;LigaPortugalBetclic&quot;]"/>
    <n v="231526"/>
    <s v="SL Benfica's Official Twitter account."/>
    <n v="18314"/>
    <s v="https://pbs.twimg.com/profile_images/1845888824863236096/gHzX4v6V_normal.jpg"/>
    <n v="233"/>
    <b v="0"/>
    <n v="3"/>
    <n v="2"/>
    <s v="{&quot;post_id&quot;:null,&quot;profile_id&quot;:null,&quot;profile_name&quot;:null}"/>
    <s v="null"/>
    <s v="null"/>
    <s v="{&quot;data_posted&quot;:null,&quot;description&quot;:null,&quot;photos&quot;:null,&quot;post_id&quot;:null,&quot;profile_id&quot;:null,&quot;profile_name&quot;:null,&quot;url&quot;:null,&quot;videos&quot;:null}"/>
    <n v="136"/>
    <n v="2.6671896450284369E-2"/>
    <d v="2024-12-15T00:00:00"/>
    <n v="0.71188657407407407"/>
    <x v="0"/>
    <x v="12"/>
    <x v="0"/>
    <x v="0"/>
    <x v="1"/>
    <x v="0"/>
    <n v="46"/>
    <x v="2"/>
  </r>
  <r>
    <n v="1.8682383197771162E+18"/>
    <s v="FIA███"/>
    <s v="FIA███rld███dur█████████pio██████"/>
    <s v="The one with extra time. 👀🇧🇪_x000a__x000a_@circuitspa saw one of our most dramatic races of the season._x000a__x000a_Here’s some of the best images from THAT race 👇_x000a__x000a_#WEC #6HSpa"/>
    <s v="&quot;2024-12-15T10:15:00.000Z&quot;"/>
    <s v="[&quot;https://pbs.twimg.com/media/GeoZvvTXQAAIRU7.jpg&quot;,&quot;https://pbs.twimg.com/media/GeoZxt7XoAAS_qY.jpg&quot;,&quot;https://pbs.twimg.com/media/GeoZ3a3XcAA-Shz.jpg&quot;]"/>
    <s v="https://x.com/FIAWEC/status/1868238319777116269"/>
    <s v="[{&quot;biography&quot;:null,&quot;followers&quot;:null,&quot;following&quot;:null,&quot;is_verified&quot;:null,&quot;profile_id&quot;:&quot;757979287790182400&quot;,&quot;profile_name&quot;:&quot;Spa-Francorchamps&quot;,&quot;url&quot;:&quot;https://x.com/circuitspa&quot;}]"/>
    <n v="1"/>
    <n v="25"/>
    <n v="398"/>
    <n v="16527"/>
    <s v=""/>
    <s v="[&quot;WEC&quot;,&quot;6HSpa&quot;]"/>
    <n v="433377"/>
    <s v="The official Twitter account for the FIA World Endurance Championship, Le Mans Hypercar and LMGT3 endurance racing around the world. #WEC"/>
    <n v="58051"/>
    <s v="https://pbs.twimg.com/profile_images/1726640111318659072/twJQHrFx_normal.jpg"/>
    <n v="322"/>
    <b v="0"/>
    <n v="4"/>
    <n v="12"/>
    <s v="{&quot;post_id&quot;:null,&quot;profile_id&quot;:null,&quot;profile_name&quot;:null}"/>
    <s v="null"/>
    <s v="null"/>
    <s v="{&quot;data_posted&quot;:null,&quot;description&quot;:null,&quot;photos&quot;:null,&quot;post_id&quot;:null,&quot;profile_id&quot;:null,&quot;profile_name&quot;:null,&quot;url&quot;:null,&quot;videos&quot;:null}"/>
    <n v="440"/>
    <n v="2.662310159133539E-2"/>
    <d v="2024-12-15T00:00:00"/>
    <n v="0.42708333333333331"/>
    <x v="0"/>
    <x v="17"/>
    <x v="0"/>
    <x v="0"/>
    <x v="1"/>
    <x v="0"/>
    <n v="153"/>
    <x v="2"/>
  </r>
  <r>
    <n v="1.8683626084637537E+18"/>
    <s v="spfl"/>
    <s v="SPFL"/>
    <s v="Icy cool under pressure 🥶_x000a__x000a_Daizen Maeda converts the crucial spot kick to clinch the Premier Sports Cup for @CelticFC 🏆"/>
    <s v="&quot;2024-12-15T18:28:53.000Z&quot;"/>
    <s v="null"/>
    <s v="https://x.com/spfl/status/1868362608463753713"/>
    <s v="[{&quot;biography&quot;:null,&quot;followers&quot;:null,&quot;following&quot;:null,&quot;is_verified&quot;:null,&quot;profile_id&quot;:&quot;15203904&quot;,&quot;profile_name&quot;:&quot;Celtic Football Club&quot;,&quot;url&quot;:&quot;https://x.com/CelticFC&quot;}]"/>
    <n v="12"/>
    <n v="77"/>
    <n v="716"/>
    <n v="31057"/>
    <s v=""/>
    <s v="null"/>
    <n v="294711"/>
    <s v="Official Twitter/X account for the Scottish Professional Football League, sponsored by @WilliamHill."/>
    <n v="66342"/>
    <s v="https://pbs.twimg.com/profile_images/1798999022348496896/ZZU_hFqY_normal.jpg"/>
    <n v="1449"/>
    <b v="0"/>
    <n v="5"/>
    <n v="14"/>
    <s v="{&quot;post_id&quot;:null,&quot;profile_id&quot;:null,&quot;profile_name&quot;:null}"/>
    <s v="null"/>
    <s v="[{&quot;duration&quot;:104136,&quot;video_url&quot;:&quot;https://video.twimg.com/amplify_video/1868362106745090049/vid/avc1/1280x720/6wbONiyclFuHsz5S.mp4?tag=16&quot;}]"/>
    <s v="{&quot;data_posted&quot;:null,&quot;description&quot;:null,&quot;photos&quot;:null,&quot;post_id&quot;:null,&quot;profile_id&quot;:null,&quot;profile_name&quot;:null,&quot;url&quot;:null,&quot;videos&quot;:null}"/>
    <n v="824"/>
    <n v="2.6531860772128667E-2"/>
    <d v="2024-12-15T00:00:00"/>
    <n v="0.77005787037037032"/>
    <x v="0"/>
    <x v="8"/>
    <x v="1"/>
    <x v="1"/>
    <x v="0"/>
    <x v="0"/>
    <n v="119"/>
    <x v="2"/>
  </r>
  <r>
    <n v="1.8682858781306883E+18"/>
    <s v="Bar███ysW███"/>
    <s v="Bar███ys ███en'█████████eag███"/>
    <s v="That first half in numbers! 🔢_x000a__x000a_#BarclaysWSL"/>
    <s v="&quot;2024-12-15T13:23:59.000Z&quot;"/>
    <s v="[&quot;https://pbs.twimg.com/media/Ge178OIXoAA8JuO.jpg&quot;]"/>
    <s v="https://x.com/BarclaysWSL/status/1868285878130688200"/>
    <s v="null"/>
    <n v="25"/>
    <n v="43"/>
    <n v="883"/>
    <n v="36948"/>
    <s v=""/>
    <s v="[&quot;BarclaysWSL&quot;]"/>
    <n v="337839"/>
    <s v="The home of top-flight women's football in England! 🤩_x000a__x000a_Subscribe to our brand-new BWSL YouTube Channel! 📺 #BarclaysWSL"/>
    <n v="57638"/>
    <s v="https://pbs.twimg.com/profile_images/1605171595160555521/NKG9mgxv_normal.jpg"/>
    <n v="587"/>
    <b v="0"/>
    <n v="25"/>
    <n v="4"/>
    <s v="{&quot;post_id&quot;:null,&quot;profile_id&quot;:null,&quot;profile_name&quot;:null}"/>
    <s v="null"/>
    <s v="null"/>
    <s v="{&quot;data_posted&quot;:null,&quot;description&quot;:null,&quot;photos&quot;:null,&quot;post_id&quot;:null,&quot;profile_id&quot;:null,&quot;profile_name&quot;:null,&quot;url&quot;:null,&quot;videos&quot;:null}"/>
    <n v="980"/>
    <n v="2.652376312655624E-2"/>
    <d v="2024-12-15T00:00:00"/>
    <n v="0.55832175925925931"/>
    <x v="0"/>
    <x v="14"/>
    <x v="0"/>
    <x v="0"/>
    <x v="1"/>
    <x v="0"/>
    <n v="43"/>
    <x v="2"/>
  </r>
  <r>
    <n v="1.8682345509139579E+18"/>
    <s v="LFC"/>
    <s v="Liv███ool███"/>
    <s v="The pitchside view of Cody's leveller 🎥_x000a__x000a_#TeamPixel | #Ad"/>
    <s v="&quot;2024-12-15T10:00:01.000Z&quot;"/>
    <s v="null"/>
    <s v="https://x.com/LFC/status/1868234550913958014"/>
    <s v="null"/>
    <n v="87"/>
    <n v="463"/>
    <n v="5209"/>
    <n v="220444"/>
    <s v=""/>
    <s v="[&quot;TeamPixel&quot;,&quot;Ad&quot;]"/>
    <n v="24644782"/>
    <s v="Official X account of Liverpool Football Club 🔴 Stop The Hate, Report It. #RedTogether ✊ @LFCHelp 💻"/>
    <n v="122426"/>
    <s v="https://pbs.twimg.com/profile_images/1856268307868844032/lbdn4-vK_normal.jpg"/>
    <n v="339854"/>
    <b v="0"/>
    <n v="17"/>
    <n v="64"/>
    <s v="{&quot;post_id&quot;:null,&quot;profile_id&quot;:null,&quot;profile_name&quot;:null}"/>
    <s v="null"/>
    <s v="[{&quot;duration&quot;:15700,&quot;video_url&quot;:&quot;https://video.twimg.com/amplify_video/1868003071197843456/vid/avc1/1080x1080/M6L37DUtWuAsniE7.mp4?tag=16&quot;}]"/>
    <s v="{&quot;data_posted&quot;:null,&quot;description&quot;:null,&quot;photos&quot;:null,&quot;post_id&quot;:null,&quot;profile_id&quot;:null,&quot;profile_name&quot;:null,&quot;url&quot;:null,&quot;videos&quot;:null}"/>
    <n v="5840"/>
    <n v="2.6491988895138902E-2"/>
    <d v="2024-12-15T00:00:00"/>
    <n v="0.41667824074074072"/>
    <x v="0"/>
    <x v="17"/>
    <x v="1"/>
    <x v="1"/>
    <x v="1"/>
    <x v="0"/>
    <n v="57"/>
    <x v="1"/>
  </r>
  <r>
    <n v="1.8683867041653926E+18"/>
    <s v="tvg███o"/>
    <s v="TV ███bo ███"/>
    <s v="ALÉM DE JORNALISTA, CANTORAAAAAAA 😱 @KarineAlves_tv que voz linda é essa que cê tava escondendo, heinnn? QUEM SABE FAZ AO VIVOOOO 🤌 #MelhoresDoAno #Domingão"/>
    <s v="&quot;2024-12-15T20:04:37.000Z&quot;"/>
    <s v="null"/>
    <s v="https://x.com/tvglobo/status/1868386704165392720"/>
    <s v="[{&quot;biography&quot;:null,&quot;followers&quot;:null,&quot;following&quot;:null,&quot;is_verified&quot;:null,&quot;profile_id&quot;:&quot;177084547&quot;,&quot;profile_name&quot;:&quot;Karine Alves&quot;,&quot;url&quot;:&quot;https://x.com/KarineAlves_tv&quot;}]"/>
    <n v="14"/>
    <n v="38"/>
    <n v="553"/>
    <n v="23858"/>
    <s v=""/>
    <s v="[&quot;MelhoresDoAno&quot;,&quot;Domingão&quot;]"/>
    <n v="13492430"/>
    <s v="oi, eu sou a Glô 😜"/>
    <n v="314515"/>
    <s v="https://pbs.twimg.com/profile_images/1863599216829792256/r5M1uKA8_normal.jpg"/>
    <n v="708"/>
    <b v="0"/>
    <n v="12"/>
    <n v="14"/>
    <s v="{&quot;post_id&quot;:null,&quot;profile_id&quot;:null,&quot;profile_name&quot;:null}"/>
    <s v="null"/>
    <s v="[{&quot;duration&quot;:70350,&quot;video_url&quot;:&quot;https://video.twimg.com/amplify_video/1868386601635598336/vid/avc1/1920x1080/8tr_3zBmHxqKGQ0I.mp4?tag=16&quot;}]"/>
    <s v="{&quot;data_posted&quot;:null,&quot;description&quot;:null,&quot;photos&quot;:null,&quot;post_id&quot;:null,&quot;profile_id&quot;:null,&quot;profile_name&quot;:null,&quot;url&quot;:null,&quot;videos&quot;:null}"/>
    <n v="631"/>
    <n v="2.6448151563416882E-2"/>
    <d v="2024-12-15T00:00:00"/>
    <n v="0.8365393518518518"/>
    <x v="0"/>
    <x v="3"/>
    <x v="1"/>
    <x v="1"/>
    <x v="1"/>
    <x v="0"/>
    <n v="156"/>
    <x v="1"/>
  </r>
  <r>
    <n v="1.8683617662307866E+18"/>
    <s v="Cel███FC"/>
    <s v="Cel███ Fo███all██████"/>
    <s v="Glasgow Celtic are the 2024/25 #PremierSportsCup Winners! 🏆 _x000a__x000a_Congratulations to Brendan Rodgers &amp;amp; the Bhoys! 👏_x000a__x000a_#CelticFC🍀"/>
    <s v="&quot;2024-12-15T18:25:32.000Z&quot;"/>
    <s v="[&quot;https://pbs.twimg.com/media/Ge3A7WlW8AE7cp9.jpg&quot;]"/>
    <s v="https://x.com/CelticFC/status/1868361766230786437"/>
    <s v="null"/>
    <n v="127"/>
    <n v="1663"/>
    <n v="7409"/>
    <n v="356196"/>
    <s v=""/>
    <s v="[&quot;PremierSportsCup&quot;,&quot;CelticFC&quot;]"/>
    <n v="984256"/>
    <s v="Glasgow Celtic - 2023/24 Double Winners! 🍀🏆 🟢 @CelticFCWomen ⚪ @CelticFCB 🎌 @CelticFCJPN 📽 @CelticTV 🛒 @CelticFCShop 🎟 @CelticFCTickets"/>
    <n v="136135"/>
    <s v="https://pbs.twimg.com/profile_images/1808866900228665344/xZAZuYBY_normal.jpg"/>
    <n v="438"/>
    <b v="0"/>
    <n v="191"/>
    <n v="28"/>
    <s v="{&quot;post_id&quot;:null,&quot;profile_id&quot;:null,&quot;profile_name&quot;:null}"/>
    <s v="null"/>
    <s v="null"/>
    <s v="{&quot;data_posted&quot;:null,&quot;description&quot;:null,&quot;photos&quot;:null,&quot;post_id&quot;:null,&quot;profile_id&quot;:null,&quot;profile_name&quot;:null,&quot;url&quot;:null,&quot;videos&quot;:null}"/>
    <n v="9418"/>
    <n v="2.6440499051084233E-2"/>
    <d v="2024-12-15T00:00:00"/>
    <n v="0.76773148148148151"/>
    <x v="0"/>
    <x v="8"/>
    <x v="0"/>
    <x v="0"/>
    <x v="1"/>
    <x v="0"/>
    <n v="127"/>
    <x v="2"/>
  </r>
  <r>
    <n v="1.8683000562874043E+18"/>
    <s v="Met███ole███"/>
    <s v="Met███ole███"/>
    <s v="➡️ Após 6 dias internado, Lula recebe alta da equipe médica neste domingo_x000a__x000a_Desde que foi internado em 9/12, Lula foi submetido a dois procedimentos cirúrgicos no Hospital Sírio Libanês, no centro de SP_x000a__x000a_Leia:"/>
    <s v="&quot;2024-12-15T14:20:19.000Z&quot;"/>
    <s v="[&quot;https://pbs.twimg.com/media/Ge2I6rfWwAEOtgR.png&quot;]"/>
    <s v="https://x.com/Metropoles/status/1868300056287404335"/>
    <s v="null"/>
    <n v="30"/>
    <n v="13"/>
    <n v="153"/>
    <n v="7586"/>
    <s v="https://curt.link/QbtlJ"/>
    <s v="null"/>
    <n v="1239617"/>
    <s v="📱 O seu portal de notícias. Tudo sobre política, saúde, justiça, comportamento, entretenimento. Confira os fatos relevantes do país e do mundo em tempo real."/>
    <n v="402839"/>
    <s v="https://pbs.twimg.com/profile_images/1642966741138415647/fHdgQUGl_normal.jpg"/>
    <n v="1644"/>
    <b v="0"/>
    <n v="3"/>
    <n v="1"/>
    <s v="{&quot;post_id&quot;:null,&quot;profile_id&quot;:null,&quot;profile_name&quot;:null}"/>
    <s v="null"/>
    <s v="null"/>
    <s v="{&quot;data_posted&quot;:null,&quot;description&quot;:null,&quot;photos&quot;:null,&quot;post_id&quot;:null,&quot;profile_id&quot;:null,&quot;profile_name&quot;:null,&quot;url&quot;:null,&quot;videos&quot;:null}"/>
    <n v="200"/>
    <n v="2.6364355391510677E-2"/>
    <d v="2024-12-15T00:00:00"/>
    <n v="0.59744212962962961"/>
    <x v="0"/>
    <x v="1"/>
    <x v="0"/>
    <x v="0"/>
    <x v="0"/>
    <x v="0"/>
    <n v="208"/>
    <x v="0"/>
  </r>
  <r>
    <n v="1.868394864259285E+18"/>
    <s v="tvg███o"/>
    <s v="TV ███bo ███"/>
    <s v="O prêmio de &quot;Jornalismo&quot; vai pro César Tralli 🏆🏆🏆 #MelhoresDoAno #Domingão"/>
    <s v="&quot;2024-12-15T20:37:03.000Z&quot;"/>
    <s v="null"/>
    <s v="https://x.com/tvglobo/status/1868394864259285067"/>
    <s v="null"/>
    <n v="16"/>
    <n v="41"/>
    <n v="357"/>
    <n v="16887"/>
    <s v=""/>
    <s v="[&quot;MelhoresDoAno&quot;,&quot;Domingão&quot;]"/>
    <n v="13492372"/>
    <s v="oi, eu sou a Glô 😜"/>
    <n v="314515"/>
    <s v="https://pbs.twimg.com/profile_images/1863599216829792256/r5M1uKA8_normal.jpg"/>
    <n v="708"/>
    <b v="0"/>
    <n v="18"/>
    <n v="11"/>
    <s v="{&quot;post_id&quot;:null,&quot;profile_id&quot;:null,&quot;profile_name&quot;:null}"/>
    <s v="null"/>
    <s v="[{&quot;duration&quot;:14819,&quot;video_url&quot;:&quot;https://video.twimg.com/amplify_video/1868394302440685568/vid/avc1/1920x1080/Qi-SDMwWPxS_v8IV.mp4?tag=16&quot;}]"/>
    <s v="{&quot;data_posted&quot;:null,&quot;description&quot;:null,&quot;photos&quot;:null,&quot;post_id&quot;:null,&quot;profile_id&quot;:null,&quot;profile_name&quot;:null,&quot;url&quot;:null,&quot;videos&quot;:null}"/>
    <n v="443"/>
    <n v="2.6233197133889975E-2"/>
    <d v="2024-12-15T00:00:00"/>
    <n v="0.85906249999999995"/>
    <x v="0"/>
    <x v="3"/>
    <x v="1"/>
    <x v="1"/>
    <x v="1"/>
    <x v="0"/>
    <n v="74"/>
    <x v="1"/>
  </r>
  <r>
    <n v="1.8684041468496407E+18"/>
    <s v="tvg███o"/>
    <s v="TV ███bo ███"/>
    <s v="TODOS EM UMA SÓ VOZ: EU ☝️ VOCÊ 🫵 E UMA CASINHA 🏠 @gloriagroove EU TE AMOOOO #MelhoresDoAno #Domingão"/>
    <s v="&quot;2024-12-15T21:13:56.000Z&quot;"/>
    <s v="null"/>
    <s v="https://x.com/tvglobo/status/1868404146849640694"/>
    <s v="[{&quot;biography&quot;:null,&quot;followers&quot;:null,&quot;following&quot;:null,&quot;is_verified&quot;:null,&quot;profile_id&quot;:&quot;37289477&quot;,&quot;profile_name&quot;:&quot;Gloria Groove&quot;,&quot;url&quot;:&quot;https://x.com/gloriagroove&quot;}]"/>
    <n v="4"/>
    <n v="43"/>
    <n v="231"/>
    <n v="11412"/>
    <s v=""/>
    <s v="[&quot;MelhoresDoAno&quot;,&quot;Domingão&quot;]"/>
    <n v="13492430"/>
    <s v="oi, eu sou a Glô 😜"/>
    <n v="314515"/>
    <s v="https://pbs.twimg.com/profile_images/1863599216829792256/r5M1uKA8_normal.jpg"/>
    <n v="708"/>
    <b v="0"/>
    <n v="11"/>
    <n v="9"/>
    <s v="{&quot;post_id&quot;:null,&quot;profile_id&quot;:null,&quot;profile_name&quot;:null}"/>
    <s v="null"/>
    <s v="[{&quot;duration&quot;:39700,&quot;video_url&quot;:&quot;https://video.twimg.com/amplify_video/1868403697769680896/vid/avc1/1920x1080/cVChpJ94G5NFx-28.mp4?tag=16&quot;}]"/>
    <s v="{&quot;data_posted&quot;:null,&quot;description&quot;:null,&quot;photos&quot;:null,&quot;post_id&quot;:null,&quot;profile_id&quot;:null,&quot;profile_name&quot;:null,&quot;url&quot;:null,&quot;videos&quot;:null}"/>
    <n v="298"/>
    <n v="2.6112863652295829E-2"/>
    <d v="2024-12-15T00:00:00"/>
    <n v="0.88467592592592592"/>
    <x v="0"/>
    <x v="10"/>
    <x v="1"/>
    <x v="1"/>
    <x v="1"/>
    <x v="0"/>
    <n v="101"/>
    <x v="1"/>
  </r>
  <r>
    <n v="1.8681155917454095E+18"/>
    <s v="WWE"/>
    <s v="WWE"/>
    <s v="WHAT. A. MATCH. _x000a__x000a_@Gunther_AUT leaves #SNME STILL the World Heavyweight Champion!"/>
    <s v="&quot;2024-12-15T02:07:19.000Z&quot;"/>
    <s v="[&quot;https://pbs.twimg.com/media/GezhHeyXYAA_LMP.jpg&quot;]"/>
    <s v="https://x.com/WWE/status/1868115591745409474"/>
    <s v="[{&quot;biography&quot;:null,&quot;followers&quot;:null,&quot;following&quot;:null,&quot;is_verified&quot;:null,&quot;profile_id&quot;:&quot;2878369050&quot;,&quot;profile_name&quot;:&quot;GUNTHER&quot;,&quot;url&quot;:&quot;https://x.com/Gunther_AUT&quot;}]"/>
    <n v="359"/>
    <n v="1075"/>
    <n v="7324"/>
    <n v="349721"/>
    <s v=""/>
    <s v="[&quot;SNME&quot;]"/>
    <n v="14375935"/>
    <s v="WWE Raw | Mondays at 8/7c on USA Network _x000a_WWE NXT | Tuesdays at 8/7c on The CW _x000a_WWE SmackDown | Fridays at 8/7c on USA Network"/>
    <n v="346973"/>
    <s v="https://pbs.twimg.com/profile_images/1383079031805972485/3sWoMX-R_normal.jpg"/>
    <n v="392"/>
    <b v="0"/>
    <n v="112"/>
    <n v="107"/>
    <s v="{&quot;post_id&quot;:null,&quot;profile_id&quot;:null,&quot;profile_name&quot;:null}"/>
    <s v="null"/>
    <s v="null"/>
    <s v="{&quot;data_posted&quot;:null,&quot;description&quot;:null,&quot;photos&quot;:null,&quot;post_id&quot;:null,&quot;profile_id&quot;:null,&quot;profile_name&quot;:null,&quot;url&quot;:null,&quot;videos&quot;:null}"/>
    <n v="8977"/>
    <n v="2.5669033315128344E-2"/>
    <d v="2024-12-15T00:00:00"/>
    <n v="8.8414351851851855E-2"/>
    <x v="0"/>
    <x v="2"/>
    <x v="0"/>
    <x v="0"/>
    <x v="1"/>
    <x v="0"/>
    <n v="81"/>
    <x v="1"/>
  </r>
  <r>
    <n v="1.868318120454345E+18"/>
    <s v="Met███ole███"/>
    <s v="Met███ole███"/>
    <s v="➡️ Rayssa Leal vence etapa do Mundial de Skate e conquista tri inédito_x000a__x000a_Em uma final de alto nível, Rayssa Leal conquistou seu terceiro título consecutivo. Ela ficou à frente das japonesas Coco Yoshizawa e Yumeka_x000a__x000a_Leia:"/>
    <s v="&quot;2024-12-15T15:32:06.000Z&quot;"/>
    <s v="[&quot;https://pbs.twimg.com/media/Ge2Za8rXMAI1Gkh.png&quot;]"/>
    <s v="https://x.com/Metropoles/status/1868318120454344922"/>
    <s v="null"/>
    <n v="3"/>
    <n v="8"/>
    <n v="107"/>
    <n v="4720"/>
    <s v="https://curt.link/GSoPO"/>
    <s v="null"/>
    <n v="1239618"/>
    <s v="📱 O seu portal de notícias. Tudo sobre política, saúde, justiça, comportamento, entretenimento. Confira os fatos relevantes do país e do mundo em tempo real."/>
    <n v="402839"/>
    <s v="https://pbs.twimg.com/profile_images/1642966741138415647/fHdgQUGl_normal.jpg"/>
    <n v="1644"/>
    <b v="0"/>
    <n v="1"/>
    <n v="1"/>
    <s v="{&quot;post_id&quot;:null,&quot;profile_id&quot;:null,&quot;profile_name&quot;:null}"/>
    <s v="null"/>
    <s v="null"/>
    <s v="{&quot;data_posted&quot;:null,&quot;description&quot;:null,&quot;photos&quot;:null,&quot;post_id&quot;:null,&quot;profile_id&quot;:null,&quot;profile_name&quot;:null,&quot;url&quot;:null,&quot;videos&quot;:null}"/>
    <n v="120"/>
    <n v="2.5423728813559324E-2"/>
    <d v="2024-12-15T00:00:00"/>
    <n v="0.64729166666666671"/>
    <x v="0"/>
    <x v="13"/>
    <x v="0"/>
    <x v="0"/>
    <x v="0"/>
    <x v="0"/>
    <n v="219"/>
    <x v="0"/>
  </r>
  <r>
    <n v="1.868424825582027E+18"/>
    <s v="tvg███o"/>
    <s v="TV ███bo ███"/>
    <s v="Beijinho do Chay pra vocês, turma 💋 #MelhoresDoAno #Domingão"/>
    <s v="&quot;2024-12-15T22:36:06.000Z&quot;"/>
    <s v="null"/>
    <s v="https://x.com/tvglobo/status/1868424825582026967"/>
    <s v="null"/>
    <n v="11"/>
    <n v="51"/>
    <n v="241"/>
    <n v="13200"/>
    <s v=""/>
    <s v="[&quot;MelhoresDoAno&quot;,&quot;Domingão&quot;]"/>
    <n v="13492430"/>
    <s v="oi, eu sou a Glô 😜"/>
    <n v="314515"/>
    <s v="https://pbs.twimg.com/profile_images/1863599216829792256/r5M1uKA8_normal.jpg"/>
    <n v="708"/>
    <b v="0"/>
    <n v="13"/>
    <n v="19"/>
    <s v="{&quot;post_id&quot;:null,&quot;profile_id&quot;:null,&quot;profile_name&quot;:null}"/>
    <s v="null"/>
    <s v="[{&quot;duration&quot;:3139,&quot;video_url&quot;:&quot;https://video.twimg.com/amplify_video/1868424619092258816/vid/avc1/1920x1080/Nrhu1m22x5PVlv7b.mp4?tag=16&quot;}]"/>
    <s v="{&quot;data_posted&quot;:null,&quot;description&quot;:null,&quot;photos&quot;:null,&quot;post_id&quot;:null,&quot;profile_id&quot;:null,&quot;profile_name&quot;:null,&quot;url&quot;:null,&quot;videos&quot;:null}"/>
    <n v="335"/>
    <n v="2.5378787878787879E-2"/>
    <d v="2024-12-15T00:00:00"/>
    <n v="0.94173611111111111"/>
    <x v="0"/>
    <x v="11"/>
    <x v="1"/>
    <x v="1"/>
    <x v="1"/>
    <x v="0"/>
    <n v="60"/>
    <x v="1"/>
  </r>
  <r>
    <n v="1.8684063350138435E+18"/>
    <s v="SLB███ica███"/>
    <s v="SL ███fic███"/>
    <s v="🎞⚽ _x000a__x000a_#AVSSLB • #LigaPortugalBetclic _x000a__x000a_🎥 Acompanha os nossos jogos fora na @sporttvportugal"/>
    <s v="&quot;2024-12-15T21:22:38.000Z&quot;"/>
    <s v="null"/>
    <s v="https://x.com/SLBenfica/status/1868406335013843350"/>
    <s v="[{&quot;biography&quot;:null,&quot;followers&quot;:null,&quot;following&quot;:null,&quot;is_verified&quot;:null,&quot;profile_id&quot;:&quot;40019154&quot;,&quot;profile_name&quot;:&quot;sport tv&quot;,&quot;url&quot;:&quot;https://x.com/sporttvportugal&quot;}]"/>
    <n v="11"/>
    <n v="18"/>
    <n v="404"/>
    <n v="17259"/>
    <s v=""/>
    <s v="[&quot;AVSSLB&quot;,&quot;LigaPortugalBetclic&quot;]"/>
    <n v="1906482"/>
    <s v="Twitter Oficial do 𝗦𝗽𝗼𝗿𝘁 𝗟𝗶𝘀𝗯𝗼𝗮 𝗲 𝗕𝗲𝗻𝗳𝗶𝗰𝗮 _x000a_English account: @SLBenfica_EN 🇬🇧🇺🇸_x000a_Modalidades: @ModalidadesSLB 🏑🏀"/>
    <n v="124666"/>
    <s v="https://pbs.twimg.com/profile_images/1845888754898161664/8uDsALMU_normal.jpg"/>
    <n v="432"/>
    <b v="0"/>
    <n v="0"/>
    <n v="5"/>
    <s v="{&quot;post_id&quot;:null,&quot;profile_id&quot;:null,&quot;profile_name&quot;:null}"/>
    <s v="null"/>
    <s v="[{&quot;duration&quot;:22933,&quot;video_url&quot;:&quot;https://video.twimg.com/amplify_video/1868404790453047296/vid/avc1/720x1280/7QEJeY8EKLe-Ptg8.mp4?tag=14&quot;}]"/>
    <s v="{&quot;data_posted&quot;:null,&quot;description&quot;:null,&quot;photos&quot;:null,&quot;post_id&quot;:null,&quot;profile_id&quot;:null,&quot;profile_name&quot;:null,&quot;url&quot;:null,&quot;videos&quot;:null}"/>
    <n v="438"/>
    <n v="2.53780636189814E-2"/>
    <d v="2024-12-15T00:00:00"/>
    <n v="0.89071759259259264"/>
    <x v="0"/>
    <x v="10"/>
    <x v="1"/>
    <x v="1"/>
    <x v="1"/>
    <x v="0"/>
    <n v="90"/>
    <x v="0"/>
  </r>
  <r>
    <n v="1.868285602413609E+18"/>
    <s v="Bar███ysW███"/>
    <s v="Bar███ys ███en'█████████eag███"/>
    <s v="👀 Will Terland get herself on the scoresheet again today?_x000a__x000a_#BarclaysWSL @ManUtdWomen"/>
    <s v="&quot;2024-12-15T13:22:53.000Z&quot;"/>
    <s v="null"/>
    <s v="https://x.com/BarclaysWSL/status/1868285602413608974"/>
    <s v="[{&quot;biography&quot;:null,&quot;followers&quot;:null,&quot;following&quot;:null,&quot;is_verified&quot;:null,&quot;profile_id&quot;:&quot;977180963846443013&quot;,&quot;profile_name&quot;:&quot;Manchester United Women&quot;,&quot;url&quot;:&quot;https://x.com/ManUtdWomen&quot;}]"/>
    <n v="4"/>
    <n v="15"/>
    <n v="209"/>
    <n v="9112"/>
    <s v=""/>
    <s v="[&quot;BarclaysWSL&quot;]"/>
    <n v="337839"/>
    <s v="The home of top-flight women's football in England! 🤩_x000a__x000a_Subscribe to our brand-new BWSL YouTube Channel! 📺 #BarclaysWSL"/>
    <n v="57638"/>
    <s v="https://pbs.twimg.com/profile_images/1605171595160555521/NKG9mgxv_normal.jpg"/>
    <n v="587"/>
    <b v="0"/>
    <n v="2"/>
    <n v="1"/>
    <s v="{&quot;post_id&quot;:null,&quot;profile_id&quot;:null,&quot;profile_name&quot;:null}"/>
    <s v="null"/>
    <s v="[{&quot;duration&quot;:21478,&quot;video_url&quot;:&quot;https://video.twimg.com/amplify_video/1865737679263977472/vid/avc1/1280x720/MYbiNy3UIlY_W07i.mp4?tag=16&quot;}]"/>
    <s v="{&quot;data_posted&quot;:null,&quot;description&quot;:null,&quot;photos&quot;:null,&quot;post_id&quot;:null,&quot;profile_id&quot;:null,&quot;profile_name&quot;:null,&quot;url&quot;:null,&quot;videos&quot;:null}"/>
    <n v="231"/>
    <n v="2.5351185250219489E-2"/>
    <d v="2024-12-15T00:00:00"/>
    <n v="0.55755787037037041"/>
    <x v="0"/>
    <x v="14"/>
    <x v="1"/>
    <x v="1"/>
    <x v="1"/>
    <x v="0"/>
    <n v="84"/>
    <x v="2"/>
  </r>
  <r>
    <n v="1.8684234900946417E+18"/>
    <s v="tvg███o"/>
    <s v="TV ███bo ███"/>
    <s v="CARINHA DO CHAY 🤏 #MelhoresDoAno #Domingão"/>
    <s v="&quot;2024-12-15T22:30:48.000Z&quot;"/>
    <s v="null"/>
    <s v="https://x.com/tvglobo/status/1868423490094641549"/>
    <s v="null"/>
    <n v="5"/>
    <n v="32"/>
    <n v="269"/>
    <n v="13069"/>
    <s v=""/>
    <s v="[&quot;MelhoresDoAno&quot;,&quot;Domingão&quot;]"/>
    <n v="13492430"/>
    <s v="oi, eu sou a Glô 😜"/>
    <n v="314515"/>
    <s v="https://pbs.twimg.com/profile_images/1863599216829792256/r5M1uKA8_normal.jpg"/>
    <n v="708"/>
    <b v="0"/>
    <n v="5"/>
    <n v="20"/>
    <s v="{&quot;post_id&quot;:null,&quot;profile_id&quot;:null,&quot;profile_name&quot;:null}"/>
    <s v="null"/>
    <s v="[{&quot;duration&quot;:2300,&quot;video_url&quot;:&quot;https://video.twimg.com/amplify_video/1868423142042988544/vid/avc1/1920x1080/S55MzunwuH4WBcxY.mp4?tag=16&quot;}]"/>
    <s v="{&quot;data_posted&quot;:null,&quot;description&quot;:null,&quot;photos&quot;:null,&quot;post_id&quot;:null,&quot;profile_id&quot;:null,&quot;profile_name&quot;:null,&quot;url&quot;:null,&quot;videos&quot;:null}"/>
    <n v="331"/>
    <n v="2.5327109954855001E-2"/>
    <d v="2024-12-15T00:00:00"/>
    <n v="0.93805555555555553"/>
    <x v="0"/>
    <x v="11"/>
    <x v="1"/>
    <x v="1"/>
    <x v="1"/>
    <x v="0"/>
    <n v="42"/>
    <x v="1"/>
  </r>
  <r>
    <n v="1.8683283242813197E+18"/>
    <s v="Man███y"/>
    <s v="Man███ste███ity███"/>
    <s v="Heating up at the Etihad 💪_x000a__x000a_#ManCity"/>
    <s v="&quot;2024-12-15T16:12:39.000Z&quot;"/>
    <s v="[&quot;https://pbs.twimg.com/media/Ge2ie-EXIAAMW6K.jpg&quot;]"/>
    <s v="https://x.com/ManCity/status/1868328324281319607"/>
    <s v="null"/>
    <n v="83"/>
    <n v="137"/>
    <n v="2254"/>
    <n v="99024"/>
    <s v=""/>
    <s v="[&quot;ManCity&quot;]"/>
    <n v="17891301"/>
    <s v="WATCH TOGETHER: 4-IN-A-ROW 🍿"/>
    <n v="168939"/>
    <s v="https://pbs.twimg.com/profile_images/1856263834400358400/RysToJDu_normal.png"/>
    <n v="47365"/>
    <b v="0"/>
    <n v="12"/>
    <n v="8"/>
    <s v="{&quot;post_id&quot;:null,&quot;profile_id&quot;:null,&quot;profile_name&quot;:null}"/>
    <s v="null"/>
    <s v="null"/>
    <s v="{&quot;data_posted&quot;:null,&quot;description&quot;:null,&quot;photos&quot;:null,&quot;post_id&quot;:null,&quot;profile_id&quot;:null,&quot;profile_name&quot;:null,&quot;url&quot;:null,&quot;videos&quot;:null}"/>
    <n v="2494"/>
    <n v="2.5185813540151883E-2"/>
    <d v="2024-12-15T00:00:00"/>
    <n v="0.67545138888888889"/>
    <x v="0"/>
    <x v="15"/>
    <x v="0"/>
    <x v="0"/>
    <x v="1"/>
    <x v="0"/>
    <n v="36"/>
    <x v="1"/>
  </r>
  <r>
    <n v="1.8684018118806328E+18"/>
    <s v="tvg███o"/>
    <s v="TV ███bo ███"/>
    <s v="DIOGO DEFANTE 🗣️🗣️🗣️ ELE AÍ DESCONHECE A PALAVRA LIMITE #MelhoresDoAno #Domingão"/>
    <s v="&quot;2024-12-15T21:04:39.000Z&quot;"/>
    <s v="null"/>
    <s v="https://x.com/tvglobo/status/1868401811880632781"/>
    <s v="null"/>
    <n v="10"/>
    <n v="20"/>
    <n v="300"/>
    <n v="14058"/>
    <s v=""/>
    <s v="[&quot;MelhoresDoAno&quot;,&quot;Domingão&quot;]"/>
    <n v="13492430"/>
    <s v="oi, eu sou a Glô 😜"/>
    <n v="314515"/>
    <s v="https://pbs.twimg.com/profile_images/1863599216829792256/r5M1uKA8_normal.jpg"/>
    <n v="708"/>
    <b v="0"/>
    <n v="8"/>
    <n v="16"/>
    <s v="{&quot;post_id&quot;:null,&quot;profile_id&quot;:null,&quot;profile_name&quot;:null}"/>
    <s v="null"/>
    <s v="[{&quot;duration&quot;:22750,&quot;video_url&quot;:&quot;https://video.twimg.com/amplify_video/1868401648290131968/vid/avc1/1920x1080/dKxQo9xVOO5djT2H.mp4?tag=16&quot;}]"/>
    <s v="{&quot;data_posted&quot;:null,&quot;description&quot;:null,&quot;photos&quot;:null,&quot;post_id&quot;:null,&quot;profile_id&quot;:null,&quot;profile_name&quot;:null,&quot;url&quot;:null,&quot;videos&quot;:null}"/>
    <n v="354"/>
    <n v="2.5181391378574478E-2"/>
    <d v="2024-12-15T00:00:00"/>
    <n v="0.87822916666666662"/>
    <x v="0"/>
    <x v="10"/>
    <x v="1"/>
    <x v="1"/>
    <x v="1"/>
    <x v="0"/>
    <n v="80"/>
    <x v="1"/>
  </r>
  <r>
    <n v="1.868393371951039E+18"/>
    <s v="tvg███o"/>
    <s v="TV ███bo ███"/>
    <s v="a @IveteSangalo falando que a @SimoneMendes tá toda molhadinha 🗣️🗣️🗣️🗣️🗣️ #MelhoresDoAno #Domingão"/>
    <s v="&quot;2024-12-15T20:31:07.000Z&quot;"/>
    <s v="null"/>
    <s v="https://x.com/tvglobo/status/1868393371951038934"/>
    <s v="[{&quot;biography&quot;:null,&quot;followers&quot;:null,&quot;following&quot;:null,&quot;is_verified&quot;:null,&quot;profile_id&quot;:&quot;14502789&quot;,&quot;profile_name&quot;:&quot;Ivete Sangalo&quot;,&quot;url&quot;:&quot;https://x.com/ivetesangalo&quot;},{&quot;biography&quot;:null,&quot;followers&quot;:null,&quot;following&quot;:null,&quot;is_verified&quot;:null,&quot;profile_id&quot;:&quot;86302441&quot;,&quot;profile_name&quot;:&quot;Simone Mendes 💙&quot;,&quot;url&quot;:&quot;https://x.com/SimoneMendes&quot;}]"/>
    <n v="8"/>
    <n v="30"/>
    <n v="163"/>
    <n v="8633"/>
    <s v=""/>
    <s v="[&quot;MelhoresDoAno&quot;,&quot;Domingão&quot;]"/>
    <n v="13492430"/>
    <s v="oi, eu sou a Glô 😜"/>
    <n v="314515"/>
    <s v="https://pbs.twimg.com/profile_images/1863599216829792256/r5M1uKA8_normal.jpg"/>
    <n v="708"/>
    <b v="0"/>
    <n v="7"/>
    <n v="8"/>
    <s v="{&quot;post_id&quot;:null,&quot;profile_id&quot;:null,&quot;profile_name&quot;:null}"/>
    <s v="null"/>
    <s v="[{&quot;duration&quot;:10289,&quot;video_url&quot;:&quot;https://video.twimg.com/amplify_video/1868393136914857984/vid/avc1/1920x1080/yBqJ2xpMnZVRbo96.mp4?tag=16&quot;}]"/>
    <s v="{&quot;data_posted&quot;:null,&quot;description&quot;:null,&quot;photos&quot;:null,&quot;post_id&quot;:null,&quot;profile_id&quot;:null,&quot;profile_name&quot;:null,&quot;url&quot;:null,&quot;videos&quot;:null}"/>
    <n v="216"/>
    <n v="2.5020271052936405E-2"/>
    <d v="2024-12-15T00:00:00"/>
    <n v="0.85494212962962968"/>
    <x v="0"/>
    <x v="3"/>
    <x v="1"/>
    <x v="1"/>
    <x v="1"/>
    <x v="0"/>
    <n v="98"/>
    <x v="1"/>
  </r>
  <r>
    <n v="1.8684076723760581E+18"/>
    <s v="Glo███ews███"/>
    <s v="Glo███ews███"/>
    <s v="&quot;Esse caminho que chegou no Braga Netto agora foi a questão da grana&quot;, diz Eliane Cantanhêde._x000a__x000a_➡ Assista à #GloboNews:"/>
    <s v="&quot;2024-12-15T21:27:57.000Z&quot;"/>
    <s v="null"/>
    <s v="https://x.com/GloboNews/status/1868407672376058098"/>
    <s v="null"/>
    <n v="43"/>
    <n v="47"/>
    <n v="247"/>
    <n v="13987"/>
    <s v="http://glo.bo/39WjXAu"/>
    <s v="[&quot;GloboNews&quot;,&quot;EspecialDeDomingo&quot;]"/>
    <n v="5771760"/>
    <s v="Nunca desliga"/>
    <n v="222223"/>
    <s v="https://pbs.twimg.com/profile_images/1559102712435933185/mYnEVnNs_normal.jpg"/>
    <n v="122"/>
    <b v="0"/>
    <n v="2"/>
    <n v="9"/>
    <s v="{&quot;post_id&quot;:null,&quot;profile_id&quot;:null,&quot;profile_name&quot;:null}"/>
    <s v="null"/>
    <s v="[{&quot;duration&quot;:248834,&quot;video_url&quot;:&quot;https://video.twimg.com/amplify_video/1868407497276469248/vid/avc1/1920x1080/ZrgZHW8bVtkU4Tbv.mp4?tag=16&quot;}]"/>
    <s v="{&quot;data_posted&quot;:null,&quot;description&quot;:null,&quot;photos&quot;:null,&quot;post_id&quot;:null,&quot;profile_id&quot;:null,&quot;profile_name&quot;:null,&quot;url&quot;:null,&quot;videos&quot;:null}"/>
    <n v="348"/>
    <n v="2.4880245942661042E-2"/>
    <d v="2024-12-15T00:00:00"/>
    <n v="0.89440972222222226"/>
    <x v="0"/>
    <x v="10"/>
    <x v="1"/>
    <x v="1"/>
    <x v="1"/>
    <x v="0"/>
    <n v="118"/>
    <x v="0"/>
  </r>
  <r>
    <n v="1.7977878555464297E+18"/>
    <s v="Tru███edi███3"/>
    <s v="真相傳媒"/>
    <s v="至今无人知道他是谁，也不知道他是否活着离开广场，但他一直活在我们心中，激励着无数中华儿女为民主，自由，宪政继续抗争和奋斗。他的回答无疑是我们那一代学子的心声，似乎也成了 #六四 的代名词。"/>
    <s v="&quot;2024-06-04T00:30:00.000Z&quot;"/>
    <s v="null"/>
    <s v="https://x.com/TruthMedia123/status/1797787855546429621"/>
    <s v="null"/>
    <n v="113"/>
    <n v="334"/>
    <n v="1819"/>
    <n v="98380"/>
    <s v=""/>
    <s v="[&quot;六四&quot;]"/>
    <n v="234568"/>
    <s v="傳播真相，匡扶正義良知，回歸中華傳統。 世間總有公道。歡迎投稿爆料！如果推文有錯誤歡迎指正。通過本號私信發送即可。"/>
    <n v="102643"/>
    <s v="https://pbs.twimg.com/profile_images/1618727520500850692/SdW0o-cV_normal.jpg"/>
    <n v="5173"/>
    <b v="0"/>
    <n v="18"/>
    <n v="159"/>
    <s v="{&quot;post_id&quot;:null,&quot;profile_id&quot;:null,&quot;profile_name&quot;:null}"/>
    <s v="null"/>
    <s v="[{&quot;duration&quot;:6894,&quot;video_url&quot;:&quot;https://video.twimg.com/ext_tw_video/1797166595225378816/pu/vid/avc1/1280x720/boJ21shcSptlnn90.mp4?tag=12&quot;}]"/>
    <s v="{&quot;data_posted&quot;:null,&quot;description&quot;:null,&quot;photos&quot;:null,&quot;post_id&quot;:null,&quot;profile_id&quot;:null,&quot;profile_name&quot;:null,&quot;url&quot;:null,&quot;videos&quot;:null}"/>
    <n v="2443"/>
    <n v="2.4832282984346411E-2"/>
    <d v="2024-06-04T00:00:00"/>
    <n v="2.0833333333333332E-2"/>
    <x v="3"/>
    <x v="5"/>
    <x v="1"/>
    <x v="1"/>
    <x v="1"/>
    <x v="0"/>
    <n v="94"/>
    <x v="2"/>
  </r>
  <r>
    <n v="1.8682570984272038E+18"/>
    <s v="SLB███ica███"/>
    <s v="SL ███fic███"/>
    <s v="#SLBenficaFem | 1-0 | ⚽ 29' GOOOOOLOOOOOOO!!! CRISTINA MARTÍN-PRIETO!_x000a__x000a_#TaçadaLigaFeminina"/>
    <s v="&quot;2024-12-15T11:29:37.000Z&quot;"/>
    <s v="[&quot;https://pbs.twimg.com/media/Ge1h6eyXQAA5eWt.jpg&quot;]"/>
    <s v="https://x.com/SLBenfica/status/1868257098427203919"/>
    <s v="null"/>
    <n v="2"/>
    <n v="8"/>
    <n v="94"/>
    <n v="4313"/>
    <s v=""/>
    <s v="[&quot;SLBenficaFem&quot;,&quot;TaçadaLigaFeminina&quot;]"/>
    <n v="1906482"/>
    <s v="Twitter Oficial do 𝗦𝗽𝗼𝗿𝘁 𝗟𝗶𝘀𝗯𝗼𝗮 𝗲 𝗕𝗲𝗻𝗳𝗶𝗰𝗮 _x000a_English account: @SLBenfica_EN 🇬🇧🇺🇸_x000a_Modalidades: @ModalidadesSLB 🏑🏀"/>
    <n v="124666"/>
    <s v="https://pbs.twimg.com/profile_images/1845888754898161664/8uDsALMU_normal.jpg"/>
    <n v="432"/>
    <b v="0"/>
    <n v="2"/>
    <n v="1"/>
    <s v="{&quot;post_id&quot;:&quot;1868249656767217891&quot;,&quot;profile_id&quot;:&quot;21390437&quot;,&quot;profile_name&quot;:&quot;SLBenfica&quot;}"/>
    <s v="null"/>
    <s v="null"/>
    <s v="{&quot;data_posted&quot;:null,&quot;description&quot;:null,&quot;photos&quot;:null,&quot;post_id&quot;:null,&quot;profile_id&quot;:null,&quot;profile_name&quot;:null,&quot;url&quot;:null,&quot;videos&quot;:null}"/>
    <n v="107"/>
    <n v="2.4808717829816834E-2"/>
    <d v="2024-12-15T00:00:00"/>
    <n v="0.47890046296296296"/>
    <x v="0"/>
    <x v="16"/>
    <x v="0"/>
    <x v="0"/>
    <x v="1"/>
    <x v="0"/>
    <n v="90"/>
    <x v="0"/>
  </r>
  <r>
    <n v="1.8683683001342774E+18"/>
    <s v="SLB███ica███"/>
    <s v="SL ███fic███"/>
    <s v="⏸ Em vantagem ao intervalo!_x000a__x000a_#AVSSLB • #LigaPortugalBetclic"/>
    <s v="&quot;2024-12-15T18:51:30.000Z&quot;"/>
    <s v="[&quot;https://pbs.twimg.com/media/Ge3G26tWgAAzHJ6.jpg&quot;]"/>
    <s v="https://x.com/SLBenfica/status/1868368300134277302"/>
    <s v="null"/>
    <n v="19"/>
    <n v="20"/>
    <n v="474"/>
    <n v="20926"/>
    <s v=""/>
    <s v="[&quot;AVSSLB&quot;,&quot;LigaPortugalBetclic&quot;]"/>
    <n v="1906482"/>
    <s v="Twitter Oficial do 𝗦𝗽𝗼𝗿𝘁 𝗟𝗶𝘀𝗯𝗼𝗮 𝗲 𝗕𝗲𝗻𝗳𝗶𝗰𝗮 _x000a_English account: @SLBenfica_EN 🇬🇧🇺🇸_x000a_Modalidades: @ModalidadesSLB 🏑🏀"/>
    <n v="124666"/>
    <s v="https://pbs.twimg.com/profile_images/1845888754898161664/8uDsALMU_normal.jpg"/>
    <n v="432"/>
    <b v="0"/>
    <n v="2"/>
    <n v="3"/>
    <s v="{&quot;post_id&quot;:null,&quot;profile_id&quot;:null,&quot;profile_name&quot;:null}"/>
    <s v="null"/>
    <s v="null"/>
    <s v="{&quot;data_posted&quot;:null,&quot;description&quot;:null,&quot;photos&quot;:null,&quot;post_id&quot;:null,&quot;profile_id&quot;:null,&quot;profile_name&quot;:null,&quot;url&quot;:null,&quot;videos&quot;:null}"/>
    <n v="518"/>
    <n v="2.4753894676479021E-2"/>
    <d v="2024-12-15T00:00:00"/>
    <n v="0.78576388888888893"/>
    <x v="0"/>
    <x v="8"/>
    <x v="0"/>
    <x v="0"/>
    <x v="1"/>
    <x v="0"/>
    <n v="59"/>
    <x v="0"/>
  </r>
  <r>
    <n v="1.8683593673488922E+18"/>
    <s v="CPFC"/>
    <s v="Cry███l P███ce ██████"/>
    <s v="Fans creating a special atmosphere._x000a__x000a_Thank you, Palace fans 🫶_x000a__x000a_#CPFC // #BHACRY"/>
    <s v="&quot;2024-12-15T18:16:00.000Z&quot;"/>
    <s v="[&quot;https://pbs.twimg.com/media/Ge2nJGnWEAAKKYt.jpg&quot;,&quot;https://pbs.twimg.com/media/Ge2nJGvWMAEaKw-.jpg&quot;]"/>
    <s v="https://x.com/CPFC/status/1868359367348892050"/>
    <s v="null"/>
    <n v="9"/>
    <n v="13"/>
    <n v="424"/>
    <n v="18300"/>
    <s v=""/>
    <s v="[&quot;CPFC&quot;,&quot;BHACRY&quot;]"/>
    <n v="1480966"/>
    <s v="The Pride of South London."/>
    <n v="103753"/>
    <s v="https://pbs.twimg.com/profile_images/1857393032883994624/qN-MGWEH_normal.jpg"/>
    <n v="552"/>
    <b v="0"/>
    <n v="2"/>
    <n v="2"/>
    <s v="{&quot;post_id&quot;:null,&quot;profile_id&quot;:null,&quot;profile_name&quot;:null}"/>
    <s v="null"/>
    <s v="null"/>
    <s v="{&quot;data_posted&quot;:null,&quot;description&quot;:null,&quot;photos&quot;:null,&quot;post_id&quot;:null,&quot;profile_id&quot;:null,&quot;profile_name&quot;:null,&quot;url&quot;:null,&quot;videos&quot;:null}"/>
    <n v="450"/>
    <n v="2.4590163934426229E-2"/>
    <d v="2024-12-15T00:00:00"/>
    <n v="0.76111111111111107"/>
    <x v="0"/>
    <x v="8"/>
    <x v="0"/>
    <x v="0"/>
    <x v="1"/>
    <x v="0"/>
    <n v="79"/>
    <x v="0"/>
  </r>
  <r>
    <n v="1.8681265111962337E+18"/>
    <s v="Dim███r"/>
    <s v="DIM███R"/>
    <s v="¡𝐒𝐨𝐩𝐥𝐚 𝐞𝐥 𝐂𝐢𝐜𝐥𝐨́𝐧 𝐪𝐮𝐞 𝐨𝐟𝐢𝐜𝐢𝐚𝐥𝐦𝐞𝐧𝐭𝐞 𝐞𝐬𝐭𝐚́ 𝐞𝐧 𝐥𝐚 𝐀! 🙌_x000a__x000a_¡𝐅𝐞𝐥𝐢𝐜𝐢𝐭𝐚𝐜𝐢𝐨𝐧𝐞𝐬 @UnionMagdalena, adicionalmente, por su 𝐀𝐒𝐂𝐄𝐍𝐒𝐎 a primera división! 😮‍💨_x000a__x000a_Objetivo cumplido ✅ bienvenidos a la #LigaBetPlayDIMAYOR I-2025_x000a__x000a_#LaPasiónDeMillones"/>
    <s v="&quot;2024-12-15T02:50:43.000Z&quot;"/>
    <s v="[&quot;https://pbs.twimg.com/media/GezrKHyWIAAbdBe.jpg&quot;]"/>
    <s v="https://x.com/Dimayor/status/1868126511196233753"/>
    <s v="[{&quot;biography&quot;:null,&quot;followers&quot;:null,&quot;following&quot;:null,&quot;is_verified&quot;:null,&quot;profile_id&quot;:&quot;460363900&quot;,&quot;profile_name&quot;:&quot;Unión Magdalena S.A&quot;,&quot;url&quot;:&quot;https://x.com/UnionMagdalena&quot;}]"/>
    <n v="54"/>
    <n v="105"/>
    <n v="469"/>
    <n v="25972"/>
    <s v=""/>
    <s v="[&quot;LigaBetPlayDIMAYOR&quot;]"/>
    <n v="1511302"/>
    <s v="Cuenta oficial de la División Mayor del Fútbol Colombiano - 𝐃𝐈𝐌𝐀𝐘𝐎𝐑 || LigaBetPlay🏆LigaFemeninaBetPlay🏆 TorneoBetPlay🏆 CopaBetPlay🏆 || 𝟐𝟎𝟐𝟒 ||"/>
    <n v="56647"/>
    <s v="https://pbs.twimg.com/profile_images/1741738883782500353/WefLAabU_normal.jpg"/>
    <n v="80"/>
    <b v="0"/>
    <n v="8"/>
    <n v="2"/>
    <s v="{&quot;post_id&quot;:null,&quot;profile_id&quot;:null,&quot;profile_name&quot;:null}"/>
    <s v="null"/>
    <s v="null"/>
    <s v="{&quot;data_posted&quot;:null,&quot;description&quot;:null,&quot;photos&quot;:null,&quot;post_id&quot;:null,&quot;profile_id&quot;:null,&quot;profile_name&quot;:null,&quot;url&quot;:null,&quot;videos&quot;:null}"/>
    <n v="638"/>
    <n v="2.456491606345295E-2"/>
    <d v="2024-12-15T00:00:00"/>
    <n v="0.11855324074074074"/>
    <x v="0"/>
    <x v="2"/>
    <x v="0"/>
    <x v="0"/>
    <x v="1"/>
    <x v="0"/>
    <n v="226"/>
    <x v="0"/>
  </r>
  <r>
    <n v="1.8684237413460997E+18"/>
    <s v="tvg███o"/>
    <s v="TV ███bo ███"/>
    <s v="CHAY SUEDE, NOSSO MAVIZINHO, É O &quot;Ator de Novela&quot; DO ANO 😍😍😍 #MelhoresDoAno #Domingão"/>
    <s v="&quot;2024-12-15T22:31:48.000Z&quot;"/>
    <s v="null"/>
    <s v="https://x.com/tvglobo/status/1868423741346099702"/>
    <s v="null"/>
    <n v="33"/>
    <n v="68"/>
    <n v="437"/>
    <n v="25553"/>
    <s v=""/>
    <s v="[&quot;MelhoresDoAno&quot;,&quot;Domingão&quot;]"/>
    <n v="13492430"/>
    <s v="oi, eu sou a Glô 😜"/>
    <n v="314515"/>
    <s v="https://pbs.twimg.com/profile_images/1863599216829792256/r5M1uKA8_normal.jpg"/>
    <n v="708"/>
    <b v="0"/>
    <n v="65"/>
    <n v="24"/>
    <s v="{&quot;post_id&quot;:null,&quot;profile_id&quot;:null,&quot;profile_name&quot;:null}"/>
    <s v="null"/>
    <s v="[{&quot;duration&quot;:17389,&quot;video_url&quot;:&quot;https://video.twimg.com/amplify_video/1868423392610705409/vid/avc1/1920x1080/Ao7kLH4iaQEbW5s5.mp4?tag=16&quot;}]"/>
    <s v="{&quot;data_posted&quot;:null,&quot;description&quot;:null,&quot;photos&quot;:null,&quot;post_id&quot;:null,&quot;profile_id&quot;:null,&quot;profile_name&quot;:null,&quot;url&quot;:null,&quot;videos&quot;:null}"/>
    <n v="627"/>
    <n v="2.4537236332328884E-2"/>
    <d v="2024-12-15T00:00:00"/>
    <n v="0.93874999999999997"/>
    <x v="0"/>
    <x v="11"/>
    <x v="1"/>
    <x v="1"/>
    <x v="1"/>
    <x v="0"/>
    <n v="85"/>
    <x v="1"/>
  </r>
  <r>
    <n v="1.8683103807092946E+18"/>
    <s v="Met███ole███"/>
    <s v="Met███ole███"/>
    <s v="➡️ “Deus foi generoso ao cuidar de mim quando caí no banheiro”, diz Lula_x000a__x000a_Lula passou por dois procedimentos cirúrgicos na cabeça e ficou seis dias internado no Hospital Sírio-Libanês, em São Paulo_x000a__x000a_Leia na coluna @lilian_tahan e @tr_isadora :"/>
    <s v="&quot;2024-12-15T15:01:20.000Z&quot;"/>
    <s v="[&quot;https://pbs.twimg.com/media/Ge2SYlrWIAAmsnt.png&quot;]"/>
    <s v="https://x.com/Metropoles/status/1868310380709294591"/>
    <s v="[{&quot;biography&quot;:null,&quot;followers&quot;:null,&quot;following&quot;:null,&quot;is_verified&quot;:null,&quot;profile_id&quot;:&quot;195474607&quot;,&quot;profile_name&quot;:&quot;Lilian Tahan&quot;,&quot;url&quot;:&quot;https://x.com/lilian_tahan&quot;},{&quot;biography&quot;:null,&quot;followers&quot;:null,&quot;following&quot;:null,&quot;is_verified&quot;:null,&quot;profile_id&quot;:&quot;987393535497383936&quot;,&quot;profile_name&quot;:&quot;Isadora Teixeira&quot;,&quot;url&quot;:&quot;https://x.com/tr_isadora&quot;}]"/>
    <n v="174"/>
    <n v="8"/>
    <n v="103"/>
    <n v="11793"/>
    <s v="https://curt.link/MGWrE"/>
    <s v="null"/>
    <n v="1239617"/>
    <s v="📱 O seu portal de notícias. Tudo sobre política, saúde, justiça, comportamento, entretenimento. Confira os fatos relevantes do país e do mundo em tempo real."/>
    <n v="402839"/>
    <s v="https://pbs.twimg.com/profile_images/1642966741138415647/fHdgQUGl_normal.jpg"/>
    <n v="1644"/>
    <b v="0"/>
    <n v="4"/>
    <n v="0"/>
    <s v="{&quot;post_id&quot;:null,&quot;profile_id&quot;:null,&quot;profile_name&quot;:null}"/>
    <s v="null"/>
    <s v="null"/>
    <s v="{&quot;data_posted&quot;:null,&quot;description&quot;:null,&quot;photos&quot;:null,&quot;post_id&quot;:null,&quot;profile_id&quot;:null,&quot;profile_name&quot;:null,&quot;url&quot;:null,&quot;videos&quot;:null}"/>
    <n v="289"/>
    <n v="2.4506062918680575E-2"/>
    <d v="2024-12-15T00:00:00"/>
    <n v="0.62592592592592589"/>
    <x v="0"/>
    <x v="13"/>
    <x v="0"/>
    <x v="0"/>
    <x v="0"/>
    <x v="0"/>
    <n v="243"/>
    <x v="0"/>
  </r>
  <r>
    <n v="1.86833710523313E+18"/>
    <s v="Rep███i"/>
    <s v="Con███ssw███n C█████████"/>
    <s v="President Biden has the power to enshrine gender equality in the Constitution before he leaves office. All he needs to do is sign it._x000a__x000a_I spoke with @WashingtonPost about my push with @RepPressley urging @POTUS to #PublishTheERA ⬇️"/>
    <s v="&quot;2024-12-15T16:47:32.000Z&quot;"/>
    <s v="null"/>
    <s v="https://x.com/RepCori/status/1868337105233129951"/>
    <s v="[{&quot;biography&quot;:null,&quot;followers&quot;:null,&quot;following&quot;:null,&quot;is_verified&quot;:null,&quot;profile_id&quot;:&quot;2467791&quot;,&quot;profile_name&quot;:&quot;The Washington Post&quot;,&quot;url&quot;:&quot;https://x.com/washingtonpost&quot;},{&quot;biography&quot;:null,&quot;followers&quot;:null,&quot;following&quot;:null,&quot;is_verified&quot;:null,&quot;profile_id&quot;:&quot;1080584229510172678&quot;,&quot;profile_name&quot;:&quot;Congresswoman Ayanna Pressley&quot;,&quot;url&quot;:&quot;https://x.com/RepPressley&quot;},{&quot;biography&quot;:null,&quot;followers&quot;:null,&quot;following&quot;:null,&quot;is_verified&quot;:null,&quot;profile_id&quot;:&quot;1349149096909668363&quot;,&quot;profile_name&quot;:&quot;President Biden&quot;,&quot;url&quot;:&quot;https://x.com/POTUS&quot;}]"/>
    <n v="5"/>
    <n v="11"/>
    <n v="20"/>
    <n v="1512"/>
    <s v="https://www.washingtonpost.com/politics/2024/12/15/equal-rights-amendment-biden/"/>
    <s v="[&quot;PublishTheERA&quot;]"/>
    <n v="128940"/>
    <s v="Doing the most for MO-01 (STL)—starting with those with the greatest need. Politician + Activist = Politivist. Member, @HouseJudiciary, @OversightDems. She/her."/>
    <n v="3420"/>
    <s v="https://pbs.twimg.com/profile_images/1352693777895485457/hGX2jRBe_normal.jpg"/>
    <n v="298"/>
    <b v="0"/>
    <n v="0"/>
    <n v="1"/>
    <s v="{&quot;post_id&quot;:null,&quot;profile_id&quot;:null,&quot;profile_name&quot;:null}"/>
    <s v="[&quot;https://pbs.twimg.com/card_img/1868327065155493888/1ur8bH2D?format=jpg&amp;name=orig&quot;]"/>
    <s v="null"/>
    <s v="{&quot;data_posted&quot;:null,&quot;description&quot;:null,&quot;photos&quot;:null,&quot;post_id&quot;:null,&quot;profile_id&quot;:null,&quot;profile_name&quot;:null,&quot;url&quot;:null,&quot;videos&quot;:null}"/>
    <n v="37"/>
    <n v="2.447089947089947E-2"/>
    <d v="2024-12-15T00:00:00"/>
    <n v="0.69967592592592598"/>
    <x v="0"/>
    <x v="15"/>
    <x v="0"/>
    <x v="1"/>
    <x v="1"/>
    <x v="0"/>
    <n v="230"/>
    <x v="2"/>
  </r>
  <r>
    <n v="1.8683933611256056E+18"/>
    <s v="tvg███o"/>
    <s v="TV ███bo ███"/>
    <s v="Veveta rasgando elogios pra Simone 🥰🥰🥰 #MelhoresDoAno #Domingão"/>
    <s v="&quot;2024-12-15T20:31:05.000Z&quot;"/>
    <s v="null"/>
    <s v="https://x.com/tvglobo/status/1868393361125605739"/>
    <s v="null"/>
    <n v="11"/>
    <n v="27"/>
    <n v="271"/>
    <n v="13614"/>
    <s v=""/>
    <s v="[&quot;MelhoresDoAno&quot;,&quot;Domingão&quot;]"/>
    <n v="13492430"/>
    <s v="oi, eu sou a Glô 😜"/>
    <n v="314515"/>
    <s v="https://pbs.twimg.com/profile_images/1863599216829792256/r5M1uKA8_normal.jpg"/>
    <n v="708"/>
    <b v="0"/>
    <n v="9"/>
    <n v="14"/>
    <s v="{&quot;post_id&quot;:null,&quot;profile_id&quot;:null,&quot;profile_name&quot;:null}"/>
    <s v="null"/>
    <s v="[{&quot;duration&quot;:24660,&quot;video_url&quot;:&quot;https://video.twimg.com/amplify_video/1868393155537555457/vid/avc1/1920x1080/0cStBWm24Lni5UXT.mp4?tag=16&quot;}]"/>
    <s v="{&quot;data_posted&quot;:null,&quot;description&quot;:null,&quot;photos&quot;:null,&quot;post_id&quot;:null,&quot;profile_id&quot;:null,&quot;profile_name&quot;:null,&quot;url&quot;:null,&quot;videos&quot;:null}"/>
    <n v="332"/>
    <n v="2.4386660790362863E-2"/>
    <d v="2024-12-15T00:00:00"/>
    <n v="0.85491898148148149"/>
    <x v="0"/>
    <x v="3"/>
    <x v="1"/>
    <x v="1"/>
    <x v="1"/>
    <x v="0"/>
    <n v="63"/>
    <x v="1"/>
  </r>
  <r>
    <n v="1.8682838698391964E+18"/>
    <s v="F1"/>
    <s v="For███a 1███"/>
    <s v="A strong final season at the Scuderia for Sainz 🏆 🏆 _x000a__x000a_#F1"/>
    <s v="&quot;2024-12-15T13:16:00.000Z&quot;"/>
    <s v="[&quot;https://pbs.twimg.com/media/GerKk6TWoAABL8z.jpg&quot;]"/>
    <s v="https://x.com/F1/status/1868283869839196404"/>
    <s v="null"/>
    <n v="91"/>
    <n v="687"/>
    <n v="9263"/>
    <n v="418833"/>
    <s v=""/>
    <s v="[&quot;F1&quot;]"/>
    <n v="10795968"/>
    <s v="The home of risk takers, late brakers and history makers 💫"/>
    <n v="95508"/>
    <s v="https://pbs.twimg.com/profile_images/1612433922733887489/7f5XFklA_normal.jpg"/>
    <n v="98"/>
    <b v="0"/>
    <n v="25"/>
    <n v="135"/>
    <s v="{&quot;post_id&quot;:null,&quot;profile_id&quot;:null,&quot;profile_name&quot;:null}"/>
    <s v="null"/>
    <s v="null"/>
    <s v="{&quot;data_posted&quot;:null,&quot;description&quot;:null,&quot;photos&quot;:null,&quot;post_id&quot;:null,&quot;profile_id&quot;:null,&quot;profile_name&quot;:null,&quot;url&quot;:null,&quot;videos&quot;:null}"/>
    <n v="10201"/>
    <n v="2.4355769483302415E-2"/>
    <d v="2024-12-15T00:00:00"/>
    <n v="0.55277777777777781"/>
    <x v="0"/>
    <x v="14"/>
    <x v="0"/>
    <x v="0"/>
    <x v="1"/>
    <x v="0"/>
    <n v="57"/>
    <x v="1"/>
  </r>
  <r>
    <n v="1.6188377652690985E+18"/>
    <s v="tay███swi███3"/>
    <s v="Tay███ Sw███"/>
    <s v="The Lavender Haze video is out now. There is lots of lavender. There is lots of haze. There is my incredible costar @laith_ashley who I absolutely adored working with."/>
    <s v="&quot;2023-01-27T05:06:14.000Z&quot;"/>
    <s v="[&quot;https://pbs.twimg.com/media/FndEXf-WAAI0ptI.jpg&quot;,&quot;https://pbs.twimg.com/media/FndEXgBXwAAPK06.jpg&quot;,&quot;https://pbs.twimg.com/media/FndEXf6WYAcQv5W.jpg&quot;,&quot;https://pbs.twimg.com/media/FndEXf8WAAADaD2.jpg&quot;]"/>
    <s v="https://x.com/taylorswift13/status/1618837765269098496"/>
    <s v="[{&quot;biography&quot;:null,&quot;followers&quot;:null,&quot;following&quot;:null,&quot;is_verified&quot;:null,&quot;profile_id&quot;:&quot;4247404887&quot;,&quot;profile_name&quot;:&quot;Laith Ashley De La Cruz&quot;,&quot;url&quot;:&quot;https://x.com/laith_ashley&quot;}]"/>
    <n v="7780"/>
    <n v="87730"/>
    <n v="418491"/>
    <n v="21603909"/>
    <s v="http://taylor.lnk.to/lavenderhazemusicvideo"/>
    <s v="null"/>
    <n v="94676198"/>
    <s v="All’s fair in love and poetry... New album THE TORTURED POETS DEPARTMENT. Out now 🤍"/>
    <n v="860"/>
    <s v="https://pbs.twimg.com/profile_images/1766836345450672128/HpuBz514_normal.jpg"/>
    <n v="0"/>
    <b v="0"/>
    <n v="9920"/>
    <n v="1991"/>
    <s v="{&quot;post_id&quot;:null,&quot;profile_id&quot;:null,&quot;profile_name&quot;:null}"/>
    <s v="null"/>
    <s v="null"/>
    <s v="{&quot;data_posted&quot;:null,&quot;description&quot;:null,&quot;photos&quot;:null,&quot;post_id&quot;:null,&quot;profile_id&quot;:null,&quot;profile_name&quot;:null,&quot;url&quot;:null,&quot;videos&quot;:null}"/>
    <n v="525912"/>
    <n v="2.4343372303595612E-2"/>
    <d v="2023-01-27T00:00:00"/>
    <n v="0.21266203703703704"/>
    <x v="1"/>
    <x v="22"/>
    <x v="0"/>
    <x v="0"/>
    <x v="0"/>
    <x v="0"/>
    <n v="167"/>
    <x v="1"/>
  </r>
  <r>
    <n v="1.8684230036057006E+18"/>
    <s v="tvg███o"/>
    <s v="TV ███bo ███"/>
    <s v="Todo mundo se acabando de dançar ao som de &quot;Erro Gostoso&quot; 💋💋💋 #MelhoresDoAno #Domingão"/>
    <s v="&quot;2024-12-15T22:28:52.000Z&quot;"/>
    <s v="null"/>
    <s v="https://x.com/tvglobo/status/1868423003605700616"/>
    <s v="null"/>
    <n v="6"/>
    <n v="27"/>
    <n v="204"/>
    <n v="10437"/>
    <s v=""/>
    <s v="[&quot;MelhoresDoAno&quot;,&quot;Domingão&quot;]"/>
    <n v="13492430"/>
    <s v="oi, eu sou a Glô 😜"/>
    <n v="314515"/>
    <s v="https://pbs.twimg.com/profile_images/1863599216829792256/r5M1uKA8_normal.jpg"/>
    <n v="708"/>
    <b v="0"/>
    <n v="6"/>
    <n v="11"/>
    <s v="{&quot;post_id&quot;:null,&quot;profile_id&quot;:null,&quot;profile_name&quot;:null}"/>
    <s v="null"/>
    <s v="[{&quot;duration&quot;:48790,&quot;video_url&quot;:&quot;https://video.twimg.com/amplify_video/1868422816296542208/vid/avc1/1920x1080/uKwduO5-NDlu7Bfq.mp4?tag=16&quot;}]"/>
    <s v="{&quot;data_posted&quot;:null,&quot;description&quot;:null,&quot;photos&quot;:null,&quot;post_id&quot;:null,&quot;profile_id&quot;:null,&quot;profile_name&quot;:null,&quot;url&quot;:null,&quot;videos&quot;:null}"/>
    <n v="254"/>
    <n v="2.4336495161444861E-2"/>
    <d v="2024-12-15T00:00:00"/>
    <n v="0.93671296296296291"/>
    <x v="0"/>
    <x v="11"/>
    <x v="1"/>
    <x v="1"/>
    <x v="1"/>
    <x v="0"/>
    <n v="86"/>
    <x v="1"/>
  </r>
  <r>
    <n v="1.8684042165256973E+18"/>
    <s v="acm███n"/>
    <s v="AC ███an"/>
    <s v="A glimpse of the future on this historic night 🫂_x000a__x000a_#MilanGenoa #ACMilanWorthEveryMinute #SempreMilan"/>
    <s v="&quot;2024-12-15T21:14:13.000Z&quot;"/>
    <s v="[&quot;https://pbs.twimg.com/media/Ge3np2JWYAAo3Oa.jpg&quot;]"/>
    <s v="https://x.com/acmilan/status/1868404216525697243"/>
    <s v="null"/>
    <n v="16"/>
    <n v="86"/>
    <n v="1036"/>
    <n v="47934"/>
    <s v=""/>
    <s v="[&quot;MilanGenoa&quot;,&quot;ACMilanWorthEveryMinute&quot;,&quot;SempreMilan&quot;]"/>
    <n v="8539601"/>
    <s v="❤🖤 125 years together, worth every minute ❤🖤 _x000a__x000a_#SempreMilan since 1899! 🔙 _x000a__x000a_Arabic: @acmilanar | Portuguese: @acmilanbr | #MilanYouth: @acmilanyouth"/>
    <n v="75535"/>
    <s v="https://pbs.twimg.com/profile_images/1848748720050868225/FQY9F6Hn_normal.jpg"/>
    <n v="117"/>
    <b v="0"/>
    <n v="7"/>
    <n v="21"/>
    <s v="{&quot;post_id&quot;:null,&quot;profile_id&quot;:null,&quot;profile_name&quot;:null}"/>
    <s v="null"/>
    <s v="null"/>
    <s v="{&quot;data_posted&quot;:null,&quot;description&quot;:null,&quot;photos&quot;:null,&quot;post_id&quot;:null,&quot;profile_id&quot;:null,&quot;profile_name&quot;:null,&quot;url&quot;:null,&quot;videos&quot;:null}"/>
    <n v="1166"/>
    <n v="2.4325113698001419E-2"/>
    <d v="2024-12-15T00:00:00"/>
    <n v="0.88487268518518514"/>
    <x v="0"/>
    <x v="10"/>
    <x v="0"/>
    <x v="0"/>
    <x v="1"/>
    <x v="0"/>
    <n v="99"/>
    <x v="0"/>
  </r>
  <r>
    <n v="1.8683620112533015E+18"/>
    <s v="Glo███ews███"/>
    <s v="Glo███ews███"/>
    <s v="As atrizes Fernanda Torres e Fernanda Montenegro são destaque em uma matéria do New York Times. O jornal fala sobre a chance de Oscar de &quot;Ainda estou aqui&quot;, primeiro filme original do Globoplay._x000a__x000a_➡ Assista à #GloboNews:"/>
    <s v="&quot;2024-12-15T18:26:30.000Z&quot;"/>
    <s v="null"/>
    <s v="https://x.com/GloboNews/status/1868362011253301608"/>
    <s v="null"/>
    <n v="23"/>
    <n v="28"/>
    <n v="208"/>
    <n v="11057"/>
    <s v="http://glo.bo/39WjXAu"/>
    <s v="[&quot;GloboNews&quot;]"/>
    <n v="5771762"/>
    <s v="Nunca desliga"/>
    <n v="222223"/>
    <s v="https://pbs.twimg.com/profile_images/1559102712435933185/mYnEVnNs_normal.jpg"/>
    <n v="122"/>
    <b v="0"/>
    <n v="1"/>
    <n v="6"/>
    <s v="{&quot;post_id&quot;:null,&quot;profile_id&quot;:null,&quot;profile_name&quot;:null}"/>
    <s v="null"/>
    <s v="[{&quot;duration&quot;:106800,&quot;video_url&quot;:&quot;https://video.twimg.com/amplify_video/1868361928646471681/vid/avc1/1920x1080/hnvWgqAh9MVLH_Gq.mp4?tag=16&quot;}]"/>
    <s v="{&quot;data_posted&quot;:null,&quot;description&quot;:null,&quot;photos&quot;:null,&quot;post_id&quot;:null,&quot;profile_id&quot;:null,&quot;profile_name&quot;:null,&quot;url&quot;:null,&quot;videos&quot;:null}"/>
    <n v="266"/>
    <n v="2.4057158361219137E-2"/>
    <d v="2024-12-15T00:00:00"/>
    <n v="0.76840277777777777"/>
    <x v="0"/>
    <x v="8"/>
    <x v="1"/>
    <x v="1"/>
    <x v="1"/>
    <x v="0"/>
    <n v="219"/>
    <x v="0"/>
  </r>
  <r>
    <n v="1.8683377663603348E+18"/>
    <s v="Man███"/>
    <s v="Man███ste███nit███"/>
    <s v="An even start to the derby ⚖️_x000a__x000a_@AmadDiallo_19 ⚡️_x000a__x000a_#MUFC || #MCIMUN"/>
    <s v="&quot;2024-12-15T16:50:10.000Z&quot;"/>
    <s v="[&quot;https://pbs.twimg.com/media/Ge2q98jWsAA0S_O.jpg&quot;,&quot;https://pbs.twimg.com/media/Ge2q_uMXUAA_Pdi.jpg&quot;]"/>
    <s v="https://x.com/ManUtd/status/1868337766360334742"/>
    <s v="[{&quot;biography&quot;:null,&quot;followers&quot;:null,&quot;following&quot;:null,&quot;is_verified&quot;:null,&quot;profile_id&quot;:&quot;1338814116455182336&quot;,&quot;profile_name&quot;:&quot;Amad&quot;,&quot;url&quot;:&quot;https://x.com/Amaddiallo_19&quot;}]"/>
    <n v="138"/>
    <n v="355"/>
    <n v="4310"/>
    <n v="201230"/>
    <s v=""/>
    <s v="[&quot;MUFC&quot;,&quot;MCIMUN&quot;]"/>
    <n v="38439077"/>
    <s v="’Tis the season to gift United! 🎁🎄"/>
    <n v="92455"/>
    <s v="https://pbs.twimg.com/profile_images/1856418426496880640/iIvJaO5T_normal.png"/>
    <n v="145"/>
    <b v="0"/>
    <n v="6"/>
    <n v="18"/>
    <s v="{&quot;post_id&quot;:null,&quot;profile_id&quot;:null,&quot;profile_name&quot;:null}"/>
    <s v="null"/>
    <s v="null"/>
    <s v="{&quot;data_posted&quot;:null,&quot;description&quot;:null,&quot;photos&quot;:null,&quot;post_id&quot;:null,&quot;profile_id&quot;:null,&quot;profile_name&quot;:null,&quot;url&quot;:null,&quot;videos&quot;:null}"/>
    <n v="4827"/>
    <n v="2.398747701634945E-2"/>
    <d v="2024-12-15T00:00:00"/>
    <n v="0.70150462962962967"/>
    <x v="0"/>
    <x v="15"/>
    <x v="0"/>
    <x v="0"/>
    <x v="1"/>
    <x v="0"/>
    <n v="66"/>
    <x v="1"/>
  </r>
  <r>
    <n v="1.8683627905845906E+18"/>
    <s v="Man███y"/>
    <s v="Man███ste███ity███"/>
    <s v="FULL-TIME | Defeat in the derby. _x000a__x000a_🩵 1-2 🔴 #ManCity | @okx"/>
    <s v="&quot;2024-12-15T18:29:36.000Z&quot;"/>
    <s v="[&quot;https://pbs.twimg.com/media/Ge3BuIMWgAAo_y_.jpg&quot;]"/>
    <s v="https://x.com/ManCity/status/1868362790584590580"/>
    <s v="[{&quot;biography&quot;:null,&quot;followers&quot;:null,&quot;following&quot;:null,&quot;is_verified&quot;:null,&quot;profile_id&quot;:&quot;867617849208037377&quot;,&quot;profile_name&quot;:&quot;OKX&quot;,&quot;url&quot;:&quot;https://x.com/okx&quot;}]"/>
    <n v="5659"/>
    <n v="3671"/>
    <n v="42031"/>
    <n v="2264412"/>
    <s v=""/>
    <s v="[&quot;ManCity&quot;]"/>
    <n v="17891377"/>
    <s v="WATCH TOGETHER: 4-IN-A-ROW 🍿"/>
    <n v="168939"/>
    <s v="https://pbs.twimg.com/profile_images/1856263834400358400/RysToJDu_normal.png"/>
    <n v="47365"/>
    <b v="0"/>
    <n v="2520"/>
    <n v="398"/>
    <s v="{&quot;post_id&quot;:null,&quot;profile_id&quot;:null,&quot;profile_name&quot;:null}"/>
    <s v="null"/>
    <s v="null"/>
    <s v="{&quot;data_posted&quot;:null,&quot;description&quot;:null,&quot;photos&quot;:null,&quot;post_id&quot;:null,&quot;profile_id&quot;:null,&quot;profile_name&quot;:null,&quot;url&quot;:null,&quot;videos&quot;:null}"/>
    <n v="54279"/>
    <n v="2.3970461205822968E-2"/>
    <d v="2024-12-15T00:00:00"/>
    <n v="0.77055555555555555"/>
    <x v="0"/>
    <x v="8"/>
    <x v="0"/>
    <x v="0"/>
    <x v="1"/>
    <x v="0"/>
    <n v="58"/>
    <x v="1"/>
  </r>
  <r>
    <n v="1.8683860786859052E+18"/>
    <s v="tvg███o"/>
    <s v="TV ███bo ███"/>
    <s v="A GG TÁ NA CASA 🤯 Quem tá torcendo para a @gloriagroove? #MelhoresDoAno #Domingão"/>
    <s v="&quot;2024-12-15T20:02:08.000Z&quot;"/>
    <s v="[&quot;https://pbs.twimg.com/media/Ge3XEYgXIAAZb9H.jpg&quot;]"/>
    <s v="https://x.com/tvglobo/status/1868386078685905233"/>
    <s v="[{&quot;biography&quot;:null,&quot;followers&quot;:null,&quot;following&quot;:null,&quot;is_verified&quot;:null,&quot;profile_id&quot;:&quot;37289477&quot;,&quot;profile_name&quot;:&quot;Gloria Groove&quot;,&quot;url&quot;:&quot;https://x.com/gloriagroove&quot;}]"/>
    <n v="8"/>
    <n v="19"/>
    <n v="192"/>
    <n v="9508"/>
    <s v=""/>
    <s v="[&quot;MelhoresDoAno&quot;,&quot;Domingão&quot;]"/>
    <n v="13492430"/>
    <s v="oi, eu sou a Glô 😜"/>
    <n v="314515"/>
    <s v="https://pbs.twimg.com/profile_images/1863599216829792256/r5M1uKA8_normal.jpg"/>
    <n v="708"/>
    <b v="0"/>
    <n v="1"/>
    <n v="4"/>
    <s v="{&quot;post_id&quot;:null,&quot;profile_id&quot;:null,&quot;profile_name&quot;:null}"/>
    <s v="null"/>
    <s v="null"/>
    <s v="{&quot;data_posted&quot;:null,&quot;description&quot;:null,&quot;photos&quot;:null,&quot;post_id&quot;:null,&quot;profile_id&quot;:null,&quot;profile_name&quot;:null,&quot;url&quot;:null,&quot;videos&quot;:null}"/>
    <n v="224"/>
    <n v="2.3559108119478336E-2"/>
    <d v="2024-12-15T00:00:00"/>
    <n v="0.83481481481481479"/>
    <x v="0"/>
    <x v="3"/>
    <x v="0"/>
    <x v="0"/>
    <x v="1"/>
    <x v="0"/>
    <n v="81"/>
    <x v="1"/>
  </r>
  <r>
    <n v="1.8683998456327949E+18"/>
    <s v="tvg███o"/>
    <s v="TV ███bo ███"/>
    <s v="Discurso da nossa eterna Lupita 🤏 @daphnebozaski você é incríveeeeeeeeeeeeel!!! #MelhoresDoAno #Domingão"/>
    <s v="&quot;2024-12-15T20:56:51.000Z&quot;"/>
    <s v="null"/>
    <s v="https://x.com/tvglobo/status/1868399845632794880"/>
    <s v="[{&quot;biography&quot;:null,&quot;followers&quot;:null,&quot;following&quot;:null,&quot;is_verified&quot;:null,&quot;profile_id&quot;:&quot;64927068&quot;,&quot;profile_name&quot;:&quot;Daphne Bozaski&quot;,&quot;url&quot;:&quot;https://x.com/daphnebozaski&quot;}]"/>
    <n v="16"/>
    <n v="29"/>
    <n v="168"/>
    <n v="9901"/>
    <s v=""/>
    <s v="[&quot;MelhoresDoAno&quot;,&quot;Domingão&quot;]"/>
    <n v="13492430"/>
    <s v="oi, eu sou a Glô 😜"/>
    <n v="314515"/>
    <s v="https://pbs.twimg.com/profile_images/1863599216829792256/r5M1uKA8_normal.jpg"/>
    <n v="708"/>
    <b v="0"/>
    <n v="12"/>
    <n v="8"/>
    <s v="{&quot;post_id&quot;:null,&quot;profile_id&quot;:null,&quot;profile_name&quot;:null}"/>
    <s v="null"/>
    <s v="[{&quot;duration&quot;:112140,&quot;video_url&quot;:&quot;https://video.twimg.com/amplify_video/1868399550534135808/vid/avc1/1920x1080/x1qdZPPBaTptAZG1.mp4?tag=16&quot;}]"/>
    <s v="{&quot;data_posted&quot;:null,&quot;description&quot;:null,&quot;photos&quot;:null,&quot;post_id&quot;:null,&quot;profile_id&quot;:null,&quot;profile_name&quot;:null,&quot;url&quot;:null,&quot;videos&quot;:null}"/>
    <n v="233"/>
    <n v="2.3532976467023532E-2"/>
    <d v="2024-12-15T00:00:00"/>
    <n v="0.87281249999999999"/>
    <x v="0"/>
    <x v="3"/>
    <x v="1"/>
    <x v="1"/>
    <x v="1"/>
    <x v="0"/>
    <n v="104"/>
    <x v="1"/>
  </r>
  <r>
    <n v="1.8682273333685128E+18"/>
    <s v="LFC"/>
    <s v="Liv███ool███"/>
    <s v="'We showed the character we have' - Cody Gakpo on #LIVFUL 💬"/>
    <s v="&quot;2024-12-15T09:31:20.000Z&quot;"/>
    <s v="null"/>
    <s v="https://x.com/LFC/status/1868227333368512760"/>
    <s v="null"/>
    <n v="70"/>
    <n v="197"/>
    <n v="2994"/>
    <n v="139744"/>
    <s v="https://www.liverpoolfc.com/news/we-showed-character-we-have-cody-gakpo-fulham-draw"/>
    <s v="[&quot;LIVFUL&quot;]"/>
    <n v="24644781"/>
    <s v="Official X account of Liverpool Football Club 🔴 Stop The Hate, Report It. #RedTogether ✊ @LFCHelp 💻"/>
    <n v="122426"/>
    <s v="https://pbs.twimg.com/profile_images/1856268307868844032/lbdn4-vK_normal.jpg"/>
    <n v="339854"/>
    <b v="0"/>
    <n v="6"/>
    <n v="11"/>
    <s v="{&quot;post_id&quot;:null,&quot;profile_id&quot;:null,&quot;profile_name&quot;:null}"/>
    <s v="null"/>
    <s v="null"/>
    <s v="{&quot;data_posted&quot;:null,&quot;description&quot;:null,&quot;photos&quot;:null,&quot;post_id&quot;:null,&quot;profile_id&quot;:null,&quot;profile_name&quot;:null,&quot;url&quot;:null,&quot;videos&quot;:null}"/>
    <n v="3278"/>
    <n v="2.3457178841309823E-2"/>
    <d v="2024-12-15T00:00:00"/>
    <n v="0.39675925925925926"/>
    <x v="0"/>
    <x v="18"/>
    <x v="0"/>
    <x v="1"/>
    <x v="1"/>
    <x v="0"/>
    <n v="59"/>
    <x v="1"/>
  </r>
  <r>
    <n v="1.8683077303496054E+18"/>
    <s v="CPFC"/>
    <s v="Cry███l P███ce ██████"/>
    <s v="A strong start 💪_x000a__x000a_#CPFC // #BHACRY"/>
    <s v="&quot;2024-12-15T14:50:49.000Z&quot;"/>
    <s v="null"/>
    <s v="https://x.com/CPFC/status/1868307730349605269"/>
    <s v="null"/>
    <n v="34"/>
    <n v="25"/>
    <n v="536"/>
    <n v="25964"/>
    <s v="https://www.cpfc.co.uk/matches/men/epl/2024-25/brighton-and-hove-albion-vs-crystal-palace-2024-12-15/2444622/"/>
    <s v="[&quot;CPFC&quot;,&quot;BHACRY&quot;]"/>
    <n v="1480966"/>
    <s v="The Pride of South London."/>
    <n v="103753"/>
    <s v="https://pbs.twimg.com/profile_images/1857393032883994624/qN-MGWEH_normal.jpg"/>
    <n v="552"/>
    <b v="0"/>
    <n v="12"/>
    <n v="1"/>
    <s v="{&quot;post_id&quot;:null,&quot;profile_id&quot;:null,&quot;profile_name&quot;:null}"/>
    <s v="null"/>
    <s v="null"/>
    <s v="{&quot;data_posted&quot;:null,&quot;description&quot;:null,&quot;photos&quot;:null,&quot;post_id&quot;:null,&quot;profile_id&quot;:null,&quot;profile_name&quot;:null,&quot;url&quot;:null,&quot;videos&quot;:null}"/>
    <n v="608"/>
    <n v="2.341703897704514E-2"/>
    <d v="2024-12-15T00:00:00"/>
    <n v="0.61862268518518515"/>
    <x v="0"/>
    <x v="1"/>
    <x v="0"/>
    <x v="1"/>
    <x v="1"/>
    <x v="0"/>
    <n v="34"/>
    <x v="0"/>
  </r>
  <r>
    <n v="1.868258857828672E+18"/>
    <s v="BBL"/>
    <s v="KFC███g B███ Le██████"/>
    <s v="That's how you start a season!_x000a__x000a_The @ScorchersBBL win the #BBL14 opener at The Furnace 🔥"/>
    <s v="&quot;2024-12-15T11:36:36.000Z&quot;"/>
    <s v="[&quot;https://pbs.twimg.com/media/Ge1jNfCbQAAAJ4r.jpg&quot;]"/>
    <s v="https://x.com/BBL/status/1868258857828671873"/>
    <s v="[{&quot;biography&quot;:null,&quot;followers&quot;:null,&quot;following&quot;:null,&quot;is_verified&quot;:null,&quot;profile_id&quot;:&quot;259597381&quot;,&quot;profile_name&quot;:&quot;Perth Scorchers&quot;,&quot;url&quot;:&quot;https://x.com/ScorchersBBL&quot;}]"/>
    <n v="16"/>
    <n v="16"/>
    <n v="216"/>
    <n v="11085"/>
    <s v=""/>
    <s v="[&quot;BBL14&quot;]"/>
    <n v="551401"/>
    <s v="🗓️ 15 Dec - 27 Jan_x000a_📲 Download the Big Bash App for #BBL14 _x000a_🎟️ Grab your tickets!"/>
    <n v="40407"/>
    <s v="https://pbs.twimg.com/profile_images/1670610412042334208/p_7jGcdv_normal.jpg"/>
    <n v="282"/>
    <b v="0"/>
    <n v="8"/>
    <n v="1"/>
    <s v="{&quot;post_id&quot;:null,&quot;profile_id&quot;:null,&quot;profile_name&quot;:null}"/>
    <s v="null"/>
    <s v="null"/>
    <s v="{&quot;data_posted&quot;:null,&quot;description&quot;:null,&quot;photos&quot;:null,&quot;post_id&quot;:null,&quot;profile_id&quot;:null,&quot;profile_name&quot;:null,&quot;url&quot;:null,&quot;videos&quot;:null}"/>
    <n v="257"/>
    <n v="2.3184483536310328E-2"/>
    <d v="2024-12-15T00:00:00"/>
    <n v="0.48375000000000001"/>
    <x v="0"/>
    <x v="16"/>
    <x v="0"/>
    <x v="0"/>
    <x v="1"/>
    <x v="0"/>
    <n v="88"/>
    <x v="2"/>
  </r>
  <r>
    <n v="1.8684240439189466E+18"/>
    <s v="Man███"/>
    <s v="Man███ste███nit███"/>
    <s v="Our Portuguese magnifico 🇵🇹_x000a__x000a_#MUFC || #MCIMUN"/>
    <s v="&quot;2024-12-15T22:33:00.000Z&quot;"/>
    <s v="null"/>
    <s v="https://x.com/ManUtd/status/1868424043918946683"/>
    <s v="null"/>
    <n v="76"/>
    <n v="253"/>
    <n v="3502"/>
    <n v="166039"/>
    <s v="https://store.manutd.com/en-gb/c/kit/home?t=y&amp;utm_source=twitter&amp;utm_medium=link_post&amp;utm_campaign=muwebsite"/>
    <s v="[&quot;MUFC&quot;,&quot;MCIMUN&quot;]"/>
    <n v="38439078"/>
    <s v="’Tis the season to gift United! 🎁🎄"/>
    <n v="92455"/>
    <s v="https://pbs.twimg.com/profile_images/1856418426496880640/iIvJaO5T_normal.png"/>
    <n v="145"/>
    <b v="0"/>
    <n v="1"/>
    <n v="7"/>
    <s v="{&quot;post_id&quot;:null,&quot;profile_id&quot;:null,&quot;profile_name&quot;:null}"/>
    <s v="null"/>
    <s v="null"/>
    <s v="{&quot;data_posted&quot;:null,&quot;description&quot;:null,&quot;photos&quot;:null,&quot;post_id&quot;:null,&quot;profile_id&quot;:null,&quot;profile_name&quot;:null,&quot;url&quot;:null,&quot;videos&quot;:null}"/>
    <n v="3839"/>
    <n v="2.3121073964550497E-2"/>
    <d v="2024-12-15T00:00:00"/>
    <n v="0.93958333333333333"/>
    <x v="0"/>
    <x v="11"/>
    <x v="0"/>
    <x v="1"/>
    <x v="1"/>
    <x v="0"/>
    <n v="45"/>
    <x v="1"/>
  </r>
  <r>
    <n v="1.8681867703341755E+18"/>
    <s v="BBL"/>
    <s v="KFC███g B███ Le██████"/>
    <s v="Your first #BBL14 deck of the summer! _x000a__x000a_📍 Perth Stadium"/>
    <s v="&quot;2024-12-15T06:50:09.000Z&quot;"/>
    <s v="[&quot;https://pbs.twimg.com/media/Ge0h9htbQAAf8NU.jpg&quot;]"/>
    <s v="https://x.com/BBL/status/1868186770334175576"/>
    <s v="null"/>
    <n v="8"/>
    <n v="16"/>
    <n v="485"/>
    <n v="22312"/>
    <s v=""/>
    <s v="[&quot;BBL14&quot;]"/>
    <n v="551402"/>
    <s v="🗓️ 15 Dec - 27 Jan_x000a_📲 Download the Big Bash App for #BBL14 _x000a_🎟️ Grab your tickets!"/>
    <n v="40407"/>
    <s v="https://pbs.twimg.com/profile_images/1670610412042334208/p_7jGcdv_normal.jpg"/>
    <n v="282"/>
    <b v="0"/>
    <n v="3"/>
    <n v="3"/>
    <s v="{&quot;post_id&quot;:null,&quot;profile_id&quot;:null,&quot;profile_name&quot;:null}"/>
    <s v="null"/>
    <s v="null"/>
    <s v="{&quot;data_posted&quot;:null,&quot;description&quot;:null,&quot;photos&quot;:null,&quot;post_id&quot;:null,&quot;profile_id&quot;:null,&quot;profile_name&quot;:null,&quot;url&quot;:null,&quot;videos&quot;:null}"/>
    <n v="515"/>
    <n v="2.3081749731086412E-2"/>
    <d v="2024-12-15T00:00:00"/>
    <n v="0.28482638888888889"/>
    <x v="0"/>
    <x v="23"/>
    <x v="0"/>
    <x v="0"/>
    <x v="1"/>
    <x v="0"/>
    <n v="55"/>
    <x v="2"/>
  </r>
  <r>
    <n v="1.868284814136095E+18"/>
    <s v="Bar███ysW███"/>
    <s v="Bar███ys ███en'█████████eag███"/>
    <s v="The composure from Hayashi! _x000a__x000a_#BarclaysWSL @EvertonWomen"/>
    <s v="&quot;2024-12-15T13:19:45.000Z&quot;"/>
    <s v="null"/>
    <s v="https://x.com/BarclaysWSL/status/1868284814136095075"/>
    <s v="[{&quot;biography&quot;:null,&quot;followers&quot;:null,&quot;following&quot;:null,&quot;is_verified&quot;:null,&quot;profile_id&quot;:&quot;485857070&quot;,&quot;profile_name&quot;:&quot;Everton Women&quot;,&quot;url&quot;:&quot;https://x.com/EvertonWomen&quot;}]"/>
    <n v="7"/>
    <n v="52"/>
    <n v="298"/>
    <n v="16479"/>
    <s v=""/>
    <s v="[&quot;BarclaysWSL&quot;]"/>
    <n v="337839"/>
    <s v="The home of top-flight women's football in England! 🤩_x000a__x000a_Subscribe to our brand-new BWSL YouTube Channel! 📺 #BarclaysWSL"/>
    <n v="57638"/>
    <s v="https://pbs.twimg.com/profile_images/1605171595160555521/NKG9mgxv_normal.jpg"/>
    <n v="587"/>
    <b v="0"/>
    <n v="14"/>
    <n v="8"/>
    <s v="{&quot;post_id&quot;:null,&quot;profile_id&quot;:null,&quot;profile_name&quot;:null}"/>
    <s v="null"/>
    <s v="[{&quot;duration&quot;:23158,&quot;video_url&quot;:&quot;https://video.twimg.com/amplify_video/1868284786051096576/vid/avc1/1280x720/uCX0k54g7_dvttK-.mp4?tag=16&quot;}]"/>
    <s v="{&quot;data_posted&quot;:null,&quot;description&quot;:null,&quot;photos&quot;:null,&quot;post_id&quot;:null,&quot;profile_id&quot;:null,&quot;profile_name&quot;:null,&quot;url&quot;:null,&quot;videos&quot;:null}"/>
    <n v="379"/>
    <n v="2.2998968384003882E-2"/>
    <d v="2024-12-15T00:00:00"/>
    <n v="0.55538194444444444"/>
    <x v="0"/>
    <x v="14"/>
    <x v="1"/>
    <x v="1"/>
    <x v="1"/>
    <x v="0"/>
    <n v="56"/>
    <x v="2"/>
  </r>
  <r>
    <n v="1.8684061815567857E+18"/>
    <s v="tvg███o"/>
    <s v="TV ███bo ███"/>
    <s v="ESTE ANO, a Marjorie é a vencedora do &quot;Atriz de Série&quot; 🤌🤌🤌 #MelhoresDoAno #Domingão"/>
    <s v="&quot;2024-12-15T21:22:01.000Z&quot;"/>
    <s v="null"/>
    <s v="https://x.com/tvglobo/status/1868406181556785630"/>
    <s v="null"/>
    <n v="11"/>
    <n v="37"/>
    <n v="292"/>
    <n v="16662"/>
    <s v=""/>
    <s v="[&quot;MelhoresDoAno&quot;,&quot;Domingão&quot;]"/>
    <n v="13492372"/>
    <s v="oi, eu sou a Glô 😜"/>
    <n v="314515"/>
    <s v="https://pbs.twimg.com/profile_images/1863599216829792256/r5M1uKA8_normal.jpg"/>
    <n v="708"/>
    <b v="0"/>
    <n v="29"/>
    <n v="13"/>
    <s v="{&quot;post_id&quot;:null,&quot;profile_id&quot;:null,&quot;profile_name&quot;:null}"/>
    <s v="null"/>
    <s v="[{&quot;duration&quot;:11260,&quot;video_url&quot;:&quot;https://video.twimg.com/amplify_video/1868405388854345728/vid/avc1/1920x1080/P4uzUY5HpkUTB7Li.mp4?tag=16&quot;}]"/>
    <s v="{&quot;data_posted&quot;:null,&quot;description&quot;:null,&quot;photos&quot;:null,&quot;post_id&quot;:null,&quot;profile_id&quot;:null,&quot;profile_name&quot;:null,&quot;url&quot;:null,&quot;videos&quot;:null}"/>
    <n v="382"/>
    <n v="2.2926419397431282E-2"/>
    <d v="2024-12-15T00:00:00"/>
    <n v="0.89028935185185187"/>
    <x v="0"/>
    <x v="10"/>
    <x v="1"/>
    <x v="1"/>
    <x v="1"/>
    <x v="0"/>
    <n v="83"/>
    <x v="1"/>
  </r>
  <r>
    <n v="1.8681209214094953E+18"/>
    <s v="WWE"/>
    <s v="WWE"/>
    <s v="WHAT A MOMENT! 🙌_x000a__x000a_#SNME"/>
    <s v="&quot;2024-12-15T02:28:30.000Z&quot;"/>
    <s v="null"/>
    <s v="https://x.com/WWE/status/1868120921409495230"/>
    <s v="null"/>
    <n v="372"/>
    <n v="2606"/>
    <n v="21292"/>
    <n v="1107429"/>
    <s v=""/>
    <s v="[&quot;SNME&quot;]"/>
    <n v="14375935"/>
    <s v="WWE Raw | Mondays at 8/7c on USA Network _x000a_WWE NXT | Tuesdays at 8/7c on The CW _x000a_WWE SmackDown | Fridays at 8/7c on USA Network"/>
    <n v="346973"/>
    <s v="https://pbs.twimg.com/profile_images/1383079031805972485/3sWoMX-R_normal.jpg"/>
    <n v="392"/>
    <b v="0"/>
    <n v="285"/>
    <n v="784"/>
    <s v="{&quot;post_id&quot;:null,&quot;profile_id&quot;:null,&quot;profile_name&quot;:null}"/>
    <s v="null"/>
    <s v="[{&quot;duration&quot;:46134,&quot;video_url&quot;:&quot;https://video.twimg.com/amplify_video/1868120849464664064/vid/avc1/1920x1080/_-8LMuFYtjJnA5do.mp4?tag=16&quot;}]"/>
    <s v="{&quot;data_posted&quot;:null,&quot;description&quot;:null,&quot;photos&quot;:null,&quot;post_id&quot;:null,&quot;profile_id&quot;:null,&quot;profile_name&quot;:null,&quot;url&quot;:null,&quot;videos&quot;:null}"/>
    <n v="25339"/>
    <n v="2.2880925097681207E-2"/>
    <d v="2024-12-15T00:00:00"/>
    <n v="0.10312499999999999"/>
    <x v="0"/>
    <x v="2"/>
    <x v="1"/>
    <x v="1"/>
    <x v="1"/>
    <x v="0"/>
    <n v="23"/>
    <x v="1"/>
  </r>
  <r>
    <n v="1.8682043531544125E+18"/>
    <s v="acm███n"/>
    <s v="AC ███an"/>
    <s v="From Lanarkshire to Milano, happy birthday Lo Squalo 🦈_x000a__x000a_#SempreMilan"/>
    <s v="&quot;2024-12-15T08:00:02.000Z&quot;"/>
    <s v="[&quot;https://pbs.twimg.com/media/Gexj0apWIAAnpci.jpg&quot;]"/>
    <s v="https://x.com/acmilan/status/1868204353154412586"/>
    <s v="null"/>
    <n v="12"/>
    <n v="69"/>
    <n v="710"/>
    <n v="34902"/>
    <s v=""/>
    <s v="[&quot;SempreMilan&quot;]"/>
    <n v="8539601"/>
    <s v="❤🖤 125 years together, worth every minute ❤🖤 _x000a__x000a_#SempreMilan since 1899! 🔙 _x000a__x000a_Arabic: @acmilanar | Portuguese: @acmilanbr | #MilanYouth: @acmilanyouth"/>
    <n v="75535"/>
    <s v="https://pbs.twimg.com/profile_images/1848748720050868225/FQY9F6Hn_normal.jpg"/>
    <n v="117"/>
    <b v="0"/>
    <n v="4"/>
    <n v="3"/>
    <s v="{&quot;post_id&quot;:null,&quot;profile_id&quot;:null,&quot;profile_name&quot;:null}"/>
    <s v="null"/>
    <s v="null"/>
    <s v="{&quot;data_posted&quot;:null,&quot;description&quot;:null,&quot;photos&quot;:null,&quot;post_id&quot;:null,&quot;profile_id&quot;:null,&quot;profile_name&quot;:null,&quot;url&quot;:null,&quot;videos&quot;:null}"/>
    <n v="798"/>
    <n v="2.2864019253910951E-2"/>
    <d v="2024-12-15T00:00:00"/>
    <n v="0.3333564814814815"/>
    <x v="0"/>
    <x v="6"/>
    <x v="0"/>
    <x v="0"/>
    <x v="1"/>
    <x v="0"/>
    <n v="68"/>
    <x v="0"/>
  </r>
  <r>
    <n v="1.8682673312958469E+18"/>
    <s v="BBL"/>
    <s v="KFC███g B███ Le██████"/>
    <s v="The return of Richo! The Scorchers speedster put on a show in the first match of the season 👏 #POTM #BBL14"/>
    <s v="&quot;2024-12-15T12:10:17.000Z&quot;"/>
    <s v="[&quot;https://pbs.twimg.com/media/Ge1rOyVaEAAJDio.jpg&quot;]"/>
    <s v="https://x.com/BBL/status/1868267331295846816"/>
    <s v="null"/>
    <n v="6"/>
    <n v="13"/>
    <n v="177"/>
    <n v="8763"/>
    <s v=""/>
    <s v="[&quot;POTM&quot;,&quot;BBL14&quot;]"/>
    <n v="551402"/>
    <s v="🗓️ 15 Dec - 27 Jan_x000a_📲 Download the Big Bash App for #BBL14 _x000a_🎟️ Grab your tickets!"/>
    <n v="40407"/>
    <s v="https://pbs.twimg.com/profile_images/1670610412042334208/p_7jGcdv_normal.jpg"/>
    <n v="282"/>
    <b v="0"/>
    <n v="1"/>
    <n v="3"/>
    <s v="{&quot;post_id&quot;:null,&quot;profile_id&quot;:null,&quot;profile_name&quot;:null}"/>
    <s v="null"/>
    <s v="null"/>
    <s v="{&quot;data_posted&quot;:null,&quot;description&quot;:null,&quot;photos&quot;:null,&quot;post_id&quot;:null,&quot;profile_id&quot;:null,&quot;profile_name&quot;:null,&quot;url&quot;:null,&quot;videos&quot;:null}"/>
    <n v="200"/>
    <n v="2.2823234052265207E-2"/>
    <d v="2024-12-15T00:00:00"/>
    <n v="0.50714120370370375"/>
    <x v="0"/>
    <x v="0"/>
    <x v="0"/>
    <x v="0"/>
    <x v="1"/>
    <x v="0"/>
    <n v="106"/>
    <x v="2"/>
  </r>
  <r>
    <n v="1.8684148112869996E+18"/>
    <s v="tvg███o"/>
    <s v="TV ███bo ███"/>
    <s v="Paulo Vieira é o grande vencedor da categoria &quot;Humor&quot; ✨ #MelhoresDoAno #Domingão"/>
    <s v="&quot;2024-12-15T21:56:19.000Z&quot;"/>
    <s v="null"/>
    <s v="https://x.com/tvglobo/status/1868414811286999496"/>
    <s v="null"/>
    <n v="23"/>
    <n v="22"/>
    <n v="225"/>
    <n v="12492"/>
    <s v=""/>
    <s v="[&quot;MelhoresDoAno&quot;,&quot;Domingão&quot;]"/>
    <n v="13492430"/>
    <s v="oi, eu sou a Glô 😜"/>
    <n v="314515"/>
    <s v="https://pbs.twimg.com/profile_images/1863599216829792256/r5M1uKA8_normal.jpg"/>
    <n v="708"/>
    <b v="0"/>
    <n v="10"/>
    <n v="5"/>
    <s v="{&quot;post_id&quot;:null,&quot;profile_id&quot;:null,&quot;profile_name&quot;:null}"/>
    <s v="null"/>
    <s v="[{&quot;duration&quot;:23950,&quot;video_url&quot;:&quot;https://video.twimg.com/amplify_video/1868414552569696258/vid/avc1/1920x1080/hrh-RqqmR0Fw4u3C.mp4?tag=16&quot;}]"/>
    <s v="{&quot;data_posted&quot;:null,&quot;description&quot;:null,&quot;photos&quot;:null,&quot;post_id&quot;:null,&quot;profile_id&quot;:null,&quot;profile_name&quot;:null,&quot;url&quot;:null,&quot;videos&quot;:null}"/>
    <n v="285"/>
    <n v="2.281460134486071E-2"/>
    <d v="2024-12-15T00:00:00"/>
    <n v="0.91410879629629627"/>
    <x v="0"/>
    <x v="10"/>
    <x v="1"/>
    <x v="1"/>
    <x v="1"/>
    <x v="0"/>
    <n v="80"/>
    <x v="1"/>
  </r>
  <r>
    <n v="1.8682873931677821E+18"/>
    <s v="Man███y"/>
    <s v="Man███ste███ity███"/>
    <s v="Counting down to the derby! 👊_x000a__x000a_#ManCity | @Gatorade"/>
    <s v="&quot;2024-12-15T13:30:00.000Z&quot;"/>
    <s v="[&quot;https://pbs.twimg.com/media/Ge1ZBsxXoAApNLp.jpg&quot;]"/>
    <s v="https://x.com/ManCity/status/1868287393167782194"/>
    <s v="[{&quot;biography&quot;:null,&quot;followers&quot;:null,&quot;following&quot;:null,&quot;is_verified&quot;:null,&quot;profile_id&quot;:&quot;34369690&quot;,&quot;profile_name&quot;:&quot;Gatorade&quot;,&quot;url&quot;:&quot;https://x.com/Gatorade&quot;}]"/>
    <n v="129"/>
    <n v="322"/>
    <n v="4475"/>
    <n v="219157"/>
    <s v=""/>
    <s v="[&quot;ManCity&quot;]"/>
    <n v="17891377"/>
    <s v="WATCH TOGETHER: 4-IN-A-ROW 🍿"/>
    <n v="168939"/>
    <s v="https://pbs.twimg.com/profile_images/1856263834400358400/RysToJDu_normal.png"/>
    <n v="47365"/>
    <b v="0"/>
    <n v="42"/>
    <n v="14"/>
    <s v="{&quot;post_id&quot;:null,&quot;profile_id&quot;:null,&quot;profile_name&quot;:null}"/>
    <s v="null"/>
    <s v="null"/>
    <s v="{&quot;data_posted&quot;:null,&quot;description&quot;:null,&quot;photos&quot;:null,&quot;post_id&quot;:null,&quot;profile_id&quot;:null,&quot;profile_name&quot;:null,&quot;url&quot;:null,&quot;videos&quot;:null}"/>
    <n v="4982"/>
    <n v="2.2732561588267773E-2"/>
    <d v="2024-12-15T00:00:00"/>
    <n v="0.5625"/>
    <x v="0"/>
    <x v="14"/>
    <x v="0"/>
    <x v="0"/>
    <x v="1"/>
    <x v="0"/>
    <n v="51"/>
    <x v="1"/>
  </r>
  <r>
    <n v="1.8684223950458145E+18"/>
    <s v="tvg███o"/>
    <s v="TV ███bo ███"/>
    <s v="Ela começa o agradecimento fazendo a gente chorar e finaliza fazendo a gente rir 😂❤️ #MelhoresDoAno #Domingão"/>
    <s v="&quot;2024-12-15T22:26:27.000Z&quot;"/>
    <s v="null"/>
    <s v="https://x.com/tvglobo/status/1868422395045814601"/>
    <s v="null"/>
    <n v="4"/>
    <n v="28"/>
    <n v="183"/>
    <n v="10233"/>
    <s v=""/>
    <s v="[&quot;MelhoresDoAno&quot;,&quot;Domingão&quot;]"/>
    <n v="13492430"/>
    <s v="oi, eu sou a Glô 😜"/>
    <n v="314515"/>
    <s v="https://pbs.twimg.com/profile_images/1863599216829792256/r5M1uKA8_normal.jpg"/>
    <n v="708"/>
    <b v="0"/>
    <n v="5"/>
    <n v="12"/>
    <s v="{&quot;post_id&quot;:null,&quot;profile_id&quot;:null,&quot;profile_name&quot;:null}"/>
    <s v="null"/>
    <s v="[{&quot;duration&quot;:75160,&quot;video_url&quot;:&quot;https://video.twimg.com/amplify_video/1868422088106622976/vid/avc1/1920x1080/rwhlHgY-gy74GeKB.mp4?tag=16&quot;}]"/>
    <s v="{&quot;data_posted&quot;:null,&quot;description&quot;:null,&quot;photos&quot;:null,&quot;post_id&quot;:null,&quot;profile_id&quot;:null,&quot;profile_name&quot;:null,&quot;url&quot;:null,&quot;videos&quot;:null}"/>
    <n v="232"/>
    <n v="2.2671748265415813E-2"/>
    <d v="2024-12-15T00:00:00"/>
    <n v="0.93503472222222217"/>
    <x v="0"/>
    <x v="11"/>
    <x v="1"/>
    <x v="1"/>
    <x v="1"/>
    <x v="0"/>
    <n v="109"/>
    <x v="1"/>
  </r>
  <r>
    <n v="1.868349552853451E+18"/>
    <s v="Bar███ysW███"/>
    <s v="Bar███ys ███en'█████████eag███"/>
    <s v="A first #BarclaysWSL victory over Manchester City!_x000a__x000a_What a way to finish the year for @EvertonWomen!"/>
    <s v="&quot;2024-12-15T17:37:00.000Z&quot;"/>
    <s v="[&quot;https://pbs.twimg.com/media/Ge2M7_2WsAAKjSo.jpg&quot;]"/>
    <s v="https://x.com/BarclaysWSL/status/1868349552853451025"/>
    <s v="[{&quot;biography&quot;:null,&quot;followers&quot;:null,&quot;following&quot;:null,&quot;is_verified&quot;:null,&quot;profile_id&quot;:&quot;485857070&quot;,&quot;profile_name&quot;:&quot;Everton Women&quot;,&quot;url&quot;:&quot;https://x.com/EvertonWomen&quot;}]"/>
    <n v="2"/>
    <n v="11"/>
    <n v="231"/>
    <n v="11020"/>
    <s v=""/>
    <s v="[&quot;BarclaysWSL&quot;]"/>
    <n v="337839"/>
    <s v="The home of top-flight women's football in England! 🤩_x000a__x000a_Subscribe to our brand-new BWSL YouTube Channel! 📺 #BarclaysWSL"/>
    <n v="57638"/>
    <s v="https://pbs.twimg.com/profile_images/1605171595160555521/NKG9mgxv_normal.jpg"/>
    <n v="587"/>
    <b v="0"/>
    <n v="0"/>
    <n v="3"/>
    <s v="{&quot;post_id&quot;:null,&quot;profile_id&quot;:null,&quot;profile_name&quot;:null}"/>
    <s v="null"/>
    <s v="null"/>
    <s v="{&quot;data_posted&quot;:null,&quot;description&quot;:null,&quot;photos&quot;:null,&quot;post_id&quot;:null,&quot;profile_id&quot;:null,&quot;profile_name&quot;:null,&quot;url&quot;:null,&quot;videos&quot;:null}"/>
    <n v="247"/>
    <n v="2.2413793103448276E-2"/>
    <d v="2024-12-15T00:00:00"/>
    <n v="0.73402777777777772"/>
    <x v="0"/>
    <x v="12"/>
    <x v="0"/>
    <x v="0"/>
    <x v="1"/>
    <x v="0"/>
    <n v="100"/>
    <x v="2"/>
  </r>
  <r>
    <n v="1.868219446138999E+18"/>
    <s v="Ars███lWF███"/>
    <s v="Ars███l W███n"/>
    <s v="🟣 𝗠𝗔𝗧𝗖𝗛𝘿𝘼𝙔 🔵_x000a__x000a_🆚 Liverpool_x000a_🕜 2:30pm (UK)_x000a_🏆 @BarclaysWSL_x000a_🏟️ St Helens Stadium"/>
    <s v="&quot;2024-12-15T09:00:00.000Z&quot;"/>
    <s v="[&quot;https://pbs.twimg.com/media/Ge0fwBDWoAABb1B.jpg&quot;]"/>
    <s v="https://x.com/ArsenalWFC/status/1868219446138999067"/>
    <s v="[{&quot;biography&quot;:null,&quot;followers&quot;:null,&quot;following&quot;:null,&quot;is_verified&quot;:null,&quot;profile_id&quot;:&quot;273665871&quot;,&quot;profile_name&quot;:&quot;Barclays Women's Super League&quot;,&quot;url&quot;:&quot;https://x.com/BarclaysWSL&quot;}]"/>
    <n v="51"/>
    <n v="262"/>
    <n v="2758"/>
    <n v="138654"/>
    <s v=""/>
    <s v="null"/>
    <n v="756191"/>
    <s v="The home of Arsenal Women 🏡"/>
    <n v="32997"/>
    <s v="https://pbs.twimg.com/profile_images/1867639436789305344/r3fPR8sb_normal.jpg"/>
    <n v="303"/>
    <b v="0"/>
    <n v="27"/>
    <n v="8"/>
    <s v="{&quot;post_id&quot;:null,&quot;profile_id&quot;:null,&quot;profile_name&quot;:null}"/>
    <s v="null"/>
    <s v="null"/>
    <s v="{&quot;data_posted&quot;:null,&quot;description&quot;:null,&quot;photos&quot;:null,&quot;post_id&quot;:null,&quot;profile_id&quot;:null,&quot;profile_name&quot;:null,&quot;url&quot;:null,&quot;videos&quot;:null}"/>
    <n v="3106"/>
    <n v="2.2401084714469111E-2"/>
    <d v="2024-12-15T00:00:00"/>
    <n v="0.375"/>
    <x v="0"/>
    <x v="18"/>
    <x v="0"/>
    <x v="0"/>
    <x v="0"/>
    <x v="0"/>
    <n v="75"/>
    <x v="2"/>
  </r>
  <r>
    <n v="1.8683598706401733E+18"/>
    <s v="Bar███ysW███"/>
    <s v="Bar███ys ███en'█████████eag███"/>
    <s v="Ending the calendar year with three points 🤩_x000a__x000a_#BarclaysWSL @ManUtdWomen"/>
    <s v="&quot;2024-12-15T18:18:00.000Z&quot;"/>
    <s v="[&quot;https://pbs.twimg.com/media/Ge2jR4IWYAAuuu8.jpg&quot;]"/>
    <s v="https://x.com/BarclaysWSL/status/1868359870640173406"/>
    <s v="[{&quot;biography&quot;:null,&quot;followers&quot;:null,&quot;following&quot;:null,&quot;is_verified&quot;:null,&quot;profile_id&quot;:&quot;977180963846443013&quot;,&quot;profile_name&quot;:&quot;Manchester United Women&quot;,&quot;url&quot;:&quot;https://x.com/ManUtdWomen&quot;}]"/>
    <n v="1"/>
    <n v="15"/>
    <n v="179"/>
    <n v="8779"/>
    <s v=""/>
    <s v="[&quot;BarclaysWSL&quot;]"/>
    <n v="337839"/>
    <s v="The home of top-flight women's football in England! 🤩_x000a__x000a_Subscribe to our brand-new BWSL YouTube Channel! 📺 #BarclaysWSL"/>
    <n v="57638"/>
    <s v="https://pbs.twimg.com/profile_images/1605171595160555521/NKG9mgxv_normal.jpg"/>
    <n v="587"/>
    <b v="0"/>
    <n v="1"/>
    <n v="0"/>
    <s v="{&quot;post_id&quot;:null,&quot;profile_id&quot;:null,&quot;profile_name&quot;:null}"/>
    <s v="null"/>
    <s v="null"/>
    <s v="{&quot;data_posted&quot;:null,&quot;description&quot;:null,&quot;photos&quot;:null,&quot;post_id&quot;:null,&quot;profile_id&quot;:null,&quot;profile_name&quot;:null,&quot;url&quot;:null,&quot;videos&quot;:null}"/>
    <n v="196"/>
    <n v="2.232600523977674E-2"/>
    <d v="2024-12-15T00:00:00"/>
    <n v="0.76249999999999996"/>
    <x v="0"/>
    <x v="8"/>
    <x v="0"/>
    <x v="0"/>
    <x v="1"/>
    <x v="0"/>
    <n v="71"/>
    <x v="2"/>
  </r>
  <r>
    <n v="1.8683935984225487E+18"/>
    <s v="nyp███"/>
    <s v="New███rk ███t"/>
    <s v="Chris Christie says drones flew over his NJ home, too — and rips DHS chief Mayorkas for claiming nothing ‘unusual’: ‘It’s just wrong!’"/>
    <s v="&quot;2024-12-15T20:32:01.000Z&quot;"/>
    <s v="[&quot;https://pbs.twimg.com/media/Ge3eE3lXcAAv9u7.jpg&quot;]"/>
    <s v="https://x.com/nypost/status/1868393598422548766"/>
    <s v="null"/>
    <n v="148"/>
    <n v="195"/>
    <n v="949"/>
    <n v="60809"/>
    <s v="https://trib.al/HRGTmTa"/>
    <s v="null"/>
    <n v="3313887"/>
    <s v="Breaking news &amp; features from The New York Post. Follow your favorite sections: @pagesix, @nypmetro, @nypostbiz, @nypostsports, @nypfashion, @nypostopinion"/>
    <n v="706459"/>
    <s v="https://pbs.twimg.com/profile_images/966372680306868224/60wfGe9e_normal.jpg"/>
    <n v="10308"/>
    <b v="0"/>
    <n v="15"/>
    <n v="33"/>
    <s v="{&quot;post_id&quot;:null,&quot;profile_id&quot;:null,&quot;profile_name&quot;:null}"/>
    <s v="null"/>
    <s v="null"/>
    <s v="{&quot;data_posted&quot;:null,&quot;description&quot;:null,&quot;photos&quot;:null,&quot;post_id&quot;:null,&quot;profile_id&quot;:null,&quot;profile_name&quot;:null,&quot;url&quot;:null,&quot;videos&quot;:null}"/>
    <n v="1340"/>
    <n v="2.2036211744971963E-2"/>
    <d v="2024-12-15T00:00:00"/>
    <n v="0.85556712962962966"/>
    <x v="0"/>
    <x v="3"/>
    <x v="0"/>
    <x v="0"/>
    <x v="0"/>
    <x v="0"/>
    <n v="134"/>
    <x v="0"/>
  </r>
  <r>
    <n v="1.8684187074179197E+18"/>
    <s v="ESP███asi███"/>
    <s v="ESP███ras███"/>
    <s v="Adriano Imperador dá adeus ao futebol em tarde no Maracanã com gol de Romário, desfile de craques e muita emoção _x000a__x000a_➡️"/>
    <s v="&quot;2024-12-15T22:11:48.000Z&quot;"/>
    <s v="null"/>
    <s v="https://x.com/ESPNBrasil/status/1868418707417919664"/>
    <s v="null"/>
    <n v="14"/>
    <n v="8"/>
    <n v="201"/>
    <n v="10256"/>
    <s v="https://buff.ly/3ZSPEHu"/>
    <s v="[&quot;FutebolNaESPN&quot;]"/>
    <n v="3768943"/>
    <s v="ESPN: o melhor do esporte você assiste aqui!"/>
    <n v="897934"/>
    <s v="https://pbs.twimg.com/profile_images/1224436194152345608/dCEm_D7K_normal.jpg"/>
    <n v="28"/>
    <b v="0"/>
    <n v="2"/>
    <n v="1"/>
    <s v="{&quot;post_id&quot;:null,&quot;profile_id&quot;:null,&quot;profile_name&quot;:null}"/>
    <s v="[&quot;https://pbs.twimg.com/card_img/1868418708806246400/-FF2oUmZ?format=jpg&amp;name=orig&quot;]"/>
    <s v="null"/>
    <s v="{&quot;data_posted&quot;:null,&quot;description&quot;:null,&quot;photos&quot;:null,&quot;post_id&quot;:null,&quot;profile_id&quot;:null,&quot;profile_name&quot;:null,&quot;url&quot;:null,&quot;videos&quot;:null}"/>
    <n v="226"/>
    <n v="2.203588143525741E-2"/>
    <d v="2024-12-15T00:00:00"/>
    <n v="0.92486111111111113"/>
    <x v="0"/>
    <x v="11"/>
    <x v="0"/>
    <x v="1"/>
    <x v="1"/>
    <x v="0"/>
    <n v="117"/>
    <x v="0"/>
  </r>
  <r>
    <n v="1.800369714662871E+18"/>
    <s v="Nms███eRe███rch███"/>
    <s v="熊老大███ 兔友███B🐻███"/>
    <s v="#兔友迷惑行为"/>
    <s v="&quot;2024-06-11T03:29:23.000Z&quot;"/>
    <s v="[&quot;https://pbs.twimg.com/media/GPwytc-bcAA0-6W.jpg&quot;]"/>
    <s v="https://x.com/NmsleseResearch/status/1800369714662871143"/>
    <s v="null"/>
    <n v="35"/>
    <n v="20"/>
    <n v="590"/>
    <n v="30286"/>
    <s v=""/>
    <s v="[&quot;兔友迷惑行为&quot;]"/>
    <n v="11185"/>
    <s v="推特兔友的迷惑行為收集處（晚安推除外）丨歡迎投稿"/>
    <n v="22677"/>
    <s v="https://pbs.twimg.com/profile_images/1866832536816795648/rAEgM1H5_normal.jpg"/>
    <n v="2557"/>
    <b v="0"/>
    <n v="3"/>
    <n v="16"/>
    <s v="{&quot;post_id&quot;:null,&quot;profile_id&quot;:null,&quot;profile_name&quot;:null}"/>
    <s v="null"/>
    <s v="null"/>
    <s v="{&quot;data_posted&quot;:null,&quot;description&quot;:null,&quot;photos&quot;:null,&quot;post_id&quot;:null,&quot;profile_id&quot;:null,&quot;profile_name&quot;:null,&quot;url&quot;:null,&quot;videos&quot;:null}"/>
    <n v="664"/>
    <n v="2.1924321468665391E-2"/>
    <d v="2024-06-11T00:00:00"/>
    <n v="0.1454050925925926"/>
    <x v="3"/>
    <x v="21"/>
    <x v="0"/>
    <x v="0"/>
    <x v="1"/>
    <x v="0"/>
    <n v="7"/>
    <x v="3"/>
  </r>
  <r>
    <n v="1.8684317008054769E+18"/>
    <s v="tvg███o"/>
    <s v="TV ███bo ███"/>
    <s v="MEUS RENASCIDOS 😭😭😭 #Renascer venceu a categoria &quot;Novela&quot; ❤️ #MelhoresDoAno #Domingão"/>
    <s v="&quot;2024-12-15T23:03:25.000Z&quot;"/>
    <s v="null"/>
    <s v="https://x.com/tvglobo/status/1868431700805476859"/>
    <s v="null"/>
    <n v="18"/>
    <n v="58"/>
    <n v="280"/>
    <n v="18157"/>
    <s v=""/>
    <s v="[&quot;Renascer&quot;,&quot;MelhoresDoAno&quot;,&quot;Domingão&quot;]"/>
    <n v="13492430"/>
    <s v="oi, eu sou a Glô 😜"/>
    <n v="314515"/>
    <s v="https://pbs.twimg.com/profile_images/1863599216829792256/r5M1uKA8_normal.jpg"/>
    <n v="708"/>
    <b v="0"/>
    <n v="27"/>
    <n v="15"/>
    <s v="{&quot;post_id&quot;:null,&quot;profile_id&quot;:null,&quot;profile_name&quot;:null}"/>
    <s v="null"/>
    <s v="[{&quot;duration&quot;:46170,&quot;video_url&quot;:&quot;https://video.twimg.com/amplify_video/1868431253667733504/vid/avc1/1920x1080/0fLwX5xMURiIHuQy.mp4?tag=16&quot;}]"/>
    <s v="{&quot;data_posted&quot;:null,&quot;description&quot;:null,&quot;photos&quot;:null,&quot;post_id&quot;:null,&quot;profile_id&quot;:null,&quot;profile_name&quot;:null,&quot;url&quot;:null,&quot;videos&quot;:null}"/>
    <n v="398"/>
    <n v="2.191992069174423E-2"/>
    <d v="2024-12-15T00:00:00"/>
    <n v="0.96070601851851856"/>
    <x v="0"/>
    <x v="7"/>
    <x v="1"/>
    <x v="1"/>
    <x v="1"/>
    <x v="0"/>
    <n v="85"/>
    <x v="1"/>
  </r>
  <r>
    <n v="1.8684231927856008E+18"/>
    <s v="Spu███ffi███l"/>
    <s v="Tot███ham███tsp███"/>
    <s v="A message from Radu 📥_x000a__x000a_🤳 @HPE"/>
    <s v="&quot;2024-12-15T22:29:37.000Z&quot;"/>
    <s v="null"/>
    <s v="https://x.com/SpursOfficial/status/1868423192785600641"/>
    <s v="[{&quot;biography&quot;:null,&quot;followers&quot;:null,&quot;following&quot;:null,&quot;is_verified&quot;:null,&quot;profile_id&quot;:&quot;207495308&quot;,&quot;profile_name&quot;:&quot;HPE&quot;,&quot;url&quot;:&quot;https://x.com/HPE&quot;}]"/>
    <n v="21"/>
    <n v="79"/>
    <n v="1510"/>
    <n v="75711"/>
    <s v=""/>
    <s v="null"/>
    <n v="8885749"/>
    <s v="COYS 🤍"/>
    <n v="115852"/>
    <s v="https://pbs.twimg.com/profile_images/1864976047902498816/FUkKarj7_normal.jpg"/>
    <n v="469"/>
    <b v="0"/>
    <n v="17"/>
    <n v="31"/>
    <s v="{&quot;post_id&quot;:null,&quot;profile_id&quot;:null,&quot;profile_name&quot;:null}"/>
    <s v="null"/>
    <s v="[{&quot;duration&quot;:10778,&quot;video_url&quot;:&quot;https://video.twimg.com/amplify_video/1868423125722968064/vid/avc1/1080x1920/py7-t3N38LrkDSIi.mp4?tag=16&quot;}]"/>
    <s v="{&quot;data_posted&quot;:null,&quot;description&quot;:null,&quot;photos&quot;:null,&quot;post_id&quot;:null,&quot;profile_id&quot;:null,&quot;profile_name&quot;:null,&quot;url&quot;:null,&quot;videos&quot;:null}"/>
    <n v="1658"/>
    <n v="2.1899063544267017E-2"/>
    <d v="2024-12-15T00:00:00"/>
    <n v="0.93723379629629633"/>
    <x v="0"/>
    <x v="11"/>
    <x v="1"/>
    <x v="1"/>
    <x v="0"/>
    <x v="0"/>
    <n v="29"/>
    <x v="0"/>
  </r>
  <r>
    <n v="1.8684320089735334E+18"/>
    <s v="tvg███o"/>
    <s v="TV ███bo ███"/>
    <s v="&quot;VIVA A BAHIA, TAMBÉM&quot; 🤩🤩🤩 #MelhoresDoAno #Domingão"/>
    <s v="&quot;2024-12-15T23:04:39.000Z&quot;"/>
    <s v="null"/>
    <s v="https://x.com/tvglobo/status/1868432008973533481"/>
    <s v="null"/>
    <n v="5"/>
    <n v="43"/>
    <n v="295"/>
    <n v="16633"/>
    <s v=""/>
    <s v="[&quot;MelhoresDoAno&quot;,&quot;Domingão&quot;]"/>
    <n v="13492430"/>
    <s v="oi, eu sou a Glô 😜"/>
    <n v="314515"/>
    <s v="https://pbs.twimg.com/profile_images/1863599216829792256/r5M1uKA8_normal.jpg"/>
    <n v="708"/>
    <b v="0"/>
    <n v="7"/>
    <n v="14"/>
    <s v="{&quot;post_id&quot;:null,&quot;profile_id&quot;:null,&quot;profile_name&quot;:null}"/>
    <s v="null"/>
    <s v="[{&quot;duration&quot;:8109,&quot;video_url&quot;:&quot;https://video.twimg.com/amplify_video/1868431400984350720/vid/avc1/1920x1080/bZ5KXe6_n-vwpIh1.mp4?tag=16&quot;}]"/>
    <s v="{&quot;data_posted&quot;:null,&quot;description&quot;:null,&quot;photos&quot;:null,&quot;post_id&quot;:null,&quot;profile_id&quot;:null,&quot;profile_name&quot;:null,&quot;url&quot;:null,&quot;videos&quot;:null}"/>
    <n v="364"/>
    <n v="2.1884206096314557E-2"/>
    <d v="2024-12-15T00:00:00"/>
    <n v="0.96156249999999999"/>
    <x v="0"/>
    <x v="7"/>
    <x v="1"/>
    <x v="1"/>
    <x v="1"/>
    <x v="0"/>
    <n v="51"/>
    <x v="1"/>
  </r>
  <r>
    <n v="1.8683847947210427E+18"/>
    <s v="tvg███o"/>
    <s v="TV ███bo ███"/>
    <s v="Discurso lindo da @LaBocchinox 🥹❤️ Você merece todo esse reconhecimento. maravilhosaaaaa #MelhoresDoAno #Domingão"/>
    <s v="&quot;2024-12-15T19:57:02.000Z&quot;"/>
    <s v="null"/>
    <s v="https://x.com/tvglobo/status/1868384794721042700"/>
    <s v="[{&quot;biography&quot;:null,&quot;followers&quot;:null,&quot;following&quot;:null,&quot;is_verified&quot;:null,&quot;profile_id&quot;:&quot;1858503601393709056&quot;,&quot;profile_name&quot;:&quot;Larissa Bocchino&quot;,&quot;url&quot;:&quot;https://x.com/LaBocchinox&quot;}]"/>
    <n v="13"/>
    <n v="37"/>
    <n v="217"/>
    <n v="13569"/>
    <s v=""/>
    <s v="[&quot;MelhoresDoAno&quot;,&quot;Domingão&quot;]"/>
    <n v="13492430"/>
    <s v="oi, eu sou a Glô 😜"/>
    <n v="314515"/>
    <s v="https://pbs.twimg.com/profile_images/1863599216829792256/r5M1uKA8_normal.jpg"/>
    <n v="708"/>
    <b v="0"/>
    <n v="16"/>
    <n v="13"/>
    <s v="{&quot;post_id&quot;:null,&quot;profile_id&quot;:null,&quot;profile_name&quot;:null}"/>
    <s v="null"/>
    <s v="[{&quot;duration&quot;:109580,&quot;video_url&quot;:&quot;https://video.twimg.com/amplify_video/1868384553129115648/vid/avc1/1920x1080/A-k3IQWsKZkFDrtV.mp4?tag=16&quot;}]"/>
    <s v="{&quot;data_posted&quot;:null,&quot;description&quot;:null,&quot;photos&quot;:null,&quot;post_id&quot;:null,&quot;profile_id&quot;:null,&quot;profile_name&quot;:null,&quot;url&quot;:null,&quot;videos&quot;:null}"/>
    <n v="296"/>
    <n v="2.1814429950622743E-2"/>
    <d v="2024-12-15T00:00:00"/>
    <n v="0.83127314814814812"/>
    <x v="0"/>
    <x v="4"/>
    <x v="1"/>
    <x v="1"/>
    <x v="1"/>
    <x v="0"/>
    <n v="113"/>
    <x v="1"/>
  </r>
  <r>
    <n v="1.8657614062319621E+18"/>
    <s v="kann"/>
    <s v="כאן"/>
    <s v="זה לא הזמן לסגור את יחידת האלפיניסטים_x000a__x000a_#היהודים_באים"/>
    <s v="&quot;2024-12-08T14:12:38.000Z&quot;"/>
    <s v="null"/>
    <s v="https://x.com/kann/status/1865761406231961984"/>
    <s v="null"/>
    <n v="13"/>
    <n v="41"/>
    <n v="946"/>
    <n v="48707"/>
    <s v=""/>
    <s v="[&quot;היהודים_באים&quot;]"/>
    <n v="182895"/>
    <s v="אנחנו כאן ❤️"/>
    <n v="30781"/>
    <s v="https://pbs.twimg.com/profile_images/1843516623740633088/WbeaAr02_normal.jpg"/>
    <n v="559"/>
    <b v="0"/>
    <n v="11"/>
    <n v="44"/>
    <s v="{&quot;post_id&quot;:null,&quot;profile_id&quot;:null,&quot;profile_name&quot;:null}"/>
    <s v="null"/>
    <s v="[{&quot;duration&quot;:205680,&quot;video_url&quot;:&quot;https://video.twimg.com/amplify_video/1865760739304112128/vid/avc1/1280x720/7ZE9LpU6nKYJ_p7q.mp4?tag=14&quot;}]"/>
    <s v="{&quot;data_posted&quot;:null,&quot;description&quot;:null,&quot;photos&quot;:null,&quot;post_id&quot;:null,&quot;profile_id&quot;:null,&quot;profile_name&quot;:null,&quot;url&quot;:null,&quot;videos&quot;:null}"/>
    <n v="1055"/>
    <n v="2.1660130987332417E-2"/>
    <d v="2024-12-08T00:00:00"/>
    <n v="0.59210648148148148"/>
    <x v="0"/>
    <x v="1"/>
    <x v="1"/>
    <x v="1"/>
    <x v="1"/>
    <x v="0"/>
    <n v="52"/>
    <x v="2"/>
  </r>
  <r>
    <n v="1.8683011597079183E+18"/>
    <s v="ESP███asi███"/>
    <s v="ESP███ras███"/>
    <s v="Palmeiras vence clube mexicano e ACERTA a contratação de Facundo Torres por cinco temporadas ✍️​✅ _x000a__x000a_➡️​"/>
    <s v="&quot;2024-12-15T14:24:42.000Z&quot;"/>
    <s v="null"/>
    <s v="https://x.com/ESPNBrasil/status/1868301159707918428"/>
    <s v="null"/>
    <n v="3"/>
    <n v="18"/>
    <n v="279"/>
    <n v="14168"/>
    <s v="https://buff.ly/3VFL7p4"/>
    <s v="[&quot;FutebolNaESPN&quot;]"/>
    <n v="3768943"/>
    <s v="ESPN: o melhor do esporte você assiste aqui!"/>
    <n v="897934"/>
    <s v="https://pbs.twimg.com/profile_images/1224436194152345608/dCEm_D7K_normal.jpg"/>
    <n v="28"/>
    <b v="0"/>
    <n v="4"/>
    <n v="1"/>
    <s v="{&quot;post_id&quot;:null,&quot;profile_id&quot;:null,&quot;profile_name&quot;:null}"/>
    <s v="[&quot;https://pbs.twimg.com/card_img/1866557801608224768/OzESurNP?format=jpg&amp;name=orig&quot;]"/>
    <s v="null"/>
    <s v="{&quot;data_posted&quot;:null,&quot;description&quot;:null,&quot;photos&quot;:null,&quot;post_id&quot;:null,&quot;profile_id&quot;:null,&quot;profile_name&quot;:null,&quot;url&quot;:null,&quot;videos&quot;:null}"/>
    <n v="305"/>
    <n v="2.152738565782044E-2"/>
    <d v="2024-12-15T00:00:00"/>
    <n v="0.60048611111111116"/>
    <x v="0"/>
    <x v="1"/>
    <x v="0"/>
    <x v="1"/>
    <x v="1"/>
    <x v="0"/>
    <n v="103"/>
    <x v="0"/>
  </r>
  <r>
    <n v="1.8683369281242115E+18"/>
    <s v="nyp███"/>
    <s v="New███rk ███t"/>
    <s v="Dockworkers union VP commends Trump for proving him wrong: ‘Truly wants to fight for America’"/>
    <s v="&quot;2024-12-15T16:46:50.000Z&quot;"/>
    <s v="[&quot;https://pbs.twimg.com/media/Ge2qiHsXwAEII3x.jpg&quot;]"/>
    <s v="https://x.com/nypost/status/1868336928124211563"/>
    <s v="null"/>
    <n v="37"/>
    <n v="91"/>
    <n v="433"/>
    <n v="26764"/>
    <s v="https://trib.al/20eqVqP"/>
    <s v="null"/>
    <n v="3313888"/>
    <s v="Breaking news &amp; features from The New York Post. Follow your favorite sections: @pagesix, @nypmetro, @nypostbiz, @nypostsports, @nypfashion, @nypostopinion"/>
    <n v="706459"/>
    <s v="https://pbs.twimg.com/profile_images/966372680306868224/60wfGe9e_normal.jpg"/>
    <n v="10308"/>
    <b v="0"/>
    <n v="4"/>
    <n v="9"/>
    <s v="{&quot;post_id&quot;:null,&quot;profile_id&quot;:null,&quot;profile_name&quot;:null}"/>
    <s v="null"/>
    <s v="null"/>
    <s v="{&quot;data_posted&quot;:null,&quot;description&quot;:null,&quot;photos&quot;:null,&quot;post_id&quot;:null,&quot;profile_id&quot;:null,&quot;profile_name&quot;:null,&quot;url&quot;:null,&quot;videos&quot;:null}"/>
    <n v="574"/>
    <n v="2.1446719473920191E-2"/>
    <d v="2024-12-15T00:00:00"/>
    <n v="0.69918981481481479"/>
    <x v="0"/>
    <x v="15"/>
    <x v="0"/>
    <x v="0"/>
    <x v="0"/>
    <x v="0"/>
    <n v="93"/>
    <x v="0"/>
  </r>
  <r>
    <n v="1.8683175932215995E+18"/>
    <s v="Lio███ses███"/>
    <s v="Lio███ses███"/>
    <s v="The #WEURO2025 draw takes place tomorrow in Switzerland! 🔜_x000a__x000a_Details 🔗"/>
    <s v="&quot;2024-12-15T15:30:00.000Z&quot;"/>
    <s v="[&quot;https://pbs.twimg.com/media/Ge2M6vKXQAAMHMr.jpg&quot;]"/>
    <s v="https://x.com/Lionesses/status/1868317593221599421"/>
    <s v="null"/>
    <n v="3"/>
    <n v="32"/>
    <n v="331"/>
    <n v="17351"/>
    <s v="http://eng.football/mxu1up"/>
    <s v="[&quot;WEURO2025&quot;]"/>
    <n v="498014"/>
    <s v="Get tickets to England vs Spain, 26 February 2025 🏴󠁧󠁢󠁥󠁮󠁧󠁿🇪🇸 👇"/>
    <n v="18941"/>
    <s v="https://pbs.twimg.com/profile_images/1856693445462482944/hgGaKARY_normal.jpg"/>
    <n v="410"/>
    <b v="0"/>
    <n v="0"/>
    <n v="5"/>
    <s v="{&quot;post_id&quot;:null,&quot;profile_id&quot;:null,&quot;profile_name&quot;:null}"/>
    <s v="null"/>
    <s v="null"/>
    <s v="{&quot;data_posted&quot;:null,&quot;description&quot;:null,&quot;photos&quot;:null,&quot;post_id&quot;:null,&quot;profile_id&quot;:null,&quot;profile_name&quot;:null,&quot;url&quot;:null,&quot;videos&quot;:null}"/>
    <n v="371"/>
    <n v="2.1382052907613393E-2"/>
    <d v="2024-12-15T00:00:00"/>
    <n v="0.64583333333333337"/>
    <x v="0"/>
    <x v="13"/>
    <x v="0"/>
    <x v="0"/>
    <x v="1"/>
    <x v="0"/>
    <n v="69"/>
    <x v="2"/>
  </r>
  <r>
    <n v="1.8683767484815652E+18"/>
    <s v="tvg███o"/>
    <s v="TV ███bo ███"/>
    <s v="Daqui a pouco, tem o #MelhoresDoAno do @domingao 🏆 Vamos premiar os maiores nomes do Brasil! #Domingão"/>
    <s v="&quot;2024-12-15T19:25:04.000Z&quot;"/>
    <s v="[&quot;https://pbs.twimg.com/media/Ge3OvvlWYAAW_kT.jpg&quot;,&quot;https://pbs.twimg.com/media/Ge3OvuYWwAAZv_W.jpg&quot;]"/>
    <s v="https://x.com/tvglobo/status/1868376748481565179"/>
    <s v="[{&quot;biography&quot;:null,&quot;followers&quot;:null,&quot;following&quot;:null,&quot;is_verified&quot;:null,&quot;profile_id&quot;:&quot;1432395185984573449&quot;,&quot;profile_name&quot;:&quot;Domingão com Huck&quot;,&quot;url&quot;:&quot;https://x.com/domingao&quot;}]"/>
    <n v="11"/>
    <n v="17"/>
    <n v="211"/>
    <n v="11435"/>
    <s v=""/>
    <s v="[&quot;MelhoresDoAno&quot;,&quot;Domingão&quot;]"/>
    <n v="13492430"/>
    <s v="oi, eu sou a Glô 😜"/>
    <n v="314515"/>
    <s v="https://pbs.twimg.com/profile_images/1863599216829792256/r5M1uKA8_normal.jpg"/>
    <n v="708"/>
    <b v="0"/>
    <n v="1"/>
    <n v="4"/>
    <s v="{&quot;post_id&quot;:null,&quot;profile_id&quot;:null,&quot;profile_name&quot;:null}"/>
    <s v="null"/>
    <s v="null"/>
    <s v="{&quot;data_posted&quot;:null,&quot;description&quot;:null,&quot;photos&quot;:null,&quot;post_id&quot;:null,&quot;profile_id&quot;:null,&quot;profile_name&quot;:null,&quot;url&quot;:null,&quot;videos&quot;:null}"/>
    <n v="244"/>
    <n v="2.1337997376475733E-2"/>
    <d v="2024-12-15T00:00:00"/>
    <n v="0.80907407407407406"/>
    <x v="0"/>
    <x v="4"/>
    <x v="0"/>
    <x v="0"/>
    <x v="1"/>
    <x v="0"/>
    <n v="102"/>
    <x v="1"/>
  </r>
  <r>
    <n v="1.8682498964252713E+18"/>
    <s v="FIF███C"/>
    <s v="FIF███ome███ Wo█████████"/>
    <s v="Young Yui. ☺️🇯🇵_x000a__x000a_@JFA_Nadeshiko | #FIFAWWC"/>
    <s v="&quot;2024-12-15T11:01:00.000Z&quot;"/>
    <s v="[&quot;https://pbs.twimg.com/media/GehMI87WsAAAyGt.jpg&quot;]"/>
    <s v="https://x.com/FIFAWWC/status/1868249896425271346"/>
    <s v="[{&quot;biography&quot;:null,&quot;followers&quot;:null,&quot;following&quot;:null,&quot;is_verified&quot;:null,&quot;profile_id&quot;:&quot;182326791&quot;,&quot;profile_name&quot;:&quot;JFAなでしこサッカー&quot;,&quot;url&quot;:&quot;https://x.com/jfa_nadeshiko&quot;}]"/>
    <n v="5"/>
    <n v="16"/>
    <n v="310"/>
    <n v="16003"/>
    <s v=""/>
    <s v="[&quot;FIFAWWC&quot;]"/>
    <n v="1076244"/>
    <s v="The home of women's football. 🏆"/>
    <n v="55798"/>
    <s v="https://pbs.twimg.com/profile_images/1855592584346804224/qCBZBNpu_normal.jpg"/>
    <n v="1771"/>
    <b v="0"/>
    <n v="6"/>
    <n v="2"/>
    <s v="{&quot;post_id&quot;:null,&quot;profile_id&quot;:null,&quot;profile_name&quot;:null}"/>
    <s v="null"/>
    <s v="null"/>
    <s v="{&quot;data_posted&quot;:null,&quot;description&quot;:null,&quot;photos&quot;:null,&quot;post_id&quot;:null,&quot;profile_id&quot;:null,&quot;profile_name&quot;:null,&quot;url&quot;:null,&quot;videos&quot;:null}"/>
    <n v="339"/>
    <n v="2.1183528088483408E-2"/>
    <d v="2024-12-15T00:00:00"/>
    <n v="0.45902777777777776"/>
    <x v="0"/>
    <x v="16"/>
    <x v="0"/>
    <x v="0"/>
    <x v="1"/>
    <x v="0"/>
    <n v="42"/>
    <x v="0"/>
  </r>
  <r>
    <n v="1.8684692946713029E+18"/>
    <s v="Met███ole███"/>
    <s v="Met███ole███"/>
    <s v="➡️ Lula mostra curativos na cabeça após cirurgias de emergência em SP_x000a__x000a_Presidente recebeu alta médica neste domingo (15/12). Ele sofreu um hemorragia intracraniana e passou por dois procedimentos cirúrgicos_x000a__x000a_Leia:"/>
    <s v="&quot;2024-12-16T01:32:48.000Z&quot;"/>
    <s v="[&quot;https://pbs.twimg.com/media/Ge4i6XPXkAAjH1p.png&quot;]"/>
    <s v="https://x.com/Metropoles/status/1868469294671302915"/>
    <s v="null"/>
    <n v="55"/>
    <n v="12"/>
    <n v="132"/>
    <n v="9738"/>
    <s v="https://curt.link/wTecu"/>
    <s v="null"/>
    <n v="1239615"/>
    <s v="📱 O seu portal de notícias. Tudo sobre política, saúde, justiça, comportamento, entretenimento. Confira os fatos relevantes do país e do mundo em tempo real."/>
    <n v="402839"/>
    <s v="https://pbs.twimg.com/profile_images/1642966741138415647/fHdgQUGl_normal.jpg"/>
    <n v="1644"/>
    <b v="0"/>
    <n v="4"/>
    <n v="3"/>
    <s v="{&quot;post_id&quot;:null,&quot;profile_id&quot;:null,&quot;profile_name&quot;:null}"/>
    <s v="null"/>
    <s v="null"/>
    <s v="{&quot;data_posted&quot;:null,&quot;description&quot;:null,&quot;photos&quot;:null,&quot;post_id&quot;:null,&quot;profile_id&quot;:null,&quot;profile_name&quot;:null,&quot;url&quot;:null,&quot;videos&quot;:null}"/>
    <n v="206"/>
    <n v="2.115424111727254E-2"/>
    <d v="2024-12-16T00:00:00"/>
    <n v="6.4444444444444443E-2"/>
    <x v="2"/>
    <x v="19"/>
    <x v="0"/>
    <x v="0"/>
    <x v="0"/>
    <x v="0"/>
    <n v="213"/>
    <x v="0"/>
  </r>
  <r>
    <n v="1.8682508101630241E+18"/>
    <s v="Sco███ndN███"/>
    <s v="Sco███nd ███ion█████████"/>
    <s v="A 🔝 finish from @CheAdams_ 😮‍💨"/>
    <s v="&quot;2024-12-15T11:04:38.000Z&quot;"/>
    <s v="null"/>
    <s v="https://x.com/ScotlandNT/status/1868250810163024031"/>
    <s v="[{&quot;biography&quot;:null,&quot;followers&quot;:null,&quot;following&quot;:null,&quot;is_verified&quot;:null,&quot;profile_id&quot;:&quot;2769226053&quot;,&quot;profile_name&quot;:&quot;Ché Adams&quot;,&quot;url&quot;:&quot;https://x.com/CheAdams_&quot;}]"/>
    <n v="9"/>
    <n v="42"/>
    <n v="812"/>
    <n v="41296"/>
    <s v=""/>
    <s v="null"/>
    <n v="277178"/>
    <s v="The official Twitter account of the Scotland National Teams 🏴󠁧󠁢󠁳󠁣󠁴󠁿"/>
    <n v="20340"/>
    <s v="https://pbs.twimg.com/profile_images/1701911666747662336/O2E8IiBY_normal.jpg"/>
    <n v="346"/>
    <b v="0"/>
    <n v="3"/>
    <n v="4"/>
    <s v="{&quot;post_id&quot;:null,&quot;profile_id&quot;:null,&quot;profile_name&quot;:null}"/>
    <s v="null"/>
    <s v="[{&quot;duration&quot;:42368,&quot;video_url&quot;:&quot;https://video.twimg.com/amplify_video/1867686001759432704/vid/avc1/720x720/EH2pKB6LtfbYeul-.mp4?tag=14&quot;}]"/>
    <s v="{&quot;data_posted&quot;:null,&quot;description&quot;:null,&quot;photos&quot;:null,&quot;post_id&quot;:null,&quot;profile_id&quot;:null,&quot;profile_name&quot;:null,&quot;url&quot;:null,&quot;videos&quot;:null}"/>
    <n v="870"/>
    <n v="2.1067415730337078E-2"/>
    <d v="2024-12-15T00:00:00"/>
    <n v="0.46155092592592595"/>
    <x v="0"/>
    <x v="16"/>
    <x v="1"/>
    <x v="1"/>
    <x v="0"/>
    <x v="0"/>
    <n v="30"/>
    <x v="2"/>
  </r>
  <r>
    <n v="1.8681313828928678E+18"/>
    <s v="WWE"/>
    <s v="WWE"/>
    <s v="What a night at #SNME! 🙌"/>
    <s v="&quot;2024-12-15T03:10:04.000Z&quot;"/>
    <s v="null"/>
    <s v="https://x.com/WWE/status/1868131382892867835"/>
    <s v="null"/>
    <n v="213"/>
    <n v="755"/>
    <n v="5394"/>
    <n v="316035"/>
    <s v=""/>
    <s v="[&quot;SNME&quot;]"/>
    <n v="14376037"/>
    <s v="WWE Raw | Mondays at 8/7c on USA Network _x000a_WWE NXT | Tuesdays at 8/7c on The CW _x000a_WWE SmackDown | Fridays at 8/7c on USA Network"/>
    <n v="346973"/>
    <s v="https://pbs.twimg.com/profile_images/1383079031805972485/3sWoMX-R_normal.jpg"/>
    <n v="392"/>
    <b v="0"/>
    <n v="33"/>
    <n v="254"/>
    <s v="{&quot;post_id&quot;:null,&quot;profile_id&quot;:null,&quot;profile_name&quot;:null}"/>
    <s v="null"/>
    <s v="[{&quot;duration&quot;:65434,&quot;video_url&quot;:&quot;https://video.twimg.com/amplify_video/1868131289615732736/vid/avc1/1920x1080/cQEory84U2IA6KoV.mp4?tag=16&quot;}]"/>
    <s v="{&quot;data_posted&quot;:null,&quot;description&quot;:null,&quot;photos&quot;:null,&quot;post_id&quot;:null,&quot;profile_id&quot;:null,&quot;profile_name&quot;:null,&quot;url&quot;:null,&quot;videos&quot;:null}"/>
    <n v="6649"/>
    <n v="2.1038808992674862E-2"/>
    <d v="2024-12-15T00:00:00"/>
    <n v="0.13199074074074074"/>
    <x v="0"/>
    <x v="21"/>
    <x v="1"/>
    <x v="1"/>
    <x v="1"/>
    <x v="0"/>
    <n v="24"/>
    <x v="1"/>
  </r>
  <r>
    <n v="1.8680930416781066E+18"/>
    <s v="Met███ole███"/>
    <s v="Met███ole███"/>
    <s v="➡️RJ: funcionários serão demitidos após homem morrer na espera de UPA_x000a__x000a_Paciente de 32 anos morreu após esperar por atendimento em uma UPA da Cidade de Deus, zona oeste do Rio. PCERJ investiga o caso_x000a__x000a_Leia:"/>
    <s v="&quot;2024-12-15T00:37:43.000Z&quot;"/>
    <s v="[&quot;https://pbs.twimg.com/media/GezMtoTXoAAh421.png&quot;]"/>
    <s v="https://x.com/Metropoles/status/1868093041678106666"/>
    <s v="null"/>
    <n v="258"/>
    <n v="126"/>
    <n v="1201"/>
    <n v="79371"/>
    <s v="https://curt.link/jpwNK"/>
    <s v="null"/>
    <n v="1239618"/>
    <s v="📱 O seu portal de notícias. Tudo sobre política, saúde, justiça, comportamento, entretenimento. Confira os fatos relevantes do país e do mundo em tempo real."/>
    <n v="402839"/>
    <s v="https://pbs.twimg.com/profile_images/1642966741138415647/fHdgQUGl_normal.jpg"/>
    <n v="1644"/>
    <b v="0"/>
    <n v="44"/>
    <n v="38"/>
    <s v="{&quot;post_id&quot;:null,&quot;profile_id&quot;:null,&quot;profile_name&quot;:null}"/>
    <s v="null"/>
    <s v="null"/>
    <s v="{&quot;data_posted&quot;:null,&quot;description&quot;:null,&quot;photos&quot;:null,&quot;post_id&quot;:null,&quot;profile_id&quot;:null,&quot;profile_name&quot;:null,&quot;url&quot;:null,&quot;videos&quot;:null}"/>
    <n v="1667"/>
    <n v="2.1002633203563013E-2"/>
    <d v="2024-12-15T00:00:00"/>
    <n v="2.6192129629629631E-2"/>
    <x v="0"/>
    <x v="5"/>
    <x v="0"/>
    <x v="0"/>
    <x v="0"/>
    <x v="0"/>
    <n v="205"/>
    <x v="0"/>
  </r>
  <r>
    <n v="1.8684232912888914E+18"/>
    <s v="CPFC"/>
    <s v="Cry███l P███ce ██████"/>
    <s v="Delivery: ™️_x000a_Finish: Ismaïla_x000a__x000a_🤌_x000a__x000a_#CPFC"/>
    <s v="&quot;2024-12-15T22:30:00.000Z&quot;"/>
    <s v="null"/>
    <s v="https://x.com/CPFC/status/1868423291288891489"/>
    <s v="null"/>
    <n v="6"/>
    <n v="19"/>
    <n v="421"/>
    <n v="21886"/>
    <s v=""/>
    <s v="[&quot;CPFC&quot;]"/>
    <n v="1480966"/>
    <s v="The Pride of South London."/>
    <n v="103753"/>
    <s v="https://pbs.twimg.com/profile_images/1857393032883994624/qN-MGWEH_normal.jpg"/>
    <n v="552"/>
    <b v="0"/>
    <n v="5"/>
    <n v="6"/>
    <s v="{&quot;post_id&quot;:null,&quot;profile_id&quot;:null,&quot;profile_name&quot;:null}"/>
    <s v="null"/>
    <s v="[{&quot;duration&quot;:43840,&quot;video_url&quot;:&quot;https://video.twimg.com/amplify_video/1868371000473083904/vid/avc1/720x720/m_TPSSmv-LVVnvJi.mp4?tag=14&quot;}]"/>
    <s v="{&quot;data_posted&quot;:null,&quot;description&quot;:null,&quot;photos&quot;:null,&quot;post_id&quot;:null,&quot;profile_id&quot;:null,&quot;profile_name&quot;:null,&quot;url&quot;:null,&quot;videos&quot;:null}"/>
    <n v="457"/>
    <n v="2.0880928447409304E-2"/>
    <d v="2024-12-15T00:00:00"/>
    <n v="0.9375"/>
    <x v="0"/>
    <x v="11"/>
    <x v="1"/>
    <x v="1"/>
    <x v="1"/>
    <x v="0"/>
    <n v="38"/>
    <x v="0"/>
  </r>
  <r>
    <n v="1.8683226724149619E+18"/>
    <s v="AVW███ffi███l"/>
    <s v="Ast███Vil███Wom███"/>
    <s v="Let's go, Maz ✊_x000a__x000a_88' 🟣 3-1 ⚪️ // #BarclaysWSL"/>
    <s v="&quot;2024-12-15T15:50:11.000Z&quot;"/>
    <s v="[&quot;https://pbs.twimg.com/media/Ge2diNcWEAAkD7A.jpg&quot;]"/>
    <s v="https://x.com/AVWFCOfficial/status/1868322672414961995"/>
    <s v="null"/>
    <n v="4"/>
    <n v="3"/>
    <n v="116"/>
    <n v="6342"/>
    <s v=""/>
    <s v="[&quot;BarclaysWSL&quot;]"/>
    <n v="66296"/>
    <s v="Home of Aston Villa Women 💜"/>
    <n v="23738"/>
    <s v="https://pbs.twimg.com/profile_images/1859975707356491776/YQWZ4J18_normal.jpg"/>
    <n v="115"/>
    <b v="0"/>
    <n v="8"/>
    <n v="1"/>
    <s v="{&quot;post_id&quot;:null,&quot;profile_id&quot;:null,&quot;profile_name&quot;:null}"/>
    <s v="null"/>
    <s v="null"/>
    <s v="{&quot;data_posted&quot;:null,&quot;description&quot;:null,&quot;photos&quot;:null,&quot;post_id&quot;:null,&quot;profile_id&quot;:null,&quot;profile_name&quot;:null,&quot;url&quot;:null,&quot;videos&quot;:null}"/>
    <n v="132"/>
    <n v="2.0813623462630087E-2"/>
    <d v="2024-12-15T00:00:00"/>
    <n v="0.65984953703703708"/>
    <x v="0"/>
    <x v="13"/>
    <x v="0"/>
    <x v="0"/>
    <x v="1"/>
    <x v="0"/>
    <n v="45"/>
    <x v="3"/>
  </r>
  <r>
    <n v="1.8683830139624412E+18"/>
    <s v="acm███n"/>
    <s v="AC ███an"/>
    <s v="Let the festivities commence. Into 'em, Rossoneri! 💪_x000a__x000a_#MilanGenoa #ACMilanWorthEveryMinute #SempreMilan_x000a_Brought to you by @emirates"/>
    <s v="&quot;2024-12-15T19:49:58.000Z&quot;"/>
    <s v="[&quot;https://pbs.twimg.com/media/Ge3UcN2WcAAzROF.jpg&quot;]"/>
    <s v="https://x.com/acmilan/status/1868383013962441215"/>
    <s v="[{&quot;biography&quot;:null,&quot;followers&quot;:null,&quot;following&quot;:null,&quot;is_verified&quot;:null,&quot;profile_id&quot;:&quot;821045162&quot;,&quot;profile_name&quot;:&quot;Emirates&quot;,&quot;url&quot;:&quot;https://x.com/emirates&quot;}]"/>
    <n v="14"/>
    <n v="66"/>
    <n v="514"/>
    <n v="29246"/>
    <s v=""/>
    <s v="[&quot;MilanGenoa&quot;,&quot;ACMilanWorthEveryMinute&quot;,&quot;SempreMilan&quot;]"/>
    <n v="8539601"/>
    <s v="❤🖤 125 years together, worth every minute ❤🖤 _x000a__x000a_#SempreMilan since 1899! 🔙 _x000a__x000a_Arabic: @acmilanar | Portuguese: @acmilanbr | #MilanYouth: @acmilanyouth"/>
    <n v="75535"/>
    <s v="https://pbs.twimg.com/profile_images/1848748720050868225/FQY9F6Hn_normal.jpg"/>
    <n v="117"/>
    <b v="0"/>
    <n v="4"/>
    <n v="6"/>
    <s v="{&quot;post_id&quot;:null,&quot;profile_id&quot;:null,&quot;profile_name&quot;:null}"/>
    <s v="null"/>
    <s v="null"/>
    <s v="{&quot;data_posted&quot;:null,&quot;description&quot;:null,&quot;photos&quot;:null,&quot;post_id&quot;:null,&quot;profile_id&quot;:null,&quot;profile_name&quot;:null,&quot;url&quot;:null,&quot;videos&quot;:null}"/>
    <n v="604"/>
    <n v="2.0652396908979007E-2"/>
    <d v="2024-12-15T00:00:00"/>
    <n v="0.82636574074074076"/>
    <x v="0"/>
    <x v="4"/>
    <x v="0"/>
    <x v="0"/>
    <x v="1"/>
    <x v="0"/>
    <n v="131"/>
    <x v="0"/>
  </r>
  <r>
    <n v="1.8683206622822318E+18"/>
    <s v="CPFC"/>
    <s v="Cry███l P███ce ██████"/>
    <s v="🐈 _x000a__x000a_#CPFC // #BHACRY"/>
    <s v="&quot;2024-12-15T15:42:12.000Z&quot;"/>
    <s v="null"/>
    <s v="https://x.com/CPFC/status/1868320662282231935"/>
    <s v="null"/>
    <n v="11"/>
    <n v="19"/>
    <n v="395"/>
    <n v="20785"/>
    <s v=""/>
    <s v="[&quot;CPFC&quot;,&quot;BHACRY&quot;]"/>
    <n v="1480966"/>
    <s v="The Pride of South London."/>
    <n v="103753"/>
    <s v="https://pbs.twimg.com/profile_images/1857393032883994624/qN-MGWEH_normal.jpg"/>
    <n v="552"/>
    <b v="0"/>
    <n v="2"/>
    <n v="2"/>
    <s v="{&quot;post_id&quot;:null,&quot;profile_id&quot;:null,&quot;profile_name&quot;:null}"/>
    <s v="null"/>
    <s v="[{&quot;duration&quot;:25560,&quot;video_url&quot;:&quot;https://video.twimg.com/amplify_video/1868316373677457408/vid/avc1/1920x1080/dNV2rKex5UevGe7u.mp4?tag=16&quot;}]"/>
    <s v="{&quot;data_posted&quot;:null,&quot;description&quot;:null,&quot;photos&quot;:null,&quot;post_id&quot;:null,&quot;profile_id&quot;:null,&quot;profile_name&quot;:null,&quot;url&quot;:null,&quot;videos&quot;:null}"/>
    <n v="429"/>
    <n v="2.0639884532114506E-2"/>
    <d v="2024-12-15T00:00:00"/>
    <n v="0.65430555555555558"/>
    <x v="0"/>
    <x v="13"/>
    <x v="1"/>
    <x v="1"/>
    <x v="1"/>
    <x v="0"/>
    <n v="20"/>
    <x v="0"/>
  </r>
  <r>
    <n v="1.8684120927739786E+18"/>
    <s v="tvg███o"/>
    <s v="TV ███bo ███"/>
    <s v="Justiça 2 é grande premiada na categoria &quot;Série do Ano&quot; 🔥 #MelhoresDoAno #Domingão"/>
    <s v="&quot;2024-12-15T21:45:30.000Z&quot;"/>
    <s v="null"/>
    <s v="https://x.com/tvglobo/status/1868412092773978506"/>
    <s v="null"/>
    <n v="6"/>
    <n v="22"/>
    <n v="156"/>
    <n v="9837"/>
    <s v=""/>
    <s v="[&quot;MelhoresDoAno&quot;,&quot;Domingão&quot;]"/>
    <n v="13492430"/>
    <s v="oi, eu sou a Glô 😜"/>
    <n v="314515"/>
    <s v="https://pbs.twimg.com/profile_images/1863599216829792256/r5M1uKA8_normal.jpg"/>
    <n v="708"/>
    <b v="0"/>
    <n v="8"/>
    <n v="11"/>
    <s v="{&quot;post_id&quot;:null,&quot;profile_id&quot;:null,&quot;profile_name&quot;:null}"/>
    <s v="null"/>
    <s v="[{&quot;duration&quot;:29010,&quot;video_url&quot;:&quot;https://video.twimg.com/amplify_video/1868411855338680320/vid/avc1/1920x1080/emFL9I71fETgjRme.mp4?tag=16&quot;}]"/>
    <s v="{&quot;data_posted&quot;:null,&quot;description&quot;:null,&quot;photos&quot;:null,&quot;post_id&quot;:null,&quot;profile_id&quot;:null,&quot;profile_name&quot;:null,&quot;url&quot;:null,&quot;videos&quot;:null}"/>
    <n v="203"/>
    <n v="2.0636372877909932E-2"/>
    <d v="2024-12-15T00:00:00"/>
    <n v="0.90659722222222228"/>
    <x v="0"/>
    <x v="10"/>
    <x v="1"/>
    <x v="1"/>
    <x v="1"/>
    <x v="0"/>
    <n v="82"/>
    <x v="1"/>
  </r>
  <r>
    <n v="1.8683618304075284E+18"/>
    <s v="Man███"/>
    <s v="Man███ste███nit███"/>
    <s v="🔄 The goal is Amad's last contribution of the day._x000a__x000a_What a shift, @AmadDiallo_19 👏_x000a__x000a_#MUFC || #MCIMUN"/>
    <s v="&quot;2024-12-15T18:25:47.000Z&quot;"/>
    <s v="[&quot;https://pbs.twimg.com/media/Ge3BC5uXIAApvW5.jpg&quot;]"/>
    <s v="https://x.com/ManUtd/status/1868361830407528503"/>
    <s v="[{&quot;biography&quot;:null,&quot;followers&quot;:null,&quot;following&quot;:null,&quot;is_verified&quot;:null,&quot;profile_id&quot;:&quot;1338814116455182336&quot;,&quot;profile_name&quot;:&quot;Amad&quot;,&quot;url&quot;:&quot;https://x.com/Amaddiallo_19&quot;}]"/>
    <n v="122"/>
    <n v="395"/>
    <n v="5538"/>
    <n v="298665"/>
    <s v=""/>
    <s v="[&quot;MUFC&quot;,&quot;MCIMUN&quot;]"/>
    <n v="38439077"/>
    <s v="’Tis the season to gift United! 🎁🎄"/>
    <n v="92455"/>
    <s v="https://pbs.twimg.com/profile_images/1856418426496880640/iIvJaO5T_normal.png"/>
    <n v="145"/>
    <b v="0"/>
    <n v="13"/>
    <n v="17"/>
    <s v="{&quot;post_id&quot;:null,&quot;profile_id&quot;:null,&quot;profile_name&quot;:null}"/>
    <s v="null"/>
    <s v="null"/>
    <s v="{&quot;data_posted&quot;:null,&quot;description&quot;:null,&quot;photos&quot;:null,&quot;post_id&quot;:null,&quot;profile_id&quot;:null,&quot;profile_name&quot;:null,&quot;url&quot;:null,&quot;videos&quot;:null}"/>
    <n v="6085"/>
    <n v="2.0373997622754592E-2"/>
    <d v="2024-12-15T00:00:00"/>
    <n v="0.76790509259259254"/>
    <x v="0"/>
    <x v="8"/>
    <x v="0"/>
    <x v="0"/>
    <x v="1"/>
    <x v="0"/>
    <n v="100"/>
    <x v="1"/>
  </r>
  <r>
    <n v="1.8683952884796416E+18"/>
    <s v="tvg███o"/>
    <s v="TV ███bo ███"/>
    <s v="ELA PERFORMA ELAAAAA ✨✨✨ EU AMO O AO VIVOOO #MelhoresDoAno #Domingão"/>
    <s v="&quot;2024-12-15T20:38:44.000Z&quot;"/>
    <s v="null"/>
    <s v="https://x.com/tvglobo/status/1868395288479641651"/>
    <s v="null"/>
    <n v="4"/>
    <n v="20"/>
    <n v="151"/>
    <n v="9038"/>
    <s v=""/>
    <s v="[&quot;MelhoresDoAno&quot;,&quot;Domingão&quot;]"/>
    <n v="13492430"/>
    <s v="oi, eu sou a Glô 😜"/>
    <n v="314515"/>
    <s v="https://pbs.twimg.com/profile_images/1863599216829792256/r5M1uKA8_normal.jpg"/>
    <n v="708"/>
    <b v="0"/>
    <n v="6"/>
    <n v="3"/>
    <s v="{&quot;post_id&quot;:null,&quot;profile_id&quot;:null,&quot;profile_name&quot;:null}"/>
    <s v="null"/>
    <s v="[{&quot;duration&quot;:30530,&quot;video_url&quot;:&quot;https://video.twimg.com/amplify_video/1868392561640964096/vid/avc1/1920x1080/3vyaKAEjyOHWiMuK.mp4?tag=16&quot;}]"/>
    <s v="{&quot;data_posted&quot;:null,&quot;description&quot;:null,&quot;photos&quot;:null,&quot;post_id&quot;:null,&quot;profile_id&quot;:null,&quot;profile_name&quot;:null,&quot;url&quot;:null,&quot;videos&quot;:null}"/>
    <n v="184"/>
    <n v="2.0358486390794423E-2"/>
    <d v="2024-12-15T00:00:00"/>
    <n v="0.86023148148148143"/>
    <x v="0"/>
    <x v="3"/>
    <x v="1"/>
    <x v="1"/>
    <x v="1"/>
    <x v="0"/>
    <n v="68"/>
    <x v="1"/>
  </r>
  <r>
    <n v="1.8683813223825697E+18"/>
    <s v="nyp███"/>
    <s v="New███rk ███t"/>
    <s v="Bernie Sanders warns of ‘dangerous’ precedent from Biden’s ‘very wide open’ pardon of son Hunter"/>
    <s v="&quot;2024-12-15T19:43:14.000Z&quot;"/>
    <s v="[&quot;https://pbs.twimg.com/media/Ge3S6SXXkAAq--4.jpg&quot;]"/>
    <s v="https://x.com/nypost/status/1868381322382569729"/>
    <s v="null"/>
    <n v="41"/>
    <n v="92"/>
    <n v="429"/>
    <n v="28149"/>
    <s v="https://trib.al/BgHZ9HQ"/>
    <s v="null"/>
    <n v="3313887"/>
    <s v="Breaking news &amp; features from The New York Post. Follow your favorite sections: @pagesix, @nypmetro, @nypostbiz, @nypostsports, @nypfashion, @nypostopinion"/>
    <n v="706459"/>
    <s v="https://pbs.twimg.com/profile_images/966372680306868224/60wfGe9e_normal.jpg"/>
    <n v="10308"/>
    <b v="0"/>
    <n v="5"/>
    <n v="5"/>
    <s v="{&quot;post_id&quot;:null,&quot;profile_id&quot;:null,&quot;profile_name&quot;:null}"/>
    <s v="null"/>
    <s v="null"/>
    <s v="{&quot;data_posted&quot;:null,&quot;description&quot;:null,&quot;photos&quot;:null,&quot;post_id&quot;:null,&quot;profile_id&quot;:null,&quot;profile_name&quot;:null,&quot;url&quot;:null,&quot;videos&quot;:null}"/>
    <n v="572"/>
    <n v="2.0320437670965221E-2"/>
    <d v="2024-12-15T00:00:00"/>
    <n v="0.82168981481481485"/>
    <x v="0"/>
    <x v="4"/>
    <x v="0"/>
    <x v="0"/>
    <x v="0"/>
    <x v="0"/>
    <n v="96"/>
    <x v="0"/>
  </r>
  <r>
    <n v="1.8683116876460649E+18"/>
    <s v="Man███Wom███"/>
    <s v="Man███ste███nit█████████"/>
    <s v="Back to it —  let’s finish the job 🫡_x000a__x000a_#MUWomen"/>
    <s v="&quot;2024-12-15T15:06:32.000Z&quot;"/>
    <s v="null"/>
    <s v="https://x.com/ManUtdWomen/status/1868311687646065001"/>
    <s v="null"/>
    <n v="2"/>
    <n v="15"/>
    <n v="256"/>
    <n v="13624"/>
    <s v="https://www.manutd.com/en/news/women"/>
    <s v="[&quot;MUWomen&quot;]"/>
    <n v="462263"/>
    <s v="Explore our Christmas deals on United Store now 🛍️⤵️"/>
    <n v="16271"/>
    <s v="https://pbs.twimg.com/profile_images/1856421977373741056/jWwLjKK5_normal.jpg"/>
    <n v="38"/>
    <b v="0"/>
    <n v="1"/>
    <n v="1"/>
    <s v="{&quot;post_id&quot;:null,&quot;profile_id&quot;:null,&quot;profile_name&quot;:null}"/>
    <s v="null"/>
    <s v="null"/>
    <s v="{&quot;data_posted&quot;:null,&quot;description&quot;:null,&quot;photos&quot;:null,&quot;post_id&quot;:null,&quot;profile_id&quot;:null,&quot;profile_name&quot;:null,&quot;url&quot;:null,&quot;videos&quot;:null}"/>
    <n v="275"/>
    <n v="2.0184967704051673E-2"/>
    <d v="2024-12-15T00:00:00"/>
    <n v="0.62953703703703701"/>
    <x v="0"/>
    <x v="13"/>
    <x v="0"/>
    <x v="1"/>
    <x v="1"/>
    <x v="0"/>
    <n v="46"/>
    <x v="2"/>
  </r>
  <r>
    <n v="1.8682345541606239E+18"/>
    <s v="Kir███ceC███"/>
    <s v="CUP███KIR███"/>
    <s v="Double trouble (and for once we're not talking about @DanTicktum)"/>
    <s v="&quot;2024-12-15T10:00:02.000Z&quot;"/>
    <s v="[&quot;https://pbs.twimg.com/media/GesV9gDWUAAkq4R.jpg&quot;]"/>
    <s v="https://x.com/KiroRaceCo/status/1868234554160623935"/>
    <s v="[{&quot;biography&quot;:null,&quot;followers&quot;:null,&quot;following&quot;:null,&quot;is_verified&quot;:null,&quot;profile_id&quot;:&quot;2221276261&quot;,&quot;profile_name&quot;:&quot;Dan Ticktum&quot;,&quot;url&quot;:&quot;https://x.com/DanTicktum&quot;}]"/>
    <n v="2"/>
    <n v="1"/>
    <n v="69"/>
    <n v="4022"/>
    <s v=""/>
    <s v="null"/>
    <n v="12165"/>
    <s v="Official account of CUPRA KIRO competing in the ABB FIA Formula E World Championship"/>
    <n v="294"/>
    <s v="https://pbs.twimg.com/profile_images/1863871964709892096/dJGNyof4_normal.jpg"/>
    <n v="378"/>
    <b v="0"/>
    <n v="6"/>
    <n v="3"/>
    <s v="{&quot;post_id&quot;:null,&quot;profile_id&quot;:null,&quot;profile_name&quot;:null}"/>
    <s v="null"/>
    <s v="null"/>
    <s v="{&quot;data_posted&quot;:null,&quot;description&quot;:null,&quot;photos&quot;:null,&quot;post_id&quot;:null,&quot;profile_id&quot;:null,&quot;profile_name&quot;:null,&quot;url&quot;:null,&quot;videos&quot;:null}"/>
    <n v="81"/>
    <n v="2.013923421183491E-2"/>
    <d v="2024-12-15T00:00:00"/>
    <n v="0.41668981481481482"/>
    <x v="0"/>
    <x v="17"/>
    <x v="0"/>
    <x v="0"/>
    <x v="0"/>
    <x v="0"/>
    <n v="65"/>
    <x v="3"/>
  </r>
  <r>
    <n v="1.8682744609371302E+18"/>
    <s v="CNN███sil███"/>
    <s v="CNN███asi███"/>
    <s v="O general Walter Braga Netto só poderá receber visitas mediante autorização expressa do gabinete do ministro Alexandre de Moraes, do Supremo Tribunal Federal (STF). O militar foi preso no sábado (14) por tentar obstruir as provas do inquérito de golpe de Estado. #AgoraCNN"/>
    <s v="&quot;2024-12-15T12:38:37.000Z&quot;"/>
    <s v="null"/>
    <s v="https://x.com/CNNBrasil/status/1868274460937130280"/>
    <s v="null"/>
    <n v="73"/>
    <n v="22"/>
    <n v="174"/>
    <n v="13779"/>
    <s v=""/>
    <s v="[&quot;AgoraCNN&quot;]"/>
    <n v="2819409"/>
    <s v="Pense bem, pense CNN._x000a_Acompanhe também pelo canal 577, app ou site. _x000a_⚽ @esportescnn_x000a_⚡️ @cnnpop_x000a_💰 @cnneconomia_x000a_💵 @nolucrocnn"/>
    <n v="286269"/>
    <s v="https://pbs.twimg.com/profile_images/1202609722257485824/NcFn6f7X_normal.jpg"/>
    <n v="4"/>
    <b v="0"/>
    <n v="5"/>
    <n v="1"/>
    <s v="{&quot;post_id&quot;:null,&quot;profile_id&quot;:null,&quot;profile_name&quot;:null}"/>
    <s v="null"/>
    <s v="[{&quot;duration&quot;:188234,&quot;video_url&quot;:&quot;https://video.twimg.com/amplify_video/1868274281458655233/vid/avc1/1920x1080/KkrXYNu51fbH6tmb.mp4?tag=16&quot;}]"/>
    <s v="{&quot;data_posted&quot;:null,&quot;description&quot;:null,&quot;photos&quot;:null,&quot;post_id&quot;:null,&quot;profile_id&quot;:null,&quot;profile_name&quot;:null,&quot;url&quot;:null,&quot;videos&quot;:null}"/>
    <n v="275"/>
    <n v="1.9957906959866465E-2"/>
    <d v="2024-12-15T00:00:00"/>
    <n v="0.52681712962962968"/>
    <x v="0"/>
    <x v="0"/>
    <x v="1"/>
    <x v="1"/>
    <x v="1"/>
    <x v="0"/>
    <n v="272"/>
    <x v="0"/>
  </r>
  <r>
    <n v="1.8683230426378696E+18"/>
    <s v="CPFC"/>
    <s v="Cry███l P███ce ██████"/>
    <s v="🫵_x000a__x000a_#CPFC // #BHACRY"/>
    <s v="&quot;2024-12-15T15:51:39.000Z&quot;"/>
    <s v="[&quot;https://pbs.twimg.com/media/Ge2d294W4AAt2Cn.jpg&quot;]"/>
    <s v="https://x.com/CPFC/status/1868323042637869563"/>
    <s v="null"/>
    <n v="11"/>
    <n v="17"/>
    <n v="409"/>
    <n v="22304"/>
    <s v=""/>
    <s v="[&quot;CPFC&quot;,&quot;BHACRY&quot;]"/>
    <n v="1480966"/>
    <s v="The Pride of South London."/>
    <n v="103753"/>
    <s v="https://pbs.twimg.com/profile_images/1857393032883994624/qN-MGWEH_normal.jpg"/>
    <n v="552"/>
    <b v="0"/>
    <n v="4"/>
    <n v="3"/>
    <s v="{&quot;post_id&quot;:null,&quot;profile_id&quot;:null,&quot;profile_name&quot;:null}"/>
    <s v="null"/>
    <s v="null"/>
    <s v="{&quot;data_posted&quot;:null,&quot;description&quot;:null,&quot;photos&quot;:null,&quot;post_id&quot;:null,&quot;profile_id&quot;:null,&quot;profile_name&quot;:null,&quot;url&quot;:null,&quot;videos&quot;:null}"/>
    <n v="444"/>
    <n v="1.9906743185078908E-2"/>
    <d v="2024-12-15T00:00:00"/>
    <n v="0.6608680555555555"/>
    <x v="0"/>
    <x v="13"/>
    <x v="0"/>
    <x v="0"/>
    <x v="1"/>
    <x v="0"/>
    <n v="19"/>
    <x v="0"/>
  </r>
  <r>
    <n v="1.8682517614896991E+18"/>
    <s v="dun███uni███fc"/>
    <s v="Dun███ Un███d F███"/>
    <s v="Cool, calm and collected from 12 yards to move top of the @WilliamHill Premiership scoring charts 📈"/>
    <s v="&quot;2024-12-15T11:08:25.000Z&quot;"/>
    <s v="null"/>
    <s v="https://x.com/dundeeunitedfc/status/1868251761489699047"/>
    <s v="[{&quot;biography&quot;:null,&quot;followers&quot;:null,&quot;following&quot;:null,&quot;is_verified&quot;:null,&quot;profile_id&quot;:&quot;16667278&quot;,&quot;profile_name&quot;:&quot;William Hill&quot;,&quot;url&quot;:&quot;https://x.com/WilliamHill&quot;}]"/>
    <n v="2"/>
    <n v="7"/>
    <n v="116"/>
    <n v="6492"/>
    <s v=""/>
    <s v="null"/>
    <n v="78295"/>
    <s v="The official X account of Dundee United Football Club."/>
    <n v="47736"/>
    <s v="https://pbs.twimg.com/profile_images/1866423517069316096/rYsfCuJn_normal.jpg"/>
    <n v="489"/>
    <b v="0"/>
    <n v="2"/>
    <n v="2"/>
    <s v="{&quot;post_id&quot;:null,&quot;profile_id&quot;:null,&quot;profile_name&quot;:null}"/>
    <s v="null"/>
    <s v="[{&quot;duration&quot;:17200,&quot;video_url&quot;:&quot;https://video.twimg.com/amplify_video/1868091124688027648/vid/avc1/1080x1080/sQSZfGxzkckW84FH.mp4?tag=16&quot;}]"/>
    <s v="{&quot;data_posted&quot;:null,&quot;description&quot;:null,&quot;photos&quot;:null,&quot;post_id&quot;:null,&quot;profile_id&quot;:null,&quot;profile_name&quot;:null,&quot;url&quot;:null,&quot;videos&quot;:null}"/>
    <n v="129"/>
    <n v="1.9870609981515713E-2"/>
    <d v="2024-12-15T00:00:00"/>
    <n v="0.46417824074074077"/>
    <x v="0"/>
    <x v="16"/>
    <x v="1"/>
    <x v="1"/>
    <x v="0"/>
    <x v="0"/>
    <n v="99"/>
    <x v="3"/>
  </r>
  <r>
    <n v="1.8683818493843256E+18"/>
    <s v="CNN███sil███"/>
    <s v="CNN███asi███"/>
    <s v="Um homem foi atropelado por uma viatura da Polícia Militar em Sorocaba, interior de São Paulo. Os agentes foram embora sem prestar socorro à vítima. #AgoraCNN"/>
    <s v="&quot;2024-12-15T19:45:20.000Z&quot;"/>
    <s v="null"/>
    <s v="https://x.com/CNNBrasil/status/1868381849384325596"/>
    <s v="null"/>
    <n v="12"/>
    <n v="31"/>
    <n v="126"/>
    <n v="8807"/>
    <s v=""/>
    <s v="[&quot;AgoraCNN&quot;]"/>
    <n v="2819406"/>
    <s v="Pense bem, pense CNN._x000a_Acompanhe também pelo canal 577, app ou site. _x000a_⚽ @esportescnn_x000a_⚡️ @cnnpop_x000a_💰 @cnneconomia_x000a_💵 @nolucrocnn"/>
    <n v="286268"/>
    <s v="https://pbs.twimg.com/profile_images/1202609722257485824/NcFn6f7X_normal.jpg"/>
    <n v="4"/>
    <b v="0"/>
    <n v="4"/>
    <n v="2"/>
    <s v="{&quot;post_id&quot;:null,&quot;profile_id&quot;:null,&quot;profile_name&quot;:null}"/>
    <s v="null"/>
    <s v="[{&quot;duration&quot;:39533,&quot;video_url&quot;:&quot;https://video.twimg.com/amplify_video/1868381806422048769/vid/avc1/1920x1080/c0koMXp7hL0gTZHl.mp4?tag=16&quot;}]"/>
    <s v="{&quot;data_posted&quot;:null,&quot;description&quot;:null,&quot;photos&quot;:null,&quot;post_id&quot;:null,&quot;profile_id&quot;:null,&quot;profile_name&quot;:null,&quot;url&quot;:null,&quot;videos&quot;:null}"/>
    <n v="175"/>
    <n v="1.9870557511070738E-2"/>
    <d v="2024-12-15T00:00:00"/>
    <n v="0.82314814814814818"/>
    <x v="0"/>
    <x v="4"/>
    <x v="1"/>
    <x v="1"/>
    <x v="1"/>
    <x v="0"/>
    <n v="158"/>
    <x v="0"/>
  </r>
  <r>
    <n v="1.8684218496269394E+18"/>
    <s v="tvg███o"/>
    <s v="TV ███bo ███"/>
    <s v="&quot;Música do Ano&quot; é &quot;Dois Tristes&quot; de Simone Mendes 🥳🥳🥳 VOCÊ MERECEEEEEE, COLEGUINHA #MelhoresDoAno #Domingão"/>
    <s v="&quot;2024-12-15T22:24:17.000Z&quot;"/>
    <s v="null"/>
    <s v="https://x.com/tvglobo/status/1868421849626939402"/>
    <s v="null"/>
    <n v="95"/>
    <n v="64"/>
    <n v="934"/>
    <n v="60599"/>
    <s v=""/>
    <s v="[&quot;MelhoresDoAno&quot;,&quot;Domingão&quot;]"/>
    <n v="13492430"/>
    <s v="oi, eu sou a Glô 😜"/>
    <n v="314515"/>
    <s v="https://pbs.twimg.com/profile_images/1863599216829792256/r5M1uKA8_normal.jpg"/>
    <n v="708"/>
    <b v="0"/>
    <n v="83"/>
    <n v="28"/>
    <s v="{&quot;post_id&quot;:null,&quot;profile_id&quot;:null,&quot;profile_name&quot;:null}"/>
    <s v="null"/>
    <s v="[{&quot;duration&quot;:40800,&quot;video_url&quot;:&quot;https://video.twimg.com/amplify_video/1868421441231712256/vid/avc1/1920x1080/hffR2pQu-0julnka.mp4?tag=16&quot;}]"/>
    <s v="{&quot;data_posted&quot;:null,&quot;description&quot;:null,&quot;photos&quot;:null,&quot;post_id&quot;:null,&quot;profile_id&quot;:null,&quot;profile_name&quot;:null,&quot;url&quot;:null,&quot;videos&quot;:null}"/>
    <n v="1204"/>
    <n v="1.9868314658657734E-2"/>
    <d v="2024-12-15T00:00:00"/>
    <n v="0.93353009259259256"/>
    <x v="0"/>
    <x v="11"/>
    <x v="1"/>
    <x v="1"/>
    <x v="1"/>
    <x v="0"/>
    <n v="107"/>
    <x v="1"/>
  </r>
  <r>
    <n v="1.8681833995021148E+18"/>
    <s v="ufc"/>
    <s v="UFC"/>
    <s v="&quot;In 2025 we takin' the throne!&quot; 👑_x000a__x000a_#UFCTampa | @NewMansa94"/>
    <s v="&quot;2024-12-15T06:36:46.000Z&quot;"/>
    <s v="null"/>
    <s v="https://x.com/ufc/status/1868183399502114844"/>
    <s v="[{&quot;biography&quot;:null,&quot;followers&quot;:null,&quot;following&quot;:null,&quot;is_verified&quot;:null,&quot;profile_id&quot;:&quot;922938072836313089&quot;,&quot;profile_name&quot;:&quot;Joaquin New Mansa Buckley&quot;,&quot;url&quot;:&quot;https://x.com/Newmansa94&quot;}]"/>
    <n v="114"/>
    <n v="212"/>
    <n v="3654"/>
    <n v="205527"/>
    <s v=""/>
    <s v="[&quot;UFCTampa&quot;]"/>
    <n v="12876593"/>
    <s v="#UFCTampa | Covington vs Buckley | December 14 | 10pmET | LIVE on @ESPNPlus"/>
    <n v="141401"/>
    <s v="https://pbs.twimg.com/profile_images/1835773190385328128/4fVrF1UI_normal.jpg"/>
    <n v="717"/>
    <b v="0"/>
    <n v="13"/>
    <n v="89"/>
    <s v="{&quot;post_id&quot;:null,&quot;profile_id&quot;:null,&quot;profile_name&quot;:null}"/>
    <s v="null"/>
    <s v="[{&quot;duration&quot;:9709,&quot;video_url&quot;:&quot;https://video.twimg.com/ext_tw_video/1868182697035653120/pu/vid/avc1/720x1280/6c4xOElGTSDH-BpJ.mp4?tag=12&quot;}]"/>
    <s v="{&quot;data_posted&quot;:null,&quot;description&quot;:null,&quot;photos&quot;:null,&quot;post_id&quot;:null,&quot;profile_id&quot;:null,&quot;profile_name&quot;:null,&quot;url&quot;:null,&quot;videos&quot;:null}"/>
    <n v="4082"/>
    <n v="1.9861137466123672E-2"/>
    <d v="2024-12-15T00:00:00"/>
    <n v="0.27553240740740742"/>
    <x v="0"/>
    <x v="23"/>
    <x v="1"/>
    <x v="1"/>
    <x v="1"/>
    <x v="0"/>
    <n v="58"/>
    <x v="1"/>
  </r>
  <r>
    <n v="1.868378816789312E+18"/>
    <s v="tvg███o"/>
    <s v="TV ███bo ███"/>
    <s v="Avisa que é ela! @ehagabz, concorrendo na categoria 'Revelação do Ano', já chegou para o #MelhoresDoAno! #Domingão"/>
    <s v="&quot;2024-12-15T19:33:17.000Z&quot;"/>
    <s v="[&quot;https://pbs.twimg.com/media/Ge3QoSXXgAIIHMC.jpg&quot;,&quot;https://pbs.twimg.com/media/Ge3QoScWUAArPZJ.jpg&quot;]"/>
    <s v="https://x.com/tvglobo/status/1868378816789311986"/>
    <s v="[{&quot;biography&quot;:null,&quot;followers&quot;:null,&quot;following&quot;:null,&quot;is_verified&quot;:null,&quot;profile_id&quot;:&quot;790389548&quot;,&quot;profile_name&quot;:&quot;GABZ&quot;,&quot;url&quot;:&quot;https://x.com/ehagabz&quot;}]"/>
    <n v="2"/>
    <n v="18"/>
    <n v="174"/>
    <n v="9979"/>
    <s v=""/>
    <s v="[&quot;MelhoresDoAno&quot;,&quot;Domingão&quot;]"/>
    <n v="13492430"/>
    <s v="oi, eu sou a Glô 😜"/>
    <n v="314515"/>
    <s v="https://pbs.twimg.com/profile_images/1863599216829792256/r5M1uKA8_normal.jpg"/>
    <n v="708"/>
    <b v="0"/>
    <n v="0"/>
    <n v="4"/>
    <s v="{&quot;post_id&quot;:null,&quot;profile_id&quot;:null,&quot;profile_name&quot;:null}"/>
    <s v="null"/>
    <s v="null"/>
    <s v="{&quot;data_posted&quot;:null,&quot;description&quot;:null,&quot;photos&quot;:null,&quot;post_id&quot;:null,&quot;profile_id&quot;:null,&quot;profile_name&quot;:null,&quot;url&quot;:null,&quot;videos&quot;:null}"/>
    <n v="198"/>
    <n v="1.9841667501753684E-2"/>
    <d v="2024-12-15T00:00:00"/>
    <n v="0.81478009259259254"/>
    <x v="0"/>
    <x v="4"/>
    <x v="0"/>
    <x v="0"/>
    <x v="1"/>
    <x v="0"/>
    <n v="114"/>
    <x v="1"/>
  </r>
  <r>
    <n v="1.8682693769501701E+18"/>
    <s v="CPFC"/>
    <s v="Cry███l P███ce ██████"/>
    <s v="Black. Red. Blue._x000a__x000a_#CPFC // #BHACRY"/>
    <s v="&quot;2024-12-15T12:18:24.000Z&quot;"/>
    <s v="[&quot;https://pbs.twimg.com/media/Ge1tASVW0AAdyGy.jpg&quot;,&quot;https://pbs.twimg.com/media/Ge1tASVXYAA1zSt.jpg&quot;]"/>
    <s v="https://x.com/CPFC/status/1868269376950170078"/>
    <s v="null"/>
    <n v="14"/>
    <n v="11"/>
    <n v="634"/>
    <n v="33415"/>
    <s v=""/>
    <s v="[&quot;CPFC&quot;,&quot;BHACRY&quot;]"/>
    <n v="1480966"/>
    <s v="The Pride of South London."/>
    <n v="103753"/>
    <s v="https://pbs.twimg.com/profile_images/1857393032883994624/qN-MGWEH_normal.jpg"/>
    <n v="552"/>
    <b v="0"/>
    <n v="2"/>
    <n v="2"/>
    <s v="{&quot;post_id&quot;:null,&quot;profile_id&quot;:null,&quot;profile_name&quot;:null}"/>
    <s v="null"/>
    <s v="null"/>
    <s v="{&quot;data_posted&quot;:null,&quot;description&quot;:null,&quot;photos&quot;:null,&quot;post_id&quot;:null,&quot;profile_id&quot;:null,&quot;profile_name&quot;:null,&quot;url&quot;:null,&quot;videos&quot;:null}"/>
    <n v="663"/>
    <n v="1.9841388597935061E-2"/>
    <d v="2024-12-15T00:00:00"/>
    <n v="0.51277777777777778"/>
    <x v="0"/>
    <x v="0"/>
    <x v="0"/>
    <x v="0"/>
    <x v="1"/>
    <x v="0"/>
    <n v="35"/>
    <x v="0"/>
  </r>
  <r>
    <n v="1.8683923999630666E+18"/>
    <s v="tvg███o"/>
    <s v="TV ███bo ███"/>
    <s v="AIIII COLEGUINHA 😩 Nessa sofre até quem não tá sofrendo... que vozeirão é esse, @SimoneMendes mirmã? 🥵🤍 #MelhoresDoAno #Domingão"/>
    <s v="&quot;2024-12-15T20:27:15.000Z&quot;"/>
    <s v="null"/>
    <s v="https://x.com/tvglobo/status/1868392399963066582"/>
    <s v="[{&quot;biography&quot;:null,&quot;followers&quot;:null,&quot;following&quot;:null,&quot;is_verified&quot;:null,&quot;profile_id&quot;:&quot;86302441&quot;,&quot;profile_name&quot;:&quot;Simone Mendes 💙&quot;,&quot;url&quot;:&quot;https://x.com/SimoneMendes&quot;}]"/>
    <n v="8"/>
    <n v="31"/>
    <n v="159"/>
    <n v="11001"/>
    <s v=""/>
    <s v="[&quot;MelhoresDoAno&quot;,&quot;Domingão&quot;]"/>
    <n v="13492372"/>
    <s v="oi, eu sou a Glô 😜"/>
    <n v="314515"/>
    <s v="https://pbs.twimg.com/profile_images/1863599216829792256/r5M1uKA8_normal.jpg"/>
    <n v="708"/>
    <b v="0"/>
    <n v="10"/>
    <n v="10"/>
    <s v="{&quot;post_id&quot;:null,&quot;profile_id&quot;:null,&quot;profile_name&quot;:null}"/>
    <s v="null"/>
    <s v="[{&quot;duration&quot;:38350,&quot;video_url&quot;:&quot;https://video.twimg.com/amplify_video/1868391843425099776/vid/avc1/1920x1080/b67a0bw3dO1XB1Lq.mp4?tag=16&quot;}]"/>
    <s v="{&quot;data_posted&quot;:null,&quot;description&quot;:null,&quot;photos&quot;:null,&quot;post_id&quot;:null,&quot;profile_id&quot;:null,&quot;profile_name&quot;:null,&quot;url&quot;:null,&quot;videos&quot;:null}"/>
    <n v="218"/>
    <n v="1.9816380329060995E-2"/>
    <d v="2024-12-15T00:00:00"/>
    <n v="0.85225694444444444"/>
    <x v="0"/>
    <x v="3"/>
    <x v="1"/>
    <x v="1"/>
    <x v="1"/>
    <x v="0"/>
    <n v="128"/>
    <x v="1"/>
  </r>
  <r>
    <n v="1.8683428146705372E+18"/>
    <s v="nyp███"/>
    <s v="New███rk ███t"/>
    <s v="Cops in one of America’s most remote states beg for feds’ help over Tren de Aragua infiltration"/>
    <s v="&quot;2024-12-15T17:10:13.000Z&quot;"/>
    <s v="[&quot;https://pbs.twimg.com/media/Ge2v45nXgAAl4S0.jpg&quot;]"/>
    <s v="https://x.com/nypost/status/1868342814670537183"/>
    <s v="null"/>
    <n v="63"/>
    <n v="352"/>
    <n v="827"/>
    <n v="65783"/>
    <s v="https://trib.al/PxXjD3a"/>
    <s v="null"/>
    <n v="3313888"/>
    <s v="Breaking news &amp; features from The New York Post. Follow your favorite sections: @pagesix, @nypmetro, @nypostbiz, @nypostsports, @nypfashion, @nypostopinion"/>
    <n v="706459"/>
    <s v="https://pbs.twimg.com/profile_images/966372680306868224/60wfGe9e_normal.jpg"/>
    <n v="10308"/>
    <b v="0"/>
    <n v="24"/>
    <n v="32"/>
    <s v="{&quot;post_id&quot;:null,&quot;profile_id&quot;:null,&quot;profile_name&quot;:null}"/>
    <s v="null"/>
    <s v="null"/>
    <s v="{&quot;data_posted&quot;:null,&quot;description&quot;:null,&quot;photos&quot;:null,&quot;post_id&quot;:null,&quot;profile_id&quot;:null,&quot;profile_name&quot;:null,&quot;url&quot;:null,&quot;videos&quot;:null}"/>
    <n v="1298"/>
    <n v="1.9731541583691836E-2"/>
    <d v="2024-12-15T00:00:00"/>
    <n v="0.71542824074074074"/>
    <x v="0"/>
    <x v="12"/>
    <x v="0"/>
    <x v="0"/>
    <x v="0"/>
    <x v="0"/>
    <n v="95"/>
    <x v="0"/>
  </r>
  <r>
    <n v="1.8684364827230331E+18"/>
    <s v="tvg███o"/>
    <s v="TV ███bo ███"/>
    <s v="Ô povo lindo e apaixonado ao som de &quot;Só Você&quot; 👀👀👀 #MelhoresDoAno #Domingão"/>
    <s v="&quot;2024-12-15T23:22:26.000Z&quot;"/>
    <s v="null"/>
    <s v="https://x.com/tvglobo/status/1868436482723033216"/>
    <s v="null"/>
    <n v="8"/>
    <n v="22"/>
    <n v="156"/>
    <n v="10164"/>
    <s v=""/>
    <s v="[&quot;MelhoresDoAno&quot;,&quot;Domingão&quot;]"/>
    <n v="13492430"/>
    <s v="oi, eu sou a Glô 😜"/>
    <n v="314515"/>
    <s v="https://pbs.twimg.com/profile_images/1863599216829792256/r5M1uKA8_normal.jpg"/>
    <n v="708"/>
    <b v="0"/>
    <n v="4"/>
    <n v="10"/>
    <s v="{&quot;post_id&quot;:null,&quot;profile_id&quot;:null,&quot;profile_name&quot;:null}"/>
    <s v="null"/>
    <s v="[{&quot;duration&quot;:31800,&quot;video_url&quot;:&quot;https://video.twimg.com/amplify_video/1868436028991713281/vid/avc1/1920x1080/PCNRBe2nGIspPA-U.mp4?tag=16&quot;}]"/>
    <s v="{&quot;data_posted&quot;:null,&quot;description&quot;:null,&quot;photos&quot;:null,&quot;post_id&quot;:null,&quot;profile_id&quot;:null,&quot;profile_name&quot;:null,&quot;url&quot;:null,&quot;videos&quot;:null}"/>
    <n v="200"/>
    <n v="1.967729240456513E-2"/>
    <d v="2024-12-15T00:00:00"/>
    <n v="0.97391203703703699"/>
    <x v="0"/>
    <x v="7"/>
    <x v="1"/>
    <x v="1"/>
    <x v="1"/>
    <x v="0"/>
    <n v="74"/>
    <x v="1"/>
  </r>
  <r>
    <n v="1.8683035541018586E+18"/>
    <s v="Dim███r"/>
    <s v="DIM███R"/>
    <s v="¡𝗘𝘀𝘁𝗮𝗺𝗼𝘀 𝗹𝗶𝘀𝘁𝗼𝘀 𝗽𝗮𝗿𝗮 𝗲𝗹 𝗽𝗮𝗿𝘁𝗶𝗱𝗼 𝗱𝗲 𝗩𝘂𝗲𝗹𝘁𝗮 𝗱𝗲 𝗹𝗮 #𝗖𝗼𝗽𝗮𝗕𝗲𝘁𝗣𝗹𝗮𝘆𝗗𝗜𝗠𝗔𝗬𝗢𝗥 𝟮𝟬𝟮𝟰! 😎🏆_x000a__x000a_@AmericadeCali 👹 recibirá a las 5:00 pm a @nacionaloficial 🟢⚪ en el estadio Pascual Guerrero 🏟️_x000a__x000a_¡Los esperamos! 🙌_x000a__x000a_#LaPasiónDeMillones"/>
    <s v="&quot;2024-12-15T14:34:13.000Z&quot;"/>
    <s v="[&quot;https://pbs.twimg.com/media/Ge2MC9XWAAAv3O9.jpg&quot;]"/>
    <s v="https://x.com/Dimayor/status/1868303554101858546"/>
    <s v="[{&quot;biography&quot;:null,&quot;followers&quot;:null,&quot;following&quot;:null,&quot;is_verified&quot;:null,&quot;profile_id&quot;:&quot;557927601&quot;,&quot;profile_name&quot;:&quot;América de Cali&quot;,&quot;url&quot;:&quot;https://x.com/AmericadeCali&quot;},{&quot;biography&quot;:null,&quot;followers&quot;:null,&quot;following&quot;:null,&quot;is_verified&quot;:null,&quot;profile_id&quot;:&quot;177641139&quot;,&quot;profile_name&quot;:&quot;Atlético Nacional&quot;,&quot;url&quot;:&quot;https://x.com/nacionaloficial&quot;}]"/>
    <n v="6"/>
    <n v="36"/>
    <n v="334"/>
    <n v="19473"/>
    <s v=""/>
    <s v="[&quot;𝗖𝗼𝗽𝗮𝗕𝗲𝘁𝗣𝗹𝗮𝘆𝗗𝗜𝗠𝗔𝗬𝗢𝗥&quot;,&quot;LaPasiónDeMillones&quot;]"/>
    <n v="1511302"/>
    <s v="Cuenta oficial de la División Mayor del Fútbol Colombiano - 𝐃𝐈𝐌𝐀𝐘𝐎𝐑 || LigaBetPlay🏆LigaFemeninaBetPlay🏆 TorneoBetPlay🏆 CopaBetPlay🏆 || 𝟐𝟎𝟐𝟒 ||"/>
    <n v="56647"/>
    <s v="https://pbs.twimg.com/profile_images/1741738883782500353/WefLAabU_normal.jpg"/>
    <n v="80"/>
    <b v="0"/>
    <n v="3"/>
    <n v="4"/>
    <s v="{&quot;post_id&quot;:null,&quot;profile_id&quot;:null,&quot;profile_name&quot;:null}"/>
    <s v="null"/>
    <s v="null"/>
    <s v="{&quot;data_posted&quot;:null,&quot;description&quot;:null,&quot;photos&quot;:null,&quot;post_id&quot;:null,&quot;profile_id&quot;:null,&quot;profile_name&quot;:null,&quot;url&quot;:null,&quot;videos&quot;:null}"/>
    <n v="383"/>
    <n v="1.9668258614491861E-2"/>
    <d v="2024-12-15T00:00:00"/>
    <n v="0.60709490740740746"/>
    <x v="0"/>
    <x v="1"/>
    <x v="0"/>
    <x v="0"/>
    <x v="1"/>
    <x v="0"/>
    <n v="213"/>
    <x v="0"/>
  </r>
  <r>
    <n v="1.8683104680725012E+18"/>
    <s v="Bar███ysW███"/>
    <s v="Bar███ys ███en'█████████eag███"/>
    <s v="The stats are in following a dominant half from @ManUtdWomen 🫡_x000a__x000a_#BarclaysWSL"/>
    <s v="&quot;2024-12-15T15:01:41.000Z&quot;"/>
    <s v="[&quot;https://pbs.twimg.com/media/Ge2ScjqW4AAaArC.jpg&quot;]"/>
    <s v="https://x.com/BarclaysWSL/status/1868310468072501279"/>
    <s v="[{&quot;biography&quot;:null,&quot;followers&quot;:null,&quot;following&quot;:null,&quot;is_verified&quot;:null,&quot;profile_id&quot;:&quot;977180963846443013&quot;,&quot;profile_name&quot;:&quot;Manchester United Women&quot;,&quot;url&quot;:&quot;https://x.com/ManUtdWomen&quot;}]"/>
    <n v="1"/>
    <n v="10"/>
    <n v="191"/>
    <n v="10393"/>
    <s v=""/>
    <s v="[&quot;BarclaysWSL&quot;]"/>
    <n v="337839"/>
    <s v="The home of top-flight women's football in England! 🤩_x000a__x000a_Subscribe to our brand-new BWSL YouTube Channel! 📺 #BarclaysWSL"/>
    <n v="57638"/>
    <s v="https://pbs.twimg.com/profile_images/1605171595160555521/NKG9mgxv_normal.jpg"/>
    <n v="587"/>
    <b v="0"/>
    <n v="1"/>
    <n v="1"/>
    <s v="{&quot;post_id&quot;:null,&quot;profile_id&quot;:null,&quot;profile_name&quot;:null}"/>
    <s v="null"/>
    <s v="null"/>
    <s v="{&quot;data_posted&quot;:null,&quot;description&quot;:null,&quot;photos&quot;:null,&quot;post_id&quot;:null,&quot;profile_id&quot;:null,&quot;profile_name&quot;:null,&quot;url&quot;:null,&quot;videos&quot;:null}"/>
    <n v="204"/>
    <n v="1.9628596170499373E-2"/>
    <d v="2024-12-15T00:00:00"/>
    <n v="0.62616898148148148"/>
    <x v="0"/>
    <x v="13"/>
    <x v="0"/>
    <x v="0"/>
    <x v="1"/>
    <x v="0"/>
    <n v="76"/>
    <x v="2"/>
  </r>
  <r>
    <n v="1.8682734314706253E+18"/>
    <s v="sml███a"/>
    <s v="Liiga"/>
    <s v="📊 Runkosarjan puolivälin ylittyessä mennään @Liiga_SaiPa:n komennossa. 👏_x000a__x000a_#Liiga"/>
    <s v="&quot;2024-12-15T12:34:31.000Z&quot;"/>
    <s v="[&quot;https://pbs.twimg.com/media/Ge1wx-NWEAAGpXG.jpg&quot;]"/>
    <s v="https://x.com/smliiga/status/1868273431470625181"/>
    <s v="[{&quot;biography&quot;:null,&quot;followers&quot;:null,&quot;following&quot;:null,&quot;is_verified&quot;:null,&quot;profile_id&quot;:&quot;127198157&quot;,&quot;profile_name&quot;:&quot;SaiPa&quot;,&quot;url&quot;:&quot;https://x.com/Liiga_SaiPa&quot;}]"/>
    <n v="3"/>
    <n v="2"/>
    <n v="105"/>
    <n v="5814"/>
    <s v=""/>
    <s v="[&quot;Liiga&quot;]"/>
    <n v="157613"/>
    <s v="50-vuotisjuhlakausi on täällä – Liigan virallinen X-tili. 🏒"/>
    <n v="40480"/>
    <s v="https://pbs.twimg.com/profile_images/1819230522054242304/9b2H18YT_normal.jpg"/>
    <n v="765"/>
    <b v="0"/>
    <n v="3"/>
    <n v="1"/>
    <s v="{&quot;post_id&quot;:null,&quot;profile_id&quot;:null,&quot;profile_name&quot;:null}"/>
    <s v="null"/>
    <s v="null"/>
    <s v="{&quot;data_posted&quot;:null,&quot;description&quot;:null,&quot;photos&quot;:null,&quot;post_id&quot;:null,&quot;profile_id&quot;:null,&quot;profile_name&quot;:null,&quot;url&quot;:null,&quot;videos&quot;:null}"/>
    <n v="114"/>
    <n v="1.9607843137254902E-2"/>
    <d v="2024-12-15T00:00:00"/>
    <n v="0.52396990740740745"/>
    <x v="0"/>
    <x v="0"/>
    <x v="0"/>
    <x v="0"/>
    <x v="1"/>
    <x v="0"/>
    <n v="80"/>
    <x v="2"/>
  </r>
  <r>
    <n v="1.8681237362992538E+18"/>
    <s v="Dim███r"/>
    <s v="DIM███R"/>
    <s v="¡𝐂𝐀𝐌𝐏𝐄𝐎𝐍𝐄𝐒 𝐃𝐄 𝐋𝐀 𝐆𝐑𝐀𝐍 𝐅𝐈𝐍𝐀𝐋! ❤️💙_x000a__x000a_𝐅𝐞𝐥𝐢𝐜𝐢𝐭𝐚𝐜𝐢𝐨𝐧𝐞𝐬 @UnionMagdalena por un nuevo título, son los campeones de la Gran Final del #TorneoBetPlayDIMAYOR 2024🔥_x000a__x000a_#LaPasiónDeMillones"/>
    <s v="&quot;2024-12-15T02:39:41.000Z&quot;"/>
    <s v="[&quot;https://pbs.twimg.com/media/GezoooeWMAAWfO1.jpg&quot;]"/>
    <s v="https://x.com/Dimayor/status/1868123736299253772"/>
    <s v="[{&quot;biography&quot;:null,&quot;followers&quot;:null,&quot;following&quot;:null,&quot;is_verified&quot;:null,&quot;profile_id&quot;:&quot;460363900&quot;,&quot;profile_name&quot;:&quot;Unión Magdalena S.A&quot;,&quot;url&quot;:&quot;https://x.com/UnionMagdalena&quot;}]"/>
    <n v="150"/>
    <n v="146"/>
    <n v="721"/>
    <n v="53715"/>
    <s v=""/>
    <s v="[&quot;TorneoBetPlayDIMAYOR&quot;,&quot;LaPasiónDeMillones&quot;]"/>
    <n v="1511302"/>
    <s v="Cuenta oficial de la División Mayor del Fútbol Colombiano - 𝐃𝐈𝐌𝐀𝐘𝐎𝐑 || LigaBetPlay🏆LigaFemeninaBetPlay🏆 TorneoBetPlay🏆 CopaBetPlay🏆 || 𝟐𝟎𝟐𝟒 ||"/>
    <n v="56647"/>
    <s v="https://pbs.twimg.com/profile_images/1741738883782500353/WefLAabU_normal.jpg"/>
    <n v="80"/>
    <b v="0"/>
    <n v="29"/>
    <n v="3"/>
    <s v="{&quot;post_id&quot;:null,&quot;profile_id&quot;:null,&quot;profile_name&quot;:null}"/>
    <s v="null"/>
    <s v="null"/>
    <s v="{&quot;data_posted&quot;:null,&quot;description&quot;:null,&quot;photos&quot;:null,&quot;post_id&quot;:null,&quot;profile_id&quot;:null,&quot;profile_name&quot;:null,&quot;url&quot;:null,&quot;videos&quot;:null}"/>
    <n v="1049"/>
    <n v="1.9528995625058176E-2"/>
    <d v="2024-12-15T00:00:00"/>
    <n v="0.1108912037037037"/>
    <x v="0"/>
    <x v="2"/>
    <x v="0"/>
    <x v="0"/>
    <x v="1"/>
    <x v="0"/>
    <n v="173"/>
    <x v="0"/>
  </r>
  <r>
    <n v="1.8682773568858358E+18"/>
    <s v="SLB███ica███"/>
    <s v="SL ███fic███"/>
    <s v="#SLBenficaFem | 🤩 Vitória na 1.ª mão dos 𝙦𝙪𝙖𝙧𝙩𝙤𝙨 𝙙𝙚 𝙛𝙞𝙣𝙖𝙡 da #TaçadaLigaFeminina!_x000a__x000a_⚽ Cristina Martín-Prieto &amp;amp; Chandra Davidson._x000a__x000a_#LojasEspacoCasa #Europcar #Glassdrive #Auditiv @adidasfootball"/>
    <s v="&quot;2024-12-15T12:50:07.000Z&quot;"/>
    <s v="[&quot;https://pbs.twimg.com/media/Ge10VhxXAAALhfN.jpg&quot;]"/>
    <s v="https://x.com/SLBenfica/status/1868277356885835813"/>
    <s v="[{&quot;biography&quot;:null,&quot;followers&quot;:null,&quot;following&quot;:null,&quot;is_verified&quot;:null,&quot;profile_id&quot;:&quot;219683269&quot;,&quot;profile_name&quot;:&quot;adidas Football&quot;,&quot;url&quot;:&quot;https://x.com/adidasfootball&quot;}]"/>
    <n v="0"/>
    <n v="15"/>
    <n v="132"/>
    <n v="7687"/>
    <s v=""/>
    <s v="[&quot;SLBenficaFem&quot;,&quot;TaçadaLigaFeminina&quot;,&quot;LojasEspacoCasa&quot;,&quot;Europcar&quot;,&quot;Glassdrive&quot;,&quot;Auditiv&quot;]"/>
    <n v="1906482"/>
    <s v="Twitter Oficial do 𝗦𝗽𝗼𝗿𝘁 𝗟𝗶𝘀𝗯𝗼𝗮 𝗲 𝗕𝗲𝗻𝗳𝗶𝗰𝗮 _x000a_English account: @SLBenfica_EN 🇬🇧🇺🇸_x000a_Modalidades: @ModalidadesSLB 🏑🏀"/>
    <n v="124666"/>
    <s v="https://pbs.twimg.com/profile_images/1845888754898161664/8uDsALMU_normal.jpg"/>
    <n v="432"/>
    <b v="0"/>
    <n v="2"/>
    <n v="1"/>
    <s v="{&quot;post_id&quot;:&quot;1868267849376313555&quot;,&quot;profile_id&quot;:&quot;21390437&quot;,&quot;profile_name&quot;:&quot;SLBenfica&quot;}"/>
    <s v="null"/>
    <s v="null"/>
    <s v="{&quot;data_posted&quot;:null,&quot;description&quot;:null,&quot;photos&quot;:null,&quot;post_id&quot;:null,&quot;profile_id&quot;:null,&quot;profile_name&quot;:null,&quot;url&quot;:null,&quot;videos&quot;:null}"/>
    <n v="150"/>
    <n v="1.9513464290360348E-2"/>
    <d v="2024-12-15T00:00:00"/>
    <n v="0.5348032407407407"/>
    <x v="0"/>
    <x v="0"/>
    <x v="0"/>
    <x v="0"/>
    <x v="1"/>
    <x v="0"/>
    <n v="196"/>
    <x v="0"/>
  </r>
  <r>
    <n v="1.8683862739810798E+18"/>
    <s v="Che███aFC███"/>
    <s v="Che███a F███"/>
    <s v="Let's keep pushing Blues! 💪_x000a__x000a_Follow the game on the Chelsea app:"/>
    <s v="&quot;2024-12-15T20:02:55.000Z&quot;"/>
    <s v="null"/>
    <s v="https://x.com/ChelseaFC/status/1868386273981079910"/>
    <s v="null"/>
    <n v="90"/>
    <n v="185"/>
    <n v="2128"/>
    <n v="123799"/>
    <s v="https://bit.ly/Brentford-match-centre"/>
    <s v="[&quot;CFC&quot;,&quot;CHEBRE&quot;]"/>
    <n v="26078976"/>
    <s v=""/>
    <n v="121345"/>
    <s v="https://pbs.twimg.com/profile_images/1856287465524367360/FKHsk_Fw_normal.jpg"/>
    <n v="277"/>
    <b v="0"/>
    <n v="4"/>
    <n v="4"/>
    <s v="{&quot;post_id&quot;:null,&quot;profile_id&quot;:null,&quot;profile_name&quot;:null}"/>
    <s v="null"/>
    <s v="[{&quot;duration&quot;:6000,&quot;video_url&quot;:&quot;https://video.twimg.com/amplify_video/1865812246296686592/vid/avc1/1080x1080/5XumRCZj7spZ49ZV.mp4?tag=16&quot;}]"/>
    <s v="{&quot;data_posted&quot;:null,&quot;description&quot;:null,&quot;photos&quot;:null,&quot;post_id&quot;:null,&quot;profile_id&quot;:null,&quot;profile_name&quot;:null,&quot;url&quot;:null,&quot;videos&quot;:null}"/>
    <n v="2411"/>
    <n v="1.9475116923400027E-2"/>
    <d v="2024-12-15T00:00:00"/>
    <n v="0.83535879629629628"/>
    <x v="0"/>
    <x v="3"/>
    <x v="1"/>
    <x v="1"/>
    <x v="1"/>
    <x v="0"/>
    <n v="64"/>
    <x v="1"/>
  </r>
  <r>
    <n v="1.8684190611907092E+18"/>
    <s v="Spu███ffi███l"/>
    <s v="Tot███ham███tsp███"/>
    <s v="&quot;It was a really good team performance and good to bounce back from the last few weeks.&quot; 🗣️_x000a__x000a_Lucas reflects on his first @premierleague start and our win against Southampton 🙌"/>
    <s v="&quot;2024-12-15T22:13:12.000Z&quot;"/>
    <s v="null"/>
    <s v="https://x.com/SpursOfficial/status/1868419061190709275"/>
    <s v="[{&quot;biography&quot;:null,&quot;followers&quot;:null,&quot;following&quot;:null,&quot;is_verified&quot;:null,&quot;profile_id&quot;:&quot;343627165&quot;,&quot;profile_name&quot;:&quot;Premier League&quot;,&quot;url&quot;:&quot;https://x.com/premierleague&quot;}]"/>
    <n v="22"/>
    <n v="147"/>
    <n v="1553"/>
    <n v="92525"/>
    <s v=""/>
    <s v="null"/>
    <n v="8885748"/>
    <s v="COYS 🤍"/>
    <n v="115852"/>
    <s v="https://pbs.twimg.com/profile_images/1864976047902498816/FUkKarj7_normal.jpg"/>
    <n v="469"/>
    <b v="0"/>
    <n v="20"/>
    <n v="54"/>
    <s v="{&quot;post_id&quot;:null,&quot;profile_id&quot;:null,&quot;profile_name&quot;:null}"/>
    <s v="null"/>
    <s v="[{&quot;duration&quot;:129759,&quot;video_url&quot;:&quot;https://video.twimg.com/amplify_video/1868408856566484992/vid/avc1/720x720/-OlpUrx5DaMOs5L7.mp4?tag=14&quot;}]"/>
    <s v="{&quot;data_posted&quot;:null,&quot;description&quot;:null,&quot;photos&quot;:null,&quot;post_id&quot;:null,&quot;profile_id&quot;:null,&quot;profile_name&quot;:null,&quot;url&quot;:null,&quot;videos&quot;:null}"/>
    <n v="1796"/>
    <n v="1.9410970008105918E-2"/>
    <d v="2024-12-15T00:00:00"/>
    <n v="0.92583333333333329"/>
    <x v="0"/>
    <x v="11"/>
    <x v="1"/>
    <x v="1"/>
    <x v="0"/>
    <x v="0"/>
    <n v="175"/>
    <x v="0"/>
  </r>
  <r>
    <n v="1.8683028535987773E+18"/>
    <s v="Bar███ysW███"/>
    <s v="Bar███ys ███en'█████████eag███"/>
    <s v="We are underway in the final #BarclaysWSL game of 2024 😢_x000a__x000a_@LiverpoolFCW 🆚 @ArsenalWFC"/>
    <s v="&quot;2024-12-15T14:31:26.000Z&quot;"/>
    <s v="[&quot;https://pbs.twimg.com/media/Ge2LaGeXkAAjqAS.jpg&quot;]"/>
    <s v="https://x.com/BarclaysWSL/status/1868302853598777367"/>
    <s v="[{&quot;biography&quot;:null,&quot;followers&quot;:null,&quot;following&quot;:null,&quot;is_verified&quot;:null,&quot;profile_id&quot;:&quot;248664300&quot;,&quot;profile_name&quot;:&quot;Liverpool FC Women&quot;,&quot;url&quot;:&quot;https://x.com/LiverpoolFCW&quot;},{&quot;biography&quot;:null,&quot;followers&quot;:null,&quot;following&quot;:null,&quot;is_verified&quot;:null,&quot;profile_id&quot;:&quot;256551011&quot;,&quot;profile_name&quot;:&quot;Arsenal Women&quot;,&quot;url&quot;:&quot;https://x.com/ArsenalWFC&quot;}]"/>
    <n v="7"/>
    <n v="21"/>
    <n v="451"/>
    <n v="24889"/>
    <s v=""/>
    <s v="[&quot;BarclaysWSL&quot;]"/>
    <n v="337840"/>
    <s v="The home of top-flight women's football in England! 🤩_x000a__x000a_Subscribe to our brand-new BWSL YouTube Channel! 📺 #BarclaysWSL"/>
    <n v="57638"/>
    <s v="https://pbs.twimg.com/profile_images/1605171595160555521/NKG9mgxv_normal.jpg"/>
    <n v="587"/>
    <b v="0"/>
    <n v="2"/>
    <n v="1"/>
    <s v="{&quot;post_id&quot;:null,&quot;profile_id&quot;:null,&quot;profile_name&quot;:null}"/>
    <s v="null"/>
    <s v="null"/>
    <s v="{&quot;data_posted&quot;:null,&quot;description&quot;:null,&quot;photos&quot;:null,&quot;post_id&quot;:null,&quot;profile_id&quot;:null,&quot;profile_name&quot;:null,&quot;url&quot;:null,&quot;videos&quot;:null}"/>
    <n v="482"/>
    <n v="1.9365984973281368E-2"/>
    <d v="2024-12-15T00:00:00"/>
    <n v="0.60516203703703708"/>
    <x v="0"/>
    <x v="1"/>
    <x v="0"/>
    <x v="0"/>
    <x v="1"/>
    <x v="0"/>
    <n v="85"/>
    <x v="2"/>
  </r>
  <r>
    <n v="1.8684285925790108E+18"/>
    <s v="tvg███o"/>
    <s v="TV ███bo ███"/>
    <s v="Luciano entregando um trófeu pra Patrícia 😭 Tô emocionada. gente! @SBTonline amiga, tá bem? #MelhoresDoAno #Domingão"/>
    <s v="&quot;2024-12-15T22:51:04.000Z&quot;"/>
    <s v="null"/>
    <s v="https://x.com/tvglobo/status/1868428592579010815"/>
    <s v="[{&quot;biography&quot;:null,&quot;followers&quot;:null,&quot;following&quot;:null,&quot;is_verified&quot;:null,&quot;profile_id&quot;:&quot;20600456&quot;,&quot;profile_name&quot;:&quot;SBT&quot;,&quot;url&quot;:&quot;https://x.com/SBTonline&quot;}]"/>
    <n v="8"/>
    <n v="91"/>
    <n v="866"/>
    <n v="51447"/>
    <s v=""/>
    <s v="[&quot;MelhoresDoAno&quot;,&quot;Domingão&quot;]"/>
    <n v="13492430"/>
    <s v="oi, eu sou a Glô 😜"/>
    <n v="314515"/>
    <s v="https://pbs.twimg.com/profile_images/1863599216829792256/r5M1uKA8_normal.jpg"/>
    <n v="708"/>
    <b v="0"/>
    <n v="3"/>
    <n v="27"/>
    <s v="{&quot;post_id&quot;:null,&quot;profile_id&quot;:null,&quot;profile_name&quot;:null}"/>
    <s v="null"/>
    <s v="[{&quot;duration&quot;:30220,&quot;video_url&quot;:&quot;https://video.twimg.com/amplify_video/1868427581898305536/vid/avc1/1920x1080/CcUXdxr2hGMTr7MU.mp4?tag=16&quot;}]"/>
    <s v="{&quot;data_posted&quot;:null,&quot;description&quot;:null,&quot;photos&quot;:null,&quot;post_id&quot;:null,&quot;profile_id&quot;:null,&quot;profile_name&quot;:null,&quot;url&quot;:null,&quot;videos&quot;:null}"/>
    <n v="995"/>
    <n v="1.9340291950939802E-2"/>
    <d v="2024-12-15T00:00:00"/>
    <n v="0.95212962962962966"/>
    <x v="0"/>
    <x v="11"/>
    <x v="1"/>
    <x v="1"/>
    <x v="1"/>
    <x v="0"/>
    <n v="116"/>
    <x v="1"/>
  </r>
  <r>
    <n v="1.8683468220976092E+18"/>
    <s v="Man███y"/>
    <s v="Man███ste███ity███"/>
    <s v="Love it, Josko 🩵_x000a__x000a_🩵 1-0 🔴 #ManCity"/>
    <s v="&quot;2024-12-15T17:26:09.000Z&quot;"/>
    <s v="[&quot;https://pbs.twimg.com/media/Ge2ywvNWEAE3uwT.jpg&quot;]"/>
    <s v="https://x.com/ManCity/status/1868346822097609097"/>
    <s v="null"/>
    <n v="157"/>
    <n v="409"/>
    <n v="4428"/>
    <n v="263467"/>
    <s v=""/>
    <s v="[&quot;ManCity&quot;]"/>
    <n v="17891377"/>
    <s v="WATCH TOGETHER: 4-IN-A-ROW 🍿"/>
    <n v="168939"/>
    <s v="https://pbs.twimg.com/profile_images/1856263834400358400/RysToJDu_normal.png"/>
    <n v="47365"/>
    <b v="0"/>
    <n v="41"/>
    <n v="35"/>
    <s v="{&quot;post_id&quot;:null,&quot;profile_id&quot;:null,&quot;profile_name&quot;:null}"/>
    <s v="null"/>
    <s v="null"/>
    <s v="{&quot;data_posted&quot;:null,&quot;description&quot;:null,&quot;photos&quot;:null,&quot;post_id&quot;:null,&quot;profile_id&quot;:null,&quot;profile_name&quot;:null,&quot;url&quot;:null,&quot;videos&quot;:null}"/>
    <n v="5070"/>
    <n v="1.9243396706228863E-2"/>
    <d v="2024-12-15T00:00:00"/>
    <n v="0.72649305555555554"/>
    <x v="0"/>
    <x v="12"/>
    <x v="0"/>
    <x v="0"/>
    <x v="1"/>
    <x v="0"/>
    <n v="34"/>
    <x v="1"/>
  </r>
  <r>
    <n v="1.8684077984151347E+18"/>
    <s v="TNT███rts███"/>
    <s v="TNT███ort███R"/>
    <s v="NOSSA SELEÇÃO PRECISA DE UM ARTILHEIRO! ⚽🔥 _x000a_Quem foi o melhor no #BrasileirãoBetano?"/>
    <s v="&quot;2024-12-15T21:28:27.000Z&quot;"/>
    <s v="[&quot;https://pbs.twimg.com/media/Ge3q3_OXcAAz1x-.jpg&quot;]"/>
    <s v="https://x.com/TNTSportsBR/status/1868407798415134766"/>
    <s v="null"/>
    <n v="192"/>
    <n v="48"/>
    <n v="3220"/>
    <n v="184452"/>
    <s v=""/>
    <s v="[&quot;BrasileirãoBetano&quot;]"/>
    <n v="8293232"/>
    <s v="⚽️ É muito mais Champions na Max, com TODOS os jogos ao vivo!_x000a_👇🏻Assine e assista clicando no link👇🏻"/>
    <n v="456734"/>
    <s v="https://pbs.twimg.com/profile_images/1807013047975768065/8sm_IGpw_normal.jpg"/>
    <n v="859"/>
    <b v="0"/>
    <n v="36"/>
    <n v="42"/>
    <s v="{&quot;post_id&quot;:null,&quot;profile_id&quot;:null,&quot;profile_name&quot;:null}"/>
    <s v="null"/>
    <s v="null"/>
    <s v="{&quot;data_posted&quot;:null,&quot;description&quot;:null,&quot;photos&quot;:null,&quot;post_id&quot;:null,&quot;profile_id&quot;:null,&quot;profile_name&quot;:null,&quot;url&quot;:null,&quot;videos&quot;:null}"/>
    <n v="3538"/>
    <n v="1.9181141977316591E-2"/>
    <d v="2024-12-15T00:00:00"/>
    <n v="0.89475694444444442"/>
    <x v="0"/>
    <x v="10"/>
    <x v="0"/>
    <x v="0"/>
    <x v="1"/>
    <x v="0"/>
    <n v="84"/>
    <x v="0"/>
  </r>
  <r>
    <n v="1.8684122904809267E+18"/>
    <s v="acm███n"/>
    <s v="AC ███an"/>
    <s v="Full time._x000a__x000a_#MilanGenoa #SempreMilan_x000a_Brought to you by @Bitpanda_global"/>
    <s v="&quot;2024-12-15T21:46:18.000Z&quot;"/>
    <s v="[&quot;https://pbs.twimg.com/media/Ge3vEWWW0AA61mV.jpg&quot;]"/>
    <s v="https://x.com/acmilan/status/1868412290480926845"/>
    <s v="[{&quot;biography&quot;:null,&quot;followers&quot;:null,&quot;following&quot;:null,&quot;is_verified&quot;:null,&quot;profile_id&quot;:&quot;2425772784&quot;,&quot;profile_name&quot;:&quot;Bitpanda&quot;,&quot;url&quot;:&quot;https://x.com/Bitpanda_global&quot;}]"/>
    <n v="996"/>
    <n v="181"/>
    <n v="1910"/>
    <n v="177102"/>
    <s v=""/>
    <s v="[&quot;MilanGenoa&quot;,&quot;SempreMilan&quot;]"/>
    <n v="8539575"/>
    <s v="❤🖤 125 years together, worth every minute ❤🖤 _x000a__x000a_#SempreMilan since 1899! 🔙 _x000a__x000a_Arabic: @acmilanar | Portuguese: @acmilanbr | #MilanYouth: @acmilanyouth"/>
    <n v="75535"/>
    <s v="https://pbs.twimg.com/profile_images/1848748720050868225/FQY9F6Hn_normal.jpg"/>
    <n v="117"/>
    <b v="0"/>
    <n v="274"/>
    <n v="30"/>
    <s v="{&quot;post_id&quot;:null,&quot;profile_id&quot;:null,&quot;profile_name&quot;:null}"/>
    <s v="null"/>
    <s v="null"/>
    <s v="{&quot;data_posted&quot;:null,&quot;description&quot;:null,&quot;photos&quot;:null,&quot;post_id&quot;:null,&quot;profile_id&quot;:null,&quot;profile_name&quot;:null,&quot;url&quot;:null,&quot;videos&quot;:null}"/>
    <n v="3391"/>
    <n v="1.9147158134860138E-2"/>
    <d v="2024-12-15T00:00:00"/>
    <n v="0.90715277777777781"/>
    <x v="0"/>
    <x v="10"/>
    <x v="0"/>
    <x v="0"/>
    <x v="1"/>
    <x v="0"/>
    <n v="71"/>
    <x v="0"/>
  </r>
  <r>
    <n v="1.8684126616096812E+18"/>
    <s v="tvg███o"/>
    <s v="TV ███bo ███"/>
    <s v="ELENCO DE MILHÕES 🌟🌟🌟 #MelhoresDoAno #Domingão"/>
    <s v="&quot;2024-12-15T21:47:46.000Z&quot;"/>
    <s v="null"/>
    <s v="https://x.com/tvglobo/status/1868412661609681275"/>
    <s v="null"/>
    <n v="3"/>
    <n v="20"/>
    <n v="129"/>
    <n v="8869"/>
    <s v=""/>
    <s v="[&quot;MelhoresDoAno&quot;,&quot;Domingão&quot;]"/>
    <n v="13492430"/>
    <s v="oi, eu sou a Glô 😜"/>
    <n v="314515"/>
    <s v="https://pbs.twimg.com/profile_images/1863599216829792256/r5M1uKA8_normal.jpg"/>
    <n v="708"/>
    <b v="0"/>
    <n v="4"/>
    <n v="13"/>
    <s v="{&quot;post_id&quot;:null,&quot;profile_id&quot;:null,&quot;profile_name&quot;:null}"/>
    <s v="null"/>
    <s v="[{&quot;duration&quot;:71590,&quot;video_url&quot;:&quot;https://video.twimg.com/amplify_video/1868412303827156993/vid/avc1/1920x1080/9-cKuJ25Vd3Zv08V.mp4?tag=16&quot;}]"/>
    <s v="{&quot;data_posted&quot;:null,&quot;description&quot;:null,&quot;photos&quot;:null,&quot;post_id&quot;:null,&quot;profile_id&quot;:null,&quot;profile_name&quot;:null,&quot;url&quot;:null,&quot;videos&quot;:null}"/>
    <n v="169"/>
    <n v="1.9055135866501295E-2"/>
    <d v="2024-12-15T00:00:00"/>
    <n v="0.90817129629629634"/>
    <x v="0"/>
    <x v="10"/>
    <x v="1"/>
    <x v="1"/>
    <x v="1"/>
    <x v="0"/>
    <n v="46"/>
    <x v="1"/>
  </r>
  <r>
    <n v="1.8683008663457224E+18"/>
    <s v="Bar███ysW███"/>
    <s v="Bar███ys ███en'█████████eag███"/>
    <s v="FT: @EvertonWomen claim a huge victory against Manchester City!_x000a__x000a_#BarclaysWSL"/>
    <s v="&quot;2024-12-15T14:23:32.000Z&quot;"/>
    <s v="[&quot;https://pbs.twimg.com/media/Ge2JRfEXkAA-aP5.jpg&quot;]"/>
    <s v="https://x.com/BarclaysWSL/status/1868300866345722297"/>
    <s v="[{&quot;biography&quot;:null,&quot;followers&quot;:null,&quot;following&quot;:null,&quot;is_verified&quot;:null,&quot;profile_id&quot;:&quot;485857070&quot;,&quot;profile_name&quot;:&quot;Everton Women&quot;,&quot;url&quot;:&quot;https://x.com/EvertonWomen&quot;}]"/>
    <n v="13"/>
    <n v="17"/>
    <n v="139"/>
    <n v="10662"/>
    <s v=""/>
    <s v="[&quot;BarclaysWSL&quot;]"/>
    <n v="337839"/>
    <s v="The home of top-flight women's football in England! 🤩_x000a__x000a_Subscribe to our brand-new BWSL YouTube Channel! 📺 #BarclaysWSL"/>
    <n v="57638"/>
    <s v="https://pbs.twimg.com/profile_images/1605171595160555521/NKG9mgxv_normal.jpg"/>
    <n v="587"/>
    <b v="0"/>
    <n v="32"/>
    <n v="2"/>
    <s v="{&quot;post_id&quot;:&quot;1868284923271852257&quot;,&quot;profile_id&quot;:&quot;273665871&quot;,&quot;profile_name&quot;:&quot;BarclaysWSL&quot;}"/>
    <s v="null"/>
    <s v="null"/>
    <s v="{&quot;data_posted&quot;:null,&quot;description&quot;:null,&quot;photos&quot;:null,&quot;post_id&quot;:null,&quot;profile_id&quot;:null,&quot;profile_name&quot;:null,&quot;url&quot;:null,&quot;videos&quot;:null}"/>
    <n v="203"/>
    <n v="1.9039579816169574E-2"/>
    <d v="2024-12-15T00:00:00"/>
    <n v="0.59967592592592589"/>
    <x v="0"/>
    <x v="1"/>
    <x v="0"/>
    <x v="0"/>
    <x v="1"/>
    <x v="0"/>
    <n v="77"/>
    <x v="2"/>
  </r>
  <r>
    <n v="1.8683613404582382E+18"/>
    <s v="spfl"/>
    <s v="SPFL"/>
    <s v="A big hand from @CelticFC's Great Dane in the shootout 🚫"/>
    <s v="&quot;2024-12-15T18:23:50.000Z&quot;"/>
    <s v="null"/>
    <s v="https://x.com/spfl/status/1868361340458238155"/>
    <s v="[{&quot;biography&quot;:null,&quot;followers&quot;:null,&quot;following&quot;:null,&quot;is_verified&quot;:null,&quot;profile_id&quot;:&quot;15203904&quot;,&quot;profile_name&quot;:&quot;Celtic Football Club&quot;,&quot;url&quot;:&quot;https://x.com/CelticFC&quot;}]"/>
    <n v="13"/>
    <n v="49"/>
    <n v="922"/>
    <n v="52945"/>
    <s v=""/>
    <s v="null"/>
    <n v="294711"/>
    <s v="Official Twitter/X account for the Scottish Professional Football League, sponsored by @WilliamHill."/>
    <n v="66342"/>
    <s v="https://pbs.twimg.com/profile_images/1798999022348496896/ZZU_hFqY_normal.jpg"/>
    <n v="1449"/>
    <b v="0"/>
    <n v="4"/>
    <n v="18"/>
    <s v="{&quot;post_id&quot;:null,&quot;profile_id&quot;:null,&quot;profile_name&quot;:null}"/>
    <s v="null"/>
    <s v="[{&quot;duration&quot;:27696,&quot;video_url&quot;:&quot;https://video.twimg.com/amplify_video/1868360458186416128/vid/avc1/1280x720/2DLFk8lqZlUwVJD2.mp4?tag=16&quot;}]"/>
    <s v="{&quot;data_posted&quot;:null,&quot;description&quot;:null,&quot;photos&quot;:null,&quot;post_id&quot;:null,&quot;profile_id&quot;:null,&quot;profile_name&quot;:null,&quot;url&quot;:null,&quot;videos&quot;:null}"/>
    <n v="1006"/>
    <n v="1.9000849938615543E-2"/>
    <d v="2024-12-15T00:00:00"/>
    <n v="0.76655092592592589"/>
    <x v="0"/>
    <x v="8"/>
    <x v="1"/>
    <x v="1"/>
    <x v="0"/>
    <x v="0"/>
    <n v="56"/>
    <x v="2"/>
  </r>
  <r>
    <n v="1.868345605673931E+18"/>
    <s v="Man███y"/>
    <s v="Man███ste███ity███"/>
    <s v="HALF-TIME | In the lead in the derby 💪_x000a__x000a_🩵 1-0 🔴 #ManCity"/>
    <s v="&quot;2024-12-15T17:21:19.000Z&quot;"/>
    <s v="[&quot;https://pbs.twimg.com/media/Ge2w_NjXYAArEbw.jpg&quot;]"/>
    <s v="https://x.com/ManCity/status/1868345605673930947"/>
    <s v="null"/>
    <n v="226"/>
    <n v="650"/>
    <n v="7418"/>
    <n v="442629"/>
    <s v=""/>
    <s v="[&quot;ManCity&quot;]"/>
    <n v="17891377"/>
    <s v="WATCH TOGETHER: 4-IN-A-ROW 🍿"/>
    <n v="168939"/>
    <s v="https://pbs.twimg.com/profile_images/1856263834400358400/RysToJDu_normal.png"/>
    <n v="47365"/>
    <b v="0"/>
    <n v="85"/>
    <n v="25"/>
    <s v="{&quot;post_id&quot;:null,&quot;profile_id&quot;:null,&quot;profile_name&quot;:null}"/>
    <s v="null"/>
    <s v="null"/>
    <s v="{&quot;data_posted&quot;:null,&quot;description&quot;:null,&quot;photos&quot;:null,&quot;post_id&quot;:null,&quot;profile_id&quot;:null,&quot;profile_name&quot;:null,&quot;url&quot;:null,&quot;videos&quot;:null}"/>
    <n v="8404"/>
    <n v="1.8986555331891947E-2"/>
    <d v="2024-12-15T00:00:00"/>
    <n v="0.72313657407407406"/>
    <x v="0"/>
    <x v="12"/>
    <x v="0"/>
    <x v="0"/>
    <x v="1"/>
    <x v="0"/>
    <n v="56"/>
    <x v="1"/>
  </r>
  <r>
    <n v="1.8683921650862899E+18"/>
    <s v="Met███ole███"/>
    <s v="Met███ole███"/>
    <s v="➡️ Bar comunista é apedrejado em SP e dono cita “luta contra o fascismo”_x000a__x000a_Recém-inaugurado na Mooca, zona leste de SP, pub comunista foi apedrejado nessa semana e proprietário procurou a polícia_x000a__x000a_Leia:"/>
    <s v="&quot;2024-12-15T20:26:19.000Z&quot;"/>
    <s v="null"/>
    <s v="https://x.com/Metropoles/status/1868392165086289958"/>
    <s v="null"/>
    <n v="533"/>
    <n v="163"/>
    <n v="1216"/>
    <n v="109074"/>
    <s v="https://curt.link/yTUge"/>
    <s v="null"/>
    <n v="1239617"/>
    <s v="📱 O seu portal de notícias. Tudo sobre política, saúde, justiça, comportamento, entretenimento. Confira os fatos relevantes do país e do mundo em tempo real."/>
    <n v="402839"/>
    <s v="https://pbs.twimg.com/profile_images/1642966741138415647/fHdgQUGl_normal.jpg"/>
    <n v="1644"/>
    <b v="0"/>
    <n v="81"/>
    <n v="67"/>
    <s v="{&quot;post_id&quot;:null,&quot;profile_id&quot;:null,&quot;profile_name&quot;:null}"/>
    <s v="null"/>
    <s v="[{&quot;duration&quot;:55722,&quot;video_url&quot;:&quot;https://video.twimg.com/ext_tw_video/1868392112137424896/pu/vid/avc1/720x1280/EYCjhATU0LTuQTC0.mp4?tag=12&quot;}]"/>
    <s v="{&quot;data_posted&quot;:null,&quot;description&quot;:null,&quot;photos&quot;:null,&quot;post_id&quot;:null,&quot;profile_id&quot;:null,&quot;profile_name&quot;:null,&quot;url&quot;:null,&quot;videos&quot;:null}"/>
    <n v="2060"/>
    <n v="1.8886260703742414E-2"/>
    <d v="2024-12-15T00:00:00"/>
    <n v="0.85160879629629627"/>
    <x v="0"/>
    <x v="3"/>
    <x v="1"/>
    <x v="1"/>
    <x v="0"/>
    <x v="0"/>
    <n v="201"/>
    <x v="0"/>
  </r>
  <r>
    <n v="1.8684337052927798E+18"/>
    <s v="tvg███o"/>
    <s v="TV ███bo ███"/>
    <s v="Encerrando o #MelhoresDoAno 2024 com Fábio Júnior no palco do #Domingão ✨✨✨ EU AMOOOO!"/>
    <s v="&quot;2024-12-15T23:11:23.000Z&quot;"/>
    <s v="null"/>
    <s v="https://x.com/tvglobo/status/1868433705292779789"/>
    <s v="null"/>
    <n v="9"/>
    <n v="22"/>
    <n v="152"/>
    <n v="10194"/>
    <s v=""/>
    <s v="[&quot;MelhoresDoAno&quot;,&quot;Domingão&quot;]"/>
    <n v="13492430"/>
    <s v="oi, eu sou a Glô 😜"/>
    <n v="314515"/>
    <s v="https://pbs.twimg.com/profile_images/1863599216829792256/r5M1uKA8_normal.jpg"/>
    <n v="708"/>
    <b v="0"/>
    <n v="3"/>
    <n v="6"/>
    <s v="{&quot;post_id&quot;:null,&quot;profile_id&quot;:null,&quot;profile_name&quot;:null}"/>
    <s v="null"/>
    <s v="[{&quot;duration&quot;:44930,&quot;video_url&quot;:&quot;https://video.twimg.com/amplify_video/1868433402342383618/vid/avc1/1920x1080/SfSds6vNLojIv0sm.mp4?tag=16&quot;}]"/>
    <s v="{&quot;data_posted&quot;:null,&quot;description&quot;:null,&quot;photos&quot;:null,&quot;post_id&quot;:null,&quot;profile_id&quot;:null,&quot;profile_name&quot;:null,&quot;url&quot;:null,&quot;videos&quot;:null}"/>
    <n v="192"/>
    <n v="1.883460859329017E-2"/>
    <d v="2024-12-15T00:00:00"/>
    <n v="0.9662384259259259"/>
    <x v="0"/>
    <x v="7"/>
    <x v="1"/>
    <x v="1"/>
    <x v="1"/>
    <x v="0"/>
    <n v="86"/>
    <x v="1"/>
  </r>
  <r>
    <n v="1.8683386651116628E+18"/>
    <s v="Cel███FC"/>
    <s v="Cel███ Fo███all██████"/>
    <s v="60' - ⚡️ DAIZEN MAEDA!!!!!!!! _x000a_ _x000a_Follow the action live on our Match Centre 📲"/>
    <s v="&quot;2024-12-15T16:53:44.000Z&quot;"/>
    <s v="[&quot;https://pbs.twimg.com/media/Ge2Wf3gWIAAH-Fo.jpg&quot;]"/>
    <s v="https://x.com/CelticFC/status/1868338665111662911"/>
    <s v="null"/>
    <n v="121"/>
    <n v="273"/>
    <n v="1962"/>
    <n v="128490"/>
    <s v="http://celticfc.com/match"/>
    <s v="[&quot;CELRAN&quot;,&quot;PremierSportsCup&quot;,&quot;CelticFC&quot;]"/>
    <n v="984263"/>
    <s v="Glasgow Celtic - 2023/24 Double Winners! 🍀🏆 🟢 @CelticFCWomen ⚪ @CelticFCB 🎌 @CelticFCJPN 📽 @CelticTV 🛒 @CelticFCShop 🎟 @CelticFCTickets"/>
    <n v="136135"/>
    <s v="https://pbs.twimg.com/profile_images/1808866900228665344/xZAZuYBY_normal.jpg"/>
    <n v="438"/>
    <b v="0"/>
    <n v="54"/>
    <n v="6"/>
    <s v="{&quot;post_id&quot;:null,&quot;profile_id&quot;:null,&quot;profile_name&quot;:null}"/>
    <s v="null"/>
    <s v="null"/>
    <s v="{&quot;data_posted&quot;:null,&quot;description&quot;:null,&quot;photos&quot;:null,&quot;post_id&quot;:null,&quot;profile_id&quot;:null,&quot;profile_name&quot;:null,&quot;url&quot;:null,&quot;videos&quot;:null}"/>
    <n v="2416"/>
    <n v="1.8803019690248269E-2"/>
    <d v="2024-12-15T00:00:00"/>
    <n v="0.70398148148148143"/>
    <x v="0"/>
    <x v="15"/>
    <x v="0"/>
    <x v="0"/>
    <x v="1"/>
    <x v="0"/>
    <n v="77"/>
    <x v="2"/>
  </r>
  <r>
    <n v="1.8681055832508662E+18"/>
    <s v="tvg███o"/>
    <s v="TV ███bo ███"/>
    <s v="&quot;Cadê minha princesa?&quot; 🗣️ O Mavi mais feliz que o próprio Rudá quando descobrir que vai ser pai #ManiaDeVocê"/>
    <s v="&quot;2024-12-15T01:27:33.000Z&quot;"/>
    <s v="null"/>
    <s v="https://x.com/tvglobo/status/1868105583250866302"/>
    <s v="null"/>
    <n v="24"/>
    <n v="36"/>
    <n v="344"/>
    <n v="23941"/>
    <s v=""/>
    <s v="[&quot;ManiaDeVocê&quot;]"/>
    <n v="13492430"/>
    <s v="oi, eu sou a Glô 😜"/>
    <n v="314515"/>
    <s v="https://pbs.twimg.com/profile_images/1863599216829792256/r5M1uKA8_normal.jpg"/>
    <n v="708"/>
    <b v="0"/>
    <n v="14"/>
    <n v="32"/>
    <s v="{&quot;post_id&quot;:null,&quot;profile_id&quot;:null,&quot;profile_name&quot;:null}"/>
    <s v="null"/>
    <s v="[{&quot;duration&quot;:35370,&quot;video_url&quot;:&quot;https://video.twimg.com/amplify_video/1868105406519615488/vid/avc1/1920x1080/MRWqCMmeILKHU8Ag.mp4?tag=16&quot;}]"/>
    <s v="{&quot;data_posted&quot;:null,&quot;description&quot;:null,&quot;photos&quot;:null,&quot;post_id&quot;:null,&quot;profile_id&quot;:null,&quot;profile_name&quot;:null,&quot;url&quot;:null,&quot;videos&quot;:null}"/>
    <n v="450"/>
    <n v="1.8796207343051669E-2"/>
    <d v="2024-12-15T00:00:00"/>
    <n v="6.0798611111111109E-2"/>
    <x v="0"/>
    <x v="19"/>
    <x v="1"/>
    <x v="1"/>
    <x v="1"/>
    <x v="0"/>
    <n v="108"/>
    <x v="1"/>
  </r>
  <r>
    <n v="1.8683663215342469E+18"/>
    <s v="TNT███rts███"/>
    <s v="TNT███ort███R"/>
    <s v="Nada como um dia após o outro, hein! 👀 Vale lembrar que essa música foi cantada inúmeras vezes pelos torcedores do City para Erik ten Hag. Vivemos o dia em que ela foi cantada para Pep Guardiola... 😳 #PremierLeague"/>
    <s v="&quot;2024-12-15T18:43:38.000Z&quot;"/>
    <s v="[&quot;https://pbs.twimg.com/media/Ge3EbuQWoAAvenx.jpg&quot;]"/>
    <s v="https://x.com/TNTSportsBR/status/1868366321534246995"/>
    <s v="null"/>
    <n v="16"/>
    <n v="11"/>
    <n v="388"/>
    <n v="22825"/>
    <s v=""/>
    <s v="[&quot;PremierLeague&quot;]"/>
    <n v="8293201"/>
    <s v="⚽️ É muito mais Champions na Max, com TODOS os jogos ao vivo!_x000a_👇🏻Assine e assista clicando no link👇🏻"/>
    <n v="456734"/>
    <s v="https://pbs.twimg.com/profile_images/1807013047975768065/8sm_IGpw_normal.jpg"/>
    <n v="859"/>
    <b v="0"/>
    <n v="8"/>
    <n v="5"/>
    <s v="{&quot;post_id&quot;:null,&quot;profile_id&quot;:null,&quot;profile_name&quot;:null}"/>
    <s v="null"/>
    <s v="null"/>
    <s v="{&quot;data_posted&quot;:null,&quot;description&quot;:null,&quot;photos&quot;:null,&quot;post_id&quot;:null,&quot;profile_id&quot;:null,&quot;profile_name&quot;:null,&quot;url&quot;:null,&quot;videos&quot;:null}"/>
    <n v="428"/>
    <n v="1.8751369112814897E-2"/>
    <d v="2024-12-15T00:00:00"/>
    <n v="0.78030092592592593"/>
    <x v="0"/>
    <x v="8"/>
    <x v="0"/>
    <x v="0"/>
    <x v="1"/>
    <x v="0"/>
    <n v="214"/>
    <x v="0"/>
  </r>
  <r>
    <n v="1.86843233000559E+18"/>
    <s v="tvg███o"/>
    <s v="TV ███bo ███"/>
    <s v="Agradecimento do nosso painho Marcos Palmeira 🥰 #MelhoresDoAno #Domingão"/>
    <s v="&quot;2024-12-15T23:05:55.000Z&quot;"/>
    <s v="null"/>
    <s v="https://x.com/tvglobo/status/1868432330005590054"/>
    <s v="null"/>
    <n v="6"/>
    <n v="23"/>
    <n v="170"/>
    <n v="11849"/>
    <s v=""/>
    <s v="[&quot;MelhoresDoAno&quot;,&quot;Domingão&quot;]"/>
    <n v="13492430"/>
    <s v="oi, eu sou a Glô 😜"/>
    <n v="314515"/>
    <s v="https://pbs.twimg.com/profile_images/1863599216829792256/r5M1uKA8_normal.jpg"/>
    <n v="708"/>
    <b v="0"/>
    <n v="10"/>
    <n v="13"/>
    <s v="{&quot;post_id&quot;:null,&quot;profile_id&quot;:null,&quot;profile_name&quot;:null}"/>
    <s v="null"/>
    <s v="[{&quot;duration&quot;:87570,&quot;video_url&quot;:&quot;https://video.twimg.com/amplify_video/1868432128439963648/vid/avc1/1920x1080/Fd9l4bEKatZDgfUC.mp4?tag=16&quot;}]"/>
    <s v="{&quot;data_posted&quot;:null,&quot;description&quot;:null,&quot;photos&quot;:null,&quot;post_id&quot;:null,&quot;profile_id&quot;:null,&quot;profile_name&quot;:null,&quot;url&quot;:null,&quot;videos&quot;:null}"/>
    <n v="222"/>
    <n v="1.8735758291838975E-2"/>
    <d v="2024-12-15T00:00:00"/>
    <n v="0.96244212962962961"/>
    <x v="0"/>
    <x v="7"/>
    <x v="1"/>
    <x v="1"/>
    <x v="1"/>
    <x v="0"/>
    <n v="72"/>
    <x v="1"/>
  </r>
  <r>
    <n v="1.8683476569569405E+18"/>
    <s v="Met███ole███"/>
    <s v="Met███ole███"/>
    <s v="➡️ Funcionário da Globo morre após ser confundido com miliciano em bar_x000a__x000a_Jhonata Lima Almeida, de 30 anos, era montador nos estúdios Globo e estava em um bar em Nova Iguaçu quando foi baleado_x000a__x000a_Leia:"/>
    <s v="&quot;2024-12-15T17:29:28.000Z&quot;"/>
    <s v="[&quot;https://pbs.twimg.com/media/Ge20R9JXgAAjzo0.png&quot;]"/>
    <s v="https://x.com/Metropoles/status/1868347656956940654"/>
    <s v="null"/>
    <n v="20"/>
    <n v="17"/>
    <n v="136"/>
    <n v="9777"/>
    <s v="https://curt.link/tveYf"/>
    <s v="null"/>
    <n v="1239618"/>
    <s v="📱 O seu portal de notícias. Tudo sobre política, saúde, justiça, comportamento, entretenimento. Confira os fatos relevantes do país e do mundo em tempo real."/>
    <n v="402839"/>
    <s v="https://pbs.twimg.com/profile_images/1642966741138415647/fHdgQUGl_normal.jpg"/>
    <n v="1644"/>
    <b v="0"/>
    <n v="9"/>
    <n v="1"/>
    <s v="{&quot;post_id&quot;:null,&quot;profile_id&quot;:null,&quot;profile_name&quot;:null}"/>
    <s v="null"/>
    <s v="null"/>
    <s v="{&quot;data_posted&quot;:null,&quot;description&quot;:null,&quot;photos&quot;:null,&quot;post_id&quot;:null,&quot;profile_id&quot;:null,&quot;profile_name&quot;:null,&quot;url&quot;:null,&quot;videos&quot;:null}"/>
    <n v="183"/>
    <n v="1.8717397974838908E-2"/>
    <d v="2024-12-15T00:00:00"/>
    <n v="0.72879629629629628"/>
    <x v="0"/>
    <x v="12"/>
    <x v="0"/>
    <x v="0"/>
    <x v="0"/>
    <x v="0"/>
    <n v="197"/>
    <x v="0"/>
  </r>
  <r>
    <n v="1.8681805719036524E+18"/>
    <s v="ufc"/>
    <s v="UFC"/>
    <s v="Is the Nigerian Nightmare next for @NewMansa94? 👀_x000a__x000a_#UFCTampa"/>
    <s v="&quot;2024-12-15T06:25:32.000Z&quot;"/>
    <s v="null"/>
    <s v="https://x.com/ufc/status/1868180571903652334"/>
    <s v="[{&quot;biography&quot;:null,&quot;followers&quot;:null,&quot;following&quot;:null,&quot;is_verified&quot;:null,&quot;profile_id&quot;:&quot;922938072836313089&quot;,&quot;profile_name&quot;:&quot;Joaquin New Mansa Buckley&quot;,&quot;url&quot;:&quot;https://x.com/Newmansa94&quot;}]"/>
    <n v="225"/>
    <n v="425"/>
    <n v="10757"/>
    <n v="636617"/>
    <s v=""/>
    <s v="[&quot;UFCTampa&quot;]"/>
    <n v="12876593"/>
    <s v="#UFCTampa | Covington vs Buckley | December 14 | 10pmET | LIVE on @ESPNPlus"/>
    <n v="141401"/>
    <s v="https://pbs.twimg.com/profile_images/1835773190385328128/4fVrF1UI_normal.jpg"/>
    <n v="717"/>
    <b v="0"/>
    <n v="61"/>
    <n v="432"/>
    <s v="{&quot;post_id&quot;:null,&quot;profile_id&quot;:null,&quot;profile_name&quot;:null}"/>
    <s v="null"/>
    <s v="[{&quot;duration&quot;:50134,&quot;video_url&quot;:&quot;https://video.twimg.com/ext_tw_video/1868180389904232448/pu/vid/avc1/720x720/R8iWM0KFDFWlO8jC.mp4?tag=12&quot;}]"/>
    <s v="{&quot;data_posted&quot;:null,&quot;description&quot;:null,&quot;photos&quot;:null,&quot;post_id&quot;:null,&quot;profile_id&quot;:null,&quot;profile_name&quot;:null,&quot;url&quot;:null,&quot;videos&quot;:null}"/>
    <n v="11900"/>
    <n v="1.8692557691673328E-2"/>
    <d v="2024-12-15T00:00:00"/>
    <n v="0.26773148148148146"/>
    <x v="0"/>
    <x v="23"/>
    <x v="1"/>
    <x v="1"/>
    <x v="1"/>
    <x v="0"/>
    <n v="60"/>
    <x v="1"/>
  </r>
  <r>
    <n v="1.8682476912157286E+18"/>
    <s v="SLB███ica███"/>
    <s v="SL ███fic███"/>
    <s v="#SLBenficaFem | 1️⃣1️⃣ 𝗜𝗡𝗜𝗖𝗜𝗔𝗟!_x000a__x000a_#LojasEspacoCasa #Europcar #Glassdrive #Auditiv @adidasfootball"/>
    <s v="&quot;2024-12-15T10:52:14.000Z&quot;"/>
    <s v="[&quot;https://pbs.twimg.com/media/Ge1SbwEWMAAuqyR.jpg&quot;]"/>
    <s v="https://x.com/SLBenfica/status/1868247691215728739"/>
    <s v="[{&quot;biography&quot;:null,&quot;followers&quot;:null,&quot;following&quot;:null,&quot;is_verified&quot;:null,&quot;profile_id&quot;:&quot;219683269&quot;,&quot;profile_name&quot;:&quot;adidas Football&quot;,&quot;url&quot;:&quot;https://x.com/adidasfootball&quot;}]"/>
    <n v="2"/>
    <n v="6"/>
    <n v="71"/>
    <n v="4347"/>
    <s v=""/>
    <s v="[&quot;SLBenficaFem&quot;,&quot;LojasEspacoCasa&quot;,&quot;Europcar&quot;,&quot;Glassdrive&quot;,&quot;Auditiv&quot;]"/>
    <n v="1906482"/>
    <s v="Twitter Oficial do 𝗦𝗽𝗼𝗿𝘁 𝗟𝗶𝘀𝗯𝗼𝗮 𝗲 𝗕𝗲𝗻𝗳𝗶𝗰𝗮 _x000a_English account: @SLBenfica_EN 🇬🇧🇺🇸_x000a_Modalidades: @ModalidadesSLB 🏑🏀"/>
    <n v="124666"/>
    <s v="https://pbs.twimg.com/profile_images/1845888754898161664/8uDsALMU_normal.jpg"/>
    <n v="432"/>
    <b v="0"/>
    <n v="2"/>
    <n v="0"/>
    <s v="{&quot;post_id&quot;:&quot;1868234548301148466&quot;,&quot;profile_id&quot;:&quot;21390437&quot;,&quot;profile_name&quot;:&quot;SLBenfica&quot;}"/>
    <s v="null"/>
    <s v="null"/>
    <s v="{&quot;data_posted&quot;:null,&quot;description&quot;:null,&quot;photos&quot;:null,&quot;post_id&quot;:null,&quot;profile_id&quot;:null,&quot;profile_name&quot;:null,&quot;url&quot;:null,&quot;videos&quot;:null}"/>
    <n v="81"/>
    <n v="1.8633540372670808E-2"/>
    <d v="2024-12-15T00:00:00"/>
    <n v="0.45293981481481482"/>
    <x v="0"/>
    <x v="17"/>
    <x v="0"/>
    <x v="0"/>
    <x v="1"/>
    <x v="0"/>
    <n v="96"/>
    <x v="0"/>
  </r>
  <r>
    <n v="1.8683038266186591E+18"/>
    <s v="CPFC"/>
    <s v="Cry███l P███ce ██████"/>
    <s v="SARR HEADS IN FOR TWO! 🇸🇳🎯_x000a__x000a_#CPFC // #BHACRY"/>
    <s v="&quot;2024-12-15T14:35:18.000Z&quot;"/>
    <s v="[&quot;https://pbs.twimg.com/media/Ge2MVFhXkAAjRPk.jpg&quot;]"/>
    <s v="https://x.com/CPFC/status/1868303826618659089"/>
    <s v="null"/>
    <n v="34"/>
    <n v="109"/>
    <n v="1309"/>
    <n v="79665"/>
    <s v=""/>
    <s v="[&quot;CPFC&quot;,&quot;BHACRY&quot;]"/>
    <n v="1480966"/>
    <s v="The Pride of South London."/>
    <n v="103753"/>
    <s v="https://pbs.twimg.com/profile_images/1857393032883994624/qN-MGWEH_normal.jpg"/>
    <n v="552"/>
    <b v="0"/>
    <n v="28"/>
    <n v="3"/>
    <s v="{&quot;post_id&quot;:null,&quot;profile_id&quot;:null,&quot;profile_name&quot;:null}"/>
    <s v="null"/>
    <s v="null"/>
    <s v="{&quot;data_posted&quot;:null,&quot;description&quot;:null,&quot;photos&quot;:null,&quot;post_id&quot;:null,&quot;profile_id&quot;:null,&quot;profile_name&quot;:null,&quot;url&quot;:null,&quot;videos&quot;:null}"/>
    <n v="1483"/>
    <n v="1.86154522061131E-2"/>
    <d v="2024-12-15T00:00:00"/>
    <n v="0.60784722222222221"/>
    <x v="0"/>
    <x v="1"/>
    <x v="0"/>
    <x v="0"/>
    <x v="1"/>
    <x v="0"/>
    <n v="44"/>
    <x v="0"/>
  </r>
  <r>
    <n v="1.86835288528255E+18"/>
    <s v="Man███"/>
    <s v="Man███ste███nit███"/>
    <s v="⌚️ Approaching the hour mark in the derby._x000a__x000a_#MUFC || #MCIMUN"/>
    <s v="&quot;2024-12-15T17:50:14.000Z&quot;"/>
    <s v="[&quot;https://pbs.twimg.com/media/Ge24u0SXYAAeIrW.jpg&quot;,&quot;https://pbs.twimg.com/media/Ge24wwCXcAAfB_9.jpg&quot;]"/>
    <s v="https://x.com/ManUtd/status/1868352885282550009"/>
    <s v="null"/>
    <n v="256"/>
    <n v="258"/>
    <n v="3329"/>
    <n v="207876"/>
    <s v=""/>
    <s v="[&quot;MUFC&quot;,&quot;MCIMUN&quot;]"/>
    <n v="38439078"/>
    <s v="’Tis the season to gift United! 🎁🎄"/>
    <n v="92455"/>
    <s v="https://pbs.twimg.com/profile_images/1856418426496880640/iIvJaO5T_normal.png"/>
    <n v="145"/>
    <b v="0"/>
    <n v="5"/>
    <n v="11"/>
    <s v="{&quot;post_id&quot;:null,&quot;profile_id&quot;:null,&quot;profile_name&quot;:null}"/>
    <s v="null"/>
    <s v="null"/>
    <s v="{&quot;data_posted&quot;:null,&quot;description&quot;:null,&quot;photos&quot;:null,&quot;post_id&quot;:null,&quot;profile_id&quot;:null,&quot;profile_name&quot;:null,&quot;url&quot;:null,&quot;videos&quot;:null}"/>
    <n v="3859"/>
    <n v="1.8563951586522735E-2"/>
    <d v="2024-12-15T00:00:00"/>
    <n v="0.74321759259259257"/>
    <x v="0"/>
    <x v="12"/>
    <x v="0"/>
    <x v="0"/>
    <x v="1"/>
    <x v="0"/>
    <n v="60"/>
    <x v="1"/>
  </r>
  <r>
    <n v="1.8683566538355057E+18"/>
    <s v="CNN███sil███"/>
    <s v="CNN███asi███"/>
    <s v="Por @luisamartins -- &amp;gt; STF estuda rever anistia a agentes da ditadura que ocultaram corpos"/>
    <s v="&quot;2024-12-15T18:05:13.000Z&quot;"/>
    <s v="null"/>
    <s v="https://x.com/CNNBrasil/status/1868356653835505745"/>
    <s v="[{&quot;biography&quot;:null,&quot;followers&quot;:null,&quot;following&quot;:null,&quot;is_verified&quot;:null,&quot;profile_id&quot;:&quot;27863214&quot;,&quot;profile_name&quot;:&quot;Luísa Martins&quot;,&quot;url&quot;:&quot;https://x.com/luisamartins&quot;}]"/>
    <n v="12"/>
    <n v="20"/>
    <n v="115"/>
    <n v="8047"/>
    <s v="https://cnnbr.app/short/c3014038443/"/>
    <s v="null"/>
    <n v="2819406"/>
    <s v="Pense bem, pense CNN._x000a_Acompanhe também pelo canal 577, app ou site. _x000a_⚽ @esportescnn_x000a_⚡️ @cnnpop_x000a_💰 @cnneconomia_x000a_💵 @nolucrocnn"/>
    <n v="286269"/>
    <s v="https://pbs.twimg.com/profile_images/1202609722257485824/NcFn6f7X_normal.jpg"/>
    <n v="4"/>
    <b v="0"/>
    <n v="1"/>
    <n v="1"/>
    <s v="{&quot;post_id&quot;:null,&quot;profile_id&quot;:null,&quot;profile_name&quot;:null}"/>
    <s v="[&quot;https://pbs.twimg.com/card_img/1866795394690322433/3o1qpV7o?format=jpg&amp;name=orig&quot;]"/>
    <s v="null"/>
    <s v="{&quot;data_posted&quot;:null,&quot;description&quot;:null,&quot;photos&quot;:null,&quot;post_id&quot;:null,&quot;profile_id&quot;:null,&quot;profile_name&quot;:null,&quot;url&quot;:null,&quot;videos&quot;:null}"/>
    <n v="149"/>
    <n v="1.8516217223810114E-2"/>
    <d v="2024-12-15T00:00:00"/>
    <n v="0.75362268518518516"/>
    <x v="0"/>
    <x v="8"/>
    <x v="0"/>
    <x v="1"/>
    <x v="0"/>
    <x v="0"/>
    <n v="93"/>
    <x v="0"/>
  </r>
  <r>
    <n v="1.8682206734719473E+18"/>
    <s v="kann"/>
    <s v="כאן"/>
    <s v="כשהבטלנים התגייסו למען מדינת ישראל_x000a_@KanILArchive"/>
    <s v="&quot;2024-12-15T09:04:53.000Z&quot;"/>
    <s v="null"/>
    <s v="https://x.com/kann/status/1868220673471947243"/>
    <s v="[{&quot;biography&quot;:null,&quot;followers&quot;:null,&quot;following&quot;:null,&quot;is_verified&quot;:null,&quot;profile_id&quot;:&quot;742700164343844864&quot;,&quot;profile_name&quot;:&quot;כאן ארכיון - אוצרות השידור הישראלי&quot;,&quot;url&quot;:&quot;https://x.com/KanILArchive&quot;}]"/>
    <n v="1"/>
    <n v="5"/>
    <n v="74"/>
    <n v="4537"/>
    <s v=""/>
    <s v="null"/>
    <n v="182895"/>
    <s v="אנחנו כאן ❤️"/>
    <n v="30781"/>
    <s v="https://pbs.twimg.com/profile_images/1843516623740633088/WbeaAr02_normal.jpg"/>
    <n v="559"/>
    <b v="0"/>
    <n v="1"/>
    <n v="3"/>
    <s v="{&quot;post_id&quot;:null,&quot;profile_id&quot;:null,&quot;profile_name&quot;:null}"/>
    <s v="null"/>
    <s v="[{&quot;duration&quot;:173400,&quot;video_url&quot;:&quot;https://video.twimg.com/amplify_video/1868220209376473088/vid/avc1/1280x720/PZiEDXGYEgzUarhH.mp4?tag=14&quot;}]"/>
    <s v="{&quot;data_posted&quot;:null,&quot;description&quot;:null,&quot;photos&quot;:null,&quot;post_id&quot;:null,&quot;profile_id&quot;:null,&quot;profile_name&quot;:null,&quot;url&quot;:null,&quot;videos&quot;:null}"/>
    <n v="84"/>
    <n v="1.8514436852545734E-2"/>
    <d v="2024-12-15T00:00:00"/>
    <n v="0.37839120370370372"/>
    <x v="0"/>
    <x v="18"/>
    <x v="1"/>
    <x v="1"/>
    <x v="0"/>
    <x v="0"/>
    <n v="48"/>
    <x v="2"/>
  </r>
  <r>
    <n v="1.8682496480092736E+18"/>
    <s v="Ars███lWF███"/>
    <s v="Ars███l W███n"/>
    <s v="🎶 Today's pre-match playlist..._x000a__x000a_Chosen by our number 14, @DomselaarDaphne 🧤"/>
    <s v="&quot;2024-12-15T11:00:01.000Z&quot;"/>
    <s v="[&quot;https://pbs.twimg.com/media/Ge0jbN-WAAAMm_N.jpg&quot;]"/>
    <s v="https://x.com/ArsenalWFC/status/1868249648009273533"/>
    <s v="[{&quot;biography&quot;:null,&quot;followers&quot;:null,&quot;following&quot;:null,&quot;is_verified&quot;:null,&quot;profile_id&quot;:&quot;1110516895525023744&quot;,&quot;profile_name&quot;:&quot;Daphne van Domselaar&quot;,&quot;url&quot;:&quot;https://x.com/DomselaarDaphne&quot;}]"/>
    <n v="22"/>
    <n v="74"/>
    <n v="1038"/>
    <n v="68928"/>
    <s v=""/>
    <s v="null"/>
    <n v="756191"/>
    <s v="The home of Arsenal Women 🏡"/>
    <n v="32997"/>
    <s v="https://pbs.twimg.com/profile_images/1867639436789305344/r3fPR8sb_normal.jpg"/>
    <n v="303"/>
    <b v="0"/>
    <n v="89"/>
    <n v="36"/>
    <s v="{&quot;post_id&quot;:null,&quot;profile_id&quot;:null,&quot;profile_name&quot;:null}"/>
    <s v="null"/>
    <s v="null"/>
    <s v="{&quot;data_posted&quot;:null,&quot;description&quot;:null,&quot;photos&quot;:null,&quot;post_id&quot;:null,&quot;profile_id&quot;:null,&quot;profile_name&quot;:null,&quot;url&quot;:null,&quot;videos&quot;:null}"/>
    <n v="1259"/>
    <n v="1.8265436397400185E-2"/>
    <d v="2024-12-15T00:00:00"/>
    <n v="0.45834490740740741"/>
    <x v="0"/>
    <x v="16"/>
    <x v="0"/>
    <x v="0"/>
    <x v="0"/>
    <x v="0"/>
    <n v="76"/>
    <x v="2"/>
  </r>
  <r>
    <n v="1.8682889703518459E+18"/>
    <s v="BCF███men███"/>
    <s v="Bir███gha███ity█████████"/>
    <s v="Meeting the Quinns! 🥰_x000a__x000a_#BCFC"/>
    <s v="&quot;2024-12-15T13:36:16.000Z&quot;"/>
    <s v="[&quot;https://pbs.twimg.com/media/Ge1-6kuXAAARZoo.jpg&quot;,&quot;https://pbs.twimg.com/media/Ge1-6k0XEAAgZ7G.jpg&quot;]"/>
    <s v="https://x.com/BCFCWomen/status/1868288970351845798"/>
    <s v="null"/>
    <n v="2"/>
    <n v="2"/>
    <n v="61"/>
    <n v="3669"/>
    <s v=""/>
    <s v="[&quot;BCFC&quot;]"/>
    <n v="43768"/>
    <s v="Official 𝕏 account of #BCFC Women."/>
    <n v="25674"/>
    <s v="https://pbs.twimg.com/profile_images/1857476135254122496/znl6TmmB_normal.jpg"/>
    <n v="51"/>
    <b v="0"/>
    <n v="1"/>
    <n v="1"/>
    <s v="{&quot;post_id&quot;:null,&quot;profile_id&quot;:null,&quot;profile_name&quot;:null}"/>
    <s v="null"/>
    <s v="null"/>
    <s v="{&quot;data_posted&quot;:null,&quot;description&quot;:null,&quot;photos&quot;:null,&quot;post_id&quot;:null,&quot;profile_id&quot;:null,&quot;profile_name&quot;:null,&quot;url&quot;:null,&quot;videos&quot;:null}"/>
    <n v="67"/>
    <n v="1.8261106568547288E-2"/>
    <d v="2024-12-15T00:00:00"/>
    <n v="0.56685185185185183"/>
    <x v="0"/>
    <x v="14"/>
    <x v="0"/>
    <x v="0"/>
    <x v="1"/>
    <x v="0"/>
    <n v="28"/>
    <x v="3"/>
  </r>
  <r>
    <n v="1.8659757158518582E+18"/>
    <s v="NFL"/>
    <s v="NFL"/>
    <s v="FINAL: The @Chiefs clinch the AFC West with another last second victory! #LACvsKC"/>
    <s v="&quot;2024-12-09T04:24:13.000Z&quot;"/>
    <s v="[&quot;https://pbs.twimg.com/media/GeVG7XxbUAAMr7x.jpg&quot;]"/>
    <s v="https://x.com/NFL/status/1865975715851858143"/>
    <s v="[{&quot;biography&quot;:null,&quot;followers&quot;:null,&quot;following&quot;:null,&quot;is_verified&quot;:null,&quot;profile_id&quot;:&quot;33583496&quot;,&quot;profile_name&quot;:&quot;Kansas City Chiefs&quot;,&quot;url&quot;:&quot;https://x.com/Chiefs&quot;}]"/>
    <n v="335"/>
    <n v="577"/>
    <n v="5936"/>
    <n v="384227"/>
    <s v=""/>
    <s v="[&quot;LACvsKC&quot;]"/>
    <n v="36981729"/>
    <s v="four weeks left to flip the standings"/>
    <n v="280303"/>
    <s v="https://pbs.twimg.com/profile_images/1619895559334273028/PHKS_mjX_normal.jpg"/>
    <n v="2821"/>
    <b v="0"/>
    <n v="73"/>
    <n v="66"/>
    <s v="{&quot;post_id&quot;:null,&quot;profile_id&quot;:null,&quot;profile_name&quot;:null}"/>
    <s v="null"/>
    <s v="null"/>
    <s v="{&quot;data_posted&quot;:null,&quot;description&quot;:null,&quot;photos&quot;:null,&quot;post_id&quot;:null,&quot;profile_id&quot;:null,&quot;profile_name&quot;:null,&quot;url&quot;:null,&quot;videos&quot;:null}"/>
    <n v="6987"/>
    <n v="1.8184562771486647E-2"/>
    <d v="2024-12-09T00:00:00"/>
    <n v="0.1834837962962963"/>
    <x v="2"/>
    <x v="9"/>
    <x v="0"/>
    <x v="0"/>
    <x v="1"/>
    <x v="0"/>
    <n v="81"/>
    <x v="1"/>
  </r>
  <r>
    <n v="1.8681245370256348E+18"/>
    <s v="Dim███r"/>
    <s v="DIM███R"/>
    <s v="¡𝐀𝐒𝐂𝐄𝐍𝐃𝐈𝐃𝐎𝐒! ¡𝐁𝐢𝐞𝐧𝐯𝐞𝐧𝐢𝐝𝐨𝐬 𝐚 𝐥𝐚 𝐀! 🤩👏_x000a__x000a_El Equipo de la Media Colombia oficialmente sube a Primera División, nos vemos en la #LigaBetPlayDIMAYOR I-2025 @ClubLlanerosFC 🐴💥_x000a__x000a_#LaPasiónDeMillones"/>
    <s v="&quot;2024-12-15T02:42:52.000Z&quot;"/>
    <s v="[&quot;https://pbs.twimg.com/media/GezpXNsXQAAUOoZ.jpg&quot;]"/>
    <s v="https://x.com/Dimayor/status/1868124537025634734"/>
    <s v="[{&quot;biography&quot;:null,&quot;followers&quot;:null,&quot;following&quot;:null,&quot;is_verified&quot;:null,&quot;profile_id&quot;:&quot;724675838&quot;,&quot;profile_name&quot;:&quot;𝗟𝗹𝗮𝗻𝗲𝗿𝗼𝘀 𝗙𝘂́𝘁𝗯𝗼𝗹 𝗖𝗹𝘂𝗯 🐴&quot;,&quot;url&quot;:&quot;https://x.com/ClubLlanerosFC&quot;}]"/>
    <n v="107"/>
    <n v="91"/>
    <n v="644"/>
    <n v="47718"/>
    <s v=""/>
    <s v="[&quot;LigaBetPlayDIMAYOR&quot;,&quot;LaPasiónDeMillones&quot;]"/>
    <n v="1511302"/>
    <s v="Cuenta oficial de la División Mayor del Fútbol Colombiano - 𝐃𝐈𝐌𝐀𝐘𝐎𝐑 || LigaBetPlay🏆LigaFemeninaBetPlay🏆 TorneoBetPlay🏆 CopaBetPlay🏆 || 𝟐𝟎𝟐𝟒 ||"/>
    <n v="56647"/>
    <s v="https://pbs.twimg.com/profile_images/1741738883782500353/WefLAabU_normal.jpg"/>
    <n v="80"/>
    <b v="0"/>
    <n v="11"/>
    <n v="6"/>
    <s v="{&quot;post_id&quot;:null,&quot;profile_id&quot;:null,&quot;profile_name&quot;:null}"/>
    <s v="null"/>
    <s v="null"/>
    <s v="{&quot;data_posted&quot;:null,&quot;description&quot;:null,&quot;photos&quot;:null,&quot;post_id&quot;:null,&quot;profile_id&quot;:null,&quot;profile_name&quot;:null,&quot;url&quot;:null,&quot;videos&quot;:null}"/>
    <n v="859"/>
    <n v="1.8001592690389371E-2"/>
    <d v="2024-12-15T00:00:00"/>
    <n v="0.11310185185185186"/>
    <x v="0"/>
    <x v="2"/>
    <x v="0"/>
    <x v="0"/>
    <x v="1"/>
    <x v="0"/>
    <n v="189"/>
    <x v="0"/>
  </r>
  <r>
    <n v="1.8683111380032064E+18"/>
    <s v="CNN███sil███"/>
    <s v="CNN███asi███"/>
    <s v="Em coletiva de imprensa, o médico pessoal do presidente Luiz Inácio Lula da Silva (PT), Dr. Roberto Kalil, afirmou que o petista deve permanecer em São Paulo até quinta-feira (19). #AgoraCNN"/>
    <s v="&quot;2024-12-15T15:04:21.000Z&quot;"/>
    <s v="null"/>
    <s v="https://x.com/CNNBrasil/status/1868311138003206369"/>
    <s v="null"/>
    <n v="24"/>
    <n v="8"/>
    <n v="89"/>
    <n v="6944"/>
    <s v=""/>
    <s v="[&quot;AgoraCNN&quot;]"/>
    <n v="2819408"/>
    <s v="Pense bem, pense CNN._x000a_Acompanhe também pelo canal 577, app ou site. _x000a_⚽ @esportescnn_x000a_⚡️ @cnnpop_x000a_💰 @cnneconomia_x000a_💵 @nolucrocnn"/>
    <n v="286269"/>
    <s v="https://pbs.twimg.com/profile_images/1202609722257485824/NcFn6f7X_normal.jpg"/>
    <n v="4"/>
    <b v="0"/>
    <n v="3"/>
    <n v="1"/>
    <s v="{&quot;post_id&quot;:null,&quot;profile_id&quot;:null,&quot;profile_name&quot;:null}"/>
    <s v="null"/>
    <s v="[{&quot;duration&quot;:74467,&quot;video_url&quot;:&quot;https://video.twimg.com/amplify_video/1868311043920777216/vid/avc1/1920x1080/GccAf4kIU4r-b-hX.mp4?tag=16&quot;}]"/>
    <s v="{&quot;data_posted&quot;:null,&quot;description&quot;:null,&quot;photos&quot;:null,&quot;post_id&quot;:null,&quot;profile_id&quot;:null,&quot;profile_name&quot;:null,&quot;url&quot;:null,&quot;videos&quot;:null}"/>
    <n v="125"/>
    <n v="1.8001152073732717E-2"/>
    <d v="2024-12-15T00:00:00"/>
    <n v="0.62802083333333336"/>
    <x v="0"/>
    <x v="13"/>
    <x v="1"/>
    <x v="1"/>
    <x v="1"/>
    <x v="0"/>
    <n v="190"/>
    <x v="0"/>
  </r>
  <r>
    <n v="1.7670351994336748E+18"/>
    <s v="Nms███eRe███rch███"/>
    <s v="熊老大███ 兔友███B🐻███"/>
    <s v="#兔友迷惑行为"/>
    <s v="&quot;2024-03-11T03:49:56.000Z&quot;"/>
    <s v="[&quot;https://pbs.twimg.com/media/GIXFJHfaMAAYIWk.jpg&quot;]"/>
    <s v="https://x.com/NmsleseResearch/status/1767035199433674777"/>
    <s v="null"/>
    <n v="40"/>
    <n v="24"/>
    <n v="621"/>
    <n v="39318"/>
    <s v=""/>
    <s v="[&quot;兔友迷惑行为&quot;]"/>
    <n v="11185"/>
    <s v="推特兔友的迷惑行為收集處（晚安推除外）丨歡迎投稿"/>
    <n v="22677"/>
    <s v="https://pbs.twimg.com/profile_images/1866832536816795648/rAEgM1H5_normal.jpg"/>
    <n v="2557"/>
    <b v="0"/>
    <n v="1"/>
    <n v="17"/>
    <s v="{&quot;post_id&quot;:null,&quot;profile_id&quot;:null,&quot;profile_name&quot;:null}"/>
    <s v="null"/>
    <s v="null"/>
    <s v="{&quot;data_posted&quot;:null,&quot;description&quot;:null,&quot;photos&quot;:null,&quot;post_id&quot;:null,&quot;profile_id&quot;:null,&quot;profile_name&quot;:null,&quot;url&quot;:null,&quot;videos&quot;:null}"/>
    <n v="703"/>
    <n v="1.7879851467521236E-2"/>
    <d v="2024-03-11T00:00:00"/>
    <n v="0.15967592592592592"/>
    <x v="2"/>
    <x v="21"/>
    <x v="0"/>
    <x v="0"/>
    <x v="1"/>
    <x v="0"/>
    <n v="7"/>
    <x v="3"/>
  </r>
  <r>
    <n v="1.8683994309839549E+18"/>
    <s v="tvg███o"/>
    <s v="TV ███bo ███"/>
    <s v="AI, CARAMBA! 🥰 Daphne Bozaski levou o prêmio &quot;Atriz Coadjuvante&quot; ❤️✨ #MelhoresDoAno #Domingão"/>
    <s v="&quot;2024-12-15T20:55:12.000Z&quot;"/>
    <s v="null"/>
    <s v="https://x.com/tvglobo/status/1868399430983954821"/>
    <s v="null"/>
    <n v="37"/>
    <n v="30"/>
    <n v="183"/>
    <n v="16545"/>
    <s v=""/>
    <s v="[&quot;MelhoresDoAno&quot;,&quot;Domingão&quot;]"/>
    <n v="13492430"/>
    <s v="oi, eu sou a Glô 😜"/>
    <n v="314515"/>
    <s v="https://pbs.twimg.com/profile_images/1863599216829792256/r5M1uKA8_normal.jpg"/>
    <n v="708"/>
    <b v="0"/>
    <n v="35"/>
    <n v="10"/>
    <s v="{&quot;post_id&quot;:null,&quot;profile_id&quot;:null,&quot;profile_name&quot;:null}"/>
    <s v="null"/>
    <s v="[{&quot;duration&quot;:15280,&quot;video_url&quot;:&quot;https://video.twimg.com/amplify_video/1868398992666628096/vid/avc1/1920x1080/wSBPX9rUrujhqulA.mp4?tag=16&quot;}]"/>
    <s v="{&quot;data_posted&quot;:null,&quot;description&quot;:null,&quot;photos&quot;:null,&quot;post_id&quot;:null,&quot;profile_id&quot;:null,&quot;profile_name&quot;:null,&quot;url&quot;:null,&quot;videos&quot;:null}"/>
    <n v="295"/>
    <n v="1.7830160169235418E-2"/>
    <d v="2024-12-15T00:00:00"/>
    <n v="0.8716666666666667"/>
    <x v="0"/>
    <x v="3"/>
    <x v="1"/>
    <x v="1"/>
    <x v="1"/>
    <x v="0"/>
    <n v="93"/>
    <x v="1"/>
  </r>
  <r>
    <n v="1.868341373348524E+18"/>
    <s v="Bro███ynN███"/>
    <s v="Bro███yn ███s"/>
    <s v="Welcome to Brooklyn, @DeAnthonyMelton &amp;amp; @reece_beekman!"/>
    <s v="&quot;2024-12-15T17:04:30.000Z&quot;"/>
    <s v="[&quot;https://pbs.twimg.com/media/Ge2sxmuXQAAks0f.jpg&quot;]"/>
    <s v="https://x.com/BrooklynNets/status/1868341373348524154"/>
    <s v="[{&quot;biography&quot;:null,&quot;followers&quot;:null,&quot;following&quot;:null,&quot;is_verified&quot;:null,&quot;profile_id&quot;:&quot;1164534054&quot;,&quot;profile_name&quot;:&quot;De’Anthony Melton&quot;,&quot;url&quot;:&quot;https://x.com/DeAnthonyMelton&quot;},{&quot;biography&quot;:null,&quot;followers&quot;:null,&quot;following&quot;:null,&quot;is_verified&quot;:null,&quot;profile_id&quot;:&quot;4164784339&quot;,&quot;profile_name&quot;:&quot;Reece‼️&quot;,&quot;url&quot;:&quot;https://x.com/reece_beekman&quot;}]"/>
    <n v="43"/>
    <n v="129"/>
    <n v="1796"/>
    <n v="113467"/>
    <s v=""/>
    <s v="null"/>
    <n v="2035100"/>
    <s v="Tweets from #NetsWorld"/>
    <n v="106867"/>
    <s v="https://pbs.twimg.com/profile_images/1811024920870277122/1wQgAUZH_normal.jpg"/>
    <n v="411"/>
    <b v="0"/>
    <n v="24"/>
    <n v="21"/>
    <s v="{&quot;post_id&quot;:null,&quot;profile_id&quot;:null,&quot;profile_name&quot;:null}"/>
    <s v="null"/>
    <s v="null"/>
    <s v="{&quot;data_posted&quot;:null,&quot;description&quot;:null,&quot;photos&quot;:null,&quot;post_id&quot;:null,&quot;profile_id&quot;:null,&quot;profile_name&quot;:null,&quot;url&quot;:null,&quot;videos&quot;:null}"/>
    <n v="2013"/>
    <n v="1.7740840949350911E-2"/>
    <d v="2024-12-15T00:00:00"/>
    <n v="0.7114583333333333"/>
    <x v="0"/>
    <x v="12"/>
    <x v="0"/>
    <x v="0"/>
    <x v="0"/>
    <x v="0"/>
    <n v="59"/>
    <x v="0"/>
  </r>
  <r>
    <n v="1.8683661900218491E+18"/>
    <s v="acm███n"/>
    <s v="AC ███an"/>
    <s v="Your 125th-anniversary Milan XI 📋_x000a__x000a_#MilanGenoa #ACMilanWorthEveryMinute #SempreMilan _x000a_Brought to you by 𝗞𝘂𝗺𝗵𝗼 𝗧𝗶𝗿𝗲"/>
    <s v="&quot;2024-12-15T18:43:06.000Z&quot;"/>
    <s v="[&quot;https://pbs.twimg.com/media/Ge3E944XcAAcGyc.jpg&quot;,&quot;https://pbs.twimg.com/media/Ge3E942WwAACcy1.jpg&quot;]"/>
    <s v="https://x.com/acmilan/status/1868366190021849091"/>
    <s v="null"/>
    <n v="30"/>
    <n v="283"/>
    <n v="1554"/>
    <n v="113481"/>
    <s v=""/>
    <s v="[&quot;MilanGenoa&quot;,&quot;ACMilanWorthEveryMinute&quot;,&quot;SempreMilan&quot;]"/>
    <n v="8539601"/>
    <s v="❤🖤 125 years together, worth every minute ❤🖤 _x000a__x000a_#SempreMilan since 1899! 🔙 _x000a__x000a_Arabic: @acmilanar | Portuguese: @acmilanbr | #MilanYouth: @acmilanyouth"/>
    <n v="75535"/>
    <s v="https://pbs.twimg.com/profile_images/1848748720050868225/FQY9F6Hn_normal.jpg"/>
    <n v="117"/>
    <b v="0"/>
    <n v="115"/>
    <n v="29"/>
    <s v="{&quot;post_id&quot;:null,&quot;profile_id&quot;:null,&quot;profile_name&quot;:null}"/>
    <s v="null"/>
    <s v="null"/>
    <s v="{&quot;data_posted&quot;:null,&quot;description&quot;:null,&quot;photos&quot;:null,&quot;post_id&quot;:null,&quot;profile_id&quot;:null,&quot;profile_name&quot;:null,&quot;url&quot;:null,&quot;videos&quot;:null}"/>
    <n v="2011"/>
    <n v="1.7721028189741014E-2"/>
    <d v="2024-12-15T00:00:00"/>
    <n v="0.77993055555555557"/>
    <x v="0"/>
    <x v="8"/>
    <x v="0"/>
    <x v="0"/>
    <x v="1"/>
    <x v="0"/>
    <n v="114"/>
    <x v="0"/>
  </r>
  <r>
    <n v="1.8681172498335173E+18"/>
    <s v="Lig███A"/>
    <s v="Lig███rof███ona█████████ol"/>
    <s v="¡La Academia cerró el año con un triunfo!_x000a__x000a_@RacingClub se impuso por 1 a 0 ante @RiverPlate con gol de Salas por la #fecha27 del #TorneoBetano 2024 🏆"/>
    <s v="&quot;2024-12-15T02:13:54.000Z&quot;"/>
    <s v="[&quot;https://pbs.twimg.com/media/GeziCnKXMAAkFAS.jpg&quot;,&quot;https://pbs.twimg.com/media/GeziESTW8AAKoQj.jpg&quot;,&quot;https://pbs.twimg.com/media/GeziHjCXkAApt-j.jpg&quot;,&quot;https://pbs.twimg.com/media/GeziKWdWEAAKa54.jpg&quot;]"/>
    <s v="https://x.com/LigaAFA/status/1868117249833517318"/>
    <s v="[{&quot;biography&quot;:null,&quot;followers&quot;:null,&quot;following&quot;:null,&quot;is_verified&quot;:null,&quot;profile_id&quot;:&quot;95227165&quot;,&quot;profile_name&quot;:&quot;Racing Club&quot;,&quot;url&quot;:&quot;https://x.com/RacingClub&quot;},{&quot;biography&quot;:null,&quot;followers&quot;:null,&quot;following&quot;:null,&quot;is_verified&quot;:null,&quot;profile_id&quot;:&quot;161734463&quot;,&quot;profile_name&quot;:&quot;River Plate&quot;,&quot;url&quot;:&quot;https://x.com/RiverPlate&quot;}]"/>
    <n v="2"/>
    <n v="23"/>
    <n v="141"/>
    <n v="9679"/>
    <s v=""/>
    <s v="[&quot;fecha27&quot;,&quot;TorneoBetano&quot;]"/>
    <n v="1123810"/>
    <s v="Cuenta oficial de la Liga Profesional de Fútbol de la @AFA"/>
    <n v="34290"/>
    <s v="https://pbs.twimg.com/profile_images/1611375855892045827/5Lzl0faT_normal.jpg"/>
    <n v="63"/>
    <b v="0"/>
    <n v="3"/>
    <n v="2"/>
    <s v="{&quot;post_id&quot;:null,&quot;profile_id&quot;:null,&quot;profile_name&quot;:null}"/>
    <s v="null"/>
    <s v="null"/>
    <s v="{&quot;data_posted&quot;:null,&quot;description&quot;:null,&quot;photos&quot;:null,&quot;post_id&quot;:null,&quot;profile_id&quot;:null,&quot;profile_name&quot;:null,&quot;url&quot;:null,&quot;videos&quot;:null}"/>
    <n v="171"/>
    <n v="1.7667114371319351E-2"/>
    <d v="2024-12-15T00:00:00"/>
    <n v="9.2986111111111117E-2"/>
    <x v="0"/>
    <x v="2"/>
    <x v="0"/>
    <x v="0"/>
    <x v="1"/>
    <x v="0"/>
    <n v="149"/>
    <x v="0"/>
  </r>
  <r>
    <n v="1.8680897391500291E+18"/>
    <s v="tvg███o"/>
    <s v="TV ███bo ███"/>
    <s v="Mavi com saudades da princesa dele 🤭 Vem que #ManiaDeVocê tá no ar!"/>
    <s v="&quot;2024-12-15T00:24:35.000Z&quot;"/>
    <s v="null"/>
    <s v="https://x.com/tvglobo/status/1868089739150029069"/>
    <s v="null"/>
    <n v="19"/>
    <n v="32"/>
    <n v="253"/>
    <n v="19096"/>
    <s v=""/>
    <s v="[&quot;ManiaDeVocê&quot;]"/>
    <n v="13492430"/>
    <s v="oi, eu sou a Glô 😜"/>
    <n v="314515"/>
    <s v="https://pbs.twimg.com/profile_images/1863599216829792256/r5M1uKA8_normal.jpg"/>
    <n v="708"/>
    <b v="0"/>
    <n v="8"/>
    <n v="25"/>
    <s v="{&quot;post_id&quot;:null,&quot;profile_id&quot;:null,&quot;profile_name&quot;:null}"/>
    <s v="null"/>
    <s v="[{&quot;duration&quot;:60630,&quot;video_url&quot;:&quot;https://video.twimg.com/amplify_video/1868089370462306304/vid/avc1/1920x1080/eqUohgBGeOFLldFS.mp4?tag=16&quot;}]"/>
    <s v="{&quot;data_posted&quot;:null,&quot;description&quot;:null,&quot;photos&quot;:null,&quot;post_id&quot;:null,&quot;profile_id&quot;:null,&quot;profile_name&quot;:null,&quot;url&quot;:null,&quot;videos&quot;:null}"/>
    <n v="337"/>
    <n v="1.7647674905739423E-2"/>
    <d v="2024-12-15T00:00:00"/>
    <n v="1.7071759259259259E-2"/>
    <x v="0"/>
    <x v="5"/>
    <x v="1"/>
    <x v="1"/>
    <x v="1"/>
    <x v="0"/>
    <n v="67"/>
    <x v="1"/>
  </r>
  <r>
    <n v="1.8683015307654349E+18"/>
    <s v="Ran███sFC███"/>
    <s v="Ran███s F███bal█████████"/>
    <s v="💯 100 Competitive Appearances for @LeonBalogun today 💪"/>
    <s v="&quot;2024-12-15T14:26:10.000Z&quot;"/>
    <s v="[&quot;https://pbs.twimg.com/media/Ge2JvSOW8AAldH8.jpg&quot;]"/>
    <s v="https://x.com/RangersFC/status/1868301530765434982"/>
    <s v="[{&quot;biography&quot;:null,&quot;followers&quot;:null,&quot;following&quot;:null,&quot;is_verified&quot;:null,&quot;profile_id&quot;:&quot;2209667618&quot;,&quot;profile_name&quot;:&quot;Leon Aderemi Balogun&quot;,&quot;url&quot;:&quot;https://x.com/LeonBalogun&quot;}]"/>
    <n v="13"/>
    <n v="55"/>
    <n v="1631"/>
    <n v="96859"/>
    <s v=""/>
    <s v="null"/>
    <n v="812163"/>
    <s v="The Home of #RangersFC 💙"/>
    <n v="110924"/>
    <s v="https://pbs.twimg.com/profile_images/1856633703734112256/PBlqGEwC_normal.jpg"/>
    <n v="322"/>
    <b v="0"/>
    <n v="4"/>
    <n v="5"/>
    <s v="{&quot;post_id&quot;:null,&quot;profile_id&quot;:null,&quot;profile_name&quot;:null}"/>
    <s v="null"/>
    <s v="null"/>
    <s v="{&quot;data_posted&quot;:null,&quot;description&quot;:null,&quot;photos&quot;:null,&quot;post_id&quot;:null,&quot;profile_id&quot;:null,&quot;profile_name&quot;:null,&quot;url&quot;:null,&quot;videos&quot;:null}"/>
    <n v="1708"/>
    <n v="1.7633880176338802E-2"/>
    <d v="2024-12-15T00:00:00"/>
    <n v="0.60150462962962958"/>
    <x v="0"/>
    <x v="1"/>
    <x v="0"/>
    <x v="0"/>
    <x v="0"/>
    <x v="0"/>
    <n v="54"/>
    <x v="2"/>
  </r>
  <r>
    <n v="1.8683517060919869E+18"/>
    <s v="Man███y"/>
    <s v="Man███ste███ity███"/>
    <s v="⚔️_x000a__x000a_🩵 1-0 🔴 #ManCity"/>
    <s v="&quot;2024-12-15T17:45:33.000Z&quot;"/>
    <s v="[&quot;https://pbs.twimg.com/media/Ge23t1FXgAA9Ajm.jpg&quot;,&quot;https://pbs.twimg.com/media/Ge23y-GWgAA8-yf.jpg&quot;]"/>
    <s v="https://x.com/ManCity/status/1868351706091987038"/>
    <s v="null"/>
    <n v="76"/>
    <n v="112"/>
    <n v="1471"/>
    <n v="95393"/>
    <s v=""/>
    <s v="[&quot;ManCity&quot;]"/>
    <n v="17891301"/>
    <s v="WATCH TOGETHER: 4-IN-A-ROW 🍿"/>
    <n v="168939"/>
    <s v="https://pbs.twimg.com/profile_images/1856263834400358400/RysToJDu_normal.png"/>
    <n v="47365"/>
    <b v="0"/>
    <n v="7"/>
    <n v="13"/>
    <s v="{&quot;post_id&quot;:null,&quot;profile_id&quot;:null,&quot;profile_name&quot;:null}"/>
    <s v="null"/>
    <s v="null"/>
    <s v="{&quot;data_posted&quot;:null,&quot;description&quot;:null,&quot;photos&quot;:null,&quot;post_id&quot;:null,&quot;profile_id&quot;:null,&quot;profile_name&quot;:null,&quot;url&quot;:null,&quot;videos&quot;:null}"/>
    <n v="1679"/>
    <n v="1.7600872181396957E-2"/>
    <d v="2024-12-15T00:00:00"/>
    <n v="0.73996527777777776"/>
    <x v="0"/>
    <x v="12"/>
    <x v="0"/>
    <x v="0"/>
    <x v="1"/>
    <x v="0"/>
    <n v="20"/>
    <x v="1"/>
  </r>
  <r>
    <n v="1.8684157390712509E+18"/>
    <s v="spfl"/>
    <s v="SPFL"/>
    <s v="&quot;Just don't miss&quot; 🎯_x000a__x000a_🏆 Captain Callum McGregor reflects on @CelticFC's #PremierSportsCup final triumph, penalty kick mindset and the platform for the rest of the season"/>
    <s v="&quot;2024-12-15T22:00:00.000Z&quot;"/>
    <s v="null"/>
    <s v="https://x.com/spfl/status/1868415739071250829"/>
    <s v="[{&quot;biography&quot;:null,&quot;followers&quot;:null,&quot;following&quot;:null,&quot;is_verified&quot;:null,&quot;profile_id&quot;:&quot;15203904&quot;,&quot;profile_name&quot;:&quot;Celtic Football Club&quot;,&quot;url&quot;:&quot;https://x.com/CelticFC&quot;}]"/>
    <n v="4"/>
    <n v="9"/>
    <n v="204"/>
    <n v="12787"/>
    <s v=""/>
    <s v="[&quot;PremierSportsCup&quot;]"/>
    <n v="294711"/>
    <s v="Official Twitter/X account for the Scottish Professional Football League, sponsored by @WilliamHill."/>
    <n v="66342"/>
    <s v="https://pbs.twimg.com/profile_images/1798999022348496896/ZZU_hFqY_normal.jpg"/>
    <n v="1449"/>
    <b v="0"/>
    <n v="1"/>
    <n v="7"/>
    <s v="{&quot;post_id&quot;:null,&quot;profile_id&quot;:null,&quot;profile_name&quot;:null}"/>
    <s v="null"/>
    <s v="[{&quot;duration&quot;:85433,&quot;video_url&quot;:&quot;https://video.twimg.com/ext_tw_video/1868393749539119104/pu/vid/avc1/1080x1080/S7xlHilIkAJcZHVQ.mp4?tag=14&quot;}]"/>
    <s v="{&quot;data_posted&quot;:null,&quot;description&quot;:null,&quot;photos&quot;:null,&quot;post_id&quot;:null,&quot;profile_id&quot;:null,&quot;profile_name&quot;:null,&quot;url&quot;:null,&quot;videos&quot;:null}"/>
    <n v="225"/>
    <n v="1.7595995933369829E-2"/>
    <d v="2024-12-15T00:00:00"/>
    <n v="0.91666666666666663"/>
    <x v="0"/>
    <x v="11"/>
    <x v="1"/>
    <x v="1"/>
    <x v="1"/>
    <x v="0"/>
    <n v="168"/>
    <x v="2"/>
  </r>
  <r>
    <n v="1.8668391862815419E+18"/>
    <s v="kann"/>
    <s v="כאן"/>
    <s v="בואו לאכול איתנו בערבית! 🍽️_x000a_&quot;תפדלו על עשא&quot; תשודר מה-5.1 בשעה 20:10 במכאן 33 (עם כתוביות בעברית) במשך 4 שבועות: שבוע משולש, גליל מערבי, נצרת ומרכז_x000a__x000a_כל הפרקים יחכו לכם אחרי השידור באתר מכאן (https://t.co/VZW6Xyqto7), בכאן BOX וביוטיוב של מכאן (مكان - هيئة البث العامة). בהמשך התוכנית תשודר גם בכאן 11"/>
    <s v="&quot;2024-12-11T13:35:20.000Z&quot;"/>
    <s v="[&quot;https://pbs.twimg.com/media/GehUKnIW8AA-BDe.jpg&quot;]"/>
    <s v="https://x.com/kann/status/1866839186281542004"/>
    <s v="null"/>
    <n v="10"/>
    <n v="4"/>
    <n v="152"/>
    <n v="9987"/>
    <s v="http://makan.org.il/"/>
    <s v="null"/>
    <n v="182895"/>
    <s v="אנחנו כאן ❤️"/>
    <n v="30781"/>
    <s v="https://pbs.twimg.com/profile_images/1843516623740633088/WbeaAr02_normal.jpg"/>
    <n v="559"/>
    <b v="0"/>
    <n v="4"/>
    <n v="5"/>
    <s v="{&quot;post_id&quot;:null,&quot;profile_id&quot;:null,&quot;profile_name&quot;:null}"/>
    <s v="null"/>
    <s v="null"/>
    <s v="{&quot;data_posted&quot;:null,&quot;description&quot;:null,&quot;photos&quot;:null,&quot;post_id&quot;:null,&quot;profile_id&quot;:null,&quot;profile_name&quot;:null,&quot;url&quot;:null,&quot;videos&quot;:null}"/>
    <n v="175"/>
    <n v="1.7522779613497547E-2"/>
    <d v="2024-12-11T00:00:00"/>
    <n v="0.56620370370370365"/>
    <x v="4"/>
    <x v="14"/>
    <x v="0"/>
    <x v="0"/>
    <x v="0"/>
    <x v="0"/>
    <n v="298"/>
    <x v="2"/>
  </r>
  <r>
    <n v="1.8680901287421586E+18"/>
    <s v="tvg███o"/>
    <s v="TV ███bo ███"/>
    <s v="A MÉRCIA PARECENDO UMA ADOLESCENTE 🗣️🗣️🗣️ Não aguentoooo #ManiaDeVocê"/>
    <s v="&quot;2024-12-15T00:26:08.000Z&quot;"/>
    <s v="null"/>
    <s v="https://x.com/tvglobo/status/1868090128742158682"/>
    <s v="null"/>
    <n v="5"/>
    <n v="11"/>
    <n v="156"/>
    <n v="10678"/>
    <s v=""/>
    <s v="[&quot;ManiaDeVocê&quot;]"/>
    <n v="13492430"/>
    <s v="oi, eu sou a Glô 😜"/>
    <n v="314515"/>
    <s v="https://pbs.twimg.com/profile_images/1863599216829792256/r5M1uKA8_normal.jpg"/>
    <n v="708"/>
    <b v="0"/>
    <n v="6"/>
    <n v="9"/>
    <s v="{&quot;post_id&quot;:null,&quot;profile_id&quot;:null,&quot;profile_name&quot;:null}"/>
    <s v="null"/>
    <s v="[{&quot;duration&quot;:58970,&quot;video_url&quot;:&quot;https://video.twimg.com/amplify_video/1868090014921289728/vid/avc1/1920x1080/v75lJ7xFltw4WPZi.mp4?tag=16&quot;}]"/>
    <s v="{&quot;data_posted&quot;:null,&quot;description&quot;:null,&quot;photos&quot;:null,&quot;post_id&quot;:null,&quot;profile_id&quot;:null,&quot;profile_name&quot;:null,&quot;url&quot;:null,&quot;videos&quot;:null}"/>
    <n v="187"/>
    <n v="1.7512642817006929E-2"/>
    <d v="2024-12-15T00:00:00"/>
    <n v="1.8148148148148149E-2"/>
    <x v="0"/>
    <x v="5"/>
    <x v="1"/>
    <x v="1"/>
    <x v="1"/>
    <x v="0"/>
    <n v="69"/>
    <x v="1"/>
  </r>
  <r>
    <n v="1.8683740362476342E+18"/>
    <s v="acm███n"/>
    <s v="AC ███an"/>
    <s v="And here they are! 👋_x000a__x000a_#MilanGenoa #SempreMilan _x000a_Brought to you by @OffWht"/>
    <s v="&quot;2024-12-15T19:14:17.000Z&quot;"/>
    <s v="[&quot;https://pbs.twimg.com/media/Ge3ME3NXIAA4ssN.jpg&quot;,&quot;https://pbs.twimg.com/media/Ge3MHQjWMAABA-8.jpg&quot;]"/>
    <s v="https://x.com/acmilan/status/1868374036247634224"/>
    <s v="[{&quot;biography&quot;:null,&quot;followers&quot;:null,&quot;following&quot;:null,&quot;is_verified&quot;:null,&quot;profile_id&quot;:&quot;1390520113&quot;,&quot;profile_name&quot;:&quot;Off-White™&quot;,&quot;url&quot;:&quot;https://x.com/OffWht&quot;}]"/>
    <n v="4"/>
    <n v="28"/>
    <n v="405"/>
    <n v="25339"/>
    <s v=""/>
    <s v="[&quot;MilanGenoa&quot;,&quot;SempreMilan&quot;]"/>
    <n v="8539601"/>
    <s v="❤🖤 125 years together, worth every minute ❤🖤 _x000a__x000a_#SempreMilan since 1899! 🔙 _x000a__x000a_Arabic: @acmilanar | Portuguese: @acmilanbr | #MilanYouth: @acmilanyouth"/>
    <n v="75535"/>
    <s v="https://pbs.twimg.com/profile_images/1848748720050868225/FQY9F6Hn_normal.jpg"/>
    <n v="117"/>
    <b v="0"/>
    <n v="1"/>
    <n v="5"/>
    <s v="{&quot;post_id&quot;:null,&quot;profile_id&quot;:null,&quot;profile_name&quot;:null}"/>
    <s v="null"/>
    <s v="null"/>
    <s v="{&quot;data_posted&quot;:null,&quot;description&quot;:null,&quot;photos&quot;:null,&quot;post_id&quot;:null,&quot;profile_id&quot;:null,&quot;profile_name&quot;:null,&quot;url&quot;:null,&quot;videos&quot;:null}"/>
    <n v="443"/>
    <n v="1.748293144954418E-2"/>
    <d v="2024-12-15T00:00:00"/>
    <n v="0.80158564814814814"/>
    <x v="0"/>
    <x v="4"/>
    <x v="0"/>
    <x v="0"/>
    <x v="1"/>
    <x v="0"/>
    <n v="73"/>
    <x v="0"/>
  </r>
  <r>
    <n v="1.8676001391597939E+18"/>
    <s v="Bro███ynN███"/>
    <s v="Bro███yn ███s"/>
    <s v="it's finally gameday again!_x000a__x000a_📺: @YESNetwork"/>
    <s v="&quot;2024-12-13T15:59:06.000Z&quot;"/>
    <s v="[&quot;https://pbs.twimg.com/media/GesMEvRXcAAzVSu.jpg&quot;]"/>
    <s v="https://x.com/BrooklynNets/status/1867600139159793910"/>
    <s v="[{&quot;biography&quot;:null,&quot;followers&quot;:null,&quot;following&quot;:null,&quot;is_verified&quot;:null,&quot;profile_id&quot;:&quot;18766687&quot;,&quot;profile_name&quot;:&quot;YES Network&quot;,&quot;url&quot;:&quot;https://x.com/YESNetwork&quot;}]"/>
    <n v="13"/>
    <n v="21"/>
    <n v="249"/>
    <n v="16756"/>
    <s v=""/>
    <s v="null"/>
    <n v="2035100"/>
    <s v="Tweets from #NetsWorld"/>
    <n v="106867"/>
    <s v="https://pbs.twimg.com/profile_images/1811024920870277122/1wQgAUZH_normal.jpg"/>
    <n v="411"/>
    <b v="0"/>
    <n v="6"/>
    <n v="1"/>
    <s v="{&quot;post_id&quot;:null,&quot;profile_id&quot;:null,&quot;profile_name&quot;:null}"/>
    <s v="null"/>
    <s v="null"/>
    <s v="{&quot;data_posted&quot;:null,&quot;description&quot;:null,&quot;photos&quot;:null,&quot;post_id&quot;:null,&quot;profile_id&quot;:null,&quot;profile_name&quot;:null,&quot;url&quot;:null,&quot;videos&quot;:null}"/>
    <n v="290"/>
    <n v="1.7307233229887801E-2"/>
    <d v="2024-12-13T00:00:00"/>
    <n v="0.66604166666666664"/>
    <x v="1"/>
    <x v="13"/>
    <x v="0"/>
    <x v="0"/>
    <x v="0"/>
    <x v="0"/>
    <n v="43"/>
    <x v="0"/>
  </r>
  <r>
    <n v="1.8682832737569754E+18"/>
    <s v="Bar███ysW███"/>
    <s v="Bar███ys ███en'█████████eag███"/>
    <s v="A beautiful ball in by Holmgaard and Hope is there to head home for the Toffees! 🤩_x000a__x000a_#BarclaysWSL _x000a_@EvertonWomen"/>
    <s v="&quot;2024-12-15T13:13:38.000Z&quot;"/>
    <s v="null"/>
    <s v="https://x.com/BarclaysWSL/status/1868283273756975477"/>
    <s v="[{&quot;biography&quot;:null,&quot;followers&quot;:null,&quot;following&quot;:null,&quot;is_verified&quot;:null,&quot;profile_id&quot;:&quot;485857070&quot;,&quot;profile_name&quot;:&quot;Everton Women&quot;,&quot;url&quot;:&quot;https://x.com/EvertonWomen&quot;}]"/>
    <n v="1"/>
    <n v="11"/>
    <n v="181"/>
    <n v="11524"/>
    <s v=""/>
    <s v="[&quot;BarclaysWSL&quot;]"/>
    <n v="337839"/>
    <s v="The home of top-flight women's football in England! 🤩_x000a__x000a_Subscribe to our brand-new BWSL YouTube Channel! 📺 #BarclaysWSL"/>
    <n v="57638"/>
    <s v="https://pbs.twimg.com/profile_images/1605171595160555521/NKG9mgxv_normal.jpg"/>
    <n v="587"/>
    <b v="0"/>
    <n v="2"/>
    <n v="4"/>
    <s v="{&quot;post_id&quot;:null,&quot;profile_id&quot;:null,&quot;profile_name&quot;:null}"/>
    <s v="null"/>
    <s v="[{&quot;duration&quot;:27095,&quot;video_url&quot;:&quot;https://video.twimg.com/amplify_video/1868283243100774400/vid/avc1/1280x720/O2XCzcVK6H0zRRus.mp4?tag=16&quot;}]"/>
    <s v="{&quot;data_posted&quot;:null,&quot;description&quot;:null,&quot;photos&quot;:null,&quot;post_id&quot;:null,&quot;profile_id&quot;:null,&quot;profile_name&quot;:null,&quot;url&quot;:null,&quot;videos&quot;:null}"/>
    <n v="199"/>
    <n v="1.7268309614717113E-2"/>
    <d v="2024-12-15T00:00:00"/>
    <n v="0.5511342592592593"/>
    <x v="0"/>
    <x v="14"/>
    <x v="1"/>
    <x v="1"/>
    <x v="1"/>
    <x v="0"/>
    <n v="111"/>
    <x v="2"/>
  </r>
  <r>
    <n v="1.868452175829185E+18"/>
    <s v="tvg███o"/>
    <s v="TV ███bo ███"/>
    <s v="O que a Iza e a Beyoncé têm em comum além de serem DIVAS QUEENS? 👑 Simplesmente NALA 🤎 #Fantástico"/>
    <s v="&quot;2024-12-16T00:24:47.000Z&quot;"/>
    <s v="null"/>
    <s v="https://x.com/tvglobo/status/1868452175829184952"/>
    <s v="null"/>
    <n v="4"/>
    <n v="17"/>
    <n v="136"/>
    <n v="9853"/>
    <s v=""/>
    <s v="[&quot;Fantástico&quot;]"/>
    <n v="13492430"/>
    <s v="oi, eu sou a Glô 😜"/>
    <n v="314515"/>
    <s v="https://pbs.twimg.com/profile_images/1863599216829792256/r5M1uKA8_normal.jpg"/>
    <n v="708"/>
    <b v="0"/>
    <n v="3"/>
    <n v="8"/>
    <s v="{&quot;post_id&quot;:null,&quot;profile_id&quot;:null,&quot;profile_name&quot;:null}"/>
    <s v="null"/>
    <s v="[{&quot;duration&quot;:52030,&quot;video_url&quot;:&quot;https://video.twimg.com/amplify_video/1868450853629169664/vid/avc1/1920x1080/5UzPop_FjPC5WjVH.mp4?tag=16&quot;}]"/>
    <s v="{&quot;data_posted&quot;:null,&quot;description&quot;:null,&quot;photos&quot;:null,&quot;post_id&quot;:null,&quot;profile_id&quot;:null,&quot;profile_name&quot;:null,&quot;url&quot;:null,&quot;videos&quot;:null}"/>
    <n v="168"/>
    <n v="1.7050644473764337E-2"/>
    <d v="2024-12-16T00:00:00"/>
    <n v="1.7210648148148149E-2"/>
    <x v="2"/>
    <x v="5"/>
    <x v="1"/>
    <x v="1"/>
    <x v="1"/>
    <x v="0"/>
    <n v="98"/>
    <x v="1"/>
  </r>
  <r>
    <n v="1.8683077776485665E+18"/>
    <s v="Man███"/>
    <s v="Man███ste███nit███"/>
    <s v="Counting down to the Manchester derby 🔴_x000a__x000a_🤳 @Snapdragon_x000a__x000a_#MUFC || #ShotOnSnapdragon"/>
    <s v="&quot;2024-12-15T14:51:00.000Z&quot;"/>
    <s v="[&quot;https://pbs.twimg.com/media/Ge2N4RlWcAAznhO.jpg&quot;]"/>
    <s v="https://x.com/ManUtd/status/1868307777648566638"/>
    <s v="[{&quot;biography&quot;:null,&quot;followers&quot;:null,&quot;following&quot;:null,&quot;is_verified&quot;:null,&quot;profile_id&quot;:&quot;18238788&quot;,&quot;profile_name&quot;:&quot;Snapdragon&quot;,&quot;url&quot;:&quot;https://x.com/Snapdragon&quot;}]"/>
    <n v="170"/>
    <n v="468"/>
    <n v="5555"/>
    <n v="365431"/>
    <s v=""/>
    <s v="[&quot;MUFC&quot;,&quot;ShotOnSnapdragon&quot;]"/>
    <n v="38439077"/>
    <s v="’Tis the season to gift United! 🎁🎄"/>
    <n v="92455"/>
    <s v="https://pbs.twimg.com/profile_images/1856418426496880640/iIvJaO5T_normal.png"/>
    <n v="145"/>
    <b v="0"/>
    <n v="16"/>
    <n v="11"/>
    <s v="{&quot;post_id&quot;:null,&quot;profile_id&quot;:null,&quot;profile_name&quot;:null}"/>
    <s v="null"/>
    <s v="null"/>
    <s v="{&quot;data_posted&quot;:null,&quot;description&quot;:null,&quot;photos&quot;:null,&quot;post_id&quot;:null,&quot;profile_id&quot;:null,&quot;profile_name&quot;:null,&quot;url&quot;:null,&quot;videos&quot;:null}"/>
    <n v="6220"/>
    <n v="1.7020997123944056E-2"/>
    <d v="2024-12-15T00:00:00"/>
    <n v="0.61875000000000002"/>
    <x v="0"/>
    <x v="1"/>
    <x v="0"/>
    <x v="0"/>
    <x v="1"/>
    <x v="0"/>
    <n v="82"/>
    <x v="1"/>
  </r>
  <r>
    <n v="1.8683299808219999E+18"/>
    <s v="Ran███sFC███"/>
    <s v="Ran███s F███bal█████████"/>
    <s v="🇦🇱_x000a__x000a_#PremierSportsCup"/>
    <s v="&quot;2024-12-15T16:19:13.000Z&quot;"/>
    <s v="[&quot;https://pbs.twimg.com/media/Ge2kMxLW0AA6aXC.jpg&quot;]"/>
    <s v="https://x.com/RangersFC/status/1868329980821999783"/>
    <s v="null"/>
    <n v="23"/>
    <n v="100"/>
    <n v="1566"/>
    <n v="100791"/>
    <s v=""/>
    <s v="[&quot;PremierSportsCup&quot;]"/>
    <n v="812163"/>
    <s v="The Home of #RangersFC 💙"/>
    <n v="110924"/>
    <s v="https://pbs.twimg.com/profile_images/1856633703734112256/PBlqGEwC_normal.jpg"/>
    <n v="322"/>
    <b v="0"/>
    <n v="6"/>
    <n v="8"/>
    <s v="{&quot;post_id&quot;:null,&quot;profile_id&quot;:null,&quot;profile_name&quot;:null}"/>
    <s v="null"/>
    <s v="null"/>
    <s v="{&quot;data_posted&quot;:null,&quot;description&quot;:null,&quot;photos&quot;:null,&quot;post_id&quot;:null,&quot;profile_id&quot;:null,&quot;profile_name&quot;:null,&quot;url&quot;:null,&quot;videos&quot;:null}"/>
    <n v="1703"/>
    <n v="1.6896349872508459E-2"/>
    <d v="2024-12-15T00:00:00"/>
    <n v="0.68001157407407409"/>
    <x v="0"/>
    <x v="15"/>
    <x v="0"/>
    <x v="0"/>
    <x v="1"/>
    <x v="0"/>
    <n v="21"/>
    <x v="2"/>
  </r>
  <r>
    <n v="1.868324029079372E+18"/>
    <s v="Man███Wom███"/>
    <s v="Man███ste███nit█████████"/>
    <s v="Finishing the calendar year with three points! ➕3️⃣_x000a__x000a_#MUWomen"/>
    <s v="&quot;2024-12-15T15:55:34.000Z&quot;"/>
    <s v="null"/>
    <s v="https://x.com/ManUtdWomen/status/1868324029079372073"/>
    <s v="null"/>
    <n v="109"/>
    <n v="336"/>
    <n v="2369"/>
    <n v="171518"/>
    <s v="https://store.manutd.com/en-gb/c/kit/third?t=y&amp;utm_source=twitter&amp;utm_medium=post&amp;utm_campaign=ecom&amp;utm_content=muwvpalacemd"/>
    <s v="[&quot;MUWomen&quot;]"/>
    <n v="462263"/>
    <s v="Explore our Christmas deals on United Store now 🛍️⤵️"/>
    <n v="16271"/>
    <s v="https://pbs.twimg.com/profile_images/1856421977373741056/jWwLjKK5_normal.jpg"/>
    <n v="38"/>
    <b v="0"/>
    <n v="62"/>
    <n v="11"/>
    <s v="{&quot;post_id&quot;:null,&quot;profile_id&quot;:null,&quot;profile_name&quot;:null}"/>
    <s v="null"/>
    <s v="null"/>
    <s v="{&quot;data_posted&quot;:null,&quot;description&quot;:null,&quot;photos&quot;:null,&quot;post_id&quot;:null,&quot;profile_id&quot;:null,&quot;profile_name&quot;:null,&quot;url&quot;:null,&quot;videos&quot;:null}"/>
    <n v="2887"/>
    <n v="1.6832052612553786E-2"/>
    <d v="2024-12-15T00:00:00"/>
    <n v="0.66358796296296296"/>
    <x v="0"/>
    <x v="13"/>
    <x v="0"/>
    <x v="1"/>
    <x v="1"/>
    <x v="0"/>
    <n v="61"/>
    <x v="2"/>
  </r>
  <r>
    <n v="1.8683402461502879E+18"/>
    <s v="Sta███ept███"/>
    <s v="Dep███men███f S██████"/>
    <s v="This week at State, @SecBlinken recognizes Global Anti-Corruption Champions and Human Rights Defenders, former Secretary @JohnKerry’s official portrait gets unveiled, and the Secretary travels to Jordan and Türkiye, discussing the latest developments in Syria with leaders."/>
    <s v="&quot;2024-12-15T17:00:01.000Z&quot;"/>
    <s v="null"/>
    <s v="https://x.com/StateDept/status/1868340246150287762"/>
    <s v="[{&quot;biography&quot;:null,&quot;followers&quot;:null,&quot;following&quot;:null,&quot;is_verified&quot;:null,&quot;profile_id&quot;:&quot;1350150750966603777&quot;,&quot;profile_name&quot;:&quot;Secretary Antony Blinken&quot;,&quot;url&quot;:&quot;https://x.com/SecBlinken&quot;},{&quot;biography&quot;:null,&quot;followers&quot;:null,&quot;following&quot;:null,&quot;is_verified&quot;:null,&quot;profile_id&quot;:&quot;15007149&quot;,&quot;profile_name&quot;:&quot;John Kerry&quot;,&quot;url&quot;:&quot;https://x.com/JohnKerry&quot;}]"/>
    <n v="84"/>
    <n v="48"/>
    <n v="121"/>
    <n v="15774"/>
    <s v=""/>
    <s v="null"/>
    <n v="6379301"/>
    <s v="Leading U.S. foreign policy and American diplomacy since 1789. Follow @SecBlinken for Secretary updates. For all Department accounts: https://t.co/VpbtF1LASc"/>
    <n v="83466"/>
    <s v="https://pbs.twimg.com/profile_images/1653450164210630659/oPRqz0j6_normal.jpg"/>
    <n v="354"/>
    <b v="0"/>
    <n v="6"/>
    <n v="6"/>
    <s v="{&quot;post_id&quot;:null,&quot;profile_id&quot;:null,&quot;profile_name&quot;:null}"/>
    <s v="null"/>
    <s v="[{&quot;duration&quot;:80538,&quot;video_url&quot;:&quot;https://video.twimg.com/amplify_video/1867736747595247618/vid/avc1/720x1280/zIbYkn2TkbgDLfWQ.mp4?tag=14&quot;}]"/>
    <s v="{&quot;data_posted&quot;:null,&quot;description&quot;:null,&quot;photos&quot;:null,&quot;post_id&quot;:null,&quot;profile_id&quot;:null,&quot;profile_name&quot;:null,&quot;url&quot;:null,&quot;videos&quot;:null}"/>
    <n v="265"/>
    <n v="1.6799797134525167E-2"/>
    <d v="2024-12-15T00:00:00"/>
    <n v="0.70834490740740741"/>
    <x v="0"/>
    <x v="12"/>
    <x v="1"/>
    <x v="1"/>
    <x v="0"/>
    <x v="0"/>
    <n v="273"/>
    <x v="0"/>
  </r>
  <r>
    <n v="1.8682806264049055E+18"/>
    <s v="CPFC"/>
    <s v="Cry███l P███ce ██████"/>
    <s v="Glasner has checked in 🫡_x000a__x000a_#CPFC // #BHACRY"/>
    <s v="&quot;2024-12-15T13:03:06.000Z&quot;"/>
    <s v="[&quot;https://pbs.twimg.com/media/Ge13N3fXUAEUo67.jpg&quot;]"/>
    <s v="https://x.com/CPFC/status/1868280626404905353"/>
    <s v="null"/>
    <n v="9"/>
    <n v="4"/>
    <n v="347"/>
    <n v="21641"/>
    <s v=""/>
    <s v="[&quot;CPFC&quot;,&quot;BHACRY&quot;]"/>
    <n v="1480962"/>
    <s v="The Pride of South London."/>
    <n v="103753"/>
    <s v="https://pbs.twimg.com/profile_images/1857393032883994624/qN-MGWEH_normal.jpg"/>
    <n v="552"/>
    <b v="0"/>
    <n v="2"/>
    <n v="1"/>
    <s v="{&quot;post_id&quot;:null,&quot;profile_id&quot;:null,&quot;profile_name&quot;:null}"/>
    <s v="null"/>
    <s v="null"/>
    <s v="{&quot;data_posted&quot;:null,&quot;description&quot;:null,&quot;photos&quot;:null,&quot;post_id&quot;:null,&quot;profile_id&quot;:null,&quot;profile_name&quot;:null,&quot;url&quot;:null,&quot;videos&quot;:null}"/>
    <n v="363"/>
    <n v="1.6773716556536204E-2"/>
    <d v="2024-12-15T00:00:00"/>
    <n v="0.54381944444444441"/>
    <x v="0"/>
    <x v="14"/>
    <x v="0"/>
    <x v="0"/>
    <x v="1"/>
    <x v="0"/>
    <n v="42"/>
    <x v="0"/>
  </r>
  <r>
    <n v="1.8683366599951852E+18"/>
    <s v="Man███y"/>
    <s v="Man███ste███ity███"/>
    <s v="Looking for the breakthrough 🔐_x000a__x000a_🩵 0-0 🔴 #ManCity"/>
    <s v="&quot;2024-12-15T16:45:46.000Z&quot;"/>
    <s v="[&quot;https://pbs.twimg.com/media/Ge2pr3vWUAAPD7G.jpg&quot;]"/>
    <s v="https://x.com/ManCity/status/1868336659995185193"/>
    <s v="null"/>
    <n v="108"/>
    <n v="108"/>
    <n v="1997"/>
    <n v="132856"/>
    <s v=""/>
    <s v="[&quot;ManCity&quot;]"/>
    <n v="17891377"/>
    <s v="WATCH TOGETHER: 4-IN-A-ROW 🍿"/>
    <n v="168939"/>
    <s v="https://pbs.twimg.com/profile_images/1856263834400358400/RysToJDu_normal.png"/>
    <n v="47365"/>
    <b v="0"/>
    <n v="8"/>
    <n v="6"/>
    <s v="{&quot;post_id&quot;:null,&quot;profile_id&quot;:null,&quot;profile_name&quot;:null}"/>
    <s v="null"/>
    <s v="null"/>
    <s v="{&quot;data_posted&quot;:null,&quot;description&quot;:null,&quot;photos&quot;:null,&quot;post_id&quot;:null,&quot;profile_id&quot;:null,&quot;profile_name&quot;:null,&quot;url&quot;:null,&quot;videos&quot;:null}"/>
    <n v="2227"/>
    <n v="1.6762509785030411E-2"/>
    <d v="2024-12-15T00:00:00"/>
    <n v="0.69844907407407408"/>
    <x v="0"/>
    <x v="15"/>
    <x v="0"/>
    <x v="0"/>
    <x v="1"/>
    <x v="0"/>
    <n v="48"/>
    <x v="1"/>
  </r>
  <r>
    <n v="1.8683753127251558E+18"/>
    <s v="Pro███sMe███A"/>
    <s v="Pro███s M███"/>
    <s v="The Proteas have landed in the Mother City! 🌍🏏_x000a__x000a_Cape Town and Paarl, are you ready? 🇿🇦Our ODI squad is locked, loaded, and fired up to take on Pakistan this week. Don’t miss the action – grab your tickets and join the gees at the stadium! 🇿🇦🔥_x000a__x000a_🎟️ https://t.co/V0eYiAMKYS _x000a__x000a_#WozaNawe #BePartOfIt #SAvPAK"/>
    <s v="&quot;2024-12-15T19:19:21.000Z&quot;"/>
    <s v="null"/>
    <s v="https://x.com/ProteasMenCSA/status/1868375312725155941"/>
    <s v="null"/>
    <n v="2"/>
    <n v="6"/>
    <n v="59"/>
    <n v="4243"/>
    <s v="https://cricket.co.za/proteas-men/"/>
    <s v="null"/>
    <n v="1380391"/>
    <s v="Welcome to the official handle of men's national cricket in South Africa. #WozaNawe #BePartOfIt"/>
    <n v="99794"/>
    <s v="https://pbs.twimg.com/profile_images/1782489060189077504/yCEXACJL_normal.jpg"/>
    <n v="2044"/>
    <b v="0"/>
    <n v="1"/>
    <n v="3"/>
    <s v="{&quot;post_id&quot;:null,&quot;profile_id&quot;:null,&quot;profile_name&quot;:null}"/>
    <s v="null"/>
    <s v="[{&quot;duration&quot;:19033,&quot;video_url&quot;:&quot;https://video.twimg.com/amplify_video/1868375077890260992/vid/avc1/1080x1920/ygumLuJZgj-lAS3R.mp4?tag=16&quot;}]"/>
    <s v="{&quot;data_posted&quot;:null,&quot;description&quot;:null,&quot;photos&quot;:null,&quot;post_id&quot;:null,&quot;profile_id&quot;:null,&quot;profile_name&quot;:null,&quot;url&quot;:null,&quot;videos&quot;:null}"/>
    <n v="71"/>
    <n v="1.6733443318406788E-2"/>
    <d v="2024-12-15T00:00:00"/>
    <n v="0.80510416666666662"/>
    <x v="0"/>
    <x v="4"/>
    <x v="1"/>
    <x v="1"/>
    <x v="0"/>
    <x v="0"/>
    <n v="302"/>
    <x v="0"/>
  </r>
  <r>
    <n v="1.8680838071123561E+18"/>
    <s v="CNN███sil███"/>
    <s v="CNN███asi███"/>
    <s v="A Procuradoria-Geral da União afirmou que a prisão preventiva de Walter Braga Netto evita interferências na investigação que apura o plano de golpe de Estado após o resultado das eleições de 2022. O general foi preso na manhã deste sábado (14).  #CNNBrasil"/>
    <s v="&quot;2024-12-15T00:01:01.000Z&quot;"/>
    <s v="null"/>
    <s v="https://x.com/CNNBrasil/status/1868083807112356082"/>
    <s v="null"/>
    <n v="83"/>
    <n v="38"/>
    <n v="169"/>
    <n v="17769"/>
    <s v=""/>
    <s v="[&quot;CNNBrasil&quot;]"/>
    <n v="2819408"/>
    <s v="Pense bem, pense CNN._x000a_Acompanhe também pelo canal 577, app ou site. _x000a_⚽ @esportescnn_x000a_⚡️ @cnnpop_x000a_💰 @cnneconomia_x000a_💵 @nolucrocnn"/>
    <n v="286269"/>
    <s v="https://pbs.twimg.com/profile_images/1202609722257485824/NcFn6f7X_normal.jpg"/>
    <n v="4"/>
    <b v="0"/>
    <n v="4"/>
    <n v="3"/>
    <s v="{&quot;post_id&quot;:null,&quot;profile_id&quot;:null,&quot;profile_name&quot;:null}"/>
    <s v="null"/>
    <s v="[{&quot;duration&quot;:74067,&quot;video_url&quot;:&quot;https://video.twimg.com/amplify_video/1868083706302169089/vid/avc1/1920x1080/xvAymHc5q7HxvOSB.mp4?tag=16&quot;}]"/>
    <s v="{&quot;data_posted&quot;:null,&quot;description&quot;:null,&quot;photos&quot;:null,&quot;post_id&quot;:null,&quot;profile_id&quot;:null,&quot;profile_name&quot;:null,&quot;url&quot;:null,&quot;videos&quot;:null}"/>
    <n v="297"/>
    <n v="1.6714502785750464E-2"/>
    <d v="2024-12-15T00:00:00"/>
    <n v="7.0601851851851847E-4"/>
    <x v="0"/>
    <x v="5"/>
    <x v="1"/>
    <x v="1"/>
    <x v="1"/>
    <x v="0"/>
    <n v="256"/>
    <x v="0"/>
  </r>
  <r>
    <n v="1.8683105899502638E+18"/>
    <s v="nyp███"/>
    <s v="New███rk ███t"/>
    <s v="Tim Walz thought his lack of wealth was ‘real flex’ against Trump: ‘How in the world did we lose to a billionaire?"/>
    <s v="&quot;2024-12-15T15:02:10.000Z&quot;"/>
    <s v="[&quot;https://pbs.twimg.com/media/Ge2SlKaW0AAakpP.jpg&quot;]"/>
    <s v="https://x.com/nypost/status/1868310589950263764"/>
    <s v="null"/>
    <n v="437"/>
    <n v="65"/>
    <n v="590"/>
    <n v="68445"/>
    <s v="https://trib.al/8wSQE2D"/>
    <s v="null"/>
    <n v="3313889"/>
    <s v="Breaking news &amp; features from The New York Post. Follow your favorite sections: @pagesix, @nypmetro, @nypostbiz, @nypostsports, @nypfashion, @nypostopinion"/>
    <n v="706459"/>
    <s v="https://pbs.twimg.com/profile_images/966372680306868224/60wfGe9e_normal.jpg"/>
    <n v="10308"/>
    <b v="0"/>
    <n v="41"/>
    <n v="11"/>
    <s v="{&quot;post_id&quot;:null,&quot;profile_id&quot;:null,&quot;profile_name&quot;:null}"/>
    <s v="null"/>
    <s v="null"/>
    <s v="{&quot;data_posted&quot;:null,&quot;description&quot;:null,&quot;photos&quot;:null,&quot;post_id&quot;:null,&quot;profile_id&quot;:null,&quot;profile_name&quot;:null,&quot;url&quot;:null,&quot;videos&quot;:null}"/>
    <n v="1144"/>
    <n v="1.6714150047483382E-2"/>
    <d v="2024-12-15T00:00:00"/>
    <n v="0.62650462962962961"/>
    <x v="0"/>
    <x v="13"/>
    <x v="0"/>
    <x v="0"/>
    <x v="0"/>
    <x v="0"/>
    <n v="114"/>
    <x v="0"/>
  </r>
  <r>
    <n v="1.8683224208278162E+18"/>
    <s v="Bar███ysW███"/>
    <s v="Bar███ys ███en'█████████eag███"/>
    <s v="On her own!_x000a__x000a_@KenzaDali carries the ball from half-way and smashes it into the back of the net 🤩_x000a__x000a_#BarclaysWSL @AVWFCOfficial"/>
    <s v="&quot;2024-12-15T15:49:11.000Z&quot;"/>
    <s v="null"/>
    <s v="https://x.com/BarclaysWSL/status/1868322420827816101"/>
    <s v="[{&quot;biography&quot;:null,&quot;followers&quot;:null,&quot;following&quot;:null,&quot;is_verified&quot;:null,&quot;profile_id&quot;:&quot;460610051&quot;,&quot;profile_name&quot;:&quot;Kenza DALI&quot;,&quot;url&quot;:&quot;https://x.com/KenzaDali&quot;},{&quot;biography&quot;:null,&quot;followers&quot;:null,&quot;following&quot;:null,&quot;is_verified&quot;:null,&quot;profile_id&quot;:&quot;379676896&quot;,&quot;profile_name&quot;:&quot;Aston Villa Women&quot;,&quot;url&quot;:&quot;https://x.com/AVWFCOfficial&quot;}]"/>
    <n v="6"/>
    <n v="16"/>
    <n v="211"/>
    <n v="14493"/>
    <s v=""/>
    <s v="[&quot;BarclaysWSL&quot;]"/>
    <n v="337839"/>
    <s v="The home of top-flight women's football in England! 🤩_x000a__x000a_Subscribe to our brand-new BWSL YouTube Channel! 📺 #BarclaysWSL"/>
    <n v="57638"/>
    <s v="https://pbs.twimg.com/profile_images/1605171595160555521/NKG9mgxv_normal.jpg"/>
    <n v="587"/>
    <b v="0"/>
    <n v="7"/>
    <n v="2"/>
    <s v="{&quot;post_id&quot;:null,&quot;profile_id&quot;:null,&quot;profile_name&quot;:null}"/>
    <s v="null"/>
    <s v="[{&quot;duration&quot;:34053,&quot;video_url&quot;:&quot;https://video.twimg.com/amplify_video/1868322374971523072/vid/avc1/1280x720/YNnGAkocI43bhZlP.mp4?tag=16&quot;}]"/>
    <s v="{&quot;data_posted&quot;:null,&quot;description&quot;:null,&quot;photos&quot;:null,&quot;post_id&quot;:null,&quot;profile_id&quot;:null,&quot;profile_name&quot;:null,&quot;url&quot;:null,&quot;videos&quot;:null}"/>
    <n v="242"/>
    <n v="1.669771613882564E-2"/>
    <d v="2024-12-15T00:00:00"/>
    <n v="0.65915509259259264"/>
    <x v="0"/>
    <x v="13"/>
    <x v="1"/>
    <x v="1"/>
    <x v="1"/>
    <x v="0"/>
    <n v="125"/>
    <x v="2"/>
  </r>
  <r>
    <n v="1.8684346136827372E+18"/>
    <s v="Met███ole███"/>
    <s v="Met███ole███"/>
    <s v="➡️ Reitora da UnB suspende youtuber Wilker Leão das aulas por 60 dias_x000a__x000a_O youtuber Wilker Leão é acusado de gravar e divulgar debates do ambiente acadêmico sem autorização, provocando ofensas nas redes sociais_x000a__x000a_Leia na coluna de @lilian_tahan e @tr_isadora:"/>
    <s v="&quot;2024-12-15T23:15:00.000Z&quot;"/>
    <s v="[&quot;https://pbs.twimg.com/media/Ge2bGKHWwAAqWdj.png&quot;]"/>
    <s v="https://x.com/Metropoles/status/1868434613682737214"/>
    <s v="[{&quot;biography&quot;:null,&quot;followers&quot;:null,&quot;following&quot;:null,&quot;is_verified&quot;:null,&quot;profile_id&quot;:&quot;195474607&quot;,&quot;profile_name&quot;:&quot;Lilian Tahan&quot;,&quot;url&quot;:&quot;https://x.com/lilian_tahan&quot;},{&quot;biography&quot;:null,&quot;followers&quot;:null,&quot;following&quot;:null,&quot;is_verified&quot;:null,&quot;profile_id&quot;:&quot;987393535497383936&quot;,&quot;profile_name&quot;:&quot;Isadora Teixeira&quot;,&quot;url&quot;:&quot;https://x.com/tr_isadora&quot;}]"/>
    <n v="62"/>
    <n v="12"/>
    <n v="114"/>
    <n v="11681"/>
    <s v="https://curt.link/VxQPQ"/>
    <s v="null"/>
    <n v="1239616"/>
    <s v="📱 O seu portal de notícias. Tudo sobre política, saúde, justiça, comportamento, entretenimento. Confira os fatos relevantes do país e do mundo em tempo real."/>
    <n v="402839"/>
    <s v="https://pbs.twimg.com/profile_images/1642966741138415647/fHdgQUGl_normal.jpg"/>
    <n v="1644"/>
    <b v="0"/>
    <n v="3"/>
    <n v="4"/>
    <s v="{&quot;post_id&quot;:null,&quot;profile_id&quot;:null,&quot;profile_name&quot;:null}"/>
    <s v="null"/>
    <s v="null"/>
    <s v="{&quot;data_posted&quot;:null,&quot;description&quot;:null,&quot;photos&quot;:null,&quot;post_id&quot;:null,&quot;profile_id&quot;:null,&quot;profile_name&quot;:null,&quot;url&quot;:null,&quot;videos&quot;:null}"/>
    <n v="195"/>
    <n v="1.6693776217789572E-2"/>
    <d v="2024-12-15T00:00:00"/>
    <n v="0.96875"/>
    <x v="0"/>
    <x v="7"/>
    <x v="0"/>
    <x v="0"/>
    <x v="0"/>
    <x v="0"/>
    <n v="256"/>
    <x v="0"/>
  </r>
  <r>
    <n v="1.8683761886511969E+18"/>
    <s v="TNT███rts███"/>
    <s v="TNT███ort███R"/>
    <s v="É O TREM COM DESTINO SANTOS? 👀 Zé Rafael, volante do Palmeiras, deve ser o novo reforço do Peixe para as próximas temporadas. O jogador chegaria ao Alvinegro por empréstimo de 1 ano. _x000a__x000a_🗞️: @DonRicardinho"/>
    <s v="&quot;2024-12-15T19:22:50.000Z&quot;"/>
    <s v="[&quot;https://pbs.twimg.com/media/Ge3OMbnXkAARnmQ.jpg&quot;]"/>
    <s v="https://x.com/TNTSportsBR/status/1868376188651196917"/>
    <s v="[{&quot;biography&quot;:null,&quot;followers&quot;:null,&quot;following&quot;:null,&quot;is_verified&quot;:null,&quot;profile_id&quot;:&quot;1570868056221519872&quot;,&quot;profile_name&quot;:&quot;Ricardinho Martins&quot;,&quot;url&quot;:&quot;https://x.com/DonRicardinho&quot;}]"/>
    <n v="9"/>
    <n v="10"/>
    <n v="390"/>
    <n v="24999"/>
    <s v=""/>
    <s v="null"/>
    <n v="8293202"/>
    <s v="⚽️ É muito mais Champions na Max, com TODOS os jogos ao vivo!_x000a_👇🏻Assine e assista clicando no link👇🏻"/>
    <n v="456734"/>
    <s v="https://pbs.twimg.com/profile_images/1807013047975768065/8sm_IGpw_normal.jpg"/>
    <n v="859"/>
    <b v="0"/>
    <n v="5"/>
    <n v="2"/>
    <s v="{&quot;post_id&quot;:null,&quot;profile_id&quot;:null,&quot;profile_name&quot;:null}"/>
    <s v="null"/>
    <s v="null"/>
    <s v="{&quot;data_posted&quot;:null,&quot;description&quot;:null,&quot;photos&quot;:null,&quot;post_id&quot;:null,&quot;profile_id&quot;:null,&quot;profile_name&quot;:null,&quot;url&quot;:null,&quot;videos&quot;:null}"/>
    <n v="416"/>
    <n v="1.6640665626625067E-2"/>
    <d v="2024-12-15T00:00:00"/>
    <n v="0.80752314814814818"/>
    <x v="0"/>
    <x v="4"/>
    <x v="0"/>
    <x v="0"/>
    <x v="0"/>
    <x v="0"/>
    <n v="203"/>
    <x v="0"/>
  </r>
  <r>
    <n v="1.8683779822405018E+18"/>
    <s v="Man███Wom███"/>
    <s v="Man███ste███nit█████████"/>
    <s v="Tooney enjoyed that one! 🙌_x000a__x000a_@EllaToone99 🤳_x000a__x000a_#MUFC || #MUWomen"/>
    <s v="&quot;2024-12-15T19:29:58.000Z&quot;"/>
    <s v="null"/>
    <s v="https://x.com/ManUtdWomen/status/1868377982240501825"/>
    <s v="[{&quot;biography&quot;:null,&quot;followers&quot;:null,&quot;following&quot;:null,&quot;is_verified&quot;:null,&quot;profile_id&quot;:&quot;4538989277&quot;,&quot;profile_name&quot;:&quot;Ella Toone&quot;,&quot;url&quot;:&quot;https://x.com/ellatoone99&quot;}]"/>
    <n v="31"/>
    <n v="718"/>
    <n v="6069"/>
    <n v="422931"/>
    <s v=""/>
    <s v="[&quot;MUFC&quot;,&quot;MUWomen&quot;]"/>
    <n v="462261"/>
    <s v="Explore our Christmas deals on United Store now 🛍️⤵️"/>
    <n v="16271"/>
    <s v="https://pbs.twimg.com/profile_images/1856421977373741056/jWwLjKK5_normal.jpg"/>
    <n v="38"/>
    <b v="0"/>
    <n v="23"/>
    <n v="169"/>
    <s v="{&quot;post_id&quot;:null,&quot;profile_id&quot;:null,&quot;profile_name&quot;:null}"/>
    <s v="null"/>
    <s v="[{&quot;duration&quot;:11618,&quot;video_url&quot;:&quot;https://video.twimg.com/ext_tw_video/1868377769299578880/pu/vid/avc1/720x1280/Z1rCCK1aat0sOapb.mp4?tag=12&quot;}]"/>
    <s v="{&quot;data_posted&quot;:null,&quot;description&quot;:null,&quot;photos&quot;:null,&quot;post_id&quot;:null,&quot;profile_id&quot;:null,&quot;profile_name&quot;:null,&quot;url&quot;:null,&quot;videos&quot;:null}"/>
    <n v="7010"/>
    <n v="1.6574807710950486E-2"/>
    <d v="2024-12-15T00:00:00"/>
    <n v="0.81247685185185181"/>
    <x v="0"/>
    <x v="4"/>
    <x v="1"/>
    <x v="1"/>
    <x v="1"/>
    <x v="0"/>
    <n v="61"/>
    <x v="2"/>
  </r>
  <r>
    <n v="1.8681995590774582E+18"/>
    <s v="rsc███erl███t"/>
    <s v="RSC███der███ht"/>
    <s v="Le dimanche, c'est le foot. 🟣⚪️ #STVAND"/>
    <s v="&quot;2024-12-15T07:40:59.000Z&quot;"/>
    <s v="[&quot;https://pbs.twimg.com/media/Ge0s9DrXcAAu9mz.jpg&quot;]"/>
    <s v="https://x.com/rscanderlecht/status/1868199559077458076"/>
    <s v="null"/>
    <n v="2"/>
    <n v="6"/>
    <n v="122"/>
    <n v="8026"/>
    <s v=""/>
    <s v="[&quot;STVAND&quot;]"/>
    <n v="220409"/>
    <s v="Noblesse Oblige ♔_x000a__x000a_@rscaneerpede | @rscawomen | @rscafutsal | @rscaesports"/>
    <n v="43155"/>
    <s v="https://pbs.twimg.com/profile_images/1687466854531338240/-rar7Bjv_normal.jpg"/>
    <n v="199"/>
    <b v="0"/>
    <n v="2"/>
    <n v="1"/>
    <s v="{&quot;post_id&quot;:null,&quot;profile_id&quot;:null,&quot;profile_name&quot;:null}"/>
    <s v="null"/>
    <s v="null"/>
    <s v="{&quot;data_posted&quot;:null,&quot;description&quot;:null,&quot;photos&quot;:null,&quot;post_id&quot;:null,&quot;profile_id&quot;:null,&quot;profile_name&quot;:null,&quot;url&quot;:null,&quot;videos&quot;:null}"/>
    <n v="133"/>
    <n v="1.6571143782706205E-2"/>
    <d v="2024-12-15T00:00:00"/>
    <n v="0.32012731481481482"/>
    <x v="0"/>
    <x v="20"/>
    <x v="0"/>
    <x v="0"/>
    <x v="1"/>
    <x v="0"/>
    <n v="39"/>
    <x v="2"/>
  </r>
  <r>
    <n v="1.8684535424002542E+18"/>
    <s v="TNT███rts███"/>
    <s v="TNT███ort███R"/>
    <s v="O BOCA JUNIORS ESTARÁ NA LIBERTADORES 2025! 🔵🟡_x000a_Depois de ficar fora da #Libertadores2024, o Boca conseguiu a classificação para a edição 2025 depois do título do Vélez, no Campeonato Argentino."/>
    <s v="&quot;2024-12-16T00:30:13.000Z&quot;"/>
    <s v="[&quot;https://pbs.twimg.com/media/Ge4Udo6WYAAUhU9.jpg&quot;]"/>
    <s v="https://x.com/TNTSportsBR/status/1868453542400254164"/>
    <s v="null"/>
    <n v="10"/>
    <n v="11"/>
    <n v="341"/>
    <n v="22090"/>
    <s v=""/>
    <s v="[&quot;Libertadores2024&quot;]"/>
    <n v="8293187"/>
    <s v="⚽️ É muito mais Champions na Max, com TODOS os jogos ao vivo!_x000a_👇🏻Assine e assista clicando no link👇🏻"/>
    <n v="456734"/>
    <s v="https://pbs.twimg.com/profile_images/1807013047975768065/8sm_IGpw_normal.jpg"/>
    <n v="859"/>
    <b v="0"/>
    <n v="2"/>
    <n v="2"/>
    <s v="{&quot;post_id&quot;:null,&quot;profile_id&quot;:null,&quot;profile_name&quot;:null}"/>
    <s v="null"/>
    <s v="null"/>
    <s v="{&quot;data_posted&quot;:null,&quot;description&quot;:null,&quot;photos&quot;:null,&quot;post_id&quot;:null,&quot;profile_id&quot;:null,&quot;profile_name&quot;:null,&quot;url&quot;:null,&quot;videos&quot;:null}"/>
    <n v="366"/>
    <n v="1.6568583069262111E-2"/>
    <d v="2024-12-16T00:00:00"/>
    <n v="2.0983796296296296E-2"/>
    <x v="2"/>
    <x v="5"/>
    <x v="0"/>
    <x v="0"/>
    <x v="1"/>
    <x v="0"/>
    <n v="193"/>
    <x v="0"/>
  </r>
  <r>
    <n v="1.8683842504515955E+18"/>
    <s v="tvg███o"/>
    <s v="TV ███bo ███"/>
    <s v="Melhor Atriz da categoria &quot;Revelação&quot; é Larissa Bocchino! 🏆✨ NOSSA QUINOTAAA 💖 #MelhoresDoAno #Domingão"/>
    <s v="&quot;2024-12-15T19:54:52.000Z&quot;"/>
    <s v="null"/>
    <s v="https://x.com/tvglobo/status/1868384250451595599"/>
    <s v="null"/>
    <n v="32"/>
    <n v="38"/>
    <n v="438"/>
    <n v="34373"/>
    <s v=""/>
    <s v="[&quot;MelhoresDoAno&quot;,&quot;Domingão&quot;]"/>
    <n v="13492372"/>
    <s v="oi, eu sou a Glô 😜"/>
    <n v="314515"/>
    <s v="https://pbs.twimg.com/profile_images/1863599216829792256/r5M1uKA8_normal.jpg"/>
    <n v="708"/>
    <b v="0"/>
    <n v="43"/>
    <n v="17"/>
    <s v="{&quot;post_id&quot;:null,&quot;profile_id&quot;:null,&quot;profile_name&quot;:null}"/>
    <s v="null"/>
    <s v="[{&quot;duration&quot;:30409,&quot;video_url&quot;:&quot;https://video.twimg.com/amplify_video/1868383881516204032/vid/avc1/1920x1080/rAMYrtTi4ducEu7q.mp4?tag=16&quot;}]"/>
    <s v="{&quot;data_posted&quot;:null,&quot;description&quot;:null,&quot;photos&quot;:null,&quot;post_id&quot;:null,&quot;profile_id&quot;:null,&quot;profile_name&quot;:null,&quot;url&quot;:null,&quot;videos&quot;:null}"/>
    <n v="568"/>
    <n v="1.6524597794780788E-2"/>
    <d v="2024-12-15T00:00:00"/>
    <n v="0.82976851851851852"/>
    <x v="0"/>
    <x v="4"/>
    <x v="1"/>
    <x v="1"/>
    <x v="1"/>
    <x v="0"/>
    <n v="103"/>
    <x v="1"/>
  </r>
  <r>
    <n v="1.8683789791633615E+18"/>
    <s v="acm███n"/>
    <s v="AC ███an"/>
    <s v="Not long to go until kick-off now! 🔜_x000a__x000a_#MilanGenoa #SempreMilan  Brought to you by @play_eFootball"/>
    <s v="&quot;2024-12-15T19:33:56.000Z&quot;"/>
    <s v="[&quot;https://pbs.twimg.com/media/Ge3QaRcWQAA-_UY.jpg&quot;,&quot;https://pbs.twimg.com/media/Ge3QaRaXgAABRlL.jpg&quot;]"/>
    <s v="https://x.com/acmilan/status/1868378979163361629"/>
    <s v="[{&quot;biography&quot;:null,&quot;followers&quot;:null,&quot;following&quot;:null,&quot;is_verified&quot;:null,&quot;profile_id&quot;:&quot;95411613&quot;,&quot;profile_name&quot;:&quot;eFootball&quot;,&quot;url&quot;:&quot;https://x.com/play_eFootball&quot;}]"/>
    <n v="6"/>
    <n v="31"/>
    <n v="438"/>
    <n v="28953"/>
    <s v=""/>
    <s v="[&quot;MilanGenoa&quot;,&quot;SempreMilan&quot;]"/>
    <n v="8539601"/>
    <s v="❤🖤 125 years together, worth every minute ❤🖤 _x000a__x000a_#SempreMilan since 1899! 🔙 _x000a__x000a_Arabic: @acmilanar | Portuguese: @acmilanbr | #MilanYouth: @acmilanyouth"/>
    <n v="75535"/>
    <s v="https://pbs.twimg.com/profile_images/1848748720050868225/FQY9F6Hn_normal.jpg"/>
    <n v="117"/>
    <b v="0"/>
    <n v="1"/>
    <n v="2"/>
    <s v="{&quot;post_id&quot;:null,&quot;profile_id&quot;:null,&quot;profile_name&quot;:null}"/>
    <s v="null"/>
    <s v="null"/>
    <s v="{&quot;data_posted&quot;:null,&quot;description&quot;:null,&quot;photos&quot;:null,&quot;post_id&quot;:null,&quot;profile_id&quot;:null,&quot;profile_name&quot;:null,&quot;url&quot;:null,&quot;videos&quot;:null}"/>
    <n v="478"/>
    <n v="1.6509515421545263E-2"/>
    <d v="2024-12-15T00:00:00"/>
    <n v="0.8152314814814815"/>
    <x v="0"/>
    <x v="4"/>
    <x v="0"/>
    <x v="0"/>
    <x v="1"/>
    <x v="0"/>
    <n v="97"/>
    <x v="0"/>
  </r>
  <r>
    <n v="1.868294948954784E+18"/>
    <s v="Har███uin███"/>
    <s v="Har███uin███���"/>
    <s v="From @jeppeboys school to the @ChampionsCup 🤝_x000a__x000a_#COYQ #HARvSTO"/>
    <s v="&quot;2024-12-15T14:00:01.000Z&quot;"/>
    <s v="[&quot;https://pbs.twimg.com/media/Ge1D91DWgAAIzfS.jpg&quot;,&quot;https://pbs.twimg.com/media/Ge1EHNYW4AAlVCz.jpg&quot;]"/>
    <s v="https://x.com/Harlequins/status/1868294948954783900"/>
    <s v="[{&quot;biography&quot;:null,&quot;followers&quot;:null,&quot;following&quot;:null,&quot;is_verified&quot;:null,&quot;profile_id&quot;:&quot;80086545&quot;,&quot;profile_name&quot;:&quot;Jeppe Boys&quot;,&quot;url&quot;:&quot;https://x.com/jeppeboys&quot;},{&quot;biography&quot;:null,&quot;followers&quot;:null,&quot;following&quot;:null,&quot;is_verified&quot;:null,&quot;profile_id&quot;:&quot;206587913&quot;,&quot;profile_name&quot;:&quot;Investec Champions Cup&quot;,&quot;url&quot;:&quot;https://x.com/ChampionsCup&quot;}]"/>
    <n v="1"/>
    <n v="3"/>
    <n v="58"/>
    <n v="3877"/>
    <s v=""/>
    <s v="[&quot;COYQ&quot;,&quot;HARvSTO&quot;]"/>
    <n v="129250"/>
    <s v="🃏 #COYQ"/>
    <n v="67189"/>
    <s v="https://pbs.twimg.com/profile_images/1856267732309692416/lO2MB40L_normal.jpg"/>
    <n v="508"/>
    <b v="0"/>
    <n v="2"/>
    <n v="0"/>
    <s v="{&quot;post_id&quot;:null,&quot;profile_id&quot;:null,&quot;profile_name&quot;:null}"/>
    <s v="null"/>
    <s v="null"/>
    <s v="{&quot;data_posted&quot;:null,&quot;description&quot;:null,&quot;photos&quot;:null,&quot;post_id&quot;:null,&quot;profile_id&quot;:null,&quot;profile_name&quot;:null,&quot;url&quot;:null,&quot;videos&quot;:null}"/>
    <n v="64"/>
    <n v="1.6507608976012382E-2"/>
    <d v="2024-12-15T00:00:00"/>
    <n v="0.58334490740740741"/>
    <x v="0"/>
    <x v="1"/>
    <x v="0"/>
    <x v="0"/>
    <x v="1"/>
    <x v="0"/>
    <n v="61"/>
    <x v="2"/>
  </r>
  <r>
    <n v="1.8684444830014259E+18"/>
    <s v="CNN███sil███"/>
    <s v="CNN███asi███"/>
    <s v="O ministro Flávio Dino, do Supremo Tribunal Federal (STF), reconheceu um recurso do Ministério Público Federal (MPF) que busca derrubar a Lei da Anistia em casos de ocultação de corpos de cidadãos mortos pela ditadura militar. #CNNBrasilPrimeTime"/>
    <s v="&quot;2024-12-15T23:54:13.000Z&quot;"/>
    <s v="null"/>
    <s v="https://x.com/CNNBrasil/status/1868444483001425978"/>
    <s v="null"/>
    <n v="11"/>
    <n v="35"/>
    <n v="185"/>
    <n v="14310"/>
    <s v=""/>
    <s v="[&quot;CNNBrasilPrimeTime&quot;]"/>
    <n v="2819405"/>
    <s v="Pense bem, pense CNN._x000a_Acompanhe também pelo canal 577, app ou site. _x000a_⚽ @esportescnn_x000a_⚡️ @cnnpop_x000a_💰 @cnneconomia_x000a_💵 @nolucrocnn"/>
    <n v="286268"/>
    <s v="https://pbs.twimg.com/profile_images/1202609722257485824/NcFn6f7X_normal.jpg"/>
    <n v="4"/>
    <b v="0"/>
    <n v="2"/>
    <n v="3"/>
    <s v="{&quot;post_id&quot;:null,&quot;profile_id&quot;:null,&quot;profile_name&quot;:null}"/>
    <s v="null"/>
    <s v="[{&quot;duration&quot;:87800,&quot;video_url&quot;:&quot;https://video.twimg.com/amplify_video/1868444395634081792/vid/avc1/1920x1080/T3nmrKxqNlg-N46X.mp4?tag=16&quot;}]"/>
    <s v="{&quot;data_posted&quot;:null,&quot;description&quot;:null,&quot;photos&quot;:null,&quot;post_id&quot;:null,&quot;profile_id&quot;:null,&quot;profile_name&quot;:null,&quot;url&quot;:null,&quot;videos&quot;:null}"/>
    <n v="236"/>
    <n v="1.6491963661774984E-2"/>
    <d v="2024-12-15T00:00:00"/>
    <n v="0.9959837962962963"/>
    <x v="0"/>
    <x v="7"/>
    <x v="1"/>
    <x v="1"/>
    <x v="1"/>
    <x v="0"/>
    <n v="246"/>
    <x v="0"/>
  </r>
  <r>
    <n v="1.8659847237611238E+18"/>
    <s v="LaL███"/>
    <s v="LAL███"/>
    <s v="Gracias por tu fútbol, @luisnani. 🤝_x000a__x000a_💫🤸‍♂ ¡Mucha suerte en tu nueva etapa!_x000a__x000a_#LALIGAEASPORTS | @valenciacf"/>
    <s v="&quot;2024-12-09T05:00:01.000Z&quot;"/>
    <s v="[&quot;https://pbs.twimg.com/media/GeUXPSdXIAAIkIR.jpg&quot;]"/>
    <s v="https://x.com/LaLiga/status/1865984723761123788"/>
    <s v="[{&quot;biography&quot;:null,&quot;followers&quot;:null,&quot;following&quot;:null,&quot;is_verified&quot;:null,&quot;profile_id&quot;:&quot;252753618&quot;,&quot;profile_name&quot;:&quot;Nani&quot;,&quot;url&quot;:&quot;https://x.com/luisnani&quot;},{&quot;biography&quot;:null,&quot;followers&quot;:null,&quot;following&quot;:null,&quot;is_verified&quot;:null,&quot;profile_id&quot;:&quot;109312021&quot;,&quot;profile_name&quot;:&quot;Valencia CF&quot;,&quot;url&quot;:&quot;https://x.com/valenciacf&quot;}]"/>
    <n v="12"/>
    <n v="46"/>
    <n v="743"/>
    <n v="49787"/>
    <s v=""/>
    <s v="[&quot;LALIGAEASPORTS&quot;]"/>
    <n v="12779119"/>
    <s v="⚽️ LALIGA EA SPORTS &amp; LALIGA HYPERMOTION  🌍 #EarnItOnThePitch"/>
    <n v="190221"/>
    <s v="https://pbs.twimg.com/profile_images/1865692791516352512/lccvCyOR_normal.jpg"/>
    <n v="637"/>
    <b v="0"/>
    <n v="8"/>
    <n v="10"/>
    <s v="{&quot;post_id&quot;:null,&quot;profile_id&quot;:null,&quot;profile_name&quot;:null}"/>
    <s v="null"/>
    <s v="null"/>
    <s v="{&quot;data_posted&quot;:null,&quot;description&quot;:null,&quot;photos&quot;:null,&quot;post_id&quot;:null,&quot;profile_id&quot;:null,&quot;profile_name&quot;:null,&quot;url&quot;:null,&quot;videos&quot;:null}"/>
    <n v="819"/>
    <n v="1.6450077329423343E-2"/>
    <d v="2024-12-09T00:00:00"/>
    <n v="0.20834490740740741"/>
    <x v="2"/>
    <x v="22"/>
    <x v="0"/>
    <x v="0"/>
    <x v="1"/>
    <x v="0"/>
    <n v="105"/>
    <x v="1"/>
  </r>
  <r>
    <n v="1.8682828468232648E+18"/>
    <s v="Man███y"/>
    <s v="Man███ste███ity███"/>
    <s v="What’s your Manchester derby score prediction? 🔮_x000a__x000a_#ManCity | @betway"/>
    <s v="&quot;2024-12-15T13:11:56.000Z&quot;"/>
    <s v="[&quot;https://pbs.twimg.com/media/Ge15WE5WkAAQTgH.jpg&quot;]"/>
    <s v="https://x.com/ManCity/status/1868282846823264742"/>
    <s v="[{&quot;biography&quot;:null,&quot;followers&quot;:null,&quot;following&quot;:null,&quot;is_verified&quot;:null,&quot;profile_id&quot;:&quot;700894208&quot;,&quot;profile_name&quot;:&quot;betway&quot;,&quot;url&quot;:&quot;https://x.com/betway&quot;}]"/>
    <n v="337"/>
    <n v="93"/>
    <n v="959"/>
    <n v="87366"/>
    <s v=""/>
    <s v="[&quot;ManCity&quot;]"/>
    <n v="17891377"/>
    <s v="WATCH TOGETHER: 4-IN-A-ROW 🍿"/>
    <n v="168939"/>
    <s v="https://pbs.twimg.com/profile_images/1856263834400358400/RysToJDu_normal.png"/>
    <n v="47365"/>
    <b v="0"/>
    <n v="37"/>
    <n v="5"/>
    <s v="{&quot;post_id&quot;:null,&quot;profile_id&quot;:null,&quot;profile_name&quot;:null}"/>
    <s v="null"/>
    <s v="null"/>
    <s v="{&quot;data_posted&quot;:null,&quot;description&quot;:null,&quot;photos&quot;:null,&quot;post_id&quot;:null,&quot;profile_id&quot;:null,&quot;profile_name&quot;:null,&quot;url&quot;:null,&quot;videos&quot;:null}"/>
    <n v="1431"/>
    <n v="1.6379369548794726E-2"/>
    <d v="2024-12-15T00:00:00"/>
    <n v="0.54995370370370367"/>
    <x v="0"/>
    <x v="14"/>
    <x v="0"/>
    <x v="0"/>
    <x v="1"/>
    <x v="0"/>
    <n v="68"/>
    <x v="1"/>
  </r>
  <r>
    <n v="1.8682970996803098E+18"/>
    <s v="Bar███ysW███"/>
    <s v="Bar███ys ███en'█████████eag███"/>
    <s v="The curve on that strike from Leon! 👀_x000a__x000a_#BarclaysWSL @AVWFCOfficial"/>
    <s v="&quot;2024-12-15T14:08:34.000Z&quot;"/>
    <s v="null"/>
    <s v="https://x.com/BarclaysWSL/status/1868297099680309710"/>
    <s v="[{&quot;biography&quot;:null,&quot;followers&quot;:null,&quot;following&quot;:null,&quot;is_verified&quot;:null,&quot;profile_id&quot;:&quot;379676896&quot;,&quot;profile_name&quot;:&quot;Aston Villa Women&quot;,&quot;url&quot;:&quot;https://x.com/AVWFCOfficial&quot;}]"/>
    <n v="5"/>
    <n v="17"/>
    <n v="326"/>
    <n v="22081"/>
    <s v=""/>
    <s v="[&quot;BarclaysWSL&quot;]"/>
    <n v="337839"/>
    <s v="The home of top-flight women's football in England! 🤩_x000a__x000a_Subscribe to our brand-new BWSL YouTube Channel! 📺 #BarclaysWSL"/>
    <n v="57638"/>
    <s v="https://pbs.twimg.com/profile_images/1605171595160555521/NKG9mgxv_normal.jpg"/>
    <n v="587"/>
    <b v="0"/>
    <n v="7"/>
    <n v="5"/>
    <s v="{&quot;post_id&quot;:null,&quot;profile_id&quot;:null,&quot;profile_name&quot;:null}"/>
    <s v="null"/>
    <s v="[{&quot;duration&quot;:34053,&quot;video_url&quot;:&quot;https://video.twimg.com/amplify_video/1868297050732871680/vid/avc1/1280x720/Lc59JF5HDX-KKNi9.mp4?tag=16&quot;}]"/>
    <s v="{&quot;data_posted&quot;:null,&quot;description&quot;:null,&quot;photos&quot;:null,&quot;post_id&quot;:null,&quot;profile_id&quot;:null,&quot;profile_name&quot;:null,&quot;url&quot;:null,&quot;videos&quot;:null}"/>
    <n v="360"/>
    <n v="1.6303609437978352E-2"/>
    <d v="2024-12-15T00:00:00"/>
    <n v="0.58928240740740745"/>
    <x v="0"/>
    <x v="1"/>
    <x v="1"/>
    <x v="1"/>
    <x v="1"/>
    <x v="0"/>
    <n v="66"/>
    <x v="2"/>
  </r>
  <r>
    <n v="1.80668204458127E+18"/>
    <s v="LUO███NGZ███"/>
    <s v="罗翔"/>
    <s v="日本驻华使馆以最高规格礼节降半旗为胡友平女士致哀！_x000a_日本政府承诺给予其直系亲属永久居留权，并发放抚恤金！_x000a_并发起于2024年6月30日15:00在京都市千代田区神田神保町集英馆1-37-4.2F，为胡女士举行追思哀悼集会！_x000a_好搞笑，一个见义勇为的人死在自己的祖国，不让献花，不让集会追思，而日本却在举行！"/>
    <s v="&quot;2024-06-28T13:32:20.000Z&quot;"/>
    <s v="[&quot;https://pbs.twimg.com/media/GRKfnn_W8AArOdb.jpg&quot;,&quot;https://pbs.twimg.com/media/GRKfnoDXQAAQWzr.jpg&quot;]"/>
    <s v="https://x.com/LUOXIANGZY/status/1806682044581269912"/>
    <s v="null"/>
    <n v="211"/>
    <n v="886"/>
    <n v="3500"/>
    <n v="298098"/>
    <s v=""/>
    <s v="null"/>
    <n v="303040"/>
    <s v="爆料邮箱：hshen606@gmail.com， WhatsApp：+1 9298239824。专门爆料各种不平之事！此账号为唯一账号！（免费向国内民运人士提供西班牙非盈利居留办理教程，仅限Whatsapp联系提供帮助资料）！"/>
    <n v="24240"/>
    <s v="https://pbs.twimg.com/profile_images/1633516700682395652/gQ_OmRVr_normal.jpg"/>
    <n v="8053"/>
    <b v="0"/>
    <n v="49"/>
    <n v="210"/>
    <s v="{&quot;post_id&quot;:null,&quot;profile_id&quot;:null,&quot;profile_name&quot;:null}"/>
    <s v="null"/>
    <s v="[{&quot;duration&quot;:14901,&quot;video_url&quot;:&quot;https://video.twimg.com/ext_tw_video/1806681995428192257/pu/vid/avc1/720x890/T_gZ8KSeZ43HtoIk.mp4?tag=12&quot;}]"/>
    <s v="{&quot;data_posted&quot;:null,&quot;description&quot;:null,&quot;photos&quot;:null,&quot;post_id&quot;:null,&quot;profile_id&quot;:null,&quot;profile_name&quot;:null,&quot;url&quot;:null,&quot;videos&quot;:null}"/>
    <n v="4856"/>
    <n v="1.6289944917443257E-2"/>
    <d v="2024-06-28T00:00:00"/>
    <n v="0.56412037037037033"/>
    <x v="1"/>
    <x v="14"/>
    <x v="1"/>
    <x v="0"/>
    <x v="0"/>
    <x v="0"/>
    <n v="152"/>
    <x v="2"/>
  </r>
  <r>
    <n v="1.8683646474279037E+18"/>
    <s v="Spu███ffi███l"/>
    <s v="Tot███ham███tsp███"/>
    <s v="Let's go, lads! 💪_x000a__x000a_🌟 @BetMGMUK"/>
    <s v="&quot;2024-12-15T18:36:59.000Z&quot;"/>
    <s v="null"/>
    <s v="https://x.com/SpursOfficial/status/1868364647427903785"/>
    <s v="[{&quot;biography&quot;:null,&quot;followers&quot;:null,&quot;following&quot;:null,&quot;is_verified&quot;:null,&quot;profile_id&quot;:&quot;1666067775515774976&quot;,&quot;profile_name&quot;:&quot;BetMGM UK&quot;,&quot;url&quot;:&quot;https://x.com/BetMGMUK&quot;}]"/>
    <n v="31"/>
    <n v="84"/>
    <n v="1210"/>
    <n v="82657"/>
    <s v=""/>
    <s v="null"/>
    <n v="8885748"/>
    <s v="COYS 🤍"/>
    <n v="115852"/>
    <s v="https://pbs.twimg.com/profile_images/1864976047902498816/FUkKarj7_normal.jpg"/>
    <n v="469"/>
    <b v="0"/>
    <n v="5"/>
    <n v="9"/>
    <s v="{&quot;post_id&quot;:null,&quot;profile_id&quot;:null,&quot;profile_name&quot;:null}"/>
    <s v="null"/>
    <s v="[{&quot;duration&quot;:13119,&quot;video_url&quot;:&quot;https://video.twimg.com/amplify_video/1868363613750034432/vid/avc1/720x1280/RsvHkPtE8rIH0N7_.mp4?tag=14&quot;}]"/>
    <s v="{&quot;data_posted&quot;:null,&quot;description&quot;:null,&quot;photos&quot;:null,&quot;post_id&quot;:null,&quot;profile_id&quot;:null,&quot;profile_name&quot;:null,&quot;url&quot;:null,&quot;videos&quot;:null}"/>
    <n v="1339"/>
    <n v="1.6199474938601691E-2"/>
    <d v="2024-12-15T00:00:00"/>
    <n v="0.77568287037037043"/>
    <x v="0"/>
    <x v="8"/>
    <x v="1"/>
    <x v="1"/>
    <x v="0"/>
    <x v="0"/>
    <n v="30"/>
    <x v="0"/>
  </r>
  <r>
    <n v="1.8682194469358592E+18"/>
    <s v="Bre███ord███"/>
    <s v="Bre███ord███"/>
    <s v="Brentford at the Bridge tonight 🐝_x000a__x000a_#CHEBRE"/>
    <s v="&quot;2024-12-15T09:00:00.000Z&quot;"/>
    <s v="[&quot;https://pbs.twimg.com/media/GesJ3aaWcAA4pXd.jpg&quot;]"/>
    <s v="https://x.com/BrentfordFC/status/1868219446935859224"/>
    <s v="null"/>
    <n v="63"/>
    <n v="44"/>
    <n v="771"/>
    <n v="61439"/>
    <s v=""/>
    <s v="[&quot;CHEBRE&quot;]"/>
    <n v="376786"/>
    <s v="Chelsea away ⏳"/>
    <n v="106893"/>
    <s v="https://pbs.twimg.com/profile_images/1863925545009852417/pH2T1Sz8_normal.jpg"/>
    <n v="415"/>
    <b v="0"/>
    <n v="99"/>
    <n v="16"/>
    <s v="{&quot;post_id&quot;:null,&quot;profile_id&quot;:null,&quot;profile_name&quot;:null}"/>
    <s v="null"/>
    <s v="null"/>
    <s v="{&quot;data_posted&quot;:null,&quot;description&quot;:null,&quot;photos&quot;:null,&quot;post_id&quot;:null,&quot;profile_id&quot;:null,&quot;profile_name&quot;:null,&quot;url&quot;:null,&quot;videos&quot;:null}"/>
    <n v="993"/>
    <n v="1.6162372434447174E-2"/>
    <d v="2024-12-15T00:00:00"/>
    <n v="0.375"/>
    <x v="0"/>
    <x v="18"/>
    <x v="0"/>
    <x v="0"/>
    <x v="1"/>
    <x v="0"/>
    <n v="42"/>
    <x v="2"/>
  </r>
  <r>
    <n v="1.8684182000080123E+18"/>
    <s v="Glo███ews███"/>
    <s v="Glo███ews███"/>
    <s v=".@miriamleitao comenta o fato de o presidente Lula não ter seguido o protocolo de transferir a função para seu vice, Geraldo Alckmin, durante internação hospitalar._x000a__x000a_➡ Assista à #GloboNews:"/>
    <s v="&quot;2024-12-15T22:09:47.000Z&quot;"/>
    <s v="null"/>
    <s v="https://x.com/GloboNews/status/1868418200008012245"/>
    <s v="[{&quot;biography&quot;:null,&quot;followers&quot;:null,&quot;following&quot;:null,&quot;is_verified&quot;:null,&quot;profile_id&quot;:&quot;16814640&quot;,&quot;profile_name&quot;:&quot;Míriam Leitão&quot;,&quot;url&quot;:&quot;https://x.com/miriamleitao&quot;}]"/>
    <n v="95"/>
    <n v="8"/>
    <n v="107"/>
    <n v="13597"/>
    <s v="http://glo.bo/39WjXAu"/>
    <s v="[&quot;GloboNews&quot;,&quot;EspecialDeDomingo&quot;]"/>
    <n v="5771758"/>
    <s v="Nunca desliga"/>
    <n v="222223"/>
    <s v="https://pbs.twimg.com/profile_images/1559102712435933185/mYnEVnNs_normal.jpg"/>
    <n v="122"/>
    <b v="0"/>
    <n v="3"/>
    <n v="6"/>
    <s v="{&quot;post_id&quot;:null,&quot;profile_id&quot;:null,&quot;profile_name&quot;:null}"/>
    <s v="null"/>
    <s v="[{&quot;duration&quot;:250334,&quot;video_url&quot;:&quot;https://video.twimg.com/amplify_video/1868417812177305601/vid/avc1/1920x1080/5pcZ_E0Xsc1gBVCZ.mp4?tag=16&quot;}]"/>
    <s v="{&quot;data_posted&quot;:null,&quot;description&quot;:null,&quot;photos&quot;:null,&quot;post_id&quot;:null,&quot;profile_id&quot;:null,&quot;profile_name&quot;:null,&quot;url&quot;:null,&quot;videos&quot;:null}"/>
    <n v="219"/>
    <n v="1.6106494079576376E-2"/>
    <d v="2024-12-15T00:00:00"/>
    <n v="0.9234606481481481"/>
    <x v="0"/>
    <x v="11"/>
    <x v="1"/>
    <x v="1"/>
    <x v="1"/>
    <x v="0"/>
    <n v="189"/>
    <x v="0"/>
  </r>
  <r>
    <n v="1.868327087280714E+18"/>
    <s v="Met███ole███"/>
    <s v="Met███ole███"/>
    <s v="⏯️“Estava me sentindo estranho”, diz Lula ao receber alta do hospital_x000a__x000a_O presidente Lula ficou seis dias internado e passou por dois procedimentos cirúrgicos no Hospital Sírio-Libanês, no centro de São Paulo_x000a__x000a_Leia:"/>
    <s v="&quot;2024-12-15T16:07:44.000Z&quot;"/>
    <s v="null"/>
    <s v="https://x.com/Metropoles/status/1868327087280713986"/>
    <s v="null"/>
    <n v="32"/>
    <n v="7"/>
    <n v="77"/>
    <n v="7390"/>
    <s v="https://curt.link/HmPRX"/>
    <s v="null"/>
    <n v="1239618"/>
    <s v="📱 O seu portal de notícias. Tudo sobre política, saúde, justiça, comportamento, entretenimento. Confira os fatos relevantes do país e do mundo em tempo real."/>
    <n v="402839"/>
    <s v="https://pbs.twimg.com/profile_images/1642966741138415647/fHdgQUGl_normal.jpg"/>
    <n v="1644"/>
    <b v="0"/>
    <n v="1"/>
    <n v="2"/>
    <s v="{&quot;post_id&quot;:null,&quot;profile_id&quot;:null,&quot;profile_name&quot;:null}"/>
    <s v="null"/>
    <s v="[{&quot;duration&quot;:78854,&quot;video_url&quot;:&quot;https://video.twimg.com/ext_tw_video/1868326578280681472/pu/vid/avc1/1280x720/snM3f2osc3L4krbt.mp4?tag=12&quot;}]"/>
    <s v="{&quot;data_posted&quot;:null,&quot;description&quot;:null,&quot;photos&quot;:null,&quot;post_id&quot;:null,&quot;profile_id&quot;:null,&quot;profile_name&quot;:null,&quot;url&quot;:null,&quot;videos&quot;:null}"/>
    <n v="119"/>
    <n v="1.6102841677943167E-2"/>
    <d v="2024-12-15T00:00:00"/>
    <n v="0.67203703703703699"/>
    <x v="0"/>
    <x v="15"/>
    <x v="1"/>
    <x v="1"/>
    <x v="0"/>
    <x v="0"/>
    <n v="214"/>
    <x v="0"/>
  </r>
  <r>
    <n v="1.868257194870985E+18"/>
    <s v="Man███yWo███"/>
    <s v="Man███ste███ity█████████"/>
    <s v="This afternoon's squad! 📋_x000a__x000a_XI | Keating, Aleixandri (C), Fowler, Roord, Kennedy, Ouahabi, Park, Casparij, Blindkilde Brown, Fujino, Hasegawa_x000a__x000a_SUBS | Yamashita, Coombs, Kelly, Prior, Murphy, O'Carroll, Davies_x000a__x000a_#ManCity | @etihad"/>
    <s v="&quot;2024-12-15T11:30:00.000Z&quot;"/>
    <s v="[&quot;https://pbs.twimg.com/media/Ge1a34vXEAACqX-.jpg&quot;]"/>
    <s v="https://x.com/ManCityWomen/status/1868257194870984845"/>
    <s v="[{&quot;biography&quot;:null,&quot;followers&quot;:null,&quot;following&quot;:null,&quot;is_verified&quot;:null,&quot;profile_id&quot;:&quot;45621423&quot;,&quot;profile_name&quot;:&quot;Etihad Airways&quot;,&quot;url&quot;:&quot;https://x.com/etihad&quot;}]"/>
    <n v="22"/>
    <n v="69"/>
    <n v="764"/>
    <n v="56719"/>
    <s v=""/>
    <s v="[&quot;ManCity&quot;]"/>
    <n v="240106"/>
    <s v="Official account of Manchester City Women 🩵_x000a__x000a_🏆 1x WSL_x000a_🏆 3x Women’s FA Cup_x000a_🏆 4x FA Women’s League Cup"/>
    <n v="29070"/>
    <s v="https://pbs.twimg.com/profile_images/1856262696011755520/VOcg8JqD_normal.jpg"/>
    <n v="799"/>
    <b v="0"/>
    <n v="40"/>
    <n v="12"/>
    <s v="{&quot;post_id&quot;:null,&quot;profile_id&quot;:null,&quot;profile_name&quot;:null}"/>
    <s v="null"/>
    <s v="null"/>
    <s v="{&quot;data_posted&quot;:null,&quot;description&quot;:null,&quot;photos&quot;:null,&quot;post_id&quot;:null,&quot;profile_id&quot;:null,&quot;profile_name&quot;:null,&quot;url&quot;:null,&quot;videos&quot;:null}"/>
    <n v="907"/>
    <n v="1.5991114088753328E-2"/>
    <d v="2024-12-15T00:00:00"/>
    <n v="0.47916666666666669"/>
    <x v="0"/>
    <x v="16"/>
    <x v="0"/>
    <x v="0"/>
    <x v="1"/>
    <x v="0"/>
    <n v="227"/>
    <x v="2"/>
  </r>
  <r>
    <n v="1.8684206634777027E+18"/>
    <s v="CNN███sil███"/>
    <s v="CNN███asi███"/>
    <s v="BNDES empresta R$ 1,1 bilhão para exportação de aviões da Embraer"/>
    <s v="&quot;2024-12-15T22:19:34.000Z&quot;"/>
    <s v="null"/>
    <s v="https://x.com/CNNBrasil/status/1868420663477702783"/>
    <s v="null"/>
    <n v="8"/>
    <n v="13"/>
    <n v="114"/>
    <n v="8571"/>
    <s v="https://www.cnnbrasil.com.br/economia/negocios/bndes-empresta-r-11-bilhao-para-exportacao-de-avioes-da-embraer/?utm_source=social&amp;utm_medium=twitter&amp;utm_campaign=negocios"/>
    <s v="null"/>
    <n v="2819405"/>
    <s v="Pense bem, pense CNN._x000a_Acompanhe também pelo canal 577, app ou site. _x000a_⚽ @esportescnn_x000a_⚡️ @cnnpop_x000a_💰 @cnneconomia_x000a_💵 @nolucrocnn"/>
    <n v="286268"/>
    <s v="https://pbs.twimg.com/profile_images/1202609722257485824/NcFn6f7X_normal.jpg"/>
    <n v="4"/>
    <b v="0"/>
    <n v="1"/>
    <n v="1"/>
    <s v="{&quot;post_id&quot;:null,&quot;profile_id&quot;:null,&quot;profile_name&quot;:null}"/>
    <s v="[&quot;https://pbs.twimg.com/card_img/1868420665247670272/SQeV8-3w?format=jpg&amp;name=orig&quot;]"/>
    <s v="null"/>
    <s v="{&quot;data_posted&quot;:null,&quot;description&quot;:null,&quot;photos&quot;:null,&quot;post_id&quot;:null,&quot;profile_id&quot;:null,&quot;profile_name&quot;:null,&quot;url&quot;:null,&quot;videos&quot;:null}"/>
    <n v="137"/>
    <n v="1.5984132539960332E-2"/>
    <d v="2024-12-15T00:00:00"/>
    <n v="0.93025462962962968"/>
    <x v="0"/>
    <x v="11"/>
    <x v="0"/>
    <x v="1"/>
    <x v="0"/>
    <x v="0"/>
    <n v="65"/>
    <x v="0"/>
  </r>
  <r>
    <n v="1.8682979630277673E+18"/>
    <s v="kann"/>
    <s v="כאן"/>
    <s v="#צדק_לגיא _x000a_1. גיא תימור, בן 21, סגן אלוף ישראל ברכיבה על אופניים יצא לאימון לפני תחרות. _x000a_2. באותו זמן נחמן חורי, בן אותו גיל, חוזר שיכור ומסומם מבילוי ומצהיר: אני הולך להרוג מישהו _x000a_3. היה אפשר למנוע את הדריסה למוות של גיא אבל המערכת התעלמה שוב ושוב. ברביעי תבינו עד כמה _x000a__x000a_ברביעי הקרוב -#זמן_אמת רגע לפני הכרעת הדין, הוריו של גיא יוצאים במסע לחקר האמת_x000a_@asaf_lib"/>
    <s v="&quot;2024-12-15T14:12:00.000Z&quot;"/>
    <s v="[&quot;https://pbs.twimg.com/media/Ge1DEl5XIAEmgkW.png&quot;]"/>
    <s v="https://x.com/kann/status/1868297963027767334"/>
    <s v="null"/>
    <n v="1"/>
    <n v="5"/>
    <n v="58"/>
    <n v="4277"/>
    <s v=""/>
    <s v="[&quot;צדק_לגיא&quot;]"/>
    <n v="182895"/>
    <s v="אנחנו כאן ❤️"/>
    <n v="30781"/>
    <s v="https://pbs.twimg.com/profile_images/1843516623740633088/WbeaAr02_normal.jpg"/>
    <n v="559"/>
    <b v="0"/>
    <n v="1"/>
    <n v="3"/>
    <s v="{&quot;post_id&quot;:null,&quot;profile_id&quot;:null,&quot;profile_name&quot;:null}"/>
    <s v="null"/>
    <s v="null"/>
    <s v="{&quot;data_posted&quot;:null,&quot;description&quot;:null,&quot;photos&quot;:null,&quot;post_id&quot;:null,&quot;profile_id&quot;:null,&quot;profile_name&quot;:null,&quot;url&quot;:null,&quot;videos&quot;:null}"/>
    <n v="68"/>
    <n v="1.5898994622398879E-2"/>
    <d v="2024-12-15T00:00:00"/>
    <n v="0.59166666666666667"/>
    <x v="0"/>
    <x v="1"/>
    <x v="0"/>
    <x v="0"/>
    <x v="1"/>
    <x v="0"/>
    <n v="360"/>
    <x v="2"/>
  </r>
  <r>
    <n v="1.8683607158509898E+18"/>
    <s v="Man███"/>
    <s v="Man███ste███nit███"/>
    <s v="Get in there! The Reds are level late on! 🔴_x000a__x000a_#MUFC || #MCIMUN"/>
    <s v="&quot;2024-12-15T18:21:21.000Z&quot;"/>
    <s v="[&quot;https://pbs.twimg.com/media/Ge3AEyuXIAAQk9W.jpg&quot;]"/>
    <s v="https://x.com/ManUtd/status/1868360715850989772"/>
    <s v="null"/>
    <n v="202"/>
    <n v="1098"/>
    <n v="7146"/>
    <n v="538119"/>
    <s v=""/>
    <s v="[&quot;MUFC&quot;,&quot;MCIMUN&quot;]"/>
    <n v="38439080"/>
    <s v="’Tis the season to gift United! 🎁🎄"/>
    <n v="92455"/>
    <s v="https://pbs.twimg.com/profile_images/1856418426496880640/iIvJaO5T_normal.png"/>
    <n v="145"/>
    <b v="0"/>
    <n v="71"/>
    <n v="20"/>
    <s v="{&quot;post_id&quot;:null,&quot;profile_id&quot;:null,&quot;profile_name&quot;:null}"/>
    <s v="null"/>
    <s v="null"/>
    <s v="{&quot;data_posted&quot;:&quot;2012-04-20T15:17:43.000Z&quot;,&quot;description&quot;:&quot;BRUNO FROM THE SPOT!!!💪&quot;,&quot;photos&quot;:null,&quot;post_id&quot;:&quot;1868360575107072058&quot;,&quot;profile_id&quot;:&quot;ManUtd&quot;,&quot;profile_name&quot;:&quot;Manchester United&quot;,&quot;url&quot;:&quot;https://x.com/ManUtd/status/1868360575107072058&quot;,&quot;videos&quot;:null}"/>
    <n v="8537"/>
    <n v="1.5864520672936654E-2"/>
    <d v="2024-12-15T00:00:00"/>
    <n v="0.76482638888888888"/>
    <x v="0"/>
    <x v="8"/>
    <x v="0"/>
    <x v="0"/>
    <x v="1"/>
    <x v="0"/>
    <n v="61"/>
    <x v="1"/>
  </r>
  <r>
    <n v="1.8682987179266662E+18"/>
    <s v="Cel███FC"/>
    <s v="Cel███ Fo███all██████"/>
    <s v="📋 Our #PremierSportsCup final team news from Hampden 🟩⬜ _x000a_ _x000a_#CELRAN | #CelticFC🍀"/>
    <s v="&quot;2024-12-15T14:15:00.000Z&quot;"/>
    <s v="[&quot;https://pbs.twimg.com/media/Ge18QlNWIAAtwE3.jpg&quot;]"/>
    <s v="https://x.com/CelticFC/status/1868298717926666285"/>
    <s v="null"/>
    <n v="216"/>
    <n v="461"/>
    <n v="3368"/>
    <n v="266858"/>
    <s v=""/>
    <s v="[&quot;PremierSportsCup&quot;,&quot;CELRAN&quot;,&quot;CelticFC&quot;]"/>
    <n v="984256"/>
    <s v="Glasgow Celtic - 2023/24 Double Winners! 🍀🏆 🟢 @CelticFCWomen ⚪ @CelticFCB 🎌 @CelticFCJPN 📽 @CelticTV 🛒 @CelticFCShop 🎟 @CelticFCTickets"/>
    <n v="136135"/>
    <s v="https://pbs.twimg.com/profile_images/1808866900228665344/xZAZuYBY_normal.jpg"/>
    <n v="438"/>
    <b v="0"/>
    <n v="157"/>
    <n v="26"/>
    <s v="{&quot;post_id&quot;:null,&quot;profile_id&quot;:null,&quot;profile_name&quot;:null}"/>
    <s v="null"/>
    <s v="null"/>
    <s v="{&quot;data_posted&quot;:null,&quot;description&quot;:null,&quot;photos&quot;:null,&quot;post_id&quot;:null,&quot;profile_id&quot;:null,&quot;profile_name&quot;:null,&quot;url&quot;:null,&quot;videos&quot;:null}"/>
    <n v="4228"/>
    <n v="1.5843632193900878E-2"/>
    <d v="2024-12-15T00:00:00"/>
    <n v="0.59375"/>
    <x v="0"/>
    <x v="1"/>
    <x v="0"/>
    <x v="0"/>
    <x v="1"/>
    <x v="0"/>
    <n v="79"/>
    <x v="2"/>
  </r>
  <r>
    <n v="1.8682949459933596E+18"/>
    <s v="Dep███Def███e"/>
    <s v="Dep███men███f D█████████🇸"/>
    <s v="For the first time in over 45 years, Marines from the 4th Marine Regiment, @3d_Marine_Div, and three of its subordinate battalions, joined together for a reunion of units’ colors, commanders and staff. _x000a__x000a_Read more here:"/>
    <s v="&quot;2024-12-15T14:00:01.000Z&quot;"/>
    <s v="null"/>
    <s v="https://x.com/DeptofDefense/status/1868294945993359529"/>
    <s v="[{&quot;biography&quot;:null,&quot;followers&quot;:null,&quot;following&quot;:null,&quot;is_verified&quot;:null,&quot;profile_id&quot;:&quot;1122760625283670016&quot;,&quot;profile_name&quot;:&quot;3d Marine Division&quot;,&quot;url&quot;:&quot;https://x.com/3d_Marine_Div&quot;}]"/>
    <n v="53"/>
    <n v="51"/>
    <n v="194"/>
    <n v="19203"/>
    <s v="https://www.marines.mil/News/News-Display/Article/3990158/4th-marine-regiment-colors-reunification/"/>
    <s v="null"/>
    <n v="6494921"/>
    <s v="Official U.S. Department of Defense Twitter account. Follow @SecDef for more from Secretary Lloyd J. Austin III._x000a_https://t.co/yDqh6t8qhc"/>
    <n v="41669"/>
    <s v="https://pbs.twimg.com/profile_images/1488522079523721224/HbPgS02J_normal.png"/>
    <n v="716"/>
    <b v="0"/>
    <n v="3"/>
    <n v="2"/>
    <s v="{&quot;post_id&quot;:null,&quot;profile_id&quot;:null,&quot;profile_name&quot;:null}"/>
    <s v="[&quot;https://pbs.twimg.com/card_img/1866197570621468672/tivBiA66?format=jpg&amp;name=orig&quot;]"/>
    <s v="null"/>
    <s v="{&quot;data_posted&quot;:null,&quot;description&quot;:null,&quot;photos&quot;:null,&quot;post_id&quot;:null,&quot;profile_id&quot;:null,&quot;profile_name&quot;:null,&quot;url&quot;:null,&quot;videos&quot;:null}"/>
    <n v="303"/>
    <n v="1.5778784564911733E-2"/>
    <d v="2024-12-15T00:00:00"/>
    <n v="0.58334490740740741"/>
    <x v="0"/>
    <x v="1"/>
    <x v="0"/>
    <x v="1"/>
    <x v="0"/>
    <x v="0"/>
    <n v="219"/>
    <x v="0"/>
  </r>
  <r>
    <n v="1.8681169700856955E+18"/>
    <s v="nyp███"/>
    <s v="New███rk ███t"/>
    <s v="Trump names Richard Grenell to lead presidential envoy for special missions"/>
    <s v="&quot;2024-12-15T02:12:48.000Z&quot;"/>
    <s v="[&quot;https://pbs.twimg.com/media/GezifBBXoAEuYXU.jpg&quot;]"/>
    <s v="https://x.com/nypost/status/1868116970085695569"/>
    <s v="null"/>
    <n v="31"/>
    <n v="72"/>
    <n v="507"/>
    <n v="39452"/>
    <s v="https://trib.al/MIgsYiy"/>
    <s v="null"/>
    <n v="3313893"/>
    <s v="Breaking news &amp; features from The New York Post. Follow your favorite sections: @pagesix, @nypmetro, @nypostbiz, @nypostsports, @nypfashion, @nypostopinion"/>
    <n v="706459"/>
    <s v="https://pbs.twimg.com/profile_images/966372680306868224/60wfGe9e_normal.jpg"/>
    <n v="10308"/>
    <b v="0"/>
    <n v="7"/>
    <n v="5"/>
    <s v="{&quot;post_id&quot;:null,&quot;profile_id&quot;:null,&quot;profile_name&quot;:null}"/>
    <s v="null"/>
    <s v="null"/>
    <s v="{&quot;data_posted&quot;:null,&quot;description&quot;:null,&quot;photos&quot;:null,&quot;post_id&quot;:null,&quot;profile_id&quot;:null,&quot;profile_name&quot;:null,&quot;url&quot;:null,&quot;videos&quot;:null}"/>
    <n v="622"/>
    <n v="1.5765994119436275E-2"/>
    <d v="2024-12-15T00:00:00"/>
    <n v="9.2222222222222219E-2"/>
    <x v="0"/>
    <x v="2"/>
    <x v="0"/>
    <x v="0"/>
    <x v="0"/>
    <x v="0"/>
    <n v="75"/>
    <x v="0"/>
  </r>
  <r>
    <n v="1.8683195736128678E+18"/>
    <s v="CPFC"/>
    <s v="Cry███l P███ce ██████"/>
    <s v="15 to play ⌛️_x000a__x000a_#CPFC // #BHACRY"/>
    <s v="&quot;2024-12-15T15:37:52.000Z&quot;"/>
    <s v="[&quot;https://pbs.twimg.com/media/Ge2aV_DXYAAKZaW.jpg&quot;]"/>
    <s v="https://x.com/CPFC/status/1868319573612867791"/>
    <s v="null"/>
    <n v="9"/>
    <n v="20"/>
    <n v="417"/>
    <n v="29361"/>
    <s v=""/>
    <s v="[&quot;CPFC&quot;,&quot;BHACRY&quot;]"/>
    <n v="1480966"/>
    <s v="The Pride of South London."/>
    <n v="103753"/>
    <s v="https://pbs.twimg.com/profile_images/1857393032883994624/qN-MGWEH_normal.jpg"/>
    <n v="552"/>
    <b v="0"/>
    <n v="7"/>
    <n v="8"/>
    <s v="{&quot;post_id&quot;:null,&quot;profile_id&quot;:null,&quot;profile_name&quot;:null}"/>
    <s v="null"/>
    <s v="null"/>
    <s v="{&quot;data_posted&quot;:null,&quot;description&quot;:null,&quot;photos&quot;:null,&quot;post_id&quot;:null,&quot;profile_id&quot;:null,&quot;profile_name&quot;:null,&quot;url&quot;:null,&quot;videos&quot;:null}"/>
    <n v="461"/>
    <n v="1.5701100098770477E-2"/>
    <d v="2024-12-15T00:00:00"/>
    <n v="0.65129629629629626"/>
    <x v="0"/>
    <x v="13"/>
    <x v="0"/>
    <x v="0"/>
    <x v="1"/>
    <x v="0"/>
    <n v="31"/>
    <x v="0"/>
  </r>
  <r>
    <n v="1.868253419317654E+18"/>
    <s v="Clu███ugg███"/>
    <s v="Clu███rug███KV"/>
    <s v="Come on you 𝐁𝐥𝐮𝐞𝐬! 💙🖤 👊 #CLUGNK"/>
    <s v="&quot;2024-12-15T11:15:00.000Z&quot;"/>
    <s v="null"/>
    <s v="https://x.com/ClubBrugge/status/1868253419317653970"/>
    <s v="null"/>
    <n v="4"/>
    <n v="7"/>
    <n v="53"/>
    <n v="4470"/>
    <s v="https://www.clubbrugge.be/nl/match/clu-gnk-15-12-2024"/>
    <s v="[&quot;CLUGNK&quot;]"/>
    <n v="225733"/>
    <s v="The official account of Club Brugge. 𝟭𝟵 times Champion of Belgium.🏆 Questions? https://t.co/hw2kuDvIP2"/>
    <n v="42662"/>
    <s v="https://pbs.twimg.com/profile_images/1816386150455496704/5dfk0_QE_normal.jpg"/>
    <n v="148"/>
    <b v="0"/>
    <n v="5"/>
    <n v="1"/>
    <s v="{&quot;post_id&quot;:null,&quot;profile_id&quot;:null,&quot;profile_name&quot;:null}"/>
    <s v="null"/>
    <s v="null"/>
    <s v="{&quot;data_posted&quot;:null,&quot;description&quot;:null,&quot;photos&quot;:null,&quot;post_id&quot;:null,&quot;profile_id&quot;:null,&quot;profile_name&quot;:null,&quot;url&quot;:null,&quot;videos&quot;:null}"/>
    <n v="70"/>
    <n v="1.5659955257270694E-2"/>
    <d v="2024-12-15T00:00:00"/>
    <n v="0.46875"/>
    <x v="0"/>
    <x v="16"/>
    <x v="0"/>
    <x v="1"/>
    <x v="1"/>
    <x v="0"/>
    <n v="31"/>
    <x v="2"/>
  </r>
  <r>
    <n v="1.8683024939956393E+18"/>
    <s v="Lig███A"/>
    <s v="Lig███rof███ona█████████ol"/>
    <s v="⚽️⌛️¡Hoy es la gran definición del #TorneoBetano 2024 🏆! _x000a__x000a_Desde las 19.30 @Velez, @CATalleresdecba y @CAHuracan buscarán quedarse con el título_x000a__x000a_🤔 Para vos, ¿qué equipo se lo llevará?"/>
    <s v="&quot;2024-12-15T14:30:00.000Z&quot;"/>
    <s v="[&quot;https://pbs.twimg.com/media/GeyvIwKWgAAZWOE.jpg&quot;]"/>
    <s v="https://x.com/LigaAFA/status/1868302493995639243"/>
    <s v="[{&quot;biography&quot;:null,&quot;followers&quot;:null,&quot;following&quot;:null,&quot;is_verified&quot;:null,&quot;profile_id&quot;:&quot;276204298&quot;,&quot;profile_name&quot;:&quot;Vélez Sarsfield&quot;,&quot;url&quot;:&quot;https://x.com/Velez&quot;},{&quot;biography&quot;:null,&quot;followers&quot;:null,&quot;following&quot;:null,&quot;is_verified&quot;:null,&quot;profile_id&quot;:&quot;196845049&quot;,&quot;profile_name&quot;:&quot;Club Atlético Talleres&quot;,&quot;url&quot;:&quot;https://x.com/CATalleresdecba&quot;},{&quot;biography&quot;:null,&quot;followers&quot;:null,&quot;following&quot;:null,&quot;is_verified&quot;:null,&quot;profile_id&quot;:&quot;274140988&quot;,&quot;profile_name&quot;:&quot;CA Huracán&quot;,&quot;url&quot;:&quot;https://x.com/CAHuracan&quot;}]"/>
    <n v="4"/>
    <n v="18"/>
    <n v="148"/>
    <n v="11344"/>
    <s v=""/>
    <s v="[&quot;TorneoBetano&quot;]"/>
    <n v="1123810"/>
    <s v="Cuenta oficial de la Liga Profesional de Fútbol de la @AFA"/>
    <n v="34290"/>
    <s v="https://pbs.twimg.com/profile_images/1611375855892045827/5Lzl0faT_normal.jpg"/>
    <n v="63"/>
    <b v="0"/>
    <n v="6"/>
    <n v="1"/>
    <s v="{&quot;post_id&quot;:null,&quot;profile_id&quot;:null,&quot;profile_name&quot;:null}"/>
    <s v="null"/>
    <s v="null"/>
    <s v="{&quot;data_posted&quot;:null,&quot;description&quot;:null,&quot;photos&quot;:null,&quot;post_id&quot;:null,&quot;profile_id&quot;:null,&quot;profile_name&quot;:null,&quot;url&quot;:null,&quot;videos&quot;:null}"/>
    <n v="177"/>
    <n v="1.560296191819464E-2"/>
    <d v="2024-12-15T00:00:00"/>
    <n v="0.60416666666666663"/>
    <x v="0"/>
    <x v="1"/>
    <x v="0"/>
    <x v="0"/>
    <x v="1"/>
    <x v="0"/>
    <n v="184"/>
    <x v="0"/>
  </r>
  <r>
    <n v="1.8682194480263785E+18"/>
    <s v="Cel███FC"/>
    <s v="Cel███ Fo███all██████"/>
    <s v="🏆 #PremierSportsCup Final Day! 🙌_x000a__x000a_#CELRAN | #CelticFC🍀"/>
    <s v="&quot;2024-12-15T09:00:00.000Z&quot;"/>
    <s v="[&quot;https://pbs.twimg.com/media/GemXNODXoAA6yL4.jpg&quot;]"/>
    <s v="https://x.com/CelticFC/status/1868219448026378560"/>
    <s v="null"/>
    <n v="72"/>
    <n v="148"/>
    <n v="1866"/>
    <n v="136238"/>
    <s v=""/>
    <s v="[&quot;PremierSportsCup&quot;,&quot;CELRAN&quot;,&quot;CelticFC&quot;]"/>
    <n v="984256"/>
    <s v="Glasgow Celtic - 2023/24 Double Winners! 🍀🏆 🟢 @CelticFCWomen ⚪ @CelticFCB 🎌 @CelticFCJPN 📽 @CelticTV 🛒 @CelticFCShop 🎟 @CelticFCTickets"/>
    <n v="136135"/>
    <s v="https://pbs.twimg.com/profile_images/1808866900228665344/xZAZuYBY_normal.jpg"/>
    <n v="438"/>
    <b v="0"/>
    <n v="32"/>
    <n v="6"/>
    <s v="{&quot;post_id&quot;:null,&quot;profile_id&quot;:null,&quot;profile_name&quot;:null}"/>
    <s v="null"/>
    <s v="null"/>
    <s v="{&quot;data_posted&quot;:null,&quot;description&quot;:null,&quot;photos&quot;:null,&quot;post_id&quot;:null,&quot;profile_id&quot;:null,&quot;profile_name&quot;:null,&quot;url&quot;:null,&quot;videos&quot;:null}"/>
    <n v="2124"/>
    <n v="1.55903639219601E-2"/>
    <d v="2024-12-15T00:00:00"/>
    <n v="0.375"/>
    <x v="0"/>
    <x v="18"/>
    <x v="0"/>
    <x v="0"/>
    <x v="1"/>
    <x v="0"/>
    <n v="54"/>
    <x v="2"/>
  </r>
  <r>
    <n v="1.8684865093445225E+18"/>
    <s v="tvg███o"/>
    <s v="TV ███bo ███"/>
    <s v="A 5ª temporada de #TheMaskedSingerBr tá chegando e a @Eliana tá vindo com tudo junto 🎭🎤 Vem descobrir tudo comigooo com esse spoiler da edição Especial de Natal ✨ #Fantástico"/>
    <s v="&quot;2024-12-16T02:41:13.000Z&quot;"/>
    <s v="null"/>
    <s v="https://x.com/tvglobo/status/1868486509344522443"/>
    <s v="[{&quot;biography&quot;:null,&quot;followers&quot;:null,&quot;following&quot;:null,&quot;is_verified&quot;:null,&quot;profile_id&quot;:&quot;20257409&quot;,&quot;profile_name&quot;:&quot;Eliana Michaelichen&quot;,&quot;url&quot;:&quot;https://x.com/Eliana&quot;}]"/>
    <n v="2"/>
    <n v="6"/>
    <n v="40"/>
    <n v="3419"/>
    <s v=""/>
    <s v="[&quot;TheMaskedSingerBr&quot;,&quot;Fantástico&quot;]"/>
    <n v="13492430"/>
    <s v="oi, eu sou a Glô 😜"/>
    <n v="314515"/>
    <s v="https://pbs.twimg.com/profile_images/1863599216829792256/r5M1uKA8_normal.jpg"/>
    <n v="708"/>
    <b v="0"/>
    <n v="2"/>
    <n v="3"/>
    <s v="{&quot;post_id&quot;:null,&quot;profile_id&quot;:null,&quot;profile_name&quot;:null}"/>
    <s v="null"/>
    <s v="[{&quot;duration&quot;:54310,&quot;video_url&quot;:&quot;https://video.twimg.com/amplify_video/1868473157926916096/vid/avc1/1920x1080/FE78RZQw1aVqkBo0.mp4?tag=16&quot;}]"/>
    <s v="{&quot;data_posted&quot;:null,&quot;description&quot;:null,&quot;photos&quot;:null,&quot;post_id&quot;:null,&quot;profile_id&quot;:null,&quot;profile_name&quot;:null,&quot;url&quot;:null,&quot;videos&quot;:null}"/>
    <n v="53"/>
    <n v="1.5501608657502193E-2"/>
    <d v="2024-12-16T00:00:00"/>
    <n v="0.11195601851851852"/>
    <x v="2"/>
    <x v="2"/>
    <x v="1"/>
    <x v="1"/>
    <x v="1"/>
    <x v="0"/>
    <n v="174"/>
    <x v="1"/>
  </r>
  <r>
    <n v="1.8682841243534543E+18"/>
    <s v="Man███yWo███"/>
    <s v="Man███ste███ity█████████"/>
    <s v="Work to do for City._x000a__x000a_🍬 2-0 🩵 #ManCity"/>
    <s v="&quot;2024-12-15T13:17:00.000Z&quot;"/>
    <s v="[&quot;https://pbs.twimg.com/media/Ge16cT-W0AALv6J.jpg&quot;]"/>
    <s v="https://x.com/ManCityWomen/status/1868284124353454244"/>
    <s v="null"/>
    <n v="43"/>
    <n v="29"/>
    <n v="338"/>
    <n v="30057"/>
    <s v=""/>
    <s v="[&quot;ManCity&quot;]"/>
    <n v="240106"/>
    <s v="Official account of Manchester City Women 🩵_x000a__x000a_🏆 1x WSL_x000a_🏆 3x Women’s FA Cup_x000a_🏆 4x FA Women’s League Cup"/>
    <n v="29070"/>
    <s v="https://pbs.twimg.com/profile_images/1856262696011755520/VOcg8JqD_normal.jpg"/>
    <n v="799"/>
    <b v="0"/>
    <n v="39"/>
    <n v="8"/>
    <s v="{&quot;post_id&quot;:null,&quot;profile_id&quot;:null,&quot;profile_name&quot;:null}"/>
    <s v="null"/>
    <s v="null"/>
    <s v="{&quot;data_posted&quot;:null,&quot;description&quot;:null,&quot;photos&quot;:null,&quot;post_id&quot;:null,&quot;profile_id&quot;:null,&quot;profile_name&quot;:null,&quot;url&quot;:null,&quot;videos&quot;:null}"/>
    <n v="457"/>
    <n v="1.5204444888046046E-2"/>
    <d v="2024-12-15T00:00:00"/>
    <n v="0.55347222222222225"/>
    <x v="0"/>
    <x v="14"/>
    <x v="0"/>
    <x v="0"/>
    <x v="1"/>
    <x v="0"/>
    <n v="38"/>
    <x v="2"/>
  </r>
  <r>
    <n v="1.8682997172615662E+18"/>
    <s v="Bar███ysW███"/>
    <s v="Bar███ys ███en'█████████eag███"/>
    <s v="From the spot! 🫡_x000a__x000a_Fowler remains cool for @ManCityWomen _x000a__x000a_#BarclaysWSL"/>
    <s v="&quot;2024-12-15T14:18:58.000Z&quot;"/>
    <s v="null"/>
    <s v="https://x.com/BarclaysWSL/status/1868299717261566206"/>
    <s v="[{&quot;biography&quot;:null,&quot;followers&quot;:null,&quot;following&quot;:null,&quot;is_verified&quot;:null,&quot;profile_id&quot;:&quot;344643933&quot;,&quot;profile_name&quot;:&quot;Manchester City Women&quot;,&quot;url&quot;:&quot;https://x.com/ManCityWomen&quot;}]"/>
    <n v="3"/>
    <n v="15"/>
    <n v="192"/>
    <n v="14215"/>
    <s v=""/>
    <s v="[&quot;BarclaysWSL&quot;]"/>
    <n v="337839"/>
    <s v="The home of top-flight women's football in England! 🤩_x000a__x000a_Subscribe to our brand-new BWSL YouTube Channel! 📺 #BarclaysWSL"/>
    <n v="57638"/>
    <s v="https://pbs.twimg.com/profile_images/1605171595160555521/NKG9mgxv_normal.jpg"/>
    <n v="587"/>
    <b v="0"/>
    <n v="0"/>
    <n v="6"/>
    <s v="{&quot;post_id&quot;:null,&quot;profile_id&quot;:null,&quot;profile_name&quot;:null}"/>
    <s v="null"/>
    <s v="[{&quot;duration&quot;:21958,&quot;video_url&quot;:&quot;https://video.twimg.com/amplify_video/1868299694561959936/vid/avc1/1280x720/TSjfb5g7AoHHUjms.mp4?tag=16&quot;}]"/>
    <s v="{&quot;data_posted&quot;:null,&quot;description&quot;:null,&quot;photos&quot;:null,&quot;post_id&quot;:null,&quot;profile_id&quot;:null,&quot;profile_name&quot;:null,&quot;url&quot;:null,&quot;videos&quot;:null}"/>
    <n v="216"/>
    <n v="1.5195216320787901E-2"/>
    <d v="2024-12-15T00:00:00"/>
    <n v="0.59650462962962958"/>
    <x v="0"/>
    <x v="1"/>
    <x v="1"/>
    <x v="1"/>
    <x v="1"/>
    <x v="0"/>
    <n v="70"/>
    <x v="2"/>
  </r>
  <r>
    <n v="1.8681225719480404E+18"/>
    <s v="ufc"/>
    <s v="UFC"/>
    <s v="Joel Alvarez keeps his 100% finish streak 🤯_x000a__x000a_He gets it done in ONE! #UFCTampa"/>
    <s v="&quot;2024-12-15T02:35:03.000Z&quot;"/>
    <s v="null"/>
    <s v="https://x.com/ufc/status/1868122571948040328"/>
    <s v="null"/>
    <n v="94"/>
    <n v="207"/>
    <n v="2158"/>
    <n v="166384"/>
    <s v=""/>
    <s v="[&quot;UFCTampa&quot;]"/>
    <n v="12876593"/>
    <s v="#UFCTampa | Covington vs Buckley | December 14 | 10pmET | LIVE on @ESPNPlus"/>
    <n v="141401"/>
    <s v="https://pbs.twimg.com/profile_images/1835773190385328128/4fVrF1UI_normal.jpg"/>
    <n v="717"/>
    <b v="0"/>
    <n v="34"/>
    <n v="34"/>
    <s v="{&quot;post_id&quot;:null,&quot;profile_id&quot;:null,&quot;profile_name&quot;:null}"/>
    <s v="null"/>
    <s v="[{&quot;duration&quot;:6900,&quot;video_url&quot;:&quot;https://video.twimg.com/ext_tw_video/1868122422211137536/pu/vid/avc1/720x720/Nm0FhLfJE2mRhiDF.mp4?tag=12&quot;}]"/>
    <s v="{&quot;data_posted&quot;:null,&quot;description&quot;:null,&quot;photos&quot;:null,&quot;post_id&quot;:null,&quot;profile_id&quot;:null,&quot;profile_name&quot;:null,&quot;url&quot;:null,&quot;videos&quot;:null}"/>
    <n v="2527"/>
    <n v="1.5187758438311376E-2"/>
    <d v="2024-12-15T00:00:00"/>
    <n v="0.10767361111111111"/>
    <x v="0"/>
    <x v="2"/>
    <x v="1"/>
    <x v="1"/>
    <x v="1"/>
    <x v="0"/>
    <n v="78"/>
    <x v="1"/>
  </r>
  <r>
    <n v="1.8683202278446205E+18"/>
    <s v="Man███"/>
    <s v="Man███ste███nit███"/>
    <s v="Behind enemy lines 📍_x000a__x000a_🧵 adidas LNY x #MUFC_x000a__x000a_#MCIMUN"/>
    <s v="&quot;2024-12-15T15:40:28.000Z&quot;"/>
    <s v="null"/>
    <s v="https://x.com/ManUtd/status/1868320227844620506"/>
    <s v="null"/>
    <n v="126"/>
    <n v="223"/>
    <n v="2609"/>
    <n v="197616"/>
    <s v="https://store.manutd.com/en-gb/c/fashion/collections/adidas-lny-x-manchester-united?t=y&amp;utm_source=twitter&amp;utm_medium=link_post&amp;utm_campaign=muwebsite"/>
    <s v="[&quot;MUFC&quot;,&quot;MCIMUN&quot;]"/>
    <n v="38439078"/>
    <s v="’Tis the season to gift United! 🎁🎄"/>
    <n v="92455"/>
    <s v="https://pbs.twimg.com/profile_images/1856418426496880640/iIvJaO5T_normal.png"/>
    <n v="145"/>
    <b v="0"/>
    <n v="21"/>
    <n v="12"/>
    <s v="{&quot;post_id&quot;:null,&quot;profile_id&quot;:null,&quot;profile_name&quot;:null}"/>
    <s v="null"/>
    <s v="null"/>
    <s v="{&quot;data_posted&quot;:null,&quot;description&quot;:null,&quot;photos&quot;:null,&quot;post_id&quot;:null,&quot;profile_id&quot;:null,&quot;profile_name&quot;:null,&quot;url&quot;:null,&quot;videos&quot;:null}"/>
    <n v="2991"/>
    <n v="1.5135414136507165E-2"/>
    <d v="2024-12-15T00:00:00"/>
    <n v="0.65310185185185188"/>
    <x v="0"/>
    <x v="13"/>
    <x v="0"/>
    <x v="1"/>
    <x v="1"/>
    <x v="0"/>
    <n v="51"/>
    <x v="1"/>
  </r>
  <r>
    <n v="1.8684865776742075E+18"/>
    <s v="tvg███o"/>
    <s v="TV ███bo ███"/>
    <s v="Daniel e @Eliana cantando juntos no Especial de Natal do #TheMaskedSingerBr que acontece dia 22 de dezembro, aqui na minha telinha, TÁ IMPERDÍVEL 🤌 #Fantástico"/>
    <s v="&quot;2024-12-16T02:41:29.000Z&quot;"/>
    <s v="null"/>
    <s v="https://x.com/tvglobo/status/1868486577674207412"/>
    <s v="[{&quot;biography&quot;:null,&quot;followers&quot;:null,&quot;following&quot;:null,&quot;is_verified&quot;:null,&quot;profile_id&quot;:&quot;20257409&quot;,&quot;profile_name&quot;:&quot;Eliana Michaelichen&quot;,&quot;url&quot;:&quot;https://x.com/Eliana&quot;}]"/>
    <n v="3"/>
    <n v="6"/>
    <n v="49"/>
    <n v="4168"/>
    <s v=""/>
    <s v="[&quot;TheMaskedSingerBr&quot;,&quot;Fantástico&quot;]"/>
    <n v="13492430"/>
    <s v="oi, eu sou a Glô 😜"/>
    <n v="314515"/>
    <s v="https://pbs.twimg.com/profile_images/1863599216829792256/r5M1uKA8_normal.jpg"/>
    <n v="708"/>
    <b v="0"/>
    <n v="2"/>
    <n v="3"/>
    <s v="{&quot;post_id&quot;:null,&quot;profile_id&quot;:null,&quot;profile_name&quot;:null}"/>
    <s v="null"/>
    <s v="[{&quot;duration&quot;:37480,&quot;video_url&quot;:&quot;https://video.twimg.com/amplify_video/1868474523017695232/vid/avc1/1920x1080/9AXe583lPxE-IVEU.mp4?tag=16&quot;}]"/>
    <s v="{&quot;data_posted&quot;:null,&quot;description&quot;:null,&quot;photos&quot;:null,&quot;post_id&quot;:null,&quot;profile_id&quot;:null,&quot;profile_name&quot;:null,&quot;url&quot;:null,&quot;videos&quot;:null}"/>
    <n v="63"/>
    <n v="1.5115163147792706E-2"/>
    <d v="2024-12-16T00:00:00"/>
    <n v="0.1121412037037037"/>
    <x v="2"/>
    <x v="2"/>
    <x v="1"/>
    <x v="1"/>
    <x v="1"/>
    <x v="0"/>
    <n v="159"/>
    <x v="1"/>
  </r>
  <r>
    <n v="1.8683977742128868E+18"/>
    <s v="nyp███"/>
    <s v="New███rk ███t"/>
    <s v="Macaulay Culkin considered buying $5 million ‘Home Alone’ house and turning into a ‘fun house’"/>
    <s v="&quot;2024-12-15T20:48:37.000Z&quot;"/>
    <s v="[&quot;https://pbs.twimg.com/media/Ge3h39LXMAAAXjt.jpg&quot;]"/>
    <s v="https://x.com/nypost/status/1868397774212886749"/>
    <s v="null"/>
    <n v="54"/>
    <n v="87"/>
    <n v="1143"/>
    <n v="88259"/>
    <s v="https://trib.al/f9v22VE"/>
    <s v="null"/>
    <n v="3313886"/>
    <s v="Breaking news &amp; features from The New York Post. Follow your favorite sections: @pagesix, @nypmetro, @nypostbiz, @nypostsports, @nypfashion, @nypostopinion"/>
    <n v="706459"/>
    <s v="https://pbs.twimg.com/profile_images/966372680306868224/60wfGe9e_normal.jpg"/>
    <n v="10308"/>
    <b v="0"/>
    <n v="12"/>
    <n v="35"/>
    <s v="{&quot;post_id&quot;:null,&quot;profile_id&quot;:null,&quot;profile_name&quot;:null}"/>
    <s v="null"/>
    <s v="null"/>
    <s v="{&quot;data_posted&quot;:null,&quot;description&quot;:null,&quot;photos&quot;:null,&quot;post_id&quot;:null,&quot;profile_id&quot;:null,&quot;profile_name&quot;:null,&quot;url&quot;:null,&quot;videos&quot;:null}"/>
    <n v="1331"/>
    <n v="1.5080615008101157E-2"/>
    <d v="2024-12-15T00:00:00"/>
    <n v="0.86709490740740736"/>
    <x v="0"/>
    <x v="3"/>
    <x v="0"/>
    <x v="0"/>
    <x v="0"/>
    <x v="0"/>
    <n v="94"/>
    <x v="0"/>
  </r>
  <r>
    <n v="1.868418260892566E+18"/>
    <s v="Glo███ews███"/>
    <s v="Glo███ews███"/>
    <s v=".@DanielaLima_ : cirurgia de Lula travou negociações para reforma ministerial, que ficou para início de 2025._x000a__x000a_➡ Assista à #GloboNews:"/>
    <s v="&quot;2024-12-15T22:10:01.000Z&quot;"/>
    <s v="null"/>
    <s v="https://x.com/GloboNews/status/1868418260892565925"/>
    <s v="[{&quot;biography&quot;:null,&quot;followers&quot;:null,&quot;following&quot;:null,&quot;is_verified&quot;:null,&quot;profile_id&quot;:&quot;67743025&quot;,&quot;profile_name&quot;:&quot;Daniela Lima&quot;,&quot;url&quot;:&quot;https://x.com/DanielaLima_&quot;}]"/>
    <n v="50"/>
    <n v="4"/>
    <n v="84"/>
    <n v="9569"/>
    <s v="http://glo.bo/39WjXAu"/>
    <s v="[&quot;GloboNews&quot;,&quot;EspecialDeDomingo&quot;]"/>
    <n v="5771758"/>
    <s v="Nunca desliga"/>
    <n v="222223"/>
    <s v="https://pbs.twimg.com/profile_images/1559102712435933185/mYnEVnNs_normal.jpg"/>
    <n v="122"/>
    <b v="0"/>
    <n v="3"/>
    <n v="3"/>
    <s v="{&quot;post_id&quot;:null,&quot;profile_id&quot;:null,&quot;profile_name&quot;:null}"/>
    <s v="null"/>
    <s v="[{&quot;duration&quot;:127067,&quot;video_url&quot;:&quot;https://video.twimg.com/amplify_video/1868416595443257344/vid/avc1/1920x1080/j3wvrSbeafwli783.mp4?tag=16&quot;}]"/>
    <s v="{&quot;data_posted&quot;:null,&quot;description&quot;:null,&quot;photos&quot;:null,&quot;post_id&quot;:null,&quot;profile_id&quot;:null,&quot;profile_name&quot;:null,&quot;url&quot;:null,&quot;videos&quot;:null}"/>
    <n v="144"/>
    <n v="1.5048594419479569E-2"/>
    <d v="2024-12-15T00:00:00"/>
    <n v="0.9236226851851852"/>
    <x v="0"/>
    <x v="11"/>
    <x v="1"/>
    <x v="1"/>
    <x v="1"/>
    <x v="0"/>
    <n v="134"/>
    <x v="0"/>
  </r>
  <r>
    <n v="1.8683341233305521E+18"/>
    <s v="Ran███sFC███"/>
    <s v="Ran███s F███bal█████████"/>
    <s v="🇦🇱_x000a__x000a_#PremierSportsCup"/>
    <s v="&quot;2024-12-15T16:35:41.000Z&quot;"/>
    <s v="null"/>
    <s v="https://x.com/RangersFC/status/1868334123330551994"/>
    <s v="null"/>
    <n v="14"/>
    <n v="83"/>
    <n v="892"/>
    <n v="67045"/>
    <s v=""/>
    <s v="[&quot;PremierSportsCup&quot;]"/>
    <n v="812163"/>
    <s v="The Home of #RangersFC 💙"/>
    <n v="110924"/>
    <s v="https://pbs.twimg.com/profile_images/1856633703734112256/PBlqGEwC_normal.jpg"/>
    <n v="322"/>
    <b v="0"/>
    <n v="4"/>
    <n v="15"/>
    <s v="{&quot;post_id&quot;:null,&quot;profile_id&quot;:null,&quot;profile_name&quot;:null}"/>
    <s v="null"/>
    <s v="[{&quot;duration&quot;:83056,&quot;video_url&quot;:&quot;https://video.twimg.com/amplify_video/1868329832691445760/vid/avc1/1280x720/SISQ5IfLcc8w5nVQ.mp4?tag=16&quot;}]"/>
    <s v="{&quot;data_posted&quot;:null,&quot;description&quot;:null,&quot;photos&quot;:null,&quot;post_id&quot;:null,&quot;profile_id&quot;:null,&quot;profile_name&quot;:null,&quot;url&quot;:null,&quot;videos&quot;:null}"/>
    <n v="1008"/>
    <n v="1.5034678201208143E-2"/>
    <d v="2024-12-15T00:00:00"/>
    <n v="0.69144675925925925"/>
    <x v="0"/>
    <x v="15"/>
    <x v="1"/>
    <x v="1"/>
    <x v="1"/>
    <x v="0"/>
    <n v="21"/>
    <x v="2"/>
  </r>
  <r>
    <n v="1.8683878180973038E+18"/>
    <s v="Cel███FC"/>
    <s v="Cel███ Fo███all██████"/>
    <s v="📰 Daizen is spot-on at Hampden as Celtic win League Cup_x000a__x000a_Read the full match report ⤵️_x000a_ _x000a_#CELRAN | #PremierSportsCup | #CelticFC🍀"/>
    <s v="&quot;2024-12-15T20:09:03.000Z&quot;"/>
    <s v="null"/>
    <s v="https://x.com/CelticFC/status/1868387818097303844"/>
    <s v="null"/>
    <n v="9"/>
    <n v="22"/>
    <n v="526"/>
    <n v="37449"/>
    <s v="https://www.celticfc.com/news/2024/december/15/daizen-is-spot-on-at-hampden-as-celtic-win-league-cup/"/>
    <s v="[&quot;CELRAN&quot;,&quot;PremierSportsCup&quot;,&quot;CelticFC&quot;]"/>
    <n v="984256"/>
    <s v="Glasgow Celtic - 2023/24 Double Winners! 🍀🏆 🟢 @CelticFCWomen ⚪ @CelticFCB 🎌 @CelticFCJPN 📽 @CelticTV 🛒 @CelticFCShop 🎟 @CelticFCTickets"/>
    <n v="136135"/>
    <s v="https://pbs.twimg.com/profile_images/1808866900228665344/xZAZuYBY_normal.jpg"/>
    <n v="438"/>
    <b v="0"/>
    <n v="4"/>
    <n v="2"/>
    <s v="{&quot;post_id&quot;:null,&quot;profile_id&quot;:null,&quot;profile_name&quot;:null}"/>
    <s v="null"/>
    <s v="null"/>
    <s v="{&quot;data_posted&quot;:null,&quot;description&quot;:null,&quot;photos&quot;:null,&quot;post_id&quot;:null,&quot;profile_id&quot;:null,&quot;profile_name&quot;:null,&quot;url&quot;:null,&quot;videos&quot;:null}"/>
    <n v="563"/>
    <n v="1.5033779273144809E-2"/>
    <d v="2024-12-15T00:00:00"/>
    <n v="0.83961805555555558"/>
    <x v="0"/>
    <x v="3"/>
    <x v="0"/>
    <x v="1"/>
    <x v="1"/>
    <x v="0"/>
    <n v="129"/>
    <x v="2"/>
  </r>
  <r>
    <n v="1.8673907764200532E+18"/>
    <s v="Bro███ynN███"/>
    <s v="Bro███yn ███s"/>
    <s v="our answer is @mrvincecarter15 every time frfr"/>
    <s v="&quot;2024-12-13T02:07:10.000Z&quot;"/>
    <s v="null"/>
    <s v="https://x.com/BrooklynNets/status/1867390776420053337"/>
    <s v="[{&quot;biography&quot;:null,&quot;followers&quot;:null,&quot;following&quot;:null,&quot;is_verified&quot;:null,&quot;profile_id&quot;:&quot;162869667&quot;,&quot;profile_name&quot;:&quot;Vince Carter&quot;,&quot;url&quot;:&quot;https://x.com/mrvincecarter15&quot;}]"/>
    <n v="4"/>
    <n v="14"/>
    <n v="172"/>
    <n v="13463"/>
    <s v=""/>
    <s v="null"/>
    <n v="2035100"/>
    <s v="Tweets from #NetsWorld"/>
    <n v="106867"/>
    <s v="https://pbs.twimg.com/profile_images/1811024920870277122/1wQgAUZH_normal.jpg"/>
    <n v="411"/>
    <b v="0"/>
    <n v="2"/>
    <n v="10"/>
    <s v="{&quot;post_id&quot;:null,&quot;profile_id&quot;:null,&quot;profile_name&quot;:null}"/>
    <s v="null"/>
    <s v="[{&quot;duration&quot;:60233,&quot;video_url&quot;:&quot;https://video.twimg.com/amplify_video/1867390223866327040/vid/avc1/1080x1920/fnTWJED3JKpfTmXb.mp4?tag=16&quot;}]"/>
    <s v="{&quot;data_posted&quot;:null,&quot;description&quot;:null,&quot;photos&quot;:null,&quot;post_id&quot;:null,&quot;profile_id&quot;:null,&quot;profile_name&quot;:null,&quot;url&quot;:null,&quot;videos&quot;:null}"/>
    <n v="202"/>
    <n v="1.5004085270742033E-2"/>
    <d v="2024-12-13T00:00:00"/>
    <n v="8.8310185185185186E-2"/>
    <x v="1"/>
    <x v="2"/>
    <x v="1"/>
    <x v="1"/>
    <x v="0"/>
    <x v="0"/>
    <n v="46"/>
    <x v="0"/>
  </r>
  <r>
    <n v="1.8683883364167191E+18"/>
    <s v="ant███yjo███a"/>
    <s v="Ant███y J███ua"/>
    <s v="Here’s a look at what drives us behind the scenes @cleanhertsco"/>
    <s v="&quot;2024-12-15T20:11:07.000Z&quot;"/>
    <s v="null"/>
    <s v="https://x.com/anthonyjoshua/status/1868388336416719058"/>
    <s v="[{&quot;biography&quot;:null,&quot;followers&quot;:null,&quot;following&quot;:null,&quot;is_verified&quot;:null,&quot;profile_id&quot;:&quot;1456253435389509635&quot;,&quot;profile_name&quot;:&quot;Clean Herts Community&quot;,&quot;url&quot;:&quot;https://x.com/cleanhertsco&quot;}]"/>
    <n v="84"/>
    <n v="143"/>
    <n v="1239"/>
    <n v="101335"/>
    <s v=""/>
    <s v="null"/>
    <n v="3449146"/>
    <s v="Fighter 🫡"/>
    <n v="10815"/>
    <s v="https://pbs.twimg.com/profile_images/1767180083398127617/A70cOSu9_normal.jpg"/>
    <n v="27"/>
    <b v="0"/>
    <n v="18"/>
    <n v="30"/>
    <s v="{&quot;post_id&quot;:null,&quot;profile_id&quot;:null,&quot;profile_name&quot;:null}"/>
    <s v="null"/>
    <s v="[{&quot;duration&quot;:114080,&quot;video_url&quot;:&quot;https://video.twimg.com/amplify_video/1868387836803604480/vid/avc1/1080x1920/mWrFkGD2WI-icxic.mp4?tag=16&quot;}]"/>
    <s v="{&quot;data_posted&quot;:null,&quot;description&quot;:null,&quot;photos&quot;:null,&quot;post_id&quot;:null,&quot;profile_id&quot;:null,&quot;profile_name&quot;:null,&quot;url&quot;:null,&quot;videos&quot;:null}"/>
    <n v="1514"/>
    <n v="1.494054374105689E-2"/>
    <d v="2024-12-15T00:00:00"/>
    <n v="0.84105324074074073"/>
    <x v="0"/>
    <x v="3"/>
    <x v="1"/>
    <x v="1"/>
    <x v="0"/>
    <x v="0"/>
    <n v="63"/>
    <x v="0"/>
  </r>
  <r>
    <n v="1.8683402452944448E+18"/>
    <s v="Har███uin███"/>
    <s v="Har███uin███���"/>
    <s v="You're not ready for this 🎆_x000a__x000a_#BigGame16 🔜🔥_x000a__x000a_🎟️"/>
    <s v="&quot;2024-12-15T17:00:01.000Z&quot;"/>
    <s v="[&quot;https://pbs.twimg.com/media/Ge1HYGoXIAAxyaS.jpg&quot;]"/>
    <s v="https://x.com/Harlequins/status/1868340245294444925"/>
    <s v="[{&quot;biography&quot;:null,&quot;followers&quot;:null,&quot;following&quot;:null,&quot;is_verified&quot;:null,&quot;profile_id&quot;:&quot;197367030&quot;,&quot;profile_name&quot;:&quot;Charles Stanley Wealth Managers&quot;,&quot;url&quot;:&quot;https://x.com/_CharlesStanley&quot;}]"/>
    <n v="1"/>
    <n v="1"/>
    <n v="40"/>
    <n v="2813"/>
    <s v="http://www.eticketing.co.uk/harlequins/"/>
    <s v="[&quot;BigGame16&quot;,&quot;COYQ&quot;]"/>
    <n v="129250"/>
    <s v="🃏 #COYQ"/>
    <n v="67189"/>
    <s v="https://pbs.twimg.com/profile_images/1856267732309692416/lO2MB40L_normal.jpg"/>
    <n v="508"/>
    <b v="0"/>
    <n v="0"/>
    <n v="0"/>
    <s v="{&quot;post_id&quot;:null,&quot;profile_id&quot;:null,&quot;profile_name&quot;:null}"/>
    <s v="null"/>
    <s v="null"/>
    <s v="{&quot;data_posted&quot;:null,&quot;description&quot;:null,&quot;photos&quot;:null,&quot;post_id&quot;:null,&quot;profile_id&quot;:null,&quot;profile_name&quot;:null,&quot;url&quot;:null,&quot;videos&quot;:null}"/>
    <n v="42"/>
    <n v="1.4930678990401706E-2"/>
    <d v="2024-12-15T00:00:00"/>
    <n v="0.70834490740740741"/>
    <x v="0"/>
    <x v="12"/>
    <x v="0"/>
    <x v="0"/>
    <x v="1"/>
    <x v="0"/>
    <n v="46"/>
    <x v="2"/>
  </r>
  <r>
    <n v="1.8651379806937705E+18"/>
    <s v="Jet███tPo███"/>
    <s v="Jet███t"/>
    <s v="Bart Scott still believes in Breece Hall._x000a__x000a_Do You?_x000a_#Jets #breecehall #nfl"/>
    <s v="&quot;2024-12-06T20:55:21.000Z&quot;"/>
    <s v="[&quot;https://pbs.twimg.com/media/GeJNGd1XUAAykhm.jpg&quot;]"/>
    <s v="https://x.com/JetCastPod/status/1865137980693770528"/>
    <s v="null"/>
    <n v="107"/>
    <n v="13"/>
    <n v="495"/>
    <n v="42326"/>
    <s v=""/>
    <s v="[&quot;Jets&quot;,&quot;breecehall&quot;,&quot;nfl&quot;]"/>
    <n v="5138"/>
    <s v="📺 The #1 New York Jets Youtube Podcast! _x000a_🎯 Follow and Subscribe Today! _x000a_🎙 Live Jets #xSpace Every Wednesday At 7:00 P.M. ☕️"/>
    <n v="8529"/>
    <s v="https://pbs.twimg.com/profile_images/1719730021646958592/yvjyeJd6_normal.jpg"/>
    <n v="216"/>
    <b v="0"/>
    <n v="9"/>
    <n v="5"/>
    <s v="{&quot;post_id&quot;:null,&quot;profile_id&quot;:null,&quot;profile_name&quot;:null}"/>
    <s v="null"/>
    <s v="null"/>
    <s v="{&quot;data_posted&quot;:null,&quot;description&quot;:null,&quot;photos&quot;:null,&quot;post_id&quot;:null,&quot;profile_id&quot;:null,&quot;profile_name&quot;:null,&quot;url&quot;:null,&quot;videos&quot;:null}"/>
    <n v="629"/>
    <n v="1.4860842035628218E-2"/>
    <d v="2024-12-06T00:00:00"/>
    <n v="0.87177083333333338"/>
    <x v="1"/>
    <x v="3"/>
    <x v="0"/>
    <x v="0"/>
    <x v="1"/>
    <x v="0"/>
    <n v="73"/>
    <x v="3"/>
  </r>
  <r>
    <n v="1.868258230712906E+18"/>
    <s v="KRC███kof███ial███"/>
    <s v="KRC███nk"/>
    <s v="Starting XI locked in for the clash in Brugge 💪_x000a__x000a_#mijnploeg  #krcgenk"/>
    <s v="&quot;2024-12-15T11:34:07.000Z&quot;"/>
    <s v="[&quot;https://pbs.twimg.com/media/Ge1i9blXoAA_I18.jpg&quot;]"/>
    <s v="https://x.com/KRCGenkofficial/status/1868258230712905872"/>
    <s v="null"/>
    <n v="7"/>
    <n v="4"/>
    <n v="38"/>
    <n v="3576"/>
    <s v=""/>
    <s v="[&quot;mijnploeg&quot;,&quot;krcgenk&quot;]"/>
    <n v="74680"/>
    <s v="Official Twitter of KRC Genk, #mijnploeg. 👧 @krcgenkladies 🎮 @krcgenkesports"/>
    <n v="21094"/>
    <s v="https://pbs.twimg.com/profile_images/1792659529861136384/i-BMnhqY_normal.jpg"/>
    <n v="33"/>
    <b v="0"/>
    <n v="3"/>
    <n v="1"/>
    <s v="{&quot;post_id&quot;:null,&quot;profile_id&quot;:null,&quot;profile_name&quot;:null}"/>
    <s v="null"/>
    <s v="null"/>
    <s v="{&quot;data_posted&quot;:null,&quot;description&quot;:null,&quot;photos&quot;:null,&quot;post_id&quot;:null,&quot;profile_id&quot;:null,&quot;profile_name&quot;:null,&quot;url&quot;:null,&quot;videos&quot;:null}"/>
    <n v="53"/>
    <n v="1.4821029082774049E-2"/>
    <d v="2024-12-15T00:00:00"/>
    <n v="0.48202546296296295"/>
    <x v="0"/>
    <x v="16"/>
    <x v="0"/>
    <x v="0"/>
    <x v="1"/>
    <x v="0"/>
    <n v="69"/>
    <x v="3"/>
  </r>
  <r>
    <n v="1.8683456022010104E+18"/>
    <s v="Man███"/>
    <s v="Man███ste███nit███"/>
    <s v="⏸️ Behind at the interval._x000a__x000a_#MUFC || #MCIMUN"/>
    <s v="&quot;2024-12-15T17:21:18.000Z&quot;"/>
    <s v="null"/>
    <s v="https://x.com/ManUtd/status/1868345602201010390"/>
    <s v="null"/>
    <n v="672"/>
    <n v="358"/>
    <n v="3545"/>
    <n v="317642"/>
    <s v="https://www.manutd.com/en/matches/matchcenter?matchId=2444625"/>
    <s v="[&quot;MUFC&quot;,&quot;MCIMUN&quot;]"/>
    <n v="38439077"/>
    <s v="’Tis the season to gift United! 🎁🎄"/>
    <n v="92455"/>
    <s v="https://pbs.twimg.com/profile_images/1856418426496880640/iIvJaO5T_normal.png"/>
    <n v="145"/>
    <b v="0"/>
    <n v="109"/>
    <n v="15"/>
    <s v="{&quot;post_id&quot;:null,&quot;profile_id&quot;:null,&quot;profile_name&quot;:null}"/>
    <s v="null"/>
    <s v="null"/>
    <s v="{&quot;data_posted&quot;:null,&quot;description&quot;:null,&quot;photos&quot;:null,&quot;post_id&quot;:null,&quot;profile_id&quot;:null,&quot;profile_name&quot;:null,&quot;url&quot;:null,&quot;videos&quot;:null}"/>
    <n v="4699"/>
    <n v="1.4793383746481889E-2"/>
    <d v="2024-12-15T00:00:00"/>
    <n v="0.72312500000000002"/>
    <x v="0"/>
    <x v="12"/>
    <x v="0"/>
    <x v="1"/>
    <x v="1"/>
    <x v="0"/>
    <n v="44"/>
    <x v="1"/>
  </r>
  <r>
    <n v="1.8665315740674586E+18"/>
    <s v="kann"/>
    <s v="כאן"/>
    <s v="בחדשות אומרים שאף אחד לא נפגע מהפרדה מגדרית באקדמיה. ליעד ורצהיזר @LVertzhaizer מראה שכולנו נפגעים_x000a__x000a_מהצד השני עם @guyzo הערב ב-22:30 בכאן 11 ובכאן BOX"/>
    <s v="&quot;2024-12-10T17:13:00.000Z&quot;"/>
    <s v="null"/>
    <s v="https://x.com/kann/status/1866531574067458436"/>
    <s v="[{&quot;biography&quot;:null,&quot;followers&quot;:null,&quot;following&quot;:null,&quot;is_verified&quot;:null,&quot;profile_id&quot;:&quot;1036701516919394304&quot;,&quot;profile_name&quot;:&quot;Liad Vertzhaizer🎗️&quot;,&quot;url&quot;:&quot;https://x.com/LVertzhaizer&quot;},{&quot;biography&quot;:null,&quot;followers&quot;:null,&quot;following&quot;:null,&quot;is_verified&quot;:null,&quot;profile_id&quot;:&quot;6899022&quot;,&quot;profile_name&quot;:&quot;Guy Zohar&quot;,&quot;url&quot;:&quot;https://x.com/guyzo&quot;}]"/>
    <n v="17"/>
    <n v="33"/>
    <n v="185"/>
    <n v="17749"/>
    <s v=""/>
    <s v="null"/>
    <n v="182895"/>
    <s v="אנחנו כאן ❤️"/>
    <n v="30781"/>
    <s v="https://pbs.twimg.com/profile_images/1843516623740633088/WbeaAr02_normal.jpg"/>
    <n v="559"/>
    <b v="0"/>
    <n v="11"/>
    <n v="16"/>
    <s v="{&quot;post_id&quot;:null,&quot;profile_id&quot;:null,&quot;profile_name&quot;:null}"/>
    <s v="null"/>
    <s v="[{&quot;duration&quot;:242280,&quot;video_url&quot;:&quot;https://video.twimg.com/amplify_video/1866518332733595653/vid/avc1/1280x720/DP8U4LxEp-8vdWpS.mp4?tag=14&quot;}]"/>
    <s v="{&quot;data_posted&quot;:null,&quot;description&quot;:null,&quot;photos&quot;:null,&quot;post_id&quot;:null,&quot;profile_id&quot;:null,&quot;profile_name&quot;:null,&quot;url&quot;:null,&quot;videos&quot;:null}"/>
    <n v="262"/>
    <n v="1.4761395008169474E-2"/>
    <d v="2024-12-10T00:00:00"/>
    <n v="0.71736111111111112"/>
    <x v="3"/>
    <x v="12"/>
    <x v="1"/>
    <x v="1"/>
    <x v="0"/>
    <x v="0"/>
    <n v="150"/>
    <x v="2"/>
  </r>
  <r>
    <n v="1.8683859587707169E+18"/>
    <s v="tvg███o"/>
    <s v="TV ███bo ███"/>
    <s v="Karine Alves levou o &quot;Profissional do Esporte&quot; do #MelhoresDoAno 2024 🏆✨ Ela mereceu demais esse reconhecimento!!! #Domingão"/>
    <s v="&quot;2024-12-15T20:01:40.000Z&quot;"/>
    <s v="null"/>
    <s v="https://x.com/tvglobo/status/1868385958770717047"/>
    <s v="null"/>
    <n v="16"/>
    <n v="21"/>
    <n v="213"/>
    <n v="17733"/>
    <s v=""/>
    <s v="[&quot;MelhoresDoAno&quot;,&quot;Domingão&quot;]"/>
    <n v="13492430"/>
    <s v="oi, eu sou a Glô 😜"/>
    <n v="314515"/>
    <s v="https://pbs.twimg.com/profile_images/1863599216829792256/r5M1uKA8_normal.jpg"/>
    <n v="708"/>
    <b v="0"/>
    <n v="4"/>
    <n v="6"/>
    <s v="{&quot;post_id&quot;:null,&quot;profile_id&quot;:null,&quot;profile_name&quot;:null}"/>
    <s v="null"/>
    <s v="[{&quot;duration&quot;:21189,&quot;video_url&quot;:&quot;https://video.twimg.com/amplify_video/1868385293260484608/vid/avc1/1920x1080/tGTDLsJtNsjSKNLB.mp4?tag=16&quot;}]"/>
    <s v="{&quot;data_posted&quot;:null,&quot;description&quot;:null,&quot;photos&quot;:null,&quot;post_id&quot;:null,&quot;profile_id&quot;:null,&quot;profile_name&quot;:null,&quot;url&quot;:null,&quot;videos&quot;:null}"/>
    <n v="260"/>
    <n v="1.4661929735521344E-2"/>
    <d v="2024-12-15T00:00:00"/>
    <n v="0.8344907407407407"/>
    <x v="0"/>
    <x v="3"/>
    <x v="1"/>
    <x v="1"/>
    <x v="1"/>
    <x v="0"/>
    <n v="124"/>
    <x v="1"/>
  </r>
  <r>
    <n v="1.8683900330586808E+18"/>
    <s v="nyp███"/>
    <s v="New███rk ███t"/>
    <s v="Former MLB star and Yankees World Series hero Johnny Damon recalls hate he received over Donald Trump friendship: ‘Just can not understand that’"/>
    <s v="&quot;2024-12-15T20:17:51.000Z&quot;"/>
    <s v="[&quot;https://pbs.twimg.com/media/Ge3a1VIWcAABT9b.jpg&quot;]"/>
    <s v="https://x.com/nypost/status/1868390033058680957"/>
    <s v="null"/>
    <n v="18"/>
    <n v="61"/>
    <n v="437"/>
    <n v="36089"/>
    <s v="https://trib.al/q0uphNe"/>
    <s v="null"/>
    <n v="3313887"/>
    <s v="Breaking news &amp; features from The New York Post. Follow your favorite sections: @pagesix, @nypmetro, @nypostbiz, @nypostsports, @nypfashion, @nypostopinion"/>
    <n v="706459"/>
    <s v="https://pbs.twimg.com/profile_images/966372680306868224/60wfGe9e_normal.jpg"/>
    <n v="10308"/>
    <b v="0"/>
    <n v="3"/>
    <n v="8"/>
    <s v="{&quot;post_id&quot;:null,&quot;profile_id&quot;:null,&quot;profile_name&quot;:null}"/>
    <s v="null"/>
    <s v="null"/>
    <s v="{&quot;data_posted&quot;:null,&quot;description&quot;:null,&quot;photos&quot;:null,&quot;post_id&quot;:null,&quot;profile_id&quot;:null,&quot;profile_name&quot;:null,&quot;url&quot;:null,&quot;videos&quot;:null}"/>
    <n v="527"/>
    <n v="1.4602787552993986E-2"/>
    <d v="2024-12-15T00:00:00"/>
    <n v="0.84572916666666664"/>
    <x v="0"/>
    <x v="3"/>
    <x v="0"/>
    <x v="0"/>
    <x v="0"/>
    <x v="0"/>
    <n v="144"/>
    <x v="0"/>
  </r>
  <r>
    <n v="1.8681292028279196E+18"/>
    <s v="ufc"/>
    <s v="UFC"/>
    <s v="THE START OF A NEW WIN STREAK 😤_x000a__x000a_@Menace155 ends it early in the second! #UFCTampa"/>
    <s v="&quot;2024-12-15T03:01:24.000Z&quot;"/>
    <s v="null"/>
    <s v="https://x.com/ufc/status/1868129202827919667"/>
    <s v="[{&quot;biography&quot;:null,&quot;followers&quot;:null,&quot;following&quot;:null,&quot;is_verified&quot;:null,&quot;profile_id&quot;:&quot;177019934&quot;,&quot;profile_name&quot;:&quot;Michael Johnson&quot;,&quot;url&quot;:&quot;https://x.com/Menace155&quot;}]"/>
    <n v="162"/>
    <n v="220"/>
    <n v="3589"/>
    <n v="279855"/>
    <s v=""/>
    <s v="[&quot;UFCTampa&quot;]"/>
    <n v="12876592"/>
    <s v="#UFCTampa | Covington vs Buckley | December 14 | 10pmET | LIVE on @ESPNPlus"/>
    <n v="141401"/>
    <s v="https://pbs.twimg.com/profile_images/1835773190385328128/4fVrF1UI_normal.jpg"/>
    <n v="717"/>
    <b v="0"/>
    <n v="39"/>
    <n v="66"/>
    <s v="{&quot;post_id&quot;:null,&quot;profile_id&quot;:null,&quot;profile_name&quot;:null}"/>
    <s v="null"/>
    <s v="[{&quot;duration&quot;:27134,&quot;video_url&quot;:&quot;https://video.twimg.com/amplify_video/1868128813558734848/vid/avc1/720x720/tPDO6jD7JIGKsOu2.mp4?tag=14&quot;}]"/>
    <s v="{&quot;data_posted&quot;:null,&quot;description&quot;:null,&quot;photos&quot;:null,&quot;post_id&quot;:null,&quot;profile_id&quot;:null,&quot;profile_name&quot;:null,&quot;url&quot;:null,&quot;videos&quot;:null}"/>
    <n v="4076"/>
    <n v="1.4564685283450358E-2"/>
    <d v="2024-12-15T00:00:00"/>
    <n v="0.12597222222222224"/>
    <x v="0"/>
    <x v="21"/>
    <x v="1"/>
    <x v="1"/>
    <x v="1"/>
    <x v="0"/>
    <n v="82"/>
    <x v="1"/>
  </r>
  <r>
    <n v="1.8681010039642278E+18"/>
    <s v="WWE"/>
    <s v="WWE"/>
    <s v="🗣️ LET’S GOOOOOOOOOOO!_x000a__x000a_@PatMcAfeeShow is back! 🙌_x000a__x000a_#SNME"/>
    <s v="&quot;2024-12-15T01:09:21.000Z&quot;"/>
    <s v="null"/>
    <s v="https://x.com/WWE/status/1868101003964227862"/>
    <s v="[{&quot;biography&quot;:null,&quot;followers&quot;:null,&quot;following&quot;:null,&quot;is_verified&quot;:null,&quot;profile_id&quot;:&quot;137862496&quot;,&quot;profile_name&quot;:&quot;Pat McAfee&quot;,&quot;url&quot;:&quot;https://x.com/PatMcAfeeShow&quot;}]"/>
    <n v="177"/>
    <n v="927"/>
    <n v="6790"/>
    <n v="569213"/>
    <s v=""/>
    <s v="[&quot;SNME&quot;]"/>
    <n v="14375937"/>
    <s v="WWE Raw | Mondays at 8/7c on USA Network _x000a_WWE NXT | Tuesdays at 8/7c on The CW _x000a_WWE SmackDown | Fridays at 8/7c on USA Network"/>
    <n v="346973"/>
    <s v="https://pbs.twimg.com/profile_images/1383079031805972485/3sWoMX-R_normal.jpg"/>
    <n v="392"/>
    <b v="0"/>
    <n v="60"/>
    <n v="332"/>
    <s v="{&quot;post_id&quot;:null,&quot;profile_id&quot;:null,&quot;profile_name&quot;:null}"/>
    <s v="null"/>
    <s v="[{&quot;duration&quot;:77600,&quot;video_url&quot;:&quot;https://video.twimg.com/amplify_video/1868100904554999808/vid/avc1/1920x1080/GYi5FgoJr4HMRp_f.mp4?tag=16&quot;}]"/>
    <s v="{&quot;data_posted&quot;:null,&quot;description&quot;:null,&quot;photos&quot;:null,&quot;post_id&quot;:null,&quot;profile_id&quot;:null,&quot;profile_name&quot;:null,&quot;url&quot;:null,&quot;videos&quot;:null}"/>
    <n v="8286"/>
    <n v="1.4556940899101039E-2"/>
    <d v="2024-12-15T00:00:00"/>
    <n v="4.8159722222222222E-2"/>
    <x v="0"/>
    <x v="19"/>
    <x v="1"/>
    <x v="1"/>
    <x v="1"/>
    <x v="0"/>
    <n v="56"/>
    <x v="1"/>
  </r>
  <r>
    <n v="1.8683545857120671E+18"/>
    <s v="kann"/>
    <s v="כאן"/>
    <s v="ראיון בלעדי עם השחקן יו לורי על #טהרן _x000a__x000a_מחר פרק שני אחרי החדשות בכאן 11 ובכאן BOX"/>
    <s v="&quot;2024-12-15T17:57:00.000Z&quot;"/>
    <s v="null"/>
    <s v="https://x.com/kann/status/1868354585712067031"/>
    <s v="null"/>
    <n v="7"/>
    <n v="4"/>
    <n v="94"/>
    <n v="8269"/>
    <s v=""/>
    <s v="[&quot;טהרן&quot;]"/>
    <n v="182895"/>
    <s v="אנחנו כאן ❤️"/>
    <n v="30781"/>
    <s v="https://pbs.twimg.com/profile_images/1843516623740633088/WbeaAr02_normal.jpg"/>
    <n v="559"/>
    <b v="0"/>
    <n v="2"/>
    <n v="13"/>
    <s v="{&quot;post_id&quot;:null,&quot;profile_id&quot;:null,&quot;profile_name&quot;:null}"/>
    <s v="null"/>
    <s v="[{&quot;duration&quot;:212086,&quot;video_url&quot;:&quot;https://video.twimg.com/amplify_video/1868279488213094400/vid/avc1/1280x720/Tjjphe3gzon-Yo3p.mp4?tag=14&quot;}]"/>
    <s v="{&quot;data_posted&quot;:null,&quot;description&quot;:null,&quot;photos&quot;:null,&quot;post_id&quot;:null,&quot;profile_id&quot;:null,&quot;profile_name&quot;:null,&quot;url&quot;:null,&quot;videos&quot;:null}"/>
    <n v="120"/>
    <n v="1.4512032893941226E-2"/>
    <d v="2024-12-15T00:00:00"/>
    <n v="0.74791666666666667"/>
    <x v="0"/>
    <x v="12"/>
    <x v="1"/>
    <x v="1"/>
    <x v="1"/>
    <x v="0"/>
    <n v="81"/>
    <x v="2"/>
  </r>
  <r>
    <n v="1.8683556261049224E+18"/>
    <s v="SLB███ica███"/>
    <s v="SL ███fic███"/>
    <s v="🔛 Rola a bola na Vila das Aves! 💪_x000a__x000a_#AVSSLB • #LigaPortugalBetclic"/>
    <s v="&quot;2024-12-15T18:01:08.000Z&quot;"/>
    <s v="[&quot;https://pbs.twimg.com/media/Ge27LFcWQAAbBYB.jpg&quot;]"/>
    <s v="https://x.com/SLBenfica/status/1868355626104922315"/>
    <s v="null"/>
    <n v="3"/>
    <n v="10"/>
    <n v="200"/>
    <n v="14932"/>
    <s v=""/>
    <s v="[&quot;AVSSLB&quot;,&quot;LigaPortugalBetclic&quot;]"/>
    <n v="1906482"/>
    <s v="Twitter Oficial do 𝗦𝗽𝗼𝗿𝘁 𝗟𝗶𝘀𝗯𝗼𝗮 𝗲 𝗕𝗲𝗻𝗳𝗶𝗰𝗮 _x000a_English account: @SLBenfica_EN 🇬🇧🇺🇸_x000a_Modalidades: @ModalidadesSLB 🏑🏀"/>
    <n v="124666"/>
    <s v="https://pbs.twimg.com/profile_images/1845888754898161664/8uDsALMU_normal.jpg"/>
    <n v="432"/>
    <b v="0"/>
    <n v="1"/>
    <n v="1"/>
    <s v="{&quot;post_id&quot;:null,&quot;profile_id&quot;:null,&quot;profile_name&quot;:null}"/>
    <s v="null"/>
    <s v="null"/>
    <s v="{&quot;data_posted&quot;:null,&quot;description&quot;:null,&quot;photos&quot;:null,&quot;post_id&quot;:null,&quot;profile_id&quot;:null,&quot;profile_name&quot;:null,&quot;url&quot;:null,&quot;videos&quot;:null}"/>
    <n v="215"/>
    <n v="1.4398607018483793E-2"/>
    <d v="2024-12-15T00:00:00"/>
    <n v="0.75078703703703709"/>
    <x v="0"/>
    <x v="8"/>
    <x v="0"/>
    <x v="0"/>
    <x v="1"/>
    <x v="0"/>
    <n v="65"/>
    <x v="0"/>
  </r>
  <r>
    <n v="1.8683138174924186E+18"/>
    <s v="Met███ole███"/>
    <s v="Met███ole███"/>
    <s v="➡️ Largadas em pátio, ambulâncias novas do Samu-DF nunca foram às ruas_x000a__x000a_Catorze viaturas esperam contratação de seguro por parte da Secretaria de Saúde. Atendimento de pacientes fica prejudicado sem novos carros_x000a__x000a_Leia:"/>
    <s v="&quot;2024-12-15T15:15:00.000Z&quot;"/>
    <s v="[&quot;https://pbs.twimg.com/media/Ge1mPyiXYAAZoI1.png&quot;]"/>
    <s v="https://x.com/Metropoles/status/1868313817492418673"/>
    <s v="null"/>
    <n v="1"/>
    <n v="14"/>
    <n v="34"/>
    <n v="3897"/>
    <s v="https://curt.link/cHkqO"/>
    <s v="null"/>
    <n v="1239618"/>
    <s v="📱 O seu portal de notícias. Tudo sobre política, saúde, justiça, comportamento, entretenimento. Confira os fatos relevantes do país e do mundo em tempo real."/>
    <n v="402839"/>
    <s v="https://pbs.twimg.com/profile_images/1642966741138415647/fHdgQUGl_normal.jpg"/>
    <n v="1644"/>
    <b v="0"/>
    <n v="3"/>
    <n v="4"/>
    <s v="{&quot;post_id&quot;:null,&quot;profile_id&quot;:null,&quot;profile_name&quot;:null}"/>
    <s v="null"/>
    <s v="null"/>
    <s v="{&quot;data_posted&quot;:null,&quot;description&quot;:null,&quot;photos&quot;:null,&quot;post_id&quot;:null,&quot;profile_id&quot;:null,&quot;profile_name&quot;:null,&quot;url&quot;:null,&quot;videos&quot;:null}"/>
    <n v="56"/>
    <n v="1.437002822684116E-2"/>
    <d v="2024-12-15T00:00:00"/>
    <n v="0.63541666666666663"/>
    <x v="0"/>
    <x v="13"/>
    <x v="0"/>
    <x v="0"/>
    <x v="0"/>
    <x v="0"/>
    <n v="218"/>
    <x v="0"/>
  </r>
  <r>
    <n v="1.8681021616550584E+18"/>
    <s v="WWE"/>
    <s v="WWE"/>
    <s v="Vintage @SamiZayn! 👊_x000a__x000a_#SNME"/>
    <s v="&quot;2024-12-15T01:13:57.000Z&quot;"/>
    <s v="null"/>
    <s v="https://x.com/WWE/status/1868102161655058524"/>
    <s v="[{&quot;biography&quot;:null,&quot;followers&quot;:null,&quot;following&quot;:null,&quot;is_verified&quot;:null,&quot;profile_id&quot;:&quot;1289482598&quot;,&quot;profile_name&quot;:&quot;Sami Zayn&quot;,&quot;url&quot;:&quot;https://x.com/SamiZayn&quot;}]"/>
    <n v="68"/>
    <n v="471"/>
    <n v="3725"/>
    <n v="304839"/>
    <s v=""/>
    <s v="[&quot;SNME&quot;]"/>
    <n v="14375935"/>
    <s v="WWE Raw | Mondays at 8/7c on USA Network _x000a_WWE NXT | Tuesdays at 8/7c on The CW _x000a_WWE SmackDown | Fridays at 8/7c on USA Network"/>
    <n v="346973"/>
    <s v="https://pbs.twimg.com/profile_images/1383079031805972485/3sWoMX-R_normal.jpg"/>
    <n v="392"/>
    <b v="0"/>
    <n v="11"/>
    <n v="103"/>
    <s v="{&quot;post_id&quot;:null,&quot;profile_id&quot;:null,&quot;profile_name&quot;:null}"/>
    <s v="null"/>
    <s v="[{&quot;duration&quot;:17067,&quot;video_url&quot;:&quot;https://video.twimg.com/amplify_video/1868102119133163520/vid/avc1/1920x1080/-fFPDlkhVIKMRPTD.mp4?tag=16&quot;}]"/>
    <s v="{&quot;data_posted&quot;:null,&quot;description&quot;:null,&quot;photos&quot;:null,&quot;post_id&quot;:null,&quot;profile_id&quot;:null,&quot;profile_name&quot;:null,&quot;url&quot;:null,&quot;videos&quot;:null}"/>
    <n v="4378"/>
    <n v="1.4361679443903175E-2"/>
    <d v="2024-12-15T00:00:00"/>
    <n v="5.1354166666666666E-2"/>
    <x v="0"/>
    <x v="19"/>
    <x v="1"/>
    <x v="1"/>
    <x v="1"/>
    <x v="0"/>
    <n v="27"/>
    <x v="1"/>
  </r>
  <r>
    <n v="1.8681707174996667E+18"/>
    <s v="ufc"/>
    <s v="UFC"/>
    <s v="He's not done YET‼️_x000a__x000a_@CubSwanson | #UFCTampa"/>
    <s v="&quot;2024-12-15T05:46:22.000Z&quot;"/>
    <s v="null"/>
    <s v="https://x.com/ufc/status/1868170717499666757"/>
    <s v="[{&quot;biography&quot;:null,&quot;followers&quot;:null,&quot;following&quot;:null,&quot;is_verified&quot;:null,&quot;profile_id&quot;:&quot;30506859&quot;,&quot;profile_name&quot;:&quot;Cub Swanson&quot;,&quot;url&quot;:&quot;https://x.com/CubSwanson&quot;}]"/>
    <n v="93"/>
    <n v="117"/>
    <n v="1494"/>
    <n v="122244"/>
    <s v=""/>
    <s v="[&quot;UFCTampa&quot;]"/>
    <n v="12876592"/>
    <s v="#UFCTampa | Covington vs Buckley | December 14 | 10pmET | LIVE on @ESPNPlus"/>
    <n v="141401"/>
    <s v="https://pbs.twimg.com/profile_images/1835773190385328128/4fVrF1UI_normal.jpg"/>
    <n v="717"/>
    <b v="0"/>
    <n v="14"/>
    <n v="33"/>
    <s v="{&quot;post_id&quot;:null,&quot;profile_id&quot;:null,&quot;profile_name&quot;:null}"/>
    <s v="null"/>
    <s v="[{&quot;duration&quot;:26300,&quot;video_url&quot;:&quot;https://video.twimg.com/ext_tw_video/1868170663757783040/pu/vid/avc1/720x720/b2EzbBRlwIJVXkQ9.mp4?tag=12&quot;}]"/>
    <s v="{&quot;data_posted&quot;:null,&quot;description&quot;:null,&quot;photos&quot;:null,&quot;post_id&quot;:null,&quot;profile_id&quot;:null,&quot;profile_name&quot;:null,&quot;url&quot;:null,&quot;videos&quot;:null}"/>
    <n v="1751"/>
    <n v="1.432381139360623E-2"/>
    <d v="2024-12-15T00:00:00"/>
    <n v="0.24053240740740742"/>
    <x v="0"/>
    <x v="22"/>
    <x v="1"/>
    <x v="1"/>
    <x v="1"/>
    <x v="0"/>
    <n v="44"/>
    <x v="1"/>
  </r>
  <r>
    <n v="1.8682881974798172E+18"/>
    <s v="nyp███"/>
    <s v="New███rk ███t"/>
    <s v="NJ senator says feds are too ‘fearful’ of public reaction to tell the truth about mysterious drones"/>
    <s v="&quot;2024-12-15T13:33:12.000Z&quot;"/>
    <s v="[&quot;https://pbs.twimg.com/media/Ge1-Nu4WEAAr4kM.jpg&quot;]"/>
    <s v="https://x.com/nypost/status/1868288197479817263"/>
    <s v="null"/>
    <n v="90"/>
    <n v="132"/>
    <n v="596"/>
    <n v="60439"/>
    <s v="https://trib.al/kTJyxJW"/>
    <s v="null"/>
    <n v="3313891"/>
    <s v="Breaking news &amp; features from The New York Post. Follow your favorite sections: @pagesix, @nypmetro, @nypostbiz, @nypostsports, @nypfashion, @nypostopinion"/>
    <n v="706459"/>
    <s v="https://pbs.twimg.com/profile_images/966372680306868224/60wfGe9e_normal.jpg"/>
    <n v="10308"/>
    <b v="0"/>
    <n v="19"/>
    <n v="28"/>
    <s v="{&quot;post_id&quot;:null,&quot;profile_id&quot;:null,&quot;profile_name&quot;:null}"/>
    <s v="null"/>
    <s v="null"/>
    <s v="{&quot;data_posted&quot;:null,&quot;description&quot;:null,&quot;photos&quot;:null,&quot;post_id&quot;:null,&quot;profile_id&quot;:null,&quot;profile_name&quot;:null,&quot;url&quot;:null,&quot;videos&quot;:null}"/>
    <n v="865"/>
    <n v="1.4311950892635549E-2"/>
    <d v="2024-12-15T00:00:00"/>
    <n v="0.56472222222222224"/>
    <x v="0"/>
    <x v="14"/>
    <x v="0"/>
    <x v="0"/>
    <x v="0"/>
    <x v="0"/>
    <n v="99"/>
    <x v="0"/>
  </r>
  <r>
    <n v="1.8681430576331735E+18"/>
    <s v="WWE"/>
    <s v="WWE"/>
    <s v="Upon leaving gorilla, Triple H got into a confrontation with Kevin Owens. _x000a__x000a_#SNME"/>
    <s v="&quot;2024-12-15T03:56:28.000Z&quot;"/>
    <s v="null"/>
    <s v="https://x.com/WWE/status/1868143057633173600"/>
    <s v="null"/>
    <n v="742"/>
    <n v="3313"/>
    <n v="27354"/>
    <n v="2407550"/>
    <s v=""/>
    <s v="[&quot;SNME&quot;]"/>
    <n v="14375937"/>
    <s v="WWE Raw | Mondays at 8/7c on USA Network _x000a_WWE NXT | Tuesdays at 8/7c on The CW _x000a_WWE SmackDown | Fridays at 8/7c on USA Network"/>
    <n v="346973"/>
    <s v="https://pbs.twimg.com/profile_images/1383079031805972485/3sWoMX-R_normal.jpg"/>
    <n v="392"/>
    <b v="0"/>
    <n v="474"/>
    <n v="2149"/>
    <s v="{&quot;post_id&quot;:null,&quot;profile_id&quot;:null,&quot;profile_name&quot;:null}"/>
    <s v="null"/>
    <s v="[{&quot;duration&quot;:34300,&quot;video_url&quot;:&quot;https://video.twimg.com/amplify_video/1868143026297556992/vid/avc1/720x1280/8INyo5BvQTCLNjxF.mp4?tag=16&quot;}]"/>
    <s v="{&quot;data_posted&quot;:null,&quot;description&quot;:null,&quot;photos&quot;:null,&quot;post_id&quot;:null,&quot;profile_id&quot;:null,&quot;profile_name&quot;:null,&quot;url&quot;:null,&quot;videos&quot;:null}"/>
    <n v="34032"/>
    <n v="1.4135531972337023E-2"/>
    <d v="2024-12-15T00:00:00"/>
    <n v="0.16421296296296295"/>
    <x v="0"/>
    <x v="21"/>
    <x v="1"/>
    <x v="1"/>
    <x v="1"/>
    <x v="0"/>
    <n v="81"/>
    <x v="1"/>
  </r>
  <r>
    <n v="1.8683376886315013E+18"/>
    <s v="Cel███FC"/>
    <s v="Cel███ Fo███all██████"/>
    <s v="56' - GREG TAYLOR EQUALISES!!! ⚽️_x000a_ _x000a_Follow the action live on our Match Centre 📲"/>
    <s v="&quot;2024-12-15T16:49:51.000Z&quot;"/>
    <s v="[&quot;https://pbs.twimg.com/media/Ge2Wh10XEAALaHa.jpg&quot;]"/>
    <s v="https://x.com/CelticFC/status/1868337688631501259"/>
    <s v="null"/>
    <n v="112"/>
    <n v="138"/>
    <n v="1335"/>
    <n v="115256"/>
    <s v="http://celticfc.com/match"/>
    <s v="[&quot;CELRAN&quot;,&quot;PremierSportsCup&quot;,&quot;CelticFC&quot;]"/>
    <n v="984256"/>
    <s v="Glasgow Celtic - 2023/24 Double Winners! 🍀🏆 🟢 @CelticFCWomen ⚪ @CelticFCB 🎌 @CelticFCJPN 📽 @CelticTV 🛒 @CelticFCShop 🎟 @CelticFCTickets"/>
    <n v="136135"/>
    <s v="https://pbs.twimg.com/profile_images/1808866900228665344/xZAZuYBY_normal.jpg"/>
    <n v="438"/>
    <b v="0"/>
    <n v="36"/>
    <n v="6"/>
    <s v="{&quot;post_id&quot;:null,&quot;profile_id&quot;:null,&quot;profile_name&quot;:null}"/>
    <s v="null"/>
    <s v="null"/>
    <s v="{&quot;data_posted&quot;:null,&quot;description&quot;:null,&quot;photos&quot;:null,&quot;post_id&quot;:null,&quot;profile_id&quot;:null,&quot;profile_name&quot;:null,&quot;url&quot;:null,&quot;videos&quot;:null}"/>
    <n v="1627"/>
    <n v="1.4116401749149719E-2"/>
    <d v="2024-12-15T00:00:00"/>
    <n v="0.70128472222222227"/>
    <x v="0"/>
    <x v="15"/>
    <x v="0"/>
    <x v="0"/>
    <x v="1"/>
    <x v="0"/>
    <n v="80"/>
    <x v="2"/>
  </r>
  <r>
    <n v="1.8682194515370683E+18"/>
    <s v="Man███yWo███"/>
    <s v="Man███ste███ity█████████"/>
    <s v="Wrapping up the year in the @BarclaysWSL! 🙌_x000a__x000a_#ManCity"/>
    <s v="&quot;2024-12-15T09:00:01.000Z&quot;"/>
    <s v="[&quot;https://pbs.twimg.com/media/Ge0zGq9XwAASuPV.jpg&quot;]"/>
    <s v="https://x.com/ManCityWomen/status/1868219451537068299"/>
    <s v="[{&quot;biography&quot;:null,&quot;followers&quot;:null,&quot;following&quot;:null,&quot;is_verified&quot;:null,&quot;profile_id&quot;:&quot;273665871&quot;,&quot;profile_name&quot;:&quot;Barclays Women's Super League&quot;,&quot;url&quot;:&quot;https://x.com/BarclaysWSL&quot;}]"/>
    <n v="26"/>
    <n v="87"/>
    <n v="791"/>
    <n v="65628"/>
    <s v=""/>
    <s v="[&quot;ManCity&quot;]"/>
    <n v="240106"/>
    <s v="Official account of Manchester City Women 🩵_x000a__x000a_🏆 1x WSL_x000a_🏆 3x Women’s FA Cup_x000a_🏆 4x FA Women’s League Cup"/>
    <n v="29070"/>
    <s v="https://pbs.twimg.com/profile_images/1856262696011755520/VOcg8JqD_normal.jpg"/>
    <n v="799"/>
    <b v="0"/>
    <n v="5"/>
    <n v="16"/>
    <s v="{&quot;post_id&quot;:null,&quot;profile_id&quot;:null,&quot;profile_name&quot;:null}"/>
    <s v="null"/>
    <s v="null"/>
    <s v="{&quot;data_posted&quot;:null,&quot;description&quot;:null,&quot;photos&quot;:null,&quot;post_id&quot;:null,&quot;profile_id&quot;:null,&quot;profile_name&quot;:null,&quot;url&quot;:null,&quot;videos&quot;:null}"/>
    <n v="925"/>
    <n v="1.4094593770951423E-2"/>
    <d v="2024-12-15T00:00:00"/>
    <n v="0.37501157407407409"/>
    <x v="0"/>
    <x v="18"/>
    <x v="0"/>
    <x v="0"/>
    <x v="1"/>
    <x v="0"/>
    <n v="53"/>
    <x v="2"/>
  </r>
  <r>
    <n v="1.8683206298809795E+18"/>
    <s v="WWE"/>
    <s v="WWE"/>
    <s v="It was a WILD night at #SNME, but what moment took the top spot in last night's #WWETop10? 👀_x000a__x000a_▶️"/>
    <s v="&quot;2024-12-15T15:42:04.000Z&quot;"/>
    <s v="[&quot;https://pbs.twimg.com/media/Ge2btZ3XQAAbgdO.jpg&quot;]"/>
    <s v="https://x.com/WWE/status/1868320629880979553"/>
    <s v="null"/>
    <n v="112"/>
    <n v="137"/>
    <n v="1177"/>
    <n v="103887"/>
    <s v="http://ms.spr.ly/6016oTm6k"/>
    <s v="[&quot;SNME&quot;,&quot;WWETop10&quot;]"/>
    <n v="14376035"/>
    <s v="WWE Raw | Mondays at 8/7c on USA Network _x000a_WWE NXT | Tuesdays at 8/7c on The CW _x000a_WWE SmackDown | Fridays at 8/7c on USA Network"/>
    <n v="346973"/>
    <s v="https://pbs.twimg.com/profile_images/1383079031805972485/3sWoMX-R_normal.jpg"/>
    <n v="392"/>
    <b v="0"/>
    <n v="3"/>
    <n v="32"/>
    <s v="{&quot;post_id&quot;:null,&quot;profile_id&quot;:null,&quot;profile_name&quot;:null}"/>
    <s v="null"/>
    <s v="null"/>
    <s v="{&quot;data_posted&quot;:null,&quot;description&quot;:null,&quot;photos&quot;:null,&quot;post_id&quot;:null,&quot;profile_id&quot;:null,&quot;profile_name&quot;:null,&quot;url&quot;:null,&quot;videos&quot;:null}"/>
    <n v="1461"/>
    <n v="1.406335730168356E-2"/>
    <d v="2024-12-15T00:00:00"/>
    <n v="0.65421296296296294"/>
    <x v="0"/>
    <x v="13"/>
    <x v="0"/>
    <x v="0"/>
    <x v="1"/>
    <x v="0"/>
    <n v="96"/>
    <x v="1"/>
  </r>
  <r>
    <n v="1.8681100455666284E+18"/>
    <s v="WWE"/>
    <s v="WWE"/>
    <s v="Who ya got leaving with the World Heavyweight Championship? 🤔_x000a__x000a_#SNME"/>
    <s v="&quot;2024-12-15T01:45:17.000Z&quot;"/>
    <s v="[&quot;https://pbs.twimg.com/media/GezcLk2WwAA3Wl7.jpg&quot;]"/>
    <s v="https://x.com/WWE/status/1868110045566628342"/>
    <s v="null"/>
    <n v="190"/>
    <n v="356"/>
    <n v="2536"/>
    <n v="228467"/>
    <s v=""/>
    <s v="[&quot;SNME&quot;]"/>
    <n v="14375934"/>
    <s v="WWE Raw | Mondays at 8/7c on USA Network _x000a_WWE NXT | Tuesdays at 8/7c on The CW _x000a_WWE SmackDown | Fridays at 8/7c on USA Network"/>
    <n v="346973"/>
    <s v="https://pbs.twimg.com/profile_images/1383079031805972485/3sWoMX-R_normal.jpg"/>
    <n v="392"/>
    <b v="0"/>
    <n v="44"/>
    <n v="87"/>
    <s v="{&quot;post_id&quot;:null,&quot;profile_id&quot;:null,&quot;profile_name&quot;:null}"/>
    <s v="null"/>
    <s v="null"/>
    <s v="{&quot;data_posted&quot;:null,&quot;description&quot;:null,&quot;photos&quot;:null,&quot;post_id&quot;:null,&quot;profile_id&quot;:null,&quot;profile_name&quot;:null,&quot;url&quot;:null,&quot;videos&quot;:null}"/>
    <n v="3213"/>
    <n v="1.4063300170265291E-2"/>
    <d v="2024-12-15T00:00:00"/>
    <n v="7.3113425925925929E-2"/>
    <x v="0"/>
    <x v="19"/>
    <x v="0"/>
    <x v="0"/>
    <x v="1"/>
    <x v="0"/>
    <n v="68"/>
    <x v="1"/>
  </r>
  <r>
    <n v="1.8683072360631834E+18"/>
    <s v="Bar███ysW███"/>
    <s v="Bar███ys ███en'█████████eag███"/>
    <s v="Pinpoint ball slipped through by Dali and Leon is there to finish the move!_x000a__x000a_#BarclaysWSL @AVWFCOfficial"/>
    <s v="&quot;2024-12-15T14:48:51.000Z&quot;"/>
    <s v="null"/>
    <s v="https://x.com/BarclaysWSL/status/1868307236063183284"/>
    <s v="[{&quot;biography&quot;:null,&quot;followers&quot;:null,&quot;following&quot;:null,&quot;is_verified&quot;:null,&quot;profile_id&quot;:&quot;379676896&quot;,&quot;profile_name&quot;:&quot;Aston Villa Women&quot;,&quot;url&quot;:&quot;https://x.com/AVWFCOfficial&quot;}]"/>
    <n v="4"/>
    <n v="12"/>
    <n v="150"/>
    <n v="12248"/>
    <s v=""/>
    <s v="[&quot;BarclaysWSL&quot;]"/>
    <n v="337839"/>
    <s v="The home of top-flight women's football in England! 🤩_x000a__x000a_Subscribe to our brand-new BWSL YouTube Channel! 📺 #BarclaysWSL"/>
    <n v="57638"/>
    <s v="https://pbs.twimg.com/profile_images/1605171595160555521/NKG9mgxv_normal.jpg"/>
    <n v="587"/>
    <b v="0"/>
    <n v="3"/>
    <n v="3"/>
    <s v="{&quot;post_id&quot;:null,&quot;profile_id&quot;:null,&quot;profile_name&quot;:null}"/>
    <s v="null"/>
    <s v="[{&quot;duration&quot;:23653,&quot;video_url&quot;:&quot;https://video.twimg.com/amplify_video/1868307198658396160/vid/avc1/1280x720/LBsiW52gijwZOJjY.mp4?tag=16&quot;}]"/>
    <s v="{&quot;data_posted&quot;:null,&quot;description&quot;:null,&quot;photos&quot;:null,&quot;post_id&quot;:null,&quot;profile_id&quot;:null,&quot;profile_name&quot;:null,&quot;url&quot;:null,&quot;videos&quot;:null}"/>
    <n v="172"/>
    <n v="1.4043109079033311E-2"/>
    <d v="2024-12-15T00:00:00"/>
    <n v="0.61725694444444446"/>
    <x v="0"/>
    <x v="1"/>
    <x v="1"/>
    <x v="1"/>
    <x v="1"/>
    <x v="0"/>
    <n v="104"/>
    <x v="2"/>
  </r>
  <r>
    <n v="1.8684387669368138E+18"/>
    <s v="Bre███ord███"/>
    <s v="Bre███ord███"/>
    <s v="🗨️ &quot;The way we competed against a very good team was very impressive&quot;_x000a__x000a_Thomas Frank on tonight's defeat_x000a__x000a_#CHEBRE | @pensionbee"/>
    <s v="&quot;2024-12-15T23:31:30.000Z&quot;"/>
    <s v="null"/>
    <s v="https://x.com/BrentfordFC/status/1868438766936813825"/>
    <s v="[{&quot;biography&quot;:null,&quot;followers&quot;:null,&quot;following&quot;:null,&quot;is_verified&quot;:null,&quot;profile_id&quot;:&quot;2919959547&quot;,&quot;profile_name&quot;:&quot;PensionBee UK&quot;,&quot;url&quot;:&quot;https://x.com/pensionbee&quot;}]"/>
    <n v="9"/>
    <n v="5"/>
    <n v="100"/>
    <n v="8910"/>
    <s v=""/>
    <s v="[&quot;CHEBRE&quot;]"/>
    <n v="376785"/>
    <s v="Chelsea away ⏳"/>
    <n v="106893"/>
    <s v="https://pbs.twimg.com/profile_images/1863925545009852417/pH2T1Sz8_normal.jpg"/>
    <n v="415"/>
    <b v="0"/>
    <n v="0"/>
    <n v="11"/>
    <s v="{&quot;post_id&quot;:null,&quot;profile_id&quot;:null,&quot;profile_name&quot;:null}"/>
    <s v="null"/>
    <s v="[{&quot;duration&quot;:141320,&quot;video_url&quot;:&quot;https://video.twimg.com/amplify_video/1868438276131966977/vid/avc1/1080x1080/DnfK6ksxVwD_WZac.mp4?tag=16&quot;}]"/>
    <s v="{&quot;data_posted&quot;:null,&quot;description&quot;:null,&quot;photos&quot;:null,&quot;post_id&quot;:null,&quot;profile_id&quot;:null,&quot;profile_name&quot;:null,&quot;url&quot;:null,&quot;videos&quot;:null}"/>
    <n v="125"/>
    <n v="1.4029180695847363E-2"/>
    <d v="2024-12-15T00:00:00"/>
    <n v="0.98020833333333335"/>
    <x v="0"/>
    <x v="7"/>
    <x v="1"/>
    <x v="1"/>
    <x v="1"/>
    <x v="0"/>
    <n v="126"/>
    <x v="2"/>
  </r>
  <r>
    <n v="1.868118782469919E+18"/>
    <s v="Met███ole███"/>
    <s v="Met███ole███"/>
    <s v="➡️ Fiat Uno passa em enchente e deixa Jeep Renegade para trás_x000a__x000a_Um Fiat Uno passou com tudo em uma rua alagada de Sorocaba, São Paulo, e deixou um Jeep Renegade para trás_x000a__x000a_Leia:"/>
    <s v="&quot;2024-12-15T02:20:00.000Z&quot;"/>
    <s v="[&quot;https://pbs.twimg.com/media/GeyR4uBW0AArZl-.png&quot;]"/>
    <s v="https://x.com/Metropoles/status/1868118782469918989"/>
    <s v="null"/>
    <n v="16"/>
    <n v="10"/>
    <n v="109"/>
    <n v="10011"/>
    <s v="https://curt.link/XVLcc"/>
    <s v="null"/>
    <n v="1239617"/>
    <s v="📱 O seu portal de notícias. Tudo sobre política, saúde, justiça, comportamento, entretenimento. Confira os fatos relevantes do país e do mundo em tempo real."/>
    <n v="402839"/>
    <s v="https://pbs.twimg.com/profile_images/1642966741138415647/fHdgQUGl_normal.jpg"/>
    <n v="1644"/>
    <b v="0"/>
    <n v="3"/>
    <n v="2"/>
    <s v="{&quot;post_id&quot;:null,&quot;profile_id&quot;:null,&quot;profile_name&quot;:null}"/>
    <s v="null"/>
    <s v="null"/>
    <s v="{&quot;data_posted&quot;:null,&quot;description&quot;:null,&quot;photos&quot;:null,&quot;post_id&quot;:null,&quot;profile_id&quot;:null,&quot;profile_name&quot;:null,&quot;url&quot;:null,&quot;videos&quot;:null}"/>
    <n v="140"/>
    <n v="1.3984616921386474E-2"/>
    <d v="2024-12-15T00:00:00"/>
    <n v="9.7222222222222224E-2"/>
    <x v="0"/>
    <x v="2"/>
    <x v="0"/>
    <x v="0"/>
    <x v="0"/>
    <x v="0"/>
    <n v="176"/>
    <x v="0"/>
  </r>
  <r>
    <n v="1.8683705655740708E+18"/>
    <s v="nyp███"/>
    <s v="New███rk ███t"/>
    <s v="Elon Musk’s mom praises Dems for warming up to new Trump admin agency DOGE: Waste is ‘out of control’"/>
    <s v="&quot;2024-12-15T19:00:30.000Z&quot;"/>
    <s v="[&quot;https://pbs.twimg.com/media/Ge3JIMCXYAA3sy3.jpg&quot;]"/>
    <s v="https://x.com/nypost/status/1868370565574070695"/>
    <s v="null"/>
    <n v="31"/>
    <n v="32"/>
    <n v="264"/>
    <n v="23905"/>
    <s v="https://trib.al/1dCQype"/>
    <s v="null"/>
    <n v="3313888"/>
    <s v="Breaking news &amp; features from The New York Post. Follow your favorite sections: @pagesix, @nypmetro, @nypostbiz, @nypostsports, @nypfashion, @nypostopinion"/>
    <n v="706459"/>
    <s v="https://pbs.twimg.com/profile_images/966372680306868224/60wfGe9e_normal.jpg"/>
    <n v="10308"/>
    <b v="0"/>
    <n v="3"/>
    <n v="3"/>
    <s v="{&quot;post_id&quot;:null,&quot;profile_id&quot;:null,&quot;profile_name&quot;:null}"/>
    <s v="null"/>
    <s v="null"/>
    <s v="{&quot;data_posted&quot;:null,&quot;description&quot;:null,&quot;photos&quot;:null,&quot;post_id&quot;:null,&quot;profile_id&quot;:null,&quot;profile_name&quot;:null,&quot;url&quot;:null,&quot;videos&quot;:null}"/>
    <n v="333"/>
    <n v="1.3930140138046434E-2"/>
    <d v="2024-12-15T00:00:00"/>
    <n v="0.79201388888888891"/>
    <x v="0"/>
    <x v="4"/>
    <x v="0"/>
    <x v="0"/>
    <x v="0"/>
    <x v="0"/>
    <n v="101"/>
    <x v="0"/>
  </r>
  <r>
    <n v="1.8683948561897229E+18"/>
    <s v="acm███n"/>
    <s v="AC ███an"/>
    <s v="No way through in the first 45 at San Siro ⏸️_x000a__x000a_#MilanGenoa #SempreMilan _x000a_Brought to you by @Bitpanda_global"/>
    <s v="&quot;2024-12-15T20:37:01.000Z&quot;"/>
    <s v="[&quot;https://pbs.twimg.com/media/Ge3fNFkXEAAcXkD.jpg&quot;]"/>
    <s v="https://x.com/acmilan/status/1868394856189722814"/>
    <s v="[{&quot;biography&quot;:null,&quot;followers&quot;:null,&quot;following&quot;:null,&quot;is_verified&quot;:null,&quot;profile_id&quot;:&quot;2425772784&quot;,&quot;profile_name&quot;:&quot;Bitpanda&quot;,&quot;url&quot;:&quot;https://x.com/Bitpanda_global&quot;}]"/>
    <n v="60"/>
    <n v="42"/>
    <n v="413"/>
    <n v="38425"/>
    <s v=""/>
    <s v="[&quot;MilanGenoa&quot;,&quot;SempreMilan&quot;]"/>
    <n v="8539601"/>
    <s v="❤🖤 125 years together, worth every minute ❤🖤 _x000a__x000a_#SempreMilan since 1899! 🔙 _x000a__x000a_Arabic: @acmilanar | Portuguese: @acmilanbr | #MilanYouth: @acmilanyouth"/>
    <n v="75535"/>
    <s v="https://pbs.twimg.com/profile_images/1848748720050868225/FQY9F6Hn_normal.jpg"/>
    <n v="117"/>
    <b v="0"/>
    <n v="17"/>
    <n v="3"/>
    <s v="{&quot;post_id&quot;:null,&quot;profile_id&quot;:null,&quot;profile_name&quot;:null}"/>
    <s v="null"/>
    <s v="null"/>
    <s v="{&quot;data_posted&quot;:null,&quot;description&quot;:null,&quot;photos&quot;:null,&quot;post_id&quot;:null,&quot;profile_id&quot;:null,&quot;profile_name&quot;:null,&quot;url&quot;:null,&quot;videos&quot;:null}"/>
    <n v="535"/>
    <n v="1.3923227065712427E-2"/>
    <d v="2024-12-15T00:00:00"/>
    <n v="0.85903935185185187"/>
    <x v="0"/>
    <x v="3"/>
    <x v="0"/>
    <x v="0"/>
    <x v="1"/>
    <x v="0"/>
    <n v="107"/>
    <x v="0"/>
  </r>
  <r>
    <n v="1.8655022563862451E+18"/>
    <s v="Bro███ynN███"/>
    <s v="Bro███yn ███s"/>
    <s v="From skyline views to the best pizza spot, @thejalenwilson shares his favorite spots throughout the borough. _x000a__x000a_a thread ⤵️"/>
    <s v="&quot;2024-12-07T21:02:51.000Z&quot;"/>
    <s v="[&quot;https://pbs.twimg.com/media/GeOYVkJXsAENsSO.jpg&quot;]"/>
    <s v="https://x.com/BrooklynNets/status/1865502256386245014"/>
    <s v="[{&quot;biography&quot;:null,&quot;followers&quot;:null,&quot;following&quot;:null,&quot;is_verified&quot;:null,&quot;profile_id&quot;:&quot;2369333263&quot;,&quot;profile_name&quot;:&quot;jwill&quot;,&quot;url&quot;:&quot;https://x.com/thejalenwilson&quot;}]"/>
    <n v="6"/>
    <n v="16"/>
    <n v="200"/>
    <n v="16733"/>
    <s v=""/>
    <s v="null"/>
    <n v="2035100"/>
    <s v="Tweets from #NetsWorld"/>
    <n v="106867"/>
    <s v="https://pbs.twimg.com/profile_images/1811024920870277122/1wQgAUZH_normal.jpg"/>
    <n v="411"/>
    <b v="0"/>
    <n v="1"/>
    <n v="8"/>
    <s v="{&quot;post_id&quot;:null,&quot;profile_id&quot;:null,&quot;profile_name&quot;:null}"/>
    <s v="null"/>
    <s v="null"/>
    <s v="{&quot;data_posted&quot;:null,&quot;description&quot;:null,&quot;photos&quot;:null,&quot;post_id&quot;:null,&quot;profile_id&quot;:null,&quot;profile_name&quot;:null,&quot;url&quot;:null,&quot;videos&quot;:null}"/>
    <n v="231"/>
    <n v="1.3805055877607124E-2"/>
    <d v="2024-12-07T00:00:00"/>
    <n v="0.87697916666666664"/>
    <x v="5"/>
    <x v="10"/>
    <x v="0"/>
    <x v="0"/>
    <x v="0"/>
    <x v="0"/>
    <n v="122"/>
    <x v="0"/>
  </r>
  <r>
    <n v="1.8683156954964833E+18"/>
    <s v="Man███"/>
    <s v="Man███ste███nit███"/>
    <s v="A new look for warm-ups 💪_x000a__x000a_#MUFC || #MCIMUN"/>
    <s v="&quot;2024-12-15T15:22:28.000Z&quot;"/>
    <s v="null"/>
    <s v="https://x.com/ManUtd/status/1868315695496483290"/>
    <s v="null"/>
    <n v="111"/>
    <n v="176"/>
    <n v="2396"/>
    <n v="196989"/>
    <s v="https://store.manutd.com/en-gb/p/manchester-united-x-adidas-lunar-new-year-jersey-black-3370?t=y&amp;utm_source=twitter&amp;utm_medium=link_post&amp;utm_campaign=muwebsite"/>
    <s v="[&quot;MUFC&quot;,&quot;MCIMUN&quot;]"/>
    <n v="38439072"/>
    <s v="’Tis the season to gift United! 🎁🎄"/>
    <n v="92455"/>
    <s v="https://pbs.twimg.com/profile_images/1856418426496880640/iIvJaO5T_normal.png"/>
    <n v="145"/>
    <b v="0"/>
    <n v="2"/>
    <n v="10"/>
    <s v="{&quot;post_id&quot;:null,&quot;profile_id&quot;:null,&quot;profile_name&quot;:null}"/>
    <s v="null"/>
    <s v="null"/>
    <s v="{&quot;data_posted&quot;:null,&quot;description&quot;:null,&quot;photos&quot;:null,&quot;post_id&quot;:null,&quot;profile_id&quot;:null,&quot;profile_name&quot;:null,&quot;url&quot;:null,&quot;videos&quot;:null}"/>
    <n v="2695"/>
    <n v="1.3680966957545853E-2"/>
    <d v="2024-12-15T00:00:00"/>
    <n v="0.64060185185185181"/>
    <x v="0"/>
    <x v="13"/>
    <x v="0"/>
    <x v="1"/>
    <x v="1"/>
    <x v="0"/>
    <n v="43"/>
    <x v="1"/>
  </r>
  <r>
    <n v="1.8682234628815672E+18"/>
    <s v="CPFC"/>
    <s v="Cry███l P███ce ██████"/>
    <s v="Here we go then 🖤🎬_x000a__x000a_#CPFC // #BHACRY"/>
    <s v="&quot;2024-12-15T09:15:58.000Z&quot;"/>
    <s v="[&quot;https://pbs.twimg.com/media/Ge1DVaAWIAAd81F.jpg&quot;]"/>
    <s v="https://x.com/CPFC/status/1868223462881567199"/>
    <s v="null"/>
    <n v="22"/>
    <n v="52"/>
    <n v="827"/>
    <n v="68581"/>
    <s v=""/>
    <s v="[&quot;CPFC&quot;,&quot;BHACRY&quot;]"/>
    <n v="1480964"/>
    <s v="The Pride of South London."/>
    <n v="103753"/>
    <s v="https://pbs.twimg.com/profile_images/1857393032883994624/qN-MGWEH_normal.jpg"/>
    <n v="552"/>
    <b v="0"/>
    <n v="29"/>
    <n v="7"/>
    <s v="{&quot;post_id&quot;:null,&quot;profile_id&quot;:null,&quot;profile_name&quot;:null}"/>
    <s v="null"/>
    <s v="null"/>
    <s v="{&quot;data_posted&quot;:null,&quot;description&quot;:null,&quot;photos&quot;:null,&quot;post_id&quot;:null,&quot;profile_id&quot;:null,&quot;profile_name&quot;:null,&quot;url&quot;:null,&quot;videos&quot;:null}"/>
    <n v="937"/>
    <n v="1.3662676251439904E-2"/>
    <d v="2024-12-15T00:00:00"/>
    <n v="0.38608796296296294"/>
    <x v="0"/>
    <x v="18"/>
    <x v="0"/>
    <x v="0"/>
    <x v="1"/>
    <x v="0"/>
    <n v="36"/>
    <x v="0"/>
  </r>
  <r>
    <n v="1.8682514261382559E+18"/>
    <s v="itv███tba███"/>
    <s v="ITV███otb███"/>
    <s v="A two-minute turnaround! 🫨⏱️_x000a__x000a_Dan Neil 73'_x000a_Jobe Bellingham 75'_x000a__x000a_#ITVFootball | @EFL | @SunderlandAFC"/>
    <s v="&quot;2024-12-15T11:07:05.000Z&quot;"/>
    <s v="null"/>
    <s v="https://x.com/itvfootball/status/1868251426138255789"/>
    <s v="[{&quot;biography&quot;:null,&quot;followers&quot;:null,&quot;following&quot;:null,&quot;is_verified&quot;:null,&quot;profile_id&quot;:&quot;31083978&quot;,&quot;profile_name&quot;:&quot;EFL&quot;,&quot;url&quot;:&quot;https://x.com/EFL&quot;},{&quot;biography&quot;:null,&quot;followers&quot;:null,&quot;following&quot;:null,&quot;is_verified&quot;:null,&quot;profile_id&quot;:&quot;27844464&quot;,&quot;profile_name&quot;:&quot;Sunderland AFC&quot;,&quot;url&quot;:&quot;https://x.com/SunderlandAFC&quot;}]"/>
    <n v="5"/>
    <n v="18"/>
    <n v="342"/>
    <n v="27088"/>
    <s v=""/>
    <s v="[&quot;ITVFootball&quot;]"/>
    <n v="512376"/>
    <s v="The home of football on ITV ⚽️ 🏆_x000a__x000a_Follow us on Instagram @ITVFootball and on YouTube https://t.co/Ndk6tqVX2Y"/>
    <n v="138319"/>
    <s v="https://pbs.twimg.com/profile_images/1615361211133984771/f9-C_hI5_normal.png"/>
    <n v="1569"/>
    <b v="0"/>
    <n v="0"/>
    <n v="5"/>
    <s v="{&quot;post_id&quot;:null,&quot;profile_id&quot;:null,&quot;profile_name&quot;:null}"/>
    <s v="null"/>
    <s v="[{&quot;duration&quot;:36360,&quot;video_url&quot;:&quot;https://video.twimg.com/amplify_video/1868251363974533120/vid/avc1/1080x1080/Uiv0tL8qXZOoa2uW.mp4?tag=16&quot;}]"/>
    <s v="{&quot;data_posted&quot;:null,&quot;description&quot;:null,&quot;photos&quot;:null,&quot;post_id&quot;:null,&quot;profile_id&quot;:null,&quot;profile_name&quot;:null,&quot;url&quot;:null,&quot;videos&quot;:null}"/>
    <n v="370"/>
    <n v="1.3659184878913173E-2"/>
    <d v="2024-12-15T00:00:00"/>
    <n v="0.46325231481481483"/>
    <x v="0"/>
    <x v="16"/>
    <x v="1"/>
    <x v="1"/>
    <x v="1"/>
    <x v="0"/>
    <n v="100"/>
    <x v="2"/>
  </r>
  <r>
    <n v="1.868415574403113E+18"/>
    <s v="Lig███A"/>
    <s v="Lig███rof███ona█████████ol"/>
    <s v="¡Victoria del Calamar! Con el gol de Mateo Pellegrino a los 9 segundos, @caplatense venció 1-0 a @gimnasiaoficial por la #fecha27 del #TorneoBetano 2024 🏆_x000a__x000a_📸 Prensa Platense"/>
    <s v="&quot;2024-12-15T21:59:21.000Z&quot;"/>
    <s v="[&quot;https://pbs.twimg.com/media/Ge3xW2dXgAA2ZJ2.jpg&quot;,&quot;https://pbs.twimg.com/media/Ge3xbiaW8AAou98.jpg&quot;,&quot;https://pbs.twimg.com/media/Ge3xeHMWUAAPMaA.jpg&quot;]"/>
    <s v="https://x.com/LigaAFA/status/1868415574403113013"/>
    <s v="[{&quot;biography&quot;:null,&quot;followers&quot;:null,&quot;following&quot;:null,&quot;is_verified&quot;:null,&quot;profile_id&quot;:&quot;118772453&quot;,&quot;profile_name&quot;:&quot;Club Atlético Platense&quot;,&quot;url&quot;:&quot;https://x.com/caplatense&quot;},{&quot;biography&quot;:null,&quot;followers&quot;:null,&quot;following&quot;:null,&quot;is_verified&quot;:null,&quot;profile_id&quot;:&quot;118056286&quot;,&quot;profile_name&quot;:&quot;Club de Gimnasia y Esgrima La Plata&quot;,&quot;url&quot;:&quot;https://x.com/gimnasiaoficial&quot;}]"/>
    <n v="3"/>
    <n v="8"/>
    <n v="79"/>
    <n v="6930"/>
    <s v=""/>
    <s v="[&quot;fecha27&quot;,&quot;TorneoBetano&quot;]"/>
    <n v="1123810"/>
    <s v="Cuenta oficial de la Liga Profesional de Fútbol de la @AFA"/>
    <n v="34290"/>
    <s v="https://pbs.twimg.com/profile_images/1611375855892045827/5Lzl0faT_normal.jpg"/>
    <n v="63"/>
    <b v="0"/>
    <n v="3"/>
    <n v="1"/>
    <s v="{&quot;post_id&quot;:null,&quot;profile_id&quot;:null,&quot;profile_name&quot;:null}"/>
    <s v="null"/>
    <s v="null"/>
    <s v="{&quot;data_posted&quot;:null,&quot;description&quot;:null,&quot;photos&quot;:null,&quot;post_id&quot;:null,&quot;profile_id&quot;:null,&quot;profile_name&quot;:null,&quot;url&quot;:null,&quot;videos&quot;:null}"/>
    <n v="94"/>
    <n v="1.3564213564213565E-2"/>
    <d v="2024-12-15T00:00:00"/>
    <n v="0.91621527777777778"/>
    <x v="0"/>
    <x v="10"/>
    <x v="0"/>
    <x v="0"/>
    <x v="1"/>
    <x v="0"/>
    <n v="173"/>
    <x v="0"/>
  </r>
  <r>
    <n v="1.8682949333852201E+18"/>
    <s v="cou███efr███e"/>
    <s v="Cou███de ███nce███"/>
    <s v="Qui ajoutera son nom au palmarès en 2025 ? 🤔🏆 _x000a__x000a_#CoupeDeFrance"/>
    <s v="&quot;2024-12-15T13:59:58.000Z&quot;"/>
    <s v="[&quot;https://pbs.twimg.com/media/Ge2EVuUWoAAE5J7.jpg&quot;]"/>
    <s v="https://x.com/coupedefrance/status/1868294933385220125"/>
    <s v="null"/>
    <n v="80"/>
    <n v="18"/>
    <n v="580"/>
    <n v="52812"/>
    <s v=""/>
    <s v="[&quot;CoupeDeFrance&quot;]"/>
    <n v="92098"/>
    <s v="Compte officiel de la Coupe de France de Football, la coupe de tous les possibles #CoupeDeFrance"/>
    <n v="4934"/>
    <s v="https://pbs.twimg.com/profile_images/1034410645045866496/YjJPjkbd_normal.jpg"/>
    <n v="97"/>
    <b v="0"/>
    <n v="31"/>
    <n v="6"/>
    <s v="{&quot;post_id&quot;:null,&quot;profile_id&quot;:null,&quot;profile_name&quot;:null}"/>
    <s v="null"/>
    <s v="null"/>
    <s v="{&quot;data_posted&quot;:null,&quot;description&quot;:null,&quot;photos&quot;:null,&quot;post_id&quot;:null,&quot;profile_id&quot;:null,&quot;profile_name&quot;:null,&quot;url&quot;:null,&quot;videos&quot;:null}"/>
    <n v="715"/>
    <n v="1.3538589714458834E-2"/>
    <d v="2024-12-15T00:00:00"/>
    <n v="0.58331018518518518"/>
    <x v="0"/>
    <x v="14"/>
    <x v="0"/>
    <x v="0"/>
    <x v="1"/>
    <x v="0"/>
    <n v="62"/>
    <x v="3"/>
  </r>
  <r>
    <n v="1.8683398640533548E+18"/>
    <s v="spfl"/>
    <s v="SPFL"/>
    <s v="😮‍💨 A double quick turnaround! _x000a__x000a_From one behind, @CelticFC now lead the Premier Sports Cup Final through Daizen Maeda 🎯"/>
    <s v="&quot;2024-12-15T16:58:30.000Z&quot;"/>
    <s v="null"/>
    <s v="https://x.com/spfl/status/1868339864053354823"/>
    <s v="[{&quot;biography&quot;:null,&quot;followers&quot;:null,&quot;following&quot;:null,&quot;is_verified&quot;:null,&quot;profile_id&quot;:&quot;15203904&quot;,&quot;profile_name&quot;:&quot;Celtic Football Club&quot;,&quot;url&quot;:&quot;https://x.com/CelticFC&quot;}]"/>
    <n v="1"/>
    <n v="17"/>
    <n v="190"/>
    <n v="15671"/>
    <s v=""/>
    <s v="null"/>
    <n v="294711"/>
    <s v="Official Twitter/X account for the Scottish Professional Football League, sponsored by @WilliamHill."/>
    <n v="66342"/>
    <s v="https://pbs.twimg.com/profile_images/1798999022348496896/ZZU_hFqY_normal.jpg"/>
    <n v="1449"/>
    <b v="0"/>
    <n v="2"/>
    <n v="2"/>
    <s v="{&quot;post_id&quot;:null,&quot;profile_id&quot;:null,&quot;profile_name&quot;:null}"/>
    <s v="null"/>
    <s v="[{&quot;duration&quot;:74136,&quot;video_url&quot;:&quot;https://video.twimg.com/amplify_video/1868339555071361025/vid/avc1/1280x720/43yTugpoOyiKJfI0.mp4?tag=16&quot;}]"/>
    <s v="{&quot;data_posted&quot;:null,&quot;description&quot;:null,&quot;photos&quot;:null,&quot;post_id&quot;:null,&quot;profile_id&quot;:null,&quot;profile_name&quot;:null,&quot;url&quot;:null,&quot;videos&quot;:null}"/>
    <n v="212"/>
    <n v="1.352817305851573E-2"/>
    <d v="2024-12-15T00:00:00"/>
    <n v="0.70729166666666665"/>
    <x v="0"/>
    <x v="15"/>
    <x v="1"/>
    <x v="1"/>
    <x v="0"/>
    <x v="0"/>
    <n v="120"/>
    <x v="2"/>
  </r>
  <r>
    <n v="1.8681024768444214E+18"/>
    <s v="WWE"/>
    <s v="WWE"/>
    <s v="😳 😳 😳 _x000a__x000a_@DMcIntyreWWE just threw @SamiZayn with ease! 😮‍💨_x000a__x000a_#SNME"/>
    <s v="&quot;2024-12-15T01:15:12.000Z&quot;"/>
    <s v="null"/>
    <s v="https://x.com/WWE/status/1868102476844421333"/>
    <s v="[{&quot;biography&quot;:null,&quot;followers&quot;:null,&quot;following&quot;:null,&quot;is_verified&quot;:null,&quot;profile_id&quot;:&quot;299932350&quot;,&quot;profile_name&quot;:&quot;Drew&quot;,&quot;url&quot;:&quot;https://x.com/DMcIntyreWWE&quot;},{&quot;biography&quot;:null,&quot;followers&quot;:null,&quot;following&quot;:null,&quot;is_verified&quot;:null,&quot;profile_id&quot;:&quot;1289482598&quot;,&quot;profile_name&quot;:&quot;Sami Zayn&quot;,&quot;url&quot;:&quot;https://x.com/SamiZayn&quot;}]"/>
    <n v="116"/>
    <n v="466"/>
    <n v="3322"/>
    <n v="296280"/>
    <s v=""/>
    <s v="[&quot;SNME&quot;]"/>
    <n v="14376035"/>
    <s v="WWE Raw | Mondays at 8/7c on USA Network _x000a_WWE NXT | Tuesdays at 8/7c on The CW _x000a_WWE SmackDown | Fridays at 8/7c on USA Network"/>
    <n v="346973"/>
    <s v="https://pbs.twimg.com/profile_images/1383079031805972485/3sWoMX-R_normal.jpg"/>
    <n v="392"/>
    <b v="0"/>
    <n v="18"/>
    <n v="86"/>
    <s v="{&quot;post_id&quot;:null,&quot;profile_id&quot;:null,&quot;profile_name&quot;:null}"/>
    <s v="null"/>
    <s v="[{&quot;duration&quot;:16634,&quot;video_url&quot;:&quot;https://video.twimg.com/amplify_video/1868102435450826752/vid/avc1/1920x1080/KLr8CekDFVdtHqe6.mp4?tag=16&quot;}]"/>
    <s v="{&quot;data_posted&quot;:null,&quot;description&quot;:null,&quot;photos&quot;:null,&quot;post_id&quot;:null,&quot;profile_id&quot;:null,&quot;profile_name&quot;:null,&quot;url&quot;:null,&quot;videos&quot;:null}"/>
    <n v="4008"/>
    <n v="1.3527744025921426E-2"/>
    <d v="2024-12-15T00:00:00"/>
    <n v="5.2222222222222225E-2"/>
    <x v="0"/>
    <x v="19"/>
    <x v="1"/>
    <x v="1"/>
    <x v="1"/>
    <x v="0"/>
    <n v="64"/>
    <x v="1"/>
  </r>
  <r>
    <n v="1.815201979192267E+18"/>
    <s v="Cha███rli███24"/>
    <s v="Mac███ham███lin███"/>
    <s v="Thank you @thealliancefp for the opportunity to play with so many other great athletes!! @oakley @_tiarejennings @PLYRSCollxctive"/>
    <s v="&quot;2024-07-22T01:47:31.000Z&quot;"/>
    <s v="[&quot;https://pbs.twimg.com/media/GTDkjoAXEAA7vYg.jpg&quot;,&quot;https://pbs.twimg.com/media/GTDkjoAXgAAA3WV.jpg&quot;,&quot;https://pbs.twimg.com/media/GTDkjn-WkAE4nrb.jpg&quot;]"/>
    <s v="https://x.com/Chamberlin2024/status/1815201979192267033"/>
    <s v="[{&quot;biography&quot;:null,&quot;followers&quot;:null,&quot;following&quot;:null,&quot;is_verified&quot;:null,&quot;profile_id&quot;:&quot;1291367288315183106&quot;,&quot;profile_name&quot;:&quot;The Alliance Fastpitch&quot;,&quot;url&quot;:&quot;https://x.com/thealliancefp&quot;},{&quot;biography&quot;:null,&quot;followers&quot;:null,&quot;following&quot;:null,&quot;is_verified&quot;:null,&quot;profile_id&quot;:&quot;15069555&quot;,&quot;profile_name&quot;:&quot;Oakley&quot;,&quot;url&quot;:&quot;https://x.com/oakley&quot;},{&quot;biography&quot;:null,&quot;followers&quot;:null,&quot;following&quot;:null,&quot;is_verified&quot;:null,&quot;profile_id&quot;:&quot;752177459437580289&quot;,&quot;profile_name&quot;:&quot;Tiare Jennings&quot;,&quot;url&quot;:&quot;https://x.com/_tiarejennings&quot;},{&quot;biography&quot;:null,&quot;followers&quot;:null,&quot;following&quot;:null,&quot;is_verified&quot;:null,&quot;profile_id&quot;:&quot;1430017499139960832&quot;,&quot;profile_name&quot;:&quot;PlayersCollxctive&quot;,&quot;url&quot;:&quot;https://x.com/PLYRSCollxctive&quot;}]"/>
    <n v="1"/>
    <n v="2"/>
    <n v="63"/>
    <n v="5042"/>
    <s v=""/>
    <s v="null"/>
    <n v="1293"/>
    <s v="Penn State Softball 🦁 💙 Class of 2028"/>
    <n v="2739"/>
    <s v="https://pbs.twimg.com/profile_images/1709288037635575808/IFUcCq74_normal.jpg"/>
    <n v="900"/>
    <b v="0"/>
    <n v="2"/>
    <n v="0"/>
    <s v="{&quot;post_id&quot;:null,&quot;profile_id&quot;:null,&quot;profile_name&quot;:null}"/>
    <s v="null"/>
    <s v="[{&quot;duration&quot;:9516,&quot;video_url&quot;:&quot;https://video.twimg.com/ext_tw_video/1815201950511575040/pu/vid/avc1/590x1280/unyZDzDjiuWi-nEV.mp4?tag=12&quot;}]"/>
    <s v="{&quot;data_posted&quot;:null,&quot;description&quot;:null,&quot;photos&quot;:null,&quot;post_id&quot;:null,&quot;profile_id&quot;:null,&quot;profile_name&quot;:null,&quot;url&quot;:null,&quot;videos&quot;:null}"/>
    <n v="68"/>
    <n v="1.3486711622372074E-2"/>
    <d v="2024-07-22T00:00:00"/>
    <n v="7.4664351851851857E-2"/>
    <x v="2"/>
    <x v="19"/>
    <x v="1"/>
    <x v="0"/>
    <x v="0"/>
    <x v="0"/>
    <n v="129"/>
    <x v="3"/>
  </r>
  <r>
    <n v="1.8684228679368172E+18"/>
    <s v="nyp███"/>
    <s v="New███rk ███t"/>
    <s v="Israeli jets obliterate Syrian weapon stockpiles in devastating weekend blitz"/>
    <s v="&quot;2024-12-15T22:28:19.000Z&quot;"/>
    <s v="[&quot;https://pbs.twimg.com/media/Ge34skcX0AA0QfR.jpg&quot;]"/>
    <s v="https://x.com/nypost/status/1868422867936817160"/>
    <s v="null"/>
    <n v="30"/>
    <n v="57"/>
    <n v="269"/>
    <n v="27095"/>
    <s v="https://trib.al/4sTpJoq"/>
    <s v="null"/>
    <n v="3313886"/>
    <s v="Breaking news &amp; features from The New York Post. Follow your favorite sections: @pagesix, @nypmetro, @nypostbiz, @nypostsports, @nypfashion, @nypostopinion"/>
    <n v="706459"/>
    <s v="https://pbs.twimg.com/profile_images/966372680306868224/60wfGe9e_normal.jpg"/>
    <n v="10308"/>
    <b v="0"/>
    <n v="1"/>
    <n v="8"/>
    <s v="{&quot;post_id&quot;:null,&quot;profile_id&quot;:null,&quot;profile_name&quot;:null}"/>
    <s v="null"/>
    <s v="null"/>
    <s v="{&quot;data_posted&quot;:null,&quot;description&quot;:null,&quot;photos&quot;:null,&quot;post_id&quot;:null,&quot;profile_id&quot;:null,&quot;profile_name&quot;:null,&quot;url&quot;:null,&quot;videos&quot;:null}"/>
    <n v="365"/>
    <n v="1.3471120132865843E-2"/>
    <d v="2024-12-15T00:00:00"/>
    <n v="0.93633101851851852"/>
    <x v="0"/>
    <x v="11"/>
    <x v="0"/>
    <x v="0"/>
    <x v="0"/>
    <x v="0"/>
    <n v="77"/>
    <x v="0"/>
  </r>
  <r>
    <n v="1.8665985831155837E+18"/>
    <s v="Bro███ynN███"/>
    <s v="Bro███yn ███s"/>
    <s v="on this day in 2011: an 11-year-old @trendonw was goin' crazy for his big bro, @Cwat205"/>
    <s v="&quot;2024-12-10T21:39:16.000Z&quot;"/>
    <s v="null"/>
    <s v="https://x.com/BrooklynNets/status/1866598583115583772"/>
    <s v="[{&quot;biography&quot;:null,&quot;followers&quot;:null,&quot;following&quot;:null,&quot;is_verified&quot;:null,&quot;profile_id&quot;:&quot;2309475188&quot;,&quot;profile_name&quot;:&quot;Trendon Watford&quot;,&quot;url&quot;:&quot;https://x.com/trendonw&quot;},{&quot;biography&quot;:null,&quot;followers&quot;:null,&quot;following&quot;:null,&quot;is_verified&quot;:null,&quot;profile_id&quot;:&quot;190123181&quot;,&quot;profile_name&quot;:&quot;Christian Watford&quot;,&quot;url&quot;:&quot;https://x.com/Cwat205&quot;}]"/>
    <n v="9"/>
    <n v="61"/>
    <n v="648"/>
    <n v="56290"/>
    <s v=""/>
    <s v="null"/>
    <n v="2035100"/>
    <s v="Tweets from #NetsWorld"/>
    <n v="106867"/>
    <s v="https://pbs.twimg.com/profile_images/1811024920870277122/1wQgAUZH_normal.jpg"/>
    <n v="411"/>
    <b v="0"/>
    <n v="5"/>
    <n v="35"/>
    <s v="{&quot;post_id&quot;:null,&quot;profile_id&quot;:null,&quot;profile_name&quot;:null}"/>
    <s v="null"/>
    <s v="[{&quot;duration&quot;:71029,&quot;video_url&quot;:&quot;https://video.twimg.com/ext_tw_video/1866598068952395776/pu/vid/avc1/720x1280/QL0rlh_PZws2iDz_.mp4?tag=12&quot;}]"/>
    <s v="{&quot;data_posted&quot;:null,&quot;description&quot;:null,&quot;photos&quot;:null,&quot;post_id&quot;:null,&quot;profile_id&quot;:null,&quot;profile_name&quot;:null,&quot;url&quot;:null,&quot;videos&quot;:null}"/>
    <n v="758"/>
    <n v="1.3465979747734945E-2"/>
    <d v="2024-12-10T00:00:00"/>
    <n v="0.90226851851851853"/>
    <x v="3"/>
    <x v="10"/>
    <x v="1"/>
    <x v="1"/>
    <x v="0"/>
    <x v="0"/>
    <n v="87"/>
    <x v="0"/>
  </r>
  <r>
    <n v="1.8682216160079176E+18"/>
    <s v="CNN███sil███"/>
    <s v="CNN███asi███"/>
    <s v="Por @MiguelNicolelis: Os múltiplos furacões que estão varrendo o “American Dream” do mapa"/>
    <s v="&quot;2024-12-15T09:08:37.000Z&quot;"/>
    <s v="null"/>
    <s v="https://x.com/CNNBrasil/status/1868221616007917686"/>
    <s v="[{&quot;biography&quot;:null,&quot;followers&quot;:null,&quot;following&quot;:null,&quot;is_verified&quot;:null,&quot;profile_id&quot;:&quot;237432120&quot;,&quot;profile_name&quot;:&quot;Miguel Nicolelis&quot;,&quot;url&quot;:&quot;https://x.com/MiguelNicolelis&quot;}]"/>
    <n v="29"/>
    <n v="40"/>
    <n v="154"/>
    <n v="18057"/>
    <s v="https://cnnbr.app/short/c3314749067/"/>
    <s v="null"/>
    <n v="2819409"/>
    <s v="Pense bem, pense CNN._x000a_Acompanhe também pelo canal 577, app ou site. _x000a_⚽ @esportescnn_x000a_⚡️ @cnnpop_x000a_💰 @cnneconomia_x000a_💵 @nolucrocnn"/>
    <n v="286269"/>
    <s v="https://pbs.twimg.com/profile_images/1202609722257485824/NcFn6f7X_normal.jpg"/>
    <n v="4"/>
    <b v="0"/>
    <n v="6"/>
    <n v="14"/>
    <s v="{&quot;post_id&quot;:null,&quot;profile_id&quot;:null,&quot;profile_name&quot;:null}"/>
    <s v="[&quot;https://pbs.twimg.com/card_img/1868221619086528512/Z1BRRVUJ?format=jpg&amp;name=orig&quot;]"/>
    <s v="null"/>
    <s v="{&quot;data_posted&quot;:null,&quot;description&quot;:null,&quot;photos&quot;:null,&quot;post_id&quot;:null,&quot;profile_id&quot;:null,&quot;profile_name&quot;:null,&quot;url&quot;:null,&quot;videos&quot;:null}"/>
    <n v="243"/>
    <n v="1.3457384947665725E-2"/>
    <d v="2024-12-15T00:00:00"/>
    <n v="0.38098379629629631"/>
    <x v="0"/>
    <x v="18"/>
    <x v="0"/>
    <x v="1"/>
    <x v="0"/>
    <x v="0"/>
    <n v="89"/>
    <x v="0"/>
  </r>
  <r>
    <n v="1.8653414819319073E+18"/>
    <s v="kann"/>
    <s v="כאן"/>
    <s v="ראש האופוזיציה יאיר לפיד לא מקשיב לנו, שוב. איינשטיין לא אמר את זה_x000a__x000a_מהצד השני עם @guyzo"/>
    <s v="&quot;2024-12-07T10:24:00.000Z&quot;"/>
    <s v="null"/>
    <s v="https://x.com/kann/status/1865341481931907278"/>
    <s v="[{&quot;biography&quot;:null,&quot;followers&quot;:null,&quot;following&quot;:null,&quot;is_verified&quot;:null,&quot;profile_id&quot;:&quot;6899022&quot;,&quot;profile_name&quot;:&quot;Guy Zohar&quot;,&quot;url&quot;:&quot;https://x.com/guyzo&quot;}]"/>
    <n v="6"/>
    <n v="18"/>
    <n v="118"/>
    <n v="10940"/>
    <s v=""/>
    <s v="null"/>
    <n v="182895"/>
    <s v="אנחנו כאן ❤️"/>
    <n v="30781"/>
    <s v="https://pbs.twimg.com/profile_images/1843516623740633088/WbeaAr02_normal.jpg"/>
    <n v="559"/>
    <b v="0"/>
    <n v="2"/>
    <n v="3"/>
    <s v="{&quot;post_id&quot;:null,&quot;profile_id&quot;:null,&quot;profile_name&quot;:null}"/>
    <s v="null"/>
    <s v="[{&quot;duration&quot;:65560,&quot;video_url&quot;:&quot;https://video.twimg.com/amplify_video/1864673074030727168/vid/avc1/1280x720/3ei3jhwKHaqzzHv6.mp4?tag=14&quot;}]"/>
    <s v="{&quot;data_posted&quot;:null,&quot;description&quot;:null,&quot;photos&quot;:null,&quot;post_id&quot;:null,&quot;profile_id&quot;:null,&quot;profile_name&quot;:null,&quot;url&quot;:null,&quot;videos&quot;:null}"/>
    <n v="147"/>
    <n v="1.3436928702010969E-2"/>
    <d v="2024-12-07T00:00:00"/>
    <n v="0.43333333333333335"/>
    <x v="5"/>
    <x v="17"/>
    <x v="1"/>
    <x v="1"/>
    <x v="0"/>
    <x v="0"/>
    <n v="87"/>
    <x v="2"/>
  </r>
  <r>
    <n v="1.8684413820227174E+18"/>
    <s v="TNT███rts███"/>
    <s v="TNT███ort███R"/>
    <s v="ÍDOLO E AGORA PRESIDENTE! 🇦🇷🇦🇷 O ex-atacante Diego Milito foi confirmado como novo presidente do Racing!_x000a__x000a_🗞️ @TNTSportsAR"/>
    <s v="&quot;2024-12-15T23:41:54.000Z&quot;"/>
    <s v="[&quot;https://pbs.twimg.com/media/Ge4JhOgXcAAQy5K.jpg&quot;]"/>
    <s v="https://x.com/TNTSportsBR/status/1868441382022717466"/>
    <s v="[{&quot;biography&quot;:null,&quot;followers&quot;:null,&quot;following&quot;:null,&quot;is_verified&quot;:null,&quot;profile_id&quot;:&quot;854784383982723072&quot;,&quot;profile_name&quot;:&quot;TNT Sports Argentina&quot;,&quot;url&quot;:&quot;https://x.com/TNTSportsAR&quot;}]"/>
    <n v="6"/>
    <n v="5"/>
    <n v="230"/>
    <n v="18267"/>
    <s v=""/>
    <s v="null"/>
    <n v="8293189"/>
    <s v="⚽️ É muito mais Champions na Max, com TODOS os jogos ao vivo!_x000a_👇🏻Assine e assista clicando no link👇🏻"/>
    <n v="456734"/>
    <s v="https://pbs.twimg.com/profile_images/1807013047975768065/8sm_IGpw_normal.jpg"/>
    <n v="859"/>
    <b v="0"/>
    <n v="1"/>
    <n v="3"/>
    <s v="{&quot;post_id&quot;:null,&quot;profile_id&quot;:null,&quot;profile_name&quot;:null}"/>
    <s v="null"/>
    <s v="null"/>
    <s v="{&quot;data_posted&quot;:null,&quot;description&quot;:null,&quot;photos&quot;:null,&quot;post_id&quot;:null,&quot;profile_id&quot;:null,&quot;profile_name&quot;:null,&quot;url&quot;:null,&quot;videos&quot;:null}"/>
    <n v="245"/>
    <n v="1.3412164011605627E-2"/>
    <d v="2024-12-15T00:00:00"/>
    <n v="0.98743055555555559"/>
    <x v="0"/>
    <x v="7"/>
    <x v="0"/>
    <x v="0"/>
    <x v="0"/>
    <x v="0"/>
    <n v="121"/>
    <x v="0"/>
  </r>
  <r>
    <n v="1.8683553459379942E+18"/>
    <s v="FIA███mul███"/>
    <s v="For███a E███"/>
    <s v="A man on a mission ⚡️_x000a__x000a_@mitchevans_ charged through the field to secure an instantly iconic win at the #SaoPauloEPrix!"/>
    <s v="&quot;2024-12-15T18:00:01.000Z&quot;"/>
    <s v="null"/>
    <s v="https://x.com/FIAFormulaE/status/1868355345937994172"/>
    <s v="[{&quot;biography&quot;:null,&quot;followers&quot;:null,&quot;following&quot;:null,&quot;is_verified&quot;:null,&quot;profile_id&quot;:&quot;195199790&quot;,&quot;profile_name&quot;:&quot;Mitch Evans&quot;,&quot;url&quot;:&quot;https://x.com/mitchevans_&quot;}]"/>
    <n v="1"/>
    <n v="7"/>
    <n v="101"/>
    <n v="8285"/>
    <s v="https://fiaformulae.com/en/video/boxset/player/515139?utm_source=twitter&amp;utm_medium=social&amp;utm_campaign=alwaysOn"/>
    <s v="[&quot;SaoPauloEPrix&quot;]"/>
    <n v="325211"/>
    <s v="The future of motorsport is electric 🌍⚡ROUND 2: January 11 🇲🇽"/>
    <n v="33518"/>
    <s v="https://pbs.twimg.com/profile_images/1605487915789914114/-idXU3q-_normal.jpg"/>
    <n v="711"/>
    <b v="0"/>
    <n v="1"/>
    <n v="1"/>
    <s v="{&quot;post_id&quot;:null,&quot;profile_id&quot;:null,&quot;profile_name&quot;:null}"/>
    <s v="null"/>
    <s v="null"/>
    <s v="{&quot;data_posted&quot;:null,&quot;description&quot;:null,&quot;photos&quot;:null,&quot;post_id&quot;:null,&quot;profile_id&quot;:null,&quot;profile_name&quot;:null,&quot;url&quot;:null,&quot;videos&quot;:null}"/>
    <n v="111"/>
    <n v="1.3397706698853349E-2"/>
    <d v="2024-12-15T00:00:00"/>
    <n v="0.75001157407407404"/>
    <x v="0"/>
    <x v="8"/>
    <x v="0"/>
    <x v="1"/>
    <x v="1"/>
    <x v="0"/>
    <n v="118"/>
    <x v="2"/>
  </r>
  <r>
    <n v="1.8683007441700129E+18"/>
    <s v="Man███yWo███"/>
    <s v="Man███ste███ity█████████"/>
    <s v="Defeat._x000a__x000a_🍬 2-1 🩵 #ManCity | @okx"/>
    <s v="&quot;2024-12-15T14:23:03.000Z&quot;"/>
    <s v="[&quot;https://pbs.twimg.com/media/Ge2JdjMXcAA5beD.jpg&quot;]"/>
    <s v="https://x.com/ManCityWomen/status/1868300744170012842"/>
    <s v="[{&quot;biography&quot;:null,&quot;followers&quot;:null,&quot;following&quot;:null,&quot;is_verified&quot;:null,&quot;profile_id&quot;:&quot;867617849208037377&quot;,&quot;profile_name&quot;:&quot;OKX&quot;,&quot;url&quot;:&quot;https://x.com/okx&quot;}]"/>
    <n v="93"/>
    <n v="69"/>
    <n v="832"/>
    <n v="85620"/>
    <s v=""/>
    <s v="[&quot;ManCity&quot;]"/>
    <n v="240106"/>
    <s v="Official account of Manchester City Women 🩵_x000a__x000a_🏆 1x WSL_x000a_🏆 3x Women’s FA Cup_x000a_🏆 4x FA Women’s League Cup"/>
    <n v="29070"/>
    <s v="https://pbs.twimg.com/profile_images/1856262696011755520/VOcg8JqD_normal.jpg"/>
    <n v="799"/>
    <b v="0"/>
    <n v="141"/>
    <n v="12"/>
    <s v="{&quot;post_id&quot;:null,&quot;profile_id&quot;:null,&quot;profile_name&quot;:null}"/>
    <s v="null"/>
    <s v="null"/>
    <s v="{&quot;data_posted&quot;:null,&quot;description&quot;:null,&quot;photos&quot;:null,&quot;post_id&quot;:null,&quot;profile_id&quot;:null,&quot;profile_name&quot;:null,&quot;url&quot;:null,&quot;videos&quot;:null}"/>
    <n v="1147"/>
    <n v="1.3396402709647278E-2"/>
    <d v="2024-12-15T00:00:00"/>
    <n v="0.59934027777777776"/>
    <x v="0"/>
    <x v="1"/>
    <x v="0"/>
    <x v="0"/>
    <x v="1"/>
    <x v="0"/>
    <n v="32"/>
    <x v="2"/>
  </r>
  <r>
    <n v="1.8684151588186033E+18"/>
    <s v="Glo███ews███"/>
    <s v="Glo███ews███"/>
    <s v="&quot;Apesar de ter muito CPF na onda do golpe, também há CPFs que entram para a história resistindo a esse golpe&quot;, diz Eliane Cantanhêde, sobre envolvimento de militares em trama golpista._x000a__x000a_➡ Assista à #GloboNews:"/>
    <s v="&quot;2024-12-15T21:57:41.000Z&quot;"/>
    <s v="null"/>
    <s v="https://x.com/GloboNews/status/1868415158818603228"/>
    <s v="null"/>
    <n v="51"/>
    <n v="14"/>
    <n v="117"/>
    <n v="14127"/>
    <s v="http://glo.bo/39WjXAu"/>
    <s v="[&quot;GloboNews&quot;,&quot;EspecialDeDomingo&quot;]"/>
    <n v="5771758"/>
    <s v="Nunca desliga"/>
    <n v="222223"/>
    <s v="https://pbs.twimg.com/profile_images/1559102712435933185/mYnEVnNs_normal.jpg"/>
    <n v="122"/>
    <b v="0"/>
    <n v="2"/>
    <n v="5"/>
    <s v="{&quot;post_id&quot;:null,&quot;profile_id&quot;:null,&quot;profile_name&quot;:null}"/>
    <s v="null"/>
    <s v="[{&quot;duration&quot;:267800,&quot;video_url&quot;:&quot;https://video.twimg.com/amplify_video/1868414955914948608/vid/avc1/1920x1080/N91qaNH6ocBl_pmB.mp4?tag=16&quot;}]"/>
    <s v="{&quot;data_posted&quot;:null,&quot;description&quot;:null,&quot;photos&quot;:null,&quot;post_id&quot;:null,&quot;profile_id&quot;:null,&quot;profile_name&quot;:null,&quot;url&quot;:null,&quot;videos&quot;:null}"/>
    <n v="189"/>
    <n v="1.3378636653217243E-2"/>
    <d v="2024-12-15T00:00:00"/>
    <n v="0.91505787037037034"/>
    <x v="0"/>
    <x v="10"/>
    <x v="1"/>
    <x v="1"/>
    <x v="1"/>
    <x v="0"/>
    <n v="209"/>
    <x v="0"/>
  </r>
  <r>
    <n v="1.8682949474531738E+18"/>
    <s v="Man███y"/>
    <s v="Man███ste███ity███"/>
    <s v="All eyes on Manchester 👀_x000a__x000a_Where are you supporting us from? 🩵🗺️_x000a__x000a_#ManCity | @etihad"/>
    <s v="&quot;2024-12-15T14:00:01.000Z&quot;"/>
    <s v="[&quot;https://pbs.twimg.com/media/Ge1ZRyYWwAAaTTn.jpg&quot;]"/>
    <s v="https://x.com/ManCity/status/1868294947453173786"/>
    <s v="[{&quot;biography&quot;:null,&quot;followers&quot;:null,&quot;following&quot;:null,&quot;is_verified&quot;:null,&quot;profile_id&quot;:&quot;45621423&quot;,&quot;profile_name&quot;:&quot;Etihad Airways&quot;,&quot;url&quot;:&quot;https://x.com/etihad&quot;}]"/>
    <n v="161"/>
    <n v="99"/>
    <n v="1024"/>
    <n v="97263"/>
    <s v=""/>
    <s v="[&quot;ManCity&quot;]"/>
    <n v="17891377"/>
    <s v="WATCH TOGETHER: 4-IN-A-ROW 🍿"/>
    <n v="168939"/>
    <s v="https://pbs.twimg.com/profile_images/1856263834400358400/RysToJDu_normal.png"/>
    <n v="47365"/>
    <b v="0"/>
    <n v="6"/>
    <n v="6"/>
    <s v="{&quot;post_id&quot;:null,&quot;profile_id&quot;:null,&quot;profile_name&quot;:null}"/>
    <s v="null"/>
    <s v="null"/>
    <s v="{&quot;data_posted&quot;:null,&quot;description&quot;:null,&quot;photos&quot;:null,&quot;post_id&quot;:null,&quot;profile_id&quot;:null,&quot;profile_name&quot;:null,&quot;url&quot;:null,&quot;videos&quot;:null}"/>
    <n v="1296"/>
    <n v="1.3324696955676877E-2"/>
    <d v="2024-12-15T00:00:00"/>
    <n v="0.58334490740740741"/>
    <x v="0"/>
    <x v="1"/>
    <x v="0"/>
    <x v="0"/>
    <x v="1"/>
    <x v="0"/>
    <n v="83"/>
    <x v="1"/>
  </r>
  <r>
    <n v="1.8683482811658529E+18"/>
    <s v="Ran███sFC███"/>
    <s v="Ran███s F███bal████���████"/>
    <s v="🎯 @DaniloPereira9 | #PremierSportsCup"/>
    <s v="&quot;2024-12-15T17:31:57.000Z&quot;"/>
    <s v="null"/>
    <s v="https://x.com/RangersFC/status/1868348281165853013"/>
    <s v="[{&quot;biography&quot;:null,&quot;followers&quot;:null,&quot;following&quot;:null,&quot;is_verified&quot;:null,&quot;profile_id&quot;:&quot;1392549914761121795&quot;,&quot;profile_name&quot;:&quot;Danilo Pereira&quot;,&quot;url&quot;:&quot;https://x.com/DaniloPereira9&quot;}]"/>
    <n v="23"/>
    <n v="86"/>
    <n v="1298"/>
    <n v="108147"/>
    <s v=""/>
    <s v="[&quot;PremierSportsCup&quot;]"/>
    <n v="812163"/>
    <s v="The Home of #RangersFC 💙"/>
    <n v="110924"/>
    <s v="https://pbs.twimg.com/profile_images/1856633703734112256/PBlqGEwC_normal.jpg"/>
    <n v="322"/>
    <b v="0"/>
    <n v="8"/>
    <n v="25"/>
    <s v="{&quot;post_id&quot;:null,&quot;profile_id&quot;:null,&quot;profile_name&quot;:null}"/>
    <s v="null"/>
    <s v="[{&quot;duration&quot;:61696,&quot;video_url&quot;:&quot;https://video.twimg.com/amplify_video/1868347075634626560/vid/avc1/1280x720/awLs42BZcNNWj9xI.mp4?tag=16&quot;}]"/>
    <s v="{&quot;data_posted&quot;:null,&quot;description&quot;:null,&quot;photos&quot;:null,&quot;post_id&quot;:null,&quot;profile_id&quot;:null,&quot;profile_name&quot;:null,&quot;url&quot;:null,&quot;videos&quot;:null}"/>
    <n v="1440"/>
    <n v="1.3315209853255291E-2"/>
    <d v="2024-12-15T00:00:00"/>
    <n v="0.73052083333333329"/>
    <x v="0"/>
    <x v="12"/>
    <x v="1"/>
    <x v="1"/>
    <x v="1"/>
    <x v="0"/>
    <n v="37"/>
    <x v="2"/>
  </r>
  <r>
    <n v="1.8684006457046636E+18"/>
    <s v="Sta███ept███"/>
    <s v="Dep███men███f S██████"/>
    <s v="Ukrainian innovation is transforming lives and safeguarding Europe’s future. From AI-powered prosthetics to drone technology to agricultural exports, solidarity with Ukraine is leading to innovation, empowerment, and progress."/>
    <s v="&quot;2024-12-15T21:00:01.000Z&quot;"/>
    <s v="null"/>
    <s v="https://x.com/StateDept/status/1868400645704663461"/>
    <s v="null"/>
    <n v="99"/>
    <n v="43"/>
    <n v="120"/>
    <n v="21904"/>
    <s v="https://share.america.gov/ukrainian-innovation-strengthening-europes-future/"/>
    <s v="null"/>
    <n v="6379301"/>
    <s v="Leading U.S. foreign policy and American diplomacy since 1789. Follow @SecBlinken for Secretary updates. For all Department accounts: https://t.co/VpbtF1LASc"/>
    <n v="83466"/>
    <s v="https://pbs.twimg.com/profile_images/1653450164210630659/oPRqz0j6_normal.jpg"/>
    <n v="354"/>
    <b v="0"/>
    <n v="15"/>
    <n v="10"/>
    <s v="{&quot;post_id&quot;:null,&quot;profile_id&quot;:null,&quot;profile_name&quot;:null}"/>
    <s v="[&quot;https://pbs.twimg.com/card_img/1866151640488701952/KR8zwj48?format=jpg&amp;name=orig&quot;]"/>
    <s v="null"/>
    <s v="{&quot;data_posted&quot;:null,&quot;description&quot;:null,&quot;photos&quot;:null,&quot;post_id&quot;:null,&quot;profile_id&quot;:null,&quot;profile_name&quot;:null,&quot;url&quot;:null,&quot;videos&quot;:null}"/>
    <n v="287"/>
    <n v="1.310262965668371E-2"/>
    <d v="2024-12-15T00:00:00"/>
    <n v="0.87501157407407404"/>
    <x v="0"/>
    <x v="10"/>
    <x v="0"/>
    <x v="1"/>
    <x v="0"/>
    <x v="0"/>
    <n v="226"/>
    <x v="0"/>
  </r>
  <r>
    <n v="1.8682881482430876E+18"/>
    <s v="tvg███o"/>
    <s v="TV ███bo ███"/>
    <s v="É HOJE! Os maiores talentos da televisão brasileira estão aqui #MelhoresDoAno ao vivo no #Domingão!"/>
    <s v="&quot;2024-12-15T13:33:00.000Z&quot;"/>
    <s v="null"/>
    <s v="https://x.com/tvglobo/status/1868288148243087489"/>
    <s v="null"/>
    <n v="8"/>
    <n v="19"/>
    <n v="130"/>
    <n v="13069"/>
    <s v=""/>
    <s v="[&quot;MelhoresDoAno&quot;,&quot;Domingão&quot;]"/>
    <n v="13492430"/>
    <s v="oi, eu sou a Glô 😜"/>
    <n v="314515"/>
    <s v="https://pbs.twimg.com/profile_images/1863599216829792256/r5M1uKA8_normal.jpg"/>
    <n v="708"/>
    <b v="0"/>
    <n v="11"/>
    <n v="3"/>
    <s v="{&quot;post_id&quot;:null,&quot;profile_id&quot;:null,&quot;profile_name&quot;:null}"/>
    <s v="null"/>
    <s v="[{&quot;duration&quot;:44611,&quot;video_url&quot;:&quot;https://video.twimg.com/amplify_video/1867726572800593920/vid/avc1/1280x720/Dv15Neg_KuAX8hoa.mp4?tag=14&quot;}]"/>
    <s v="{&quot;data_posted&quot;:null,&quot;description&quot;:null,&quot;photos&quot;:null,&quot;post_id&quot;:null,&quot;profile_id&quot;:null,&quot;profile_name&quot;:null,&quot;url&quot;:null,&quot;videos&quot;:null}"/>
    <n v="171"/>
    <n v="1.3084398194200016E-2"/>
    <d v="2024-12-15T00:00:00"/>
    <n v="0.56458333333333333"/>
    <x v="0"/>
    <x v="14"/>
    <x v="1"/>
    <x v="1"/>
    <x v="1"/>
    <x v="0"/>
    <n v="99"/>
    <x v="1"/>
  </r>
  <r>
    <n v="1.8682644920246029E+18"/>
    <s v="eng███dcr███et"/>
    <s v="Eng███d C███ket███"/>
    <s v="A lovely surprise waiting for Maia Bouchier back in changing room, courtesy of @Danni_Wyatt 🥹"/>
    <s v="&quot;2024-12-15T11:59:00.000Z&quot;"/>
    <s v="[&quot;https://pbs.twimg.com/media/Ge1gqIeWcAAxtCM.jpg&quot;]"/>
    <s v="https://x.com/englandcricket/status/1868264492024603006"/>
    <s v="[{&quot;biography&quot;:null,&quot;followers&quot;:null,&quot;following&quot;:null,&quot;is_verified&quot;:null,&quot;profile_id&quot;:&quot;38529223&quot;,&quot;profile_name&quot;:&quot;Danielle Wyatt-Hodge&quot;,&quot;url&quot;:&quot;https://x.com/Danni_Wyatt&quot;}]"/>
    <n v="6"/>
    <n v="16"/>
    <n v="390"/>
    <n v="31765"/>
    <s v=""/>
    <s v="null"/>
    <n v="1676505"/>
    <s v="We Are England Cricket. The official home of all of the England Cricket teams on X."/>
    <n v="35438"/>
    <s v="https://pbs.twimg.com/profile_images/1653776479488991237/nRuCAWCI_normal.jpg"/>
    <n v="175"/>
    <b v="0"/>
    <n v="1"/>
    <n v="1"/>
    <s v="{&quot;post_id&quot;:null,&quot;profile_id&quot;:null,&quot;profile_name&quot;:null}"/>
    <s v="null"/>
    <s v="null"/>
    <s v="{&quot;data_posted&quot;:null,&quot;description&quot;:null,&quot;photos&quot;:null,&quot;post_id&quot;:null,&quot;profile_id&quot;:null,&quot;profile_name&quot;:null,&quot;url&quot;:null,&quot;videos&quot;:null}"/>
    <n v="414"/>
    <n v="1.3033212655438376E-2"/>
    <d v="2024-12-15T00:00:00"/>
    <n v="0.49930555555555556"/>
    <x v="0"/>
    <x v="16"/>
    <x v="0"/>
    <x v="0"/>
    <x v="0"/>
    <x v="0"/>
    <n v="93"/>
    <x v="0"/>
  </r>
  <r>
    <n v="1.8683633928196058E+18"/>
    <s v="acm███n"/>
    <s v="AC ███an"/>
    <s v="Join us LIVE from San Siro on our app! 🔜📲_x000a_The celebration of 125 years of history begins at 19:45 CET ❤️🖤 _x000a__x000a_#MilanGenoa #ACMilanWorthEveryMinute #SempreMilan"/>
    <s v="&quot;2024-12-15T18:32:00.000Z&quot;"/>
    <s v="null"/>
    <s v="https://x.com/acmilan/status/1868363392819605760"/>
    <s v="null"/>
    <n v="21"/>
    <n v="50"/>
    <n v="353"/>
    <n v="33350"/>
    <s v="https://acmi.land/ACMilan-App"/>
    <s v="[&quot;MilanGenoa&quot;,&quot;ACMilanWorthEveryMinute&quot;,&quot;SempreMilan&quot;]"/>
    <n v="8539601"/>
    <s v="❤🖤 125 years together, worth every minute ❤🖤 _x000a__x000a_#SempreMilan since 1899! 🔙 _x000a__x000a_Arabic: @acmilanar | Portuguese: @acmilanbr | #MilanYouth: @acmilanyouth"/>
    <n v="75535"/>
    <s v="https://pbs.twimg.com/profile_images/1848748720050868225/FQY9F6Hn_normal.jpg"/>
    <n v="117"/>
    <b v="0"/>
    <n v="6"/>
    <n v="3"/>
    <s v="{&quot;post_id&quot;:null,&quot;profile_id&quot;:null,&quot;profile_name&quot;:null}"/>
    <s v="null"/>
    <s v="null"/>
    <s v="{&quot;data_posted&quot;:null,&quot;description&quot;:null,&quot;photos&quot;:null,&quot;post_id&quot;:null,&quot;profile_id&quot;:null,&quot;profile_name&quot;:null,&quot;url&quot;:null,&quot;videos&quot;:null}"/>
    <n v="433"/>
    <n v="1.2983508245877061E-2"/>
    <d v="2024-12-15T00:00:00"/>
    <n v="0.77222222222222225"/>
    <x v="0"/>
    <x v="8"/>
    <x v="0"/>
    <x v="1"/>
    <x v="1"/>
    <x v="0"/>
    <n v="157"/>
    <x v="0"/>
  </r>
  <r>
    <n v="1.865203251383276E+18"/>
    <s v="met███wsr███rs"/>
    <s v="Met███wsr███rs"/>
    <s v="The Mets are signing RHP Clay Holmes. It is a 3 year deal worth $38M. _x000a__x000a_Holmes last season posted a 3.14 ERA in 67 games with the New York Yankees. He recorded 30 saves for the Yankees last year. _x000a__x000a_Use code “Metsnewsrumors” for $20 off your first purchase on SeatGeek!_x000a__x000a_#lgm #lfgm #mets #nym #yagottabelieve #newyork #newyorkcity #nyc #queens #seatgeek"/>
    <s v="&quot;2024-12-07T01:14:43.000Z&quot;"/>
    <s v="[&quot;https://pbs.twimg.com/media/GeKIeAUXwAAZ9l9.jpg&quot;]"/>
    <s v="https://x.com/metsnewsrumors/status/1865203251383276007"/>
    <s v="null"/>
    <n v="1"/>
    <n v="2"/>
    <n v="25"/>
    <n v="2320"/>
    <s v=""/>
    <s v="[&quot;lgm&quot;,&quot;lfgm&quot;]"/>
    <n v="397"/>
    <s v="SeatGeek code- METSNEWSRUMORS for $20 off your first purchase!"/>
    <n v="19975"/>
    <s v="https://pbs.twimg.com/profile_images/1731894718538063872/ux1rvaip_normal.jpg"/>
    <n v="70"/>
    <b v="0"/>
    <n v="1"/>
    <n v="1"/>
    <s v="{&quot;post_id&quot;:null,&quot;profile_id&quot;:null,&quot;profile_name&quot;:null}"/>
    <s v="null"/>
    <s v="null"/>
    <s v="{&quot;data_posted&quot;:null,&quot;description&quot;:null,&quot;photos&quot;:null,&quot;post_id&quot;:null,&quot;profile_id&quot;:null,&quot;profile_name&quot;:null,&quot;url&quot;:null,&quot;videos&quot;:null}"/>
    <n v="30"/>
    <n v="1.2931034482758621E-2"/>
    <d v="2024-12-07T00:00:00"/>
    <n v="5.1886574074074071E-2"/>
    <x v="5"/>
    <x v="19"/>
    <x v="0"/>
    <x v="0"/>
    <x v="1"/>
    <x v="0"/>
    <n v="352"/>
    <x v="3"/>
  </r>
  <r>
    <n v="1.8680910764660905E+18"/>
    <s v="tvg███o"/>
    <s v="TV ███bo ███"/>
    <s v="Iberê não é biruta 🫠 #ManiaDeVocê"/>
    <s v="&quot;2024-12-15T00:29:54.000Z&quot;"/>
    <s v="null"/>
    <s v="https://x.com/tvglobo/status/1868091076466090483"/>
    <s v="null"/>
    <n v="4"/>
    <n v="7"/>
    <n v="122"/>
    <n v="10865"/>
    <s v=""/>
    <s v="[&quot;ManiaDeVocê&quot;]"/>
    <n v="13492430"/>
    <s v="oi, eu sou a Glô 😜"/>
    <n v="314515"/>
    <s v="https://pbs.twimg.com/profile_images/1863599216829792256/r5M1uKA8_normal.jpg"/>
    <n v="708"/>
    <b v="0"/>
    <n v="1"/>
    <n v="6"/>
    <s v="{&quot;post_id&quot;:null,&quot;profile_id&quot;:null,&quot;profile_name&quot;:null}"/>
    <s v="null"/>
    <s v="[{&quot;duration&quot;:47479,&quot;video_url&quot;:&quot;https://video.twimg.com/amplify_video/1868090907678945280/vid/avc1/1920x1080/E1EG7CprDSGW4EH4.mp4?tag=16&quot;}]"/>
    <s v="{&quot;data_posted&quot;:null,&quot;description&quot;:null,&quot;photos&quot;:null,&quot;post_id&quot;:null,&quot;profile_id&quot;:null,&quot;profile_name&quot;:null,&quot;url&quot;:null,&quot;videos&quot;:null}"/>
    <n v="140"/>
    <n v="1.2885411872986655E-2"/>
    <d v="2024-12-15T00:00:00"/>
    <n v="2.0763888888888887E-2"/>
    <x v="0"/>
    <x v="5"/>
    <x v="1"/>
    <x v="1"/>
    <x v="1"/>
    <x v="0"/>
    <n v="33"/>
    <x v="1"/>
  </r>
  <r>
    <n v="1.8684534789111688E+18"/>
    <s v="ESP███asi███"/>
    <s v="ESP███ras███"/>
    <s v="BOCA AO LADO DE CORINTHIANS E BAHIA NA LIBERTADORES!_x000a__x000a_Vélez é campeão argentino, e coloca River direto nos grupos e Boca ao lado de Corinthians e Bahia na Libertadores _x000a__x000a_#LibertadoresNaESPN #ArgentinoNaESPN #FutebolNaESPN"/>
    <s v="&quot;2024-12-16T00:29:58.000Z&quot;"/>
    <s v="null"/>
    <s v="https://x.com/ESPNBrasil/status/1868453478911168857"/>
    <s v="null"/>
    <n v="10"/>
    <n v="15"/>
    <n v="144"/>
    <n v="13487"/>
    <s v="https://buff.ly/3ZK9VxM"/>
    <s v="[&quot;LibertadoresNaESPN&quot;,&quot;ArgentinoNaESPN&quot;,&quot;FutebolNaESPN&quot;]"/>
    <n v="3768943"/>
    <s v="ESPN: o melhor do esporte você assiste aqui!"/>
    <n v="897934"/>
    <s v="https://pbs.twimg.com/profile_images/1224436194152345608/dCEm_D7K_normal.jpg"/>
    <n v="28"/>
    <b v="0"/>
    <n v="3"/>
    <n v="1"/>
    <s v="{&quot;post_id&quot;:null,&quot;profile_id&quot;:null,&quot;profile_name&quot;:null}"/>
    <s v="[&quot;https://pbs.twimg.com/card_img/1868453383968903168/nNLNTrcc?format=jpg&amp;name=orig&quot;]"/>
    <s v="null"/>
    <s v="{&quot;data_posted&quot;:null,&quot;description&quot;:null,&quot;photos&quot;:null,&quot;post_id&quot;:null,&quot;profile_id&quot;:null,&quot;profile_name&quot;:null,&quot;url&quot;:null,&quot;videos&quot;:null}"/>
    <n v="173"/>
    <n v="1.2827166901460666E-2"/>
    <d v="2024-12-16T00:00:00"/>
    <n v="2.0810185185185185E-2"/>
    <x v="2"/>
    <x v="5"/>
    <x v="0"/>
    <x v="1"/>
    <x v="1"/>
    <x v="0"/>
    <n v="221"/>
    <x v="0"/>
  </r>
  <r>
    <n v="1.8683835894207081E+18"/>
    <s v="Glo███ews███"/>
    <s v="Glo███ews███"/>
    <s v="O Ministério da Defesa anunciou que mulheres que completarem 18 anos em 2025 poderão fazer o alistamento militar voluntário. Ao todo, serão 1,5 mil vagas entre Exército, Marinha e Aeronáutica._x000a__x000a_➡ Assista à #GloboNews:"/>
    <s v="&quot;2024-12-15T19:52:15.000Z&quot;"/>
    <s v="null"/>
    <s v="https://x.com/GloboNews/status/1868383589420707992"/>
    <s v="null"/>
    <n v="18"/>
    <n v="17"/>
    <n v="111"/>
    <n v="11871"/>
    <s v="http://glo.bo/39WjXAu"/>
    <s v="[&quot;GloboNews&quot;]"/>
    <n v="5771760"/>
    <s v="Nunca desliga"/>
    <n v="222223"/>
    <s v="https://pbs.twimg.com/profile_images/1559102712435933185/mYnEVnNs_normal.jpg"/>
    <n v="122"/>
    <b v="0"/>
    <n v="3"/>
    <n v="3"/>
    <s v="{&quot;post_id&quot;:null,&quot;profile_id&quot;:null,&quot;profile_name&quot;:null}"/>
    <s v="null"/>
    <s v="[{&quot;duration&quot;:122267,&quot;video_url&quot;:&quot;https://video.twimg.com/amplify_video/1868383493664698368/vid/avc1/1920x1080/kqIMqEyJb103tJAG.mp4?tag=16&quot;}]"/>
    <s v="{&quot;data_posted&quot;:null,&quot;description&quot;:null,&quot;photos&quot;:null,&quot;post_id&quot;:null,&quot;profile_id&quot;:null,&quot;profile_name&quot;:null,&quot;url&quot;:null,&quot;videos&quot;:null}"/>
    <n v="152"/>
    <n v="1.2804313031758066E-2"/>
    <d v="2024-12-15T00:00:00"/>
    <n v="0.82795138888888886"/>
    <x v="0"/>
    <x v="4"/>
    <x v="1"/>
    <x v="1"/>
    <x v="1"/>
    <x v="0"/>
    <n v="217"/>
    <x v="0"/>
  </r>
  <r>
    <n v="1.8683852737149832E+18"/>
    <s v="SLB███ica███"/>
    <s v="SL ███fic███"/>
    <s v="⏹ Termina a partida._x000a__x000a_#AVSSLB • #LigaPortugalBetclic"/>
    <s v="&quot;2024-12-15T19:58:56.000Z&quot;"/>
    <s v="[&quot;https://pbs.twimg.com/media/Ge3WUv7X0AAkHb7.jpg&quot;]"/>
    <s v="https://x.com/SLBenfica/status/1868385273714983122"/>
    <s v="null"/>
    <n v="245"/>
    <n v="38"/>
    <n v="353"/>
    <n v="55805"/>
    <s v=""/>
    <s v="[&quot;AVSSLB&quot;,&quot;LigaPortugalBetclic&quot;]"/>
    <n v="1906482"/>
    <s v="Twitter Oficial do 𝗦𝗽𝗼𝗿𝘁 𝗟𝗶𝘀𝗯𝗼𝗮 𝗲 𝗕𝗲𝗻𝗳𝗶𝗰𝗮 _x000a_English account: @SLBenfica_EN 🇬🇧🇺🇸_x000a_Modalidades: @ModalidadesSLB 🏑🏀"/>
    <n v="124666"/>
    <s v="https://pbs.twimg.com/profile_images/1845888754898161664/8uDsALMU_normal.jpg"/>
    <n v="432"/>
    <b v="0"/>
    <n v="68"/>
    <n v="5"/>
    <s v="{&quot;post_id&quot;:null,&quot;profile_id&quot;:null,&quot;profile_name&quot;:null}"/>
    <s v="null"/>
    <s v="null"/>
    <s v="{&quot;data_posted&quot;:null,&quot;description&quot;:null,&quot;photos&quot;:null,&quot;post_id&quot;:null,&quot;profile_id&quot;:null,&quot;profile_name&quot;:null,&quot;url&quot;:null,&quot;videos&quot;:null}"/>
    <n v="709"/>
    <n v="1.270495475315832E-2"/>
    <d v="2024-12-15T00:00:00"/>
    <n v="0.83259259259259255"/>
    <x v="0"/>
    <x v="4"/>
    <x v="0"/>
    <x v="0"/>
    <x v="1"/>
    <x v="0"/>
    <n v="52"/>
    <x v="0"/>
  </r>
  <r>
    <n v="1.8681579013590062E+18"/>
    <s v="WWE"/>
    <s v="WWE"/>
    <s v="EXCLUSIVE: Despite the loss, @MiaYim has plans to take the Women's United States Title from @ImChelseaGreen. _x000a__x000a_#SNME"/>
    <s v="&quot;2024-12-15T04:55:27.000Z&quot;"/>
    <s v="null"/>
    <s v="https://x.com/WWE/status/1868157901359006095"/>
    <s v="[{&quot;biography&quot;:null,&quot;followers&quot;:null,&quot;following&quot;:null,&quot;is_verified&quot;:null,&quot;profile_id&quot;:&quot;108200716&quot;,&quot;profile_name&quot;:&quot;Michin 미친&quot;,&quot;url&quot;:&quot;https://x.com/MiaYim&quot;},{&quot;biography&quot;:null,&quot;followers&quot;:null,&quot;following&quot;:null,&quot;is_verified&quot;:null,&quot;profile_id&quot;:&quot;3351327093&quot;,&quot;profile_name&quot;:&quot;CHELSEA GREEN&quot;,&quot;url&quot;:&quot;https://x.com/ImChelseaGreen&quot;}]"/>
    <n v="68"/>
    <n v="383"/>
    <n v="2495"/>
    <n v="247283"/>
    <s v=""/>
    <s v="[&quot;SNME&quot;]"/>
    <n v="14375934"/>
    <s v="WWE Raw | Mondays at 8/7c on USA Network _x000a_WWE NXT | Tuesdays at 8/7c on The CW _x000a_WWE SmackDown | Fridays at 8/7c on USA Network"/>
    <n v="346973"/>
    <s v="https://pbs.twimg.com/profile_images/1383079031805972485/3sWoMX-R_normal.jpg"/>
    <n v="392"/>
    <b v="0"/>
    <n v="15"/>
    <n v="177"/>
    <s v="{&quot;post_id&quot;:null,&quot;profile_id&quot;:null,&quot;profile_name&quot;:null}"/>
    <s v="null"/>
    <s v="[{&quot;duration&quot;:155766,&quot;video_url&quot;:&quot;https://video.twimg.com/amplify_video/1868157821453217792/vid/avc1/1920x1080/BkeKsttxPg3Hc1Eq.mp4?tag=16&quot;}]"/>
    <s v="{&quot;data_posted&quot;:null,&quot;description&quot;:null,&quot;photos&quot;:null,&quot;post_id&quot;:null,&quot;profile_id&quot;:null,&quot;profile_name&quot;:null,&quot;url&quot;:null,&quot;videos&quot;:null}"/>
    <n v="3138"/>
    <n v="1.2689913985191056E-2"/>
    <d v="2024-12-15T00:00:00"/>
    <n v="0.2051736111111111"/>
    <x v="0"/>
    <x v="9"/>
    <x v="1"/>
    <x v="1"/>
    <x v="1"/>
    <x v="0"/>
    <n v="116"/>
    <x v="1"/>
  </r>
  <r>
    <n v="1.8681638953129331E+18"/>
    <s v="ufc"/>
    <s v="UFC"/>
    <s v="STARBOY GETS THE LATE STOPPAGE 🔥_x000a__x000a_@ManelKape comes out on top at #UFCTampa!"/>
    <s v="&quot;2024-12-15T05:19:16.000Z&quot;"/>
    <s v="null"/>
    <s v="https://x.com/ufc/status/1868163895312933088"/>
    <s v="[{&quot;biography&quot;:null,&quot;followers&quot;:null,&quot;following&quot;:null,&quot;is_verified&quot;:null,&quot;profile_id&quot;:&quot;1089988262&quot;,&quot;profile_name&quot;:&quot;マネル・ケイプ موسى Manel Kape&quot;,&quot;url&quot;:&quot;https://x.com/ManelKape&quot;}]"/>
    <n v="142"/>
    <n v="153"/>
    <n v="1621"/>
    <n v="155631"/>
    <s v=""/>
    <s v="[&quot;UFCTampa&quot;]"/>
    <n v="12876593"/>
    <s v="#UFCTampa | Covington vs Buckley | December 14 | 10pmET | LIVE on @ESPNPlus"/>
    <n v="141401"/>
    <s v="https://pbs.twimg.com/profile_images/1835773190385328128/4fVrF1UI_normal.jpg"/>
    <n v="717"/>
    <b v="0"/>
    <n v="25"/>
    <n v="25"/>
    <s v="{&quot;post_id&quot;:null,&quot;profile_id&quot;:null,&quot;profile_name&quot;:null}"/>
    <s v="null"/>
    <s v="[{&quot;duration&quot;:27334,&quot;video_url&quot;:&quot;https://video.twimg.com/ext_tw_video/1868163193660424192/pu/vid/avc1/720x720/M1xomMFgHK6zmBJF.mp4?tag=12&quot;}]"/>
    <s v="{&quot;data_posted&quot;:null,&quot;description&quot;:null,&quot;photos&quot;:null,&quot;post_id&quot;:null,&quot;profile_id&quot;:null,&quot;profile_name&quot;:null,&quot;url&quot;:null,&quot;videos&quot;:null}"/>
    <n v="1966"/>
    <n v="1.2632444692895374E-2"/>
    <d v="2024-12-15T00:00:00"/>
    <n v="0.22171296296296297"/>
    <x v="0"/>
    <x v="22"/>
    <x v="1"/>
    <x v="1"/>
    <x v="1"/>
    <x v="0"/>
    <n v="75"/>
    <x v="1"/>
  </r>
  <r>
    <n v="1.8684006413342561E+18"/>
    <s v="Cel███FC"/>
    <s v="Cel███ Fo███all██████"/>
    <s v="🎙 All the post-match reaction from a victorious day at Hampden!_x000a__x000a_#CELRAN | #PremierSportCup | #CelticFC🍀"/>
    <s v="&quot;2024-12-15T21:00:00.000Z&quot;"/>
    <s v="null"/>
    <s v="https://x.com/CelticFC/status/1868400641334256105"/>
    <s v="null"/>
    <n v="2"/>
    <n v="27"/>
    <n v="412"/>
    <n v="35513"/>
    <s v="https://youtu.be/7Q3WhI3wKW0"/>
    <s v="[&quot;CELRAN&quot;,&quot;PremierSportCup&quot;,&quot;CelticFC&quot;]"/>
    <n v="984256"/>
    <s v="Glasgow Celtic - 2023/24 Double Winners! 🍀🏆 🟢 @CelticFCWomen ⚪ @CelticFCB 🎌 @CelticFCJPN 📽 @CelticTV 🛒 @CelticFCShop 🎟 @CelticFCTickets"/>
    <n v="136135"/>
    <s v="https://pbs.twimg.com/profile_images/1808866900228665344/xZAZuYBY_normal.jpg"/>
    <n v="438"/>
    <b v="0"/>
    <n v="2"/>
    <n v="3"/>
    <s v="{&quot;post_id&quot;:null,&quot;profile_id&quot;:null,&quot;profile_name&quot;:null}"/>
    <s v="null"/>
    <s v="null"/>
    <s v="{&quot;data_posted&quot;:null,&quot;description&quot;:null,&quot;photos&quot;:null,&quot;post_id&quot;:null,&quot;profile_id&quot;:null,&quot;profile_name&quot;:null,&quot;url&quot;:null,&quot;videos&quot;:null}"/>
    <n v="446"/>
    <n v="1.2558781291358094E-2"/>
    <d v="2024-12-15T00:00:00"/>
    <n v="0.875"/>
    <x v="0"/>
    <x v="10"/>
    <x v="0"/>
    <x v="1"/>
    <x v="1"/>
    <x v="0"/>
    <n v="104"/>
    <x v="2"/>
  </r>
  <r>
    <n v="1.8682873955036856E+18"/>
    <s v="Met███ole███"/>
    <s v="Met███ole███"/>
    <s v="➡️ Com recesso, cassação de Brazão deve voltar à estaca zero na Câmara_x000a__x000a_Casa deve ter só mais cinco dias de trabalho em 2024 e, se não votar o processo contra o deputado na próxima semana, ação perderá validade_x000a__x000a_Leia:"/>
    <s v="&quot;2024-12-15T13:30:00.000Z&quot;"/>
    <s v="[&quot;https://pbs.twimg.com/media/Ge1alH_XgAALCtq.png&quot;]"/>
    <s v="https://x.com/Metropoles/status/1868287395503685646"/>
    <s v="null"/>
    <n v="34"/>
    <n v="9"/>
    <n v="42"/>
    <n v="7254"/>
    <s v="https://curt.link/lpJqQ"/>
    <s v="null"/>
    <n v="1239617"/>
    <s v="📱 O seu portal de notícias. Tudo sobre política, saúde, justiça, comportamento, entretenimento. Confira os fatos relevantes do país e do mundo em tempo real."/>
    <n v="402839"/>
    <s v="https://pbs.twimg.com/profile_images/1642966741138415647/fHdgQUGl_normal.jpg"/>
    <n v="1644"/>
    <b v="0"/>
    <n v="5"/>
    <n v="1"/>
    <s v="{&quot;post_id&quot;:null,&quot;profile_id&quot;:null,&quot;profile_name&quot;:null}"/>
    <s v="null"/>
    <s v="null"/>
    <s v="{&quot;data_posted&quot;:null,&quot;description&quot;:null,&quot;photos&quot;:null,&quot;post_id&quot;:null,&quot;profile_id&quot;:null,&quot;profile_name&quot;:null,&quot;url&quot;:null,&quot;videos&quot;:null}"/>
    <n v="91"/>
    <n v="1.2544802867383513E-2"/>
    <d v="2024-12-15T00:00:00"/>
    <n v="0.5625"/>
    <x v="0"/>
    <x v="14"/>
    <x v="0"/>
    <x v="0"/>
    <x v="0"/>
    <x v="0"/>
    <n v="217"/>
    <x v="0"/>
  </r>
  <r>
    <n v="1.7938202940226604E+18"/>
    <s v="Nms███eRe███rch███"/>
    <s v="熊老大███ 兔友███B🐻███"/>
    <s v="#兔友迷惑行为"/>
    <s v="&quot;2024-05-24T01:44:20.000Z&quot;"/>
    <s v="[&quot;https://pbs.twimg.com/media/GOTuDAJaoAAqPT5.jpg&quot;]"/>
    <s v="https://x.com/NmsleseResearch/status/1793820294022660258"/>
    <s v="null"/>
    <n v="62"/>
    <n v="16"/>
    <n v="724"/>
    <n v="65102"/>
    <s v=""/>
    <s v="[&quot;兔友迷惑行为&quot;]"/>
    <n v="11185"/>
    <s v="推特兔友的迷惑行為收集處（晚安推除外）丨歡迎投稿"/>
    <n v="22677"/>
    <s v="https://pbs.twimg.com/profile_images/1866832536816795648/rAEgM1H5_normal.jpg"/>
    <n v="2557"/>
    <b v="0"/>
    <n v="1"/>
    <n v="13"/>
    <s v="{&quot;post_id&quot;:null,&quot;profile_id&quot;:null,&quot;profile_name&quot;:null}"/>
    <s v="null"/>
    <s v="null"/>
    <s v="{&quot;data_posted&quot;:null,&quot;description&quot;:null,&quot;photos&quot;:null,&quot;post_id&quot;:null,&quot;profile_id&quot;:null,&quot;profile_name&quot;:null,&quot;url&quot;:null,&quot;videos&quot;:null}"/>
    <n v="816"/>
    <n v="1.2534177137415134E-2"/>
    <d v="2024-05-24T00:00:00"/>
    <n v="7.2453703703703701E-2"/>
    <x v="1"/>
    <x v="19"/>
    <x v="0"/>
    <x v="0"/>
    <x v="1"/>
    <x v="0"/>
    <n v="7"/>
    <x v="3"/>
  </r>
  <r>
    <n v="1.8682960819075932E+18"/>
    <s v="Cel███FC"/>
    <s v="Cel███ Fo███all██████"/>
    <s v="🤩 The scene is set for #PremierSportsCup Final! _x000a__x000a_Team news from Hampden 🔜_x000a__x000a_#CELRAN | #CelticFC🍀"/>
    <s v="&quot;2024-12-15T14:04:31.000Z&quot;"/>
    <s v="[&quot;https://pbs.twimg.com/media/Ge2FS5dXMAAyZPv.jpg&quot;,&quot;https://pbs.twimg.com/media/Ge2FS5WWAAAAhFr.jpg&quot;,&quot;https://pbs.twimg.com/media/Ge2FS5XWQAA27_h.jpg&quot;,&quot;https://pbs.twimg.com/media/Ge2FS5fWoAAfZ-t.jpg&quot;]"/>
    <s v="https://x.com/CelticFC/status/1868296081907593280"/>
    <s v="null"/>
    <n v="22"/>
    <n v="85"/>
    <n v="1484"/>
    <n v="128215"/>
    <s v=""/>
    <s v="[&quot;PremierSportsCup&quot;,&quot;CELRAN&quot;,&quot;CelticFC&quot;]"/>
    <n v="984256"/>
    <s v="Glasgow Celtic - 2023/24 Double Winners! 🍀🏆 🟢 @CelticFCWomen ⚪ @CelticFCB 🎌 @CelticFCJPN 📽 @CelticTV 🛒 @CelticFCShop 🎟 @CelticFCTickets"/>
    <n v="136135"/>
    <s v="https://pbs.twimg.com/profile_images/1808866900228665344/xZAZuYBY_normal.jpg"/>
    <n v="438"/>
    <b v="0"/>
    <n v="7"/>
    <n v="7"/>
    <s v="{&quot;post_id&quot;:null,&quot;profile_id&quot;:null,&quot;profile_name&quot;:null}"/>
    <s v="null"/>
    <s v="null"/>
    <s v="{&quot;data_posted&quot;:null,&quot;description&quot;:null,&quot;photos&quot;:null,&quot;post_id&quot;:null,&quot;profile_id&quot;:null,&quot;profile_name&quot;:null,&quot;url&quot;:null,&quot;videos&quot;:null}"/>
    <n v="1605"/>
    <n v="1.2518036111219436E-2"/>
    <d v="2024-12-15T00:00:00"/>
    <n v="0.58646990740740745"/>
    <x v="0"/>
    <x v="1"/>
    <x v="0"/>
    <x v="0"/>
    <x v="1"/>
    <x v="0"/>
    <n v="96"/>
    <x v="2"/>
  </r>
  <r>
    <n v="1.8682144074253768E+18"/>
    <s v="CNN███sil███"/>
    <s v="CNN███asi███"/>
    <s v="Entenda a prisão de Braga Netto em 10 pontos"/>
    <s v="&quot;2024-12-15T08:39:59.000Z&quot;"/>
    <s v="null"/>
    <s v="https://x.com/CNNBrasil/status/1868214407425376717"/>
    <s v="null"/>
    <n v="94"/>
    <n v="5"/>
    <n v="69"/>
    <n v="14061"/>
    <s v="https://cnnbr.app/short/c2807067777/"/>
    <s v="null"/>
    <n v="2819409"/>
    <s v="Pense bem, pense CNN._x000a_Acompanhe também pelo canal 577, app ou site. _x000a_⚽ @esportescnn_x000a_⚡️ @cnnpop_x000a_💰 @cnneconomia_x000a_💵 @nolucrocnn"/>
    <n v="286269"/>
    <s v="https://pbs.twimg.com/profile_images/1202609722257485824/NcFn6f7X_normal.jpg"/>
    <n v="4"/>
    <b v="0"/>
    <n v="4"/>
    <n v="4"/>
    <s v="{&quot;post_id&quot;:null,&quot;profile_id&quot;:null,&quot;profile_name&quot;:null}"/>
    <s v="[&quot;https://pbs.twimg.com/card_img/1868214376764739585/Q4wtxPDM?format=jpg&amp;name=orig&quot;]"/>
    <s v="null"/>
    <s v="{&quot;data_posted&quot;:null,&quot;description&quot;:null,&quot;photos&quot;:null,&quot;post_id&quot;:null,&quot;profile_id&quot;:null,&quot;profile_name&quot;:null,&quot;url&quot;:null,&quot;videos&quot;:null}"/>
    <n v="176"/>
    <n v="1.2516890690562549E-2"/>
    <d v="2024-12-15T00:00:00"/>
    <n v="0.36109953703703701"/>
    <x v="0"/>
    <x v="6"/>
    <x v="0"/>
    <x v="1"/>
    <x v="0"/>
    <x v="0"/>
    <n v="44"/>
    <x v="0"/>
  </r>
  <r>
    <n v="1.8682191802872302E+18"/>
    <s v="itv███tba███"/>
    <s v="ITV███otb███"/>
    <s v="Liam Cullen is on fire at the moment 🔥_x000a__x000a_#ITVFootball | @EFL | @SwansOfficial"/>
    <s v="&quot;2024-12-15T08:58:57.000Z&quot;"/>
    <s v="null"/>
    <s v="https://x.com/itvfootball/status/1868219180287230334"/>
    <s v="[{&quot;biography&quot;:null,&quot;followers&quot;:null,&quot;following&quot;:null,&quot;is_verified&quot;:null,&quot;profile_id&quot;:&quot;31083978&quot;,&quot;profile_name&quot;:&quot;EFL&quot;,&quot;url&quot;:&quot;https://x.com/EFL&quot;},{&quot;biography&quot;:null,&quot;followers&quot;:null,&quot;following&quot;:null,&quot;is_verified&quot;:null,&quot;profile_id&quot;:&quot;472385266&quot;,&quot;profile_name&quot;:&quot;Swansea City AFC&quot;,&quot;url&quot;:&quot;https://x.com/SwansOfficial&quot;}]"/>
    <n v="9"/>
    <n v="2"/>
    <n v="185"/>
    <n v="16060"/>
    <s v=""/>
    <s v="[&quot;ITVFootball&quot;]"/>
    <n v="512376"/>
    <s v="The home of football on ITV ⚽️ 🏆_x000a__x000a_Follow us on Instagram @ITVFootball and on YouTube https://t.co/Ndk6tqVX2Y"/>
    <n v="138319"/>
    <s v="https://pbs.twimg.com/profile_images/1615361211133984771/f9-C_hI5_normal.png"/>
    <n v="1569"/>
    <b v="0"/>
    <n v="1"/>
    <n v="3"/>
    <s v="{&quot;post_id&quot;:null,&quot;profile_id&quot;:null,&quot;profile_name&quot;:null}"/>
    <s v="null"/>
    <s v="[{&quot;duration&quot;:15000,&quot;video_url&quot;:&quot;https://video.twimg.com/amplify_video/1868219150998401024/vid/avc1/1080x1080/3S7vlBrfTLb4VeRt.mp4?tag=16&quot;}]"/>
    <s v="{&quot;data_posted&quot;:null,&quot;description&quot;:null,&quot;photos&quot;:null,&quot;post_id&quot;:null,&quot;profile_id&quot;:null,&quot;profile_name&quot;:null,&quot;url&quot;:null,&quot;videos&quot;:null}"/>
    <n v="200"/>
    <n v="1.2453300124533001E-2"/>
    <d v="2024-12-15T00:00:00"/>
    <n v="0.37427083333333333"/>
    <x v="0"/>
    <x v="6"/>
    <x v="1"/>
    <x v="1"/>
    <x v="1"/>
    <x v="0"/>
    <n v="76"/>
    <x v="2"/>
  </r>
  <r>
    <n v="1.8683203603300682E+18"/>
    <s v="F1"/>
    <s v="For███a 1███"/>
    <s v="George and Lewis' final season as team mates 🤜🇬🇧🤛_x000a__x000a_Here's how their stats matched up 👇_x000a__x000a_#F1 @MercedesAMGF1"/>
    <s v="&quot;2024-12-15T15:41:00.000Z&quot;"/>
    <s v="[&quot;https://pbs.twimg.com/media/GeseIa3XsAA9psK.jpg&quot;]"/>
    <s v="https://x.com/F1/status/1868320360330068306"/>
    <s v="[{&quot;biography&quot;:null,&quot;followers&quot;:null,&quot;following&quot;:null,&quot;is_verified&quot;:null,&quot;profile_id&quot;:&quot;26235265&quot;,&quot;profile_name&quot;:&quot;Mercedes-AMG PETRONAS F1 Team&quot;,&quot;url&quot;:&quot;https://x.com/MercedesAMGF1&quot;}]"/>
    <n v="135"/>
    <n v="240"/>
    <n v="4929"/>
    <n v="443490"/>
    <s v=""/>
    <s v="[&quot;F1&quot;]"/>
    <n v="10795892"/>
    <s v="The home of risk takers, late brakers and history makers 💫"/>
    <n v="95508"/>
    <s v="https://pbs.twimg.com/profile_images/1612433922733887489/7f5XFklA_normal.jpg"/>
    <n v="98"/>
    <b v="0"/>
    <n v="70"/>
    <n v="117"/>
    <s v="{&quot;post_id&quot;:null,&quot;profile_id&quot;:null,&quot;profile_name&quot;:null}"/>
    <s v="null"/>
    <s v="null"/>
    <s v="{&quot;data_posted&quot;:null,&quot;description&quot;:null,&quot;photos&quot;:null,&quot;post_id&quot;:null,&quot;profile_id&quot;:null,&quot;profile_name&quot;:null,&quot;url&quot;:null,&quot;videos&quot;:null}"/>
    <n v="5491"/>
    <n v="1.2381338925342173E-2"/>
    <d v="2024-12-15T00:00:00"/>
    <n v="0.65347222222222223"/>
    <x v="0"/>
    <x v="13"/>
    <x v="0"/>
    <x v="0"/>
    <x v="1"/>
    <x v="0"/>
    <n v="106"/>
    <x v="1"/>
  </r>
  <r>
    <n v="1.8652538727400573E+18"/>
    <s v="Bro███ynN███"/>
    <s v="Bro███yn ███s"/>
    <s v="Our guys showing love to the @LongIslandNets tonight ♥️"/>
    <s v="&quot;2024-12-07T04:35:52.000Z&quot;"/>
    <s v="[&quot;https://pbs.twimg.com/media/GeK2GXiXEAA890f.jpg&quot;,&quot;https://pbs.twimg.com/media/GeK2GXjWsAAEZOd.jpg&quot;,&quot;https://pbs.twimg.com/media/GeK2GXkXwAAdERr.jpg&quot;,&quot;https://pbs.twimg.com/media/GeK2GXlWAAEtfKQ.jpg&quot;]"/>
    <s v="https://x.com/BrooklynNets/status/1865253872740057219"/>
    <s v="[{&quot;biography&quot;:null,&quot;followers&quot;:null,&quot;following&quot;:null,&quot;is_verified&quot;:null,&quot;profile_id&quot;:&quot;3386051303&quot;,&quot;profile_name&quot;:&quot;Long Island Nets&quot;,&quot;url&quot;:&quot;https://x.com/LongIslandNets&quot;}]"/>
    <n v="1"/>
    <n v="22"/>
    <n v="200"/>
    <n v="18665"/>
    <s v=""/>
    <s v="null"/>
    <n v="2035100"/>
    <s v="Tweets from #NetsWorld"/>
    <n v="106867"/>
    <s v="https://pbs.twimg.com/profile_images/1811024920870277122/1wQgAUZH_normal.jpg"/>
    <n v="411"/>
    <b v="0"/>
    <n v="6"/>
    <n v="2"/>
    <s v="{&quot;post_id&quot;:null,&quot;profile_id&quot;:null,&quot;profile_name&quot;:null}"/>
    <s v="null"/>
    <s v="null"/>
    <s v="{&quot;data_posted&quot;:null,&quot;description&quot;:null,&quot;photos&quot;:null,&quot;post_id&quot;:null,&quot;profile_id&quot;:null,&quot;profile_name&quot;:null,&quot;url&quot;:null,&quot;videos&quot;:null}"/>
    <n v="231"/>
    <n v="1.2376105009375837E-2"/>
    <d v="2024-12-07T00:00:00"/>
    <n v="0.19157407407407406"/>
    <x v="5"/>
    <x v="9"/>
    <x v="0"/>
    <x v="0"/>
    <x v="0"/>
    <x v="0"/>
    <n v="55"/>
    <x v="0"/>
  </r>
  <r>
    <n v="1.8682678493763136E+18"/>
    <s v="SLB███ica███"/>
    <s v="SL ███fic███"/>
    <s v="@adidasfootball #SLBenficaFem | 2-0 | ⚽ 56' GOOOOOLOOOOOOO!!! CHANDRA DAVIDSON!  _x000a__x000a_#TaçadaLigaFeminina"/>
    <s v="&quot;2024-12-15T12:12:20.000Z&quot;"/>
    <s v="[&quot;https://pbs.twimg.com/media/Ge1rsntWwAAF3kj.jpg&quot;]"/>
    <s v="https://x.com/SLBenfica/status/1868267849376313555"/>
    <s v="[{&quot;biography&quot;:null,&quot;followers&quot;:null,&quot;following&quot;:null,&quot;is_verified&quot;:null,&quot;profile_id&quot;:&quot;219683269&quot;,&quot;profile_name&quot;:&quot;adidas Football&quot;,&quot;url&quot;:&quot;https://x.com/adidasfootball&quot;}]"/>
    <n v="3"/>
    <n v="9"/>
    <n v="113"/>
    <n v="10266"/>
    <s v=""/>
    <s v="[&quot;SLBenficaFem&quot;,&quot;TaçadaLigaFeminina&quot;]"/>
    <n v="1906482"/>
    <s v="Twitter Oficial do 𝗦𝗽𝗼𝗿𝘁 𝗟𝗶𝘀𝗯𝗼𝗮 𝗲 𝗕𝗲𝗻𝗳𝗶𝗰𝗮 _x000a_English account: @SLBenfica_EN 🇬🇧🇺🇸_x000a_Modalidades: @ModalidadesSLB 🏑🏀"/>
    <n v="124666"/>
    <s v="https://pbs.twimg.com/profile_images/1845888754898161664/8uDsALMU_normal.jpg"/>
    <n v="432"/>
    <b v="0"/>
    <n v="1"/>
    <n v="1"/>
    <s v="{&quot;post_id&quot;:&quot;1868261698949550445&quot;,&quot;profile_id&quot;:&quot;21390437&quot;,&quot;profile_name&quot;:&quot;SLBenfica&quot;}"/>
    <s v="null"/>
    <s v="null"/>
    <s v="{&quot;data_posted&quot;:null,&quot;description&quot;:null,&quot;photos&quot;:null,&quot;post_id&quot;:null,&quot;profile_id&quot;:null,&quot;profile_name&quot;:null,&quot;url&quot;:null,&quot;videos&quot;:null}"/>
    <n v="127"/>
    <n v="1.2370933177479056E-2"/>
    <d v="2024-12-15T00:00:00"/>
    <n v="0.50856481481481486"/>
    <x v="0"/>
    <x v="0"/>
    <x v="0"/>
    <x v="0"/>
    <x v="1"/>
    <x v="0"/>
    <n v="102"/>
    <x v="0"/>
  </r>
  <r>
    <n v="1.8683415235549924E+18"/>
    <s v="Man███"/>
    <s v="Man███ste███nit███"/>
    <s v="Searching for a breakthrough 🔍_x000a__x000a_#MUFC || #MCIMUN"/>
    <s v="&quot;2024-12-15T17:05:05.000Z&quot;"/>
    <s v="[&quot;https://pbs.twimg.com/media/Ge2ugg1XsAA7KtO.jpg&quot;]"/>
    <s v="https://x.com/ManUtd/status/1868341523554992300"/>
    <s v="null"/>
    <n v="166"/>
    <n v="182"/>
    <n v="2703"/>
    <n v="250355"/>
    <s v=""/>
    <s v="[&quot;MUFC&quot;,&quot;MCIMUN&quot;]"/>
    <n v="38438997"/>
    <s v="’Tis the season to gift United! 🎁🎄"/>
    <n v="92455"/>
    <s v="https://pbs.twimg.com/profile_images/1856418426496880640/iIvJaO5T_normal.png"/>
    <n v="145"/>
    <b v="0"/>
    <n v="15"/>
    <n v="14"/>
    <s v="{&quot;post_id&quot;:null,&quot;profile_id&quot;:null,&quot;profile_name&quot;:null}"/>
    <s v="null"/>
    <s v="null"/>
    <s v="{&quot;data_posted&quot;:null,&quot;description&quot;:null,&quot;photos&quot;:null,&quot;post_id&quot;:null,&quot;profile_id&quot;:null,&quot;profile_name&quot;:null,&quot;url&quot;:null,&quot;videos&quot;:null}"/>
    <n v="3080"/>
    <n v="1.2302530406822313E-2"/>
    <d v="2024-12-15T00:00:00"/>
    <n v="0.71186342592592589"/>
    <x v="0"/>
    <x v="12"/>
    <x v="0"/>
    <x v="0"/>
    <x v="1"/>
    <x v="0"/>
    <n v="48"/>
    <x v="1"/>
  </r>
  <r>
    <n v="1.868314841339073E+18"/>
    <s v="Ran███sFC███"/>
    <s v="Ran███s F███bal█████████"/>
    <s v="Come on #RangersFC 💙"/>
    <s v="&quot;2024-12-15T15:19:04.000Z&quot;"/>
    <s v="null"/>
    <s v="https://x.com/RangersFC/status/1868314841339072965"/>
    <s v="null"/>
    <n v="15"/>
    <n v="32"/>
    <n v="666"/>
    <n v="58820"/>
    <s v=""/>
    <s v="[&quot;RangersFC&quot;]"/>
    <n v="812161"/>
    <s v="The Home of #RangersFC 💙"/>
    <n v="110924"/>
    <s v="https://pbs.twimg.com/profile_images/1856633703734112256/PBlqGEwC_normal.jpg"/>
    <n v="322"/>
    <b v="0"/>
    <n v="2"/>
    <n v="7"/>
    <s v="{&quot;post_id&quot;:null,&quot;profile_id&quot;:null,&quot;profile_name&quot;:null}"/>
    <s v="null"/>
    <s v="[{&quot;duration&quot;:14085,&quot;video_url&quot;:&quot;https://video.twimg.com/amplify_video/1868314731515183105/vid/avc1/1080x1920/mvvgHvKkHZU2fYJR.mp4?tag=16&quot;}]"/>
    <s v="{&quot;data_posted&quot;:null,&quot;description&quot;:null,&quot;photos&quot;:null,&quot;post_id&quot;:null,&quot;profile_id&quot;:null,&quot;profile_name&quot;:null,&quot;url&quot;:null,&quot;videos&quot;:null}"/>
    <n v="722"/>
    <n v="1.2274736484189051E-2"/>
    <d v="2024-12-15T00:00:00"/>
    <n v="0.63824074074074078"/>
    <x v="0"/>
    <x v="13"/>
    <x v="1"/>
    <x v="1"/>
    <x v="1"/>
    <x v="0"/>
    <n v="20"/>
    <x v="2"/>
  </r>
  <r>
    <n v="1.8683459406226762E+18"/>
    <s v="TNT███rts███"/>
    <s v="TNT███ort███R"/>
    <s v="Gvardiol vai dando uma importante vitória ao City de Pep Guardiola até aqui no clássico de Manchester! 🔵🔥#PremierLeague"/>
    <s v="&quot;2024-12-15T17:22:39.000Z&quot;"/>
    <s v="[&quot;https://pbs.twimg.com/media/Ge2x3O4XUAAWBDI.jpg&quot;]"/>
    <s v="https://x.com/TNTSportsBR/status/1868345940622676233"/>
    <s v="null"/>
    <n v="4"/>
    <n v="3"/>
    <n v="298"/>
    <n v="25184"/>
    <s v=""/>
    <s v="[&quot;PremierLeague&quot;]"/>
    <n v="8293203"/>
    <s v="⚽️ É muito mais Champions na Max, com TODOS os jogos ao vivo!_x000a_👇🏻Assine e assista clicando no link👇🏻"/>
    <n v="456734"/>
    <s v="https://pbs.twimg.com/profile_images/1807013047975768065/8sm_IGpw_normal.jpg"/>
    <n v="859"/>
    <b v="0"/>
    <n v="2"/>
    <n v="2"/>
    <s v="{&quot;post_id&quot;:null,&quot;profile_id&quot;:null,&quot;profile_name&quot;:null}"/>
    <s v="null"/>
    <s v="null"/>
    <s v="{&quot;data_posted&quot;:null,&quot;description&quot;:null,&quot;photos&quot;:null,&quot;post_id&quot;:null,&quot;profile_id&quot;:null,&quot;profile_name&quot;:null,&quot;url&quot;:null,&quot;videos&quot;:null}"/>
    <n v="309"/>
    <n v="1.2269695044472681E-2"/>
    <d v="2024-12-15T00:00:00"/>
    <n v="0.72406250000000005"/>
    <x v="0"/>
    <x v="12"/>
    <x v="0"/>
    <x v="0"/>
    <x v="1"/>
    <x v="0"/>
    <n v="119"/>
    <x v="0"/>
  </r>
  <r>
    <n v="1.8684119641727593E+18"/>
    <s v="Met███ole███"/>
    <s v="Met███ole███"/>
    <s v="➡️ Braga Netto é 1º general 4 estrelas preso: saiba poder da patente_x000a__x000a_Braga Netto é o primeiro general quatro estrelas preso desde o pós-ditadura. Ele foi indiciado pela PF acusado de trama golpista_x000a__x000a_Leia:"/>
    <s v="&quot;2024-12-15T21:45:00.000Z&quot;"/>
    <s v="[&quot;https://pbs.twimg.com/media/Ge2M1bzWkAAl_UU.png&quot;]"/>
    <s v="https://x.com/Metropoles/status/1868411964172759230"/>
    <s v="null"/>
    <n v="30"/>
    <n v="4"/>
    <n v="44"/>
    <n v="6791"/>
    <s v="https://curt.link/JgYNQ"/>
    <s v="null"/>
    <n v="1239616"/>
    <s v="📱 O seu portal de notícias. Tudo sobre política, saúde, justiça, comportamento, entretenimento. Confira os fatos relevantes do país e do mundo em tempo real."/>
    <n v="402839"/>
    <s v="https://pbs.twimg.com/profile_images/1642966741138415647/fHdgQUGl_normal.jpg"/>
    <n v="1644"/>
    <b v="0"/>
    <n v="3"/>
    <n v="2"/>
    <s v="{&quot;post_id&quot;:null,&quot;profile_id&quot;:null,&quot;profile_name&quot;:null}"/>
    <s v="null"/>
    <s v="null"/>
    <s v="{&quot;data_posted&quot;:null,&quot;description&quot;:null,&quot;photos&quot;:null,&quot;post_id&quot;:null,&quot;profile_id&quot;:null,&quot;profile_name&quot;:null,&quot;url&quot;:null,&quot;videos&quot;:null}"/>
    <n v="83"/>
    <n v="1.2222058606979827E-2"/>
    <d v="2024-12-15T00:00:00"/>
    <n v="0.90625"/>
    <x v="0"/>
    <x v="10"/>
    <x v="0"/>
    <x v="0"/>
    <x v="0"/>
    <x v="0"/>
    <n v="205"/>
    <x v="0"/>
  </r>
  <r>
    <n v="1.86834924734029E+18"/>
    <s v="nyp███"/>
    <s v="New███rk ███t"/>
    <s v="Mitt Romney says Dems lost their base thanks to Bernie and Liz Warren: ‘I don’t know how they recover’"/>
    <s v="&quot;2024-12-15T17:35:47.000Z&quot;"/>
    <s v="[&quot;https://pbs.twimg.com/media/Ge21vTxXcAATAyp.jpg&quot;]"/>
    <s v="https://x.com/nypost/status/1868349247340290132"/>
    <s v="null"/>
    <n v="120"/>
    <n v="62"/>
    <n v="353"/>
    <n v="46025"/>
    <s v="https://trib.al/RvUNski"/>
    <s v="null"/>
    <n v="3313888"/>
    <s v="Breaking news &amp; features from The New York Post. Follow your favorite sections: @pagesix, @nypmetro, @nypostbiz, @nypostsports, @nypfashion, @nypostopinion"/>
    <n v="706459"/>
    <s v="https://pbs.twimg.com/profile_images/966372680306868224/60wfGe9e_normal.jpg"/>
    <n v="10308"/>
    <b v="0"/>
    <n v="11"/>
    <n v="12"/>
    <s v="{&quot;post_id&quot;:null,&quot;profile_id&quot;:null,&quot;profile_name&quot;:null}"/>
    <s v="null"/>
    <s v="null"/>
    <s v="{&quot;data_posted&quot;:null,&quot;description&quot;:null,&quot;photos&quot;:null,&quot;post_id&quot;:null,&quot;profile_id&quot;:null,&quot;profile_name&quot;:null,&quot;url&quot;:null,&quot;videos&quot;:null}"/>
    <n v="558"/>
    <n v="1.2123845736013036E-2"/>
    <d v="2024-12-15T00:00:00"/>
    <n v="0.73318287037037033"/>
    <x v="0"/>
    <x v="12"/>
    <x v="0"/>
    <x v="0"/>
    <x v="0"/>
    <x v="0"/>
    <n v="102"/>
    <x v="0"/>
  </r>
  <r>
    <n v="1.8682644853934042E+18"/>
    <s v="Eur███agu███"/>
    <s v="Tur███h A███ine█████████gue███"/>
    <s v="That’s a whole lotta games 😳👏 _x000a__x000a_#EveryGameMatters"/>
    <s v="&quot;2024-12-15T11:58:58.000Z&quot;"/>
    <s v="[&quot;https://pbs.twimg.com/media/Ge1opVgXQAAPuFW.jpg&quot;]"/>
    <s v="https://x.com/EuroLeague/status/1868264485393404110"/>
    <s v="null"/>
    <n v="6"/>
    <n v="6"/>
    <n v="171"/>
    <n v="15260"/>
    <s v=""/>
    <s v="[&quot;EveryGameMatters&quot;]"/>
    <n v="668750"/>
    <s v="The official X account of the Turkish Airlines EuroLeague🏀"/>
    <n v="76510"/>
    <s v="https://pbs.twimg.com/profile_images/1793167534889308160/aE2Qsevu_normal.jpg"/>
    <n v="860"/>
    <b v="0"/>
    <n v="1"/>
    <n v="1"/>
    <s v="{&quot;post_id&quot;:null,&quot;profile_id&quot;:null,&quot;profile_name&quot;:null}"/>
    <s v="null"/>
    <s v="null"/>
    <s v="{&quot;data_posted&quot;:null,&quot;description&quot;:null,&quot;photos&quot;:null,&quot;post_id&quot;:null,&quot;profile_id&quot;:null,&quot;profile_name&quot;:null,&quot;url&quot;:null,&quot;videos&quot;:null}"/>
    <n v="185"/>
    <n v="1.2123197903014417E-2"/>
    <d v="2024-12-15T00:00:00"/>
    <n v="0.49928240740740742"/>
    <x v="0"/>
    <x v="16"/>
    <x v="0"/>
    <x v="0"/>
    <x v="1"/>
    <x v="0"/>
    <n v="49"/>
    <x v="2"/>
  </r>
  <r>
    <n v="1.8682043461457311E+18"/>
    <s v="FIF███C"/>
    <s v="FIF███ome███ Wo█████████"/>
    <s v="Come for the goal, stay for the celebrations. 🎉_x000a__x000a_@NZ_Football | #FIFAWWC"/>
    <s v="&quot;2024-12-15T08:00:00.000Z&quot;"/>
    <s v="null"/>
    <s v="https://x.com/FIFAWWC/status/1868204346145731018"/>
    <s v="[{&quot;biography&quot;:null,&quot;followers&quot;:null,&quot;following&quot;:null,&quot;is_verified&quot;:null,&quot;profile_id&quot;:&quot;79814713&quot;,&quot;profile_name&quot;:&quot;New Zealand Football 🇳🇿&quot;,&quot;url&quot;:&quot;https://x.com/NZ_Football&quot;}]"/>
    <n v="2"/>
    <n v="10"/>
    <n v="104"/>
    <n v="9981"/>
    <s v=""/>
    <s v="[&quot;FIFAWWC&quot;]"/>
    <n v="1076244"/>
    <s v="The home of women's football. 🏆"/>
    <n v="55798"/>
    <s v="https://pbs.twimg.com/profile_images/1855592584346804224/qCBZBNpu_normal.jpg"/>
    <n v="1771"/>
    <b v="0"/>
    <n v="1"/>
    <n v="4"/>
    <s v="{&quot;post_id&quot;:null,&quot;profile_id&quot;:null,&quot;profile_name&quot;:null}"/>
    <s v="null"/>
    <s v="[{&quot;duration&quot;:32400,&quot;video_url&quot;:&quot;https://video.twimg.com/ext_tw_video/1867575937518202880/pu/vid/avc1/720x720/KSIIm-0HN6k-Hqo6.mp4?tag=12&quot;}]"/>
    <s v="{&quot;data_posted&quot;:null,&quot;description&quot;:null,&quot;photos&quot;:null,&quot;post_id&quot;:null,&quot;profile_id&quot;:null,&quot;profile_name&quot;:null,&quot;url&quot;:null,&quot;videos&quot;:null}"/>
    <n v="121"/>
    <n v="1.2123033764151889E-2"/>
    <d v="2024-12-15T00:00:00"/>
    <n v="0.33333333333333331"/>
    <x v="0"/>
    <x v="6"/>
    <x v="1"/>
    <x v="1"/>
    <x v="1"/>
    <x v="0"/>
    <n v="72"/>
    <x v="0"/>
  </r>
  <r>
    <n v="1.8684051906315267E+18"/>
    <s v="tvg███o"/>
    <s v="TV ███bo ███"/>
    <s v="O PÓBI DO @FabioPorchat 🤣🤣🤣 #MelhoresDoAno #Domingão"/>
    <s v="&quot;2024-12-15T21:18:05.000Z&quot;"/>
    <s v="null"/>
    <s v="https://x.com/tvglobo/status/1868405190631526691"/>
    <s v="[{&quot;biography&quot;:null,&quot;followers&quot;:null,&quot;following&quot;:null,&quot;is_verified&quot;:null,&quot;profile_id&quot;:&quot;33804533&quot;,&quot;profile_name&quot;:&quot;Fabio Porchat&quot;,&quot;url&quot;:&quot;https://x.com/FabioPorchat&quot;}]"/>
    <n v="5"/>
    <n v="18"/>
    <n v="196"/>
    <n v="19291"/>
    <s v=""/>
    <s v="[&quot;MelhoresDoAno&quot;,&quot;Domingão&quot;]"/>
    <n v="13492430"/>
    <s v="oi, eu sou a Glô 😜"/>
    <n v="314515"/>
    <s v="https://pbs.twimg.com/profile_images/1863599216829792256/r5M1uKA8_normal.jpg"/>
    <n v="708"/>
    <b v="0"/>
    <n v="2"/>
    <n v="11"/>
    <s v="{&quot;post_id&quot;:null,&quot;profile_id&quot;:null,&quot;profile_name&quot;:null}"/>
    <s v="null"/>
    <s v="[{&quot;duration&quot;:24090,&quot;video_url&quot;:&quot;https://video.twimg.com/amplify_video/1868404959915466752/vid/avc1/1920x1080/QPYw7cLM9R80_YE9.mp4?tag=16&quot;}]"/>
    <s v="{&quot;data_posted&quot;:null,&quot;description&quot;:null,&quot;photos&quot;:null,&quot;post_id&quot;:null,&quot;profile_id&quot;:null,&quot;profile_name&quot;:null,&quot;url&quot;:null,&quot;videos&quot;:null}"/>
    <n v="232"/>
    <n v="1.2026333523404696E-2"/>
    <d v="2024-12-15T00:00:00"/>
    <n v="0.88755787037037037"/>
    <x v="0"/>
    <x v="10"/>
    <x v="1"/>
    <x v="1"/>
    <x v="1"/>
    <x v="0"/>
    <n v="52"/>
    <x v="1"/>
  </r>
  <r>
    <n v="1.8682913536012539E+18"/>
    <s v="Cly███C"/>
    <s v="Cly███FC"/>
    <s v="𝗠𝗔𝗧𝗖𝗛 𝗚𝗔𝗟𝗟𝗘𝗥𝗬 || 𝘃𝘀 𝗧𝗛𝗘 𝗦𝗣𝗔𝗥𝗧𝗔𝗡𝗦 _x000a__x000a_Club photographer @CraigBlackPhoto was on hand at Ainslie Park to snap yesterdays action, with a drop off to lapland before kick off..._x000a__x000a_⚽  |"/>
    <s v="&quot;2024-12-15T13:45:44.000Z&quot;"/>
    <s v="[&quot;https://pbs.twimg.com/media/Ge2BFYPXAAAugFU.jpg&quot;]"/>
    <s v="https://x.com/ClydeFC/status/1868291353601253771"/>
    <s v="[{&quot;biography&quot;:null,&quot;followers&quot;:null,&quot;following&quot;:null,&quot;is_verified&quot;:null,&quot;profile_id&quot;:&quot;2281116008&quot;,&quot;profile_name&quot;:&quot;Craig Black Photo&quot;,&quot;url&quot;:&quot;https://x.com/craigblackphoto&quot;}]"/>
    <n v="1"/>
    <n v="1"/>
    <n v="16"/>
    <n v="1498"/>
    <s v="https://buff.ly/3BvIQ9d"/>
    <s v="[&quot;WeAreClyde&quot;]"/>
    <n v="18440"/>
    <s v="The official account of Clyde Football Club _x000a__x000a_➡️ | @ElginCityFC_x000a_📅 | Dec 17_x000a_🕒 | 7.45pm_x000a__x000a_#WeAreClyde_x000a__x000a_Social Media Partner | @CrossReach"/>
    <n v="19725"/>
    <s v="https://pbs.twimg.com/profile_images/930112997183418369/A6vK-pEY_normal.jpg"/>
    <n v="154"/>
    <b v="0"/>
    <n v="0"/>
    <n v="0"/>
    <s v="{&quot;post_id&quot;:null,&quot;profile_id&quot;:null,&quot;profile_name&quot;:null}"/>
    <s v="null"/>
    <s v="null"/>
    <s v="{&quot;data_posted&quot;:null,&quot;description&quot;:null,&quot;photos&quot;:null,&quot;post_id&quot;:null,&quot;profile_id&quot;:null,&quot;profile_name&quot;:null,&quot;url&quot;:null,&quot;videos&quot;:null}"/>
    <n v="18"/>
    <n v="1.2016021361815754E-2"/>
    <d v="2024-12-15T00:00:00"/>
    <n v="0.57342592592592589"/>
    <x v="0"/>
    <x v="14"/>
    <x v="0"/>
    <x v="0"/>
    <x v="1"/>
    <x v="0"/>
    <n v="176"/>
    <x v="3"/>
  </r>
  <r>
    <n v="1.8683457008719711E+18"/>
    <s v="Bar███ysW███"/>
    <s v="Bar███ys ███en'█████████eag███"/>
    <s v="Striking the back of the net with the last kick of the first half to seal the three points 👏_x000a__x000a_#BarclaysWSL @ManUtdWomen"/>
    <s v="&quot;2024-12-15T17:21:41.000Z&quot;"/>
    <s v="null"/>
    <s v="https://x.com/BarclaysWSL/status/1868345700871971161"/>
    <s v="[{&quot;biography&quot;:null,&quot;followers&quot;:null,&quot;following&quot;:null,&quot;is_verified&quot;:null,&quot;profile_id&quot;:&quot;977180963846443013&quot;,&quot;profile_name&quot;:&quot;Manchester United Women&quot;,&quot;url&quot;:&quot;https://x.com/ManUtdWomen&quot;}]"/>
    <n v="2"/>
    <n v="9"/>
    <n v="133"/>
    <n v="12531"/>
    <s v=""/>
    <s v="[&quot;BarclaysWSL&quot;]"/>
    <n v="337839"/>
    <s v="The home of top-flight women's football in England! 🤩_x000a__x000a_Subscribe to our brand-new BWSL YouTube Channel! 📺 #BarclaysWSL"/>
    <n v="57638"/>
    <s v="https://pbs.twimg.com/profile_images/1605171595160555521/NKG9mgxv_normal.jpg"/>
    <n v="587"/>
    <b v="0"/>
    <n v="4"/>
    <n v="1"/>
    <s v="{&quot;post_id&quot;:null,&quot;profile_id&quot;:null,&quot;profile_name&quot;:null}"/>
    <s v="null"/>
    <s v="[{&quot;duration&quot;:27773,&quot;video_url&quot;:&quot;https://video.twimg.com/amplify_video/1868308686172499968/vid/avc1/1280x720/nzY4LI4W-mCp8z8u.mp4?tag=16&quot;}]"/>
    <s v="{&quot;data_posted&quot;:null,&quot;description&quot;:null,&quot;photos&quot;:null,&quot;post_id&quot;:null,&quot;profile_id&quot;:null,&quot;profile_name&quot;:null,&quot;url&quot;:null,&quot;videos&quot;:null}"/>
    <n v="149"/>
    <n v="1.1890511531402123E-2"/>
    <d v="2024-12-15T00:00:00"/>
    <n v="0.72339120370370369"/>
    <x v="0"/>
    <x v="12"/>
    <x v="1"/>
    <x v="1"/>
    <x v="1"/>
    <x v="0"/>
    <n v="119"/>
    <x v="2"/>
  </r>
  <r>
    <n v="1.8682925287616064E+18"/>
    <s v="Man███yWo███"/>
    <s v="Man███ste███ity█████████"/>
    <s v="63. CITY SUB | Another change 🔁_x000a__x000a_🍬 2-0 🩵 #ManCity"/>
    <s v="&quot;2024-12-15T13:50:24.000Z&quot;"/>
    <s v="[&quot;https://pbs.twimg.com/media/Ge2CIYHWAAAnOrb.jpg&quot;]"/>
    <s v="https://x.com/ManCityWomen/status/1868292528761606490"/>
    <s v="null"/>
    <n v="11"/>
    <n v="6"/>
    <n v="183"/>
    <n v="17435"/>
    <s v=""/>
    <s v="[&quot;ManCity&quot;]"/>
    <n v="240106"/>
    <s v="Official account of Manchester City Women 🩵_x000a__x000a_🏆 1x WSL_x000a_🏆 3x Women’s FA Cup_x000a_🏆 4x FA Women’s League Cup"/>
    <n v="29070"/>
    <s v="https://pbs.twimg.com/profile_images/1856262696011755520/VOcg8JqD_normal.jpg"/>
    <n v="799"/>
    <b v="0"/>
    <n v="4"/>
    <n v="3"/>
    <s v="{&quot;post_id&quot;:null,&quot;profile_id&quot;:null,&quot;profile_name&quot;:null}"/>
    <s v="null"/>
    <s v="null"/>
    <s v="{&quot;data_posted&quot;:null,&quot;description&quot;:null,&quot;photos&quot;:null,&quot;post_id&quot;:null,&quot;profile_id&quot;:null,&quot;profile_name&quot;:null,&quot;url&quot;:null,&quot;videos&quot;:null}"/>
    <n v="207"/>
    <n v="1.1872669916833955E-2"/>
    <d v="2024-12-15T00:00:00"/>
    <n v="0.57666666666666666"/>
    <x v="0"/>
    <x v="14"/>
    <x v="0"/>
    <x v="0"/>
    <x v="1"/>
    <x v="0"/>
    <n v="49"/>
    <x v="2"/>
  </r>
  <r>
    <n v="1.8683453905225979E+18"/>
    <s v="Cel███FC"/>
    <s v="Cel███ Fo███all██████"/>
    <s v="87' - KÜHN!!!!!!!! 🙌 _x000a_ _x000a_Follow the action live on our Match Centre 📲"/>
    <s v="&quot;2024-12-15T17:20:27.000Z&quot;"/>
    <s v="[&quot;https://pbs.twimg.com/media/Ge2WfCSXYAA0eqO.jpg&quot;]"/>
    <s v="https://x.com/CelticFC/status/1868345390522597815"/>
    <s v="null"/>
    <n v="58"/>
    <n v="161"/>
    <n v="1169"/>
    <n v="119988"/>
    <s v="http://celticfc.com/match"/>
    <s v="[&quot;CELRAN&quot;,&quot;PremierSportsCup&quot;,&quot;CelticFC&quot;]"/>
    <n v="984256"/>
    <s v="Glasgow Celtic - 2023/24 Double Winners! 🍀🏆 🟢 @CelticFCWomen ⚪ @CelticFCB 🎌 @CelticFCJPN 📽 @CelticTV 🛒 @CelticFCShop 🎟 @CelticFCTickets"/>
    <n v="136135"/>
    <s v="https://pbs.twimg.com/profile_images/1808866900228665344/xZAZuYBY_normal.jpg"/>
    <n v="438"/>
    <b v="0"/>
    <n v="30"/>
    <n v="3"/>
    <s v="{&quot;post_id&quot;:null,&quot;profile_id&quot;:null,&quot;profile_name&quot;:null}"/>
    <s v="null"/>
    <s v="null"/>
    <s v="{&quot;data_posted&quot;:null,&quot;description&quot;:null,&quot;photos&quot;:null,&quot;post_id&quot;:null,&quot;profile_id&quot;:null,&quot;profile_name&quot;:null,&quot;url&quot;:null,&quot;videos&quot;:null}"/>
    <n v="1421"/>
    <n v="1.1842850951761843E-2"/>
    <d v="2024-12-15T00:00:00"/>
    <n v="0.72253472222222226"/>
    <x v="0"/>
    <x v="12"/>
    <x v="0"/>
    <x v="0"/>
    <x v="1"/>
    <x v="0"/>
    <n v="68"/>
    <x v="2"/>
  </r>
  <r>
    <n v="1.8683205890874204E+18"/>
    <s v="AVW███ffi███l"/>
    <s v="Ast███Vil███Wom███"/>
    <s v="Rach is unable to continue 🔁_x000a__x000a_80' 🟣 2-1 ⚪️ // #BarclaysWSL"/>
    <s v="&quot;2024-12-15T15:41:54.000Z&quot;"/>
    <s v="[&quot;https://pbs.twimg.com/media/Ge2bqm0WsAAgEuI.jpg&quot;]"/>
    <s v="https://x.com/AVWFCOfficial/status/1868320589087420478"/>
    <s v="null"/>
    <n v="1"/>
    <n v="1"/>
    <n v="52"/>
    <n v="5037"/>
    <s v=""/>
    <s v="[&quot;BarclaysWSL&quot;]"/>
    <n v="66296"/>
    <s v="Home of Aston Villa Women 💜"/>
    <n v="23738"/>
    <s v="https://pbs.twimg.com/profile_images/1859975707356491776/YQWZ4J18_normal.jpg"/>
    <n v="115"/>
    <b v="0"/>
    <n v="3"/>
    <n v="2"/>
    <s v="{&quot;post_id&quot;:null,&quot;profile_id&quot;:null,&quot;profile_name&quot;:null}"/>
    <s v="null"/>
    <s v="null"/>
    <s v="{&quot;data_posted&quot;:null,&quot;description&quot;:null,&quot;photos&quot;:null,&quot;post_id&quot;:null,&quot;profile_id&quot;:null,&quot;profile_name&quot;:null,&quot;url&quot;:null,&quot;videos&quot;:null}"/>
    <n v="59"/>
    <n v="1.171332142148104E-2"/>
    <d v="2024-12-15T00:00:00"/>
    <n v="0.65409722222222222"/>
    <x v="0"/>
    <x v="13"/>
    <x v="0"/>
    <x v="0"/>
    <x v="1"/>
    <x v="0"/>
    <n v="58"/>
    <x v="3"/>
  </r>
  <r>
    <n v="1.868321722774004E+18"/>
    <s v="tok███erm███l"/>
    <s v="Tok███Ter███al"/>
    <s v="ICYMI: @Aptos (L1) is on track to flip @base (L2) in daily active users._x000a__x000a_An active user is defined as a (i) unique address that (ii) engages in a revenue-generating transaction (iii) during the relevant time period."/>
    <s v="&quot;2024-12-15T15:46:25.000Z&quot;"/>
    <s v="[&quot;https://pbs.twimg.com/media/Ge2cnyAWQAAi8Sa.jpg&quot;]"/>
    <s v="https://x.com/tokenterminal/status/1868321722774003989"/>
    <s v="[{&quot;biography&quot;:null,&quot;followers&quot;:null,&quot;following&quot;:null,&quot;is_verified&quot;:null,&quot;profile_id&quot;:&quot;1491526425580474368&quot;,&quot;profile_name&quot;:&quot;Aptos&quot;,&quot;url&quot;:&quot;https://x.com/Aptos&quot;},{&quot;biography&quot;:null,&quot;followers&quot;:null,&quot;following&quot;:null,&quot;is_verified&quot;:null,&quot;profile_id&quot;:&quot;1628067904083181570&quot;,&quot;profile_name&quot;:&quot;Base&quot;,&quot;url&quot;:&quot;https://x.com/base&quot;}]"/>
    <n v="5"/>
    <n v="15"/>
    <n v="114"/>
    <n v="12958"/>
    <s v=""/>
    <s v="null"/>
    <n v="132993"/>
    <s v="Fundamentals for crypto. Available also on the Bloomberg Terminal App Portal at APPS TOKEN GO."/>
    <n v="28316"/>
    <s v="https://pbs.twimg.com/profile_images/1594678659222306817/SMum_RcQ_normal.jpg"/>
    <n v="2746"/>
    <b v="0"/>
    <n v="5"/>
    <n v="11"/>
    <s v="{&quot;post_id&quot;:null,&quot;profile_id&quot;:null,&quot;profile_name&quot;:null}"/>
    <s v="null"/>
    <s v="null"/>
    <s v="{&quot;data_posted&quot;:null,&quot;description&quot;:null,&quot;photos&quot;:null,&quot;post_id&quot;:null,&quot;profile_id&quot;:null,&quot;profile_name&quot;:null,&quot;url&quot;:null,&quot;videos&quot;:null}"/>
    <n v="150"/>
    <n v="1.1575860472295108E-2"/>
    <d v="2024-12-15T00:00:00"/>
    <n v="0.6572337962962963"/>
    <x v="0"/>
    <x v="13"/>
    <x v="0"/>
    <x v="0"/>
    <x v="0"/>
    <x v="0"/>
    <n v="216"/>
    <x v="2"/>
  </r>
  <r>
    <n v="1.8683330817673382E+18"/>
    <s v="Man███"/>
    <s v="Man███ste███nit███"/>
    <s v="▶️ UP THE REDS 🔴_x000a__x000a_#MUFC || #MCIMUN"/>
    <s v="&quot;2024-12-15T16:31:33.000Z&quot;"/>
    <s v="null"/>
    <s v="https://x.com/ManUtd/status/1868333081767338166"/>
    <s v="null"/>
    <n v="142"/>
    <n v="269"/>
    <n v="1755"/>
    <n v="190541"/>
    <s v="https://www.manutd.com/en/matches/matchcenter?matchId=2444625"/>
    <s v="[&quot;MUFC&quot;,&quot;MCIMUN&quot;]"/>
    <n v="38439077"/>
    <s v="’Tis the season to gift United! 🎁🎄"/>
    <n v="92455"/>
    <s v="https://pbs.twimg.com/profile_images/1856418426496880640/iIvJaO5T_normal.png"/>
    <n v="145"/>
    <b v="0"/>
    <n v="24"/>
    <n v="10"/>
    <s v="{&quot;post_id&quot;:null,&quot;profile_id&quot;:null,&quot;profile_name&quot;:null}"/>
    <s v="null"/>
    <s v="null"/>
    <s v="{&quot;data_posted&quot;:null,&quot;description&quot;:null,&quot;photos&quot;:null,&quot;post_id&quot;:null,&quot;profile_id&quot;:null,&quot;profile_name&quot;:null,&quot;url&quot;:null,&quot;videos&quot;:null}"/>
    <n v="2200"/>
    <n v="1.1546071449189413E-2"/>
    <d v="2024-12-15T00:00:00"/>
    <n v="0.68857638888888884"/>
    <x v="0"/>
    <x v="15"/>
    <x v="0"/>
    <x v="1"/>
    <x v="1"/>
    <x v="0"/>
    <n v="34"/>
    <x v="1"/>
  </r>
  <r>
    <n v="1.7509318623344151E+18"/>
    <s v="Tru███edi███3"/>
    <s v="真相傳媒"/>
    <s v="#黃明志 又发最新辱共MV了！😄_x000a_维尼友情出演！"/>
    <s v="&quot;2024-01-26T17:21:01.000Z&quot;"/>
    <s v="null"/>
    <s v="https://x.com/TruthMedia123/status/1750931862334415023"/>
    <s v="null"/>
    <n v="116"/>
    <n v="720"/>
    <n v="2581"/>
    <n v="330931"/>
    <s v="https://youtu.be/OUjDh7d64uo?si=rfJOxHTlLkzx3XWw"/>
    <s v="[&quot;黃明志&quot;]"/>
    <n v="234550"/>
    <s v="傳播真相，匡扶正義良知，回歸中華傳統。 世間總有公道。歡迎投稿爆料！如果推文有錯誤歡迎指正。通過本號私信發送即可。"/>
    <n v="102643"/>
    <s v="https://pbs.twimg.com/profile_images/1618727520500850692/SdW0o-cV_normal.jpg"/>
    <n v="5173"/>
    <b v="0"/>
    <n v="55"/>
    <n v="335"/>
    <s v="{&quot;post_id&quot;:null,&quot;profile_id&quot;:null,&quot;profile_name&quot;:null}"/>
    <s v="null"/>
    <s v="[{&quot;duration&quot;:236356,&quot;video_url&quot;:&quot;https://video.twimg.com/ext_tw_video/1750930486409723904/pu/vid/avc1/1920x1080/b8yfcBe5C2S8cfpd.mp4?tag=14&quot;}]"/>
    <s v="{&quot;data_posted&quot;:null,&quot;description&quot;:null,&quot;photos&quot;:null,&quot;post_id&quot;:null,&quot;profile_id&quot;:null,&quot;profile_name&quot;:null,&quot;url&quot;:null,&quot;videos&quot;:null}"/>
    <n v="3807"/>
    <n v="1.1503908669783127E-2"/>
    <d v="2024-01-26T00:00:00"/>
    <n v="0.72292824074074069"/>
    <x v="1"/>
    <x v="12"/>
    <x v="1"/>
    <x v="1"/>
    <x v="1"/>
    <x v="0"/>
    <n v="24"/>
    <x v="2"/>
  </r>
  <r>
    <n v="1.8683553436269407E+18"/>
    <s v="FIF███C"/>
    <s v="FIF███ome███ Wo█████████"/>
    <s v="She didn't see it coming. ⚡️_x000a__x000a_@svenskfotboll | #FIFAWWC"/>
    <s v="&quot;2024-12-15T18:00:00.000Z&quot;"/>
    <s v="null"/>
    <s v="https://x.com/FIFAWWC/status/1868355343626940675"/>
    <s v="[{&quot;biography&quot;:null,&quot;followers&quot;:null,&quot;following&quot;:null,&quot;is_verified&quot;:null,&quot;profile_id&quot;:&quot;1037977200656609281&quot;,&quot;profile_name&quot;:&quot;Svensk Fotboll&quot;,&quot;url&quot;:&quot;https://x.com/svenskfotboll&quot;}]"/>
    <n v="5"/>
    <n v="7"/>
    <n v="83"/>
    <n v="8455"/>
    <s v=""/>
    <s v="[&quot;FIFAWWC&quot;]"/>
    <n v="1076237"/>
    <s v="The home of women's football. 🏆"/>
    <n v="55798"/>
    <s v="https://pbs.twimg.com/profile_images/1855592584346804224/qCBZBNpu_normal.jpg"/>
    <n v="1771"/>
    <b v="0"/>
    <n v="0"/>
    <n v="2"/>
    <s v="{&quot;post_id&quot;:null,&quot;profile_id&quot;:null,&quot;profile_name&quot;:null}"/>
    <s v="null"/>
    <s v="[{&quot;duration&quot;:13440,&quot;video_url&quot;:&quot;https://video.twimg.com/ext_tw_video/1867580764172259328/pu/vid/avc1/720x720/G0UoI8b1WuzstG-U.mp4?tag=12&quot;}]"/>
    <s v="{&quot;data_posted&quot;:null,&quot;description&quot;:null,&quot;photos&quot;:null,&quot;post_id&quot;:null,&quot;profile_id&quot;:null,&quot;profile_name&quot;:null,&quot;url&quot;:null,&quot;videos&quot;:null}"/>
    <n v="97"/>
    <n v="1.1472501478415139E-2"/>
    <d v="2024-12-15T00:00:00"/>
    <n v="0.75"/>
    <x v="0"/>
    <x v="8"/>
    <x v="1"/>
    <x v="1"/>
    <x v="1"/>
    <x v="0"/>
    <n v="55"/>
    <x v="0"/>
  </r>
  <r>
    <n v="1.8680987122764964E+18"/>
    <s v="WWE"/>
    <s v="WWE"/>
    <s v="HERE. WE. GO. _x000a__x000a_#SNME starts RIGHT NOW on @nbc and @peacock!!!"/>
    <s v="&quot;2024-12-15T01:00:15.000Z&quot;"/>
    <s v="null"/>
    <s v="https://x.com/WWE/status/1868098712276496512"/>
    <s v="[{&quot;biography&quot;:null,&quot;followers&quot;:null,&quot;following&quot;:null,&quot;is_verified&quot;:null,&quot;profile_id&quot;:&quot;26585095&quot;,&quot;profile_name&quot;:&quot;NBC Entertainment&quot;,&quot;url&quot;:&quot;https://x.com/nbc&quot;},{&quot;biography&quot;:null,&quot;followers&quot;:null,&quot;following&quot;:null,&quot;is_verified&quot;:null,&quot;profile_id&quot;:&quot;1171155332917321730&quot;,&quot;profile_name&quot;:&quot;Peacock&quot;,&quot;url&quot;:&quot;https://x.com/peacock&quot;}]"/>
    <n v="122"/>
    <n v="393"/>
    <n v="2579"/>
    <n v="279472"/>
    <s v=""/>
    <s v="[&quot;SNME&quot;]"/>
    <n v="14375935"/>
    <s v="WWE Raw | Mondays at 8/7c on USA Network _x000a_WWE NXT | Tuesdays at 8/7c on The CW _x000a_WWE SmackDown | Fridays at 8/7c on USA Network"/>
    <n v="346973"/>
    <s v="https://pbs.twimg.com/profile_images/1383079031805972485/3sWoMX-R_normal.jpg"/>
    <n v="392"/>
    <b v="0"/>
    <n v="32"/>
    <n v="39"/>
    <s v="{&quot;post_id&quot;:null,&quot;profile_id&quot;:null,&quot;profile_name&quot;:null}"/>
    <s v="null"/>
    <s v="null"/>
    <s v="{&quot;data_posted&quot;:null,&quot;description&quot;:null,&quot;photos&quot;:null,&quot;post_id&quot;:null,&quot;profile_id&quot;:null,&quot;profile_name&quot;:null,&quot;url&quot;:null,&quot;videos&quot;:null}"/>
    <n v="3165"/>
    <n v="1.1324927005209824E-2"/>
    <d v="2024-12-15T00:00:00"/>
    <n v="4.1840277777777775E-2"/>
    <x v="0"/>
    <x v="19"/>
    <x v="0"/>
    <x v="1"/>
    <x v="1"/>
    <x v="0"/>
    <n v="62"/>
    <x v="1"/>
  </r>
  <r>
    <n v="1.8683442270019873E+18"/>
    <s v="KAA███t"/>
    <s v="KAA███nt"/>
    <s v="Met deze 1⃣1⃣ gaan we voor een derde thuiszege in negen dagen 🔵⚪️_x000a__x000a_#COBW #GNTCER #JPL"/>
    <s v="&quot;2024-12-15T17:15:50.000Z&quot;"/>
    <s v="[&quot;https://pbs.twimg.com/media/Ge2uZIyWIAAYcC2.jpg&quot;]"/>
    <s v="https://x.com/KAAGent/status/1868344227001987406"/>
    <s v="null"/>
    <n v="2"/>
    <n v="4"/>
    <n v="47"/>
    <n v="4951"/>
    <s v=""/>
    <s v="[&quot;COBW&quot;,&quot;GNTCER&quot;,&quot;JPL&quot;]"/>
    <n v="95473"/>
    <s v="Official account of KAA Gent | 4x Belgian Cupwinners 1964-1984-2010-2022 | Supercup Winners 2015 | Belgian Champions 2014-2015 | #COBW"/>
    <n v="46289"/>
    <s v="https://pbs.twimg.com/profile_images/634664595534147584/kJGzhgD5_normal.jpg"/>
    <n v="1327"/>
    <b v="0"/>
    <n v="1"/>
    <n v="2"/>
    <s v="{&quot;post_id&quot;:null,&quot;profile_id&quot;:null,&quot;profile_name&quot;:null}"/>
    <s v="null"/>
    <s v="null"/>
    <s v="{&quot;data_posted&quot;:null,&quot;description&quot;:null,&quot;photos&quot;:null,&quot;post_id&quot;:null,&quot;profile_id&quot;:null,&quot;profile_name&quot;:null,&quot;url&quot;:null,&quot;videos&quot;:null}"/>
    <n v="56"/>
    <n v="1.1310846293678045E-2"/>
    <d v="2024-12-15T00:00:00"/>
    <n v="0.71932870370370372"/>
    <x v="0"/>
    <x v="12"/>
    <x v="0"/>
    <x v="0"/>
    <x v="1"/>
    <x v="0"/>
    <n v="85"/>
    <x v="3"/>
  </r>
  <r>
    <n v="1.8660047213385485E+18"/>
    <s v="NBA"/>
    <s v="NBA"/>
    <s v="NBA STANDINGS UPDATE ‼️_x000a__x000a_▪️ Magic improve to 10-0 at home_x000a_▪️ Grizzlies win 3rd straight_x000a_▪️ Heat win 3rd straight_x000a__x000a_Download the NBA App for more:"/>
    <s v="&quot;2024-12-09T06:19:28.000Z&quot;"/>
    <s v="[&quot;https://pbs.twimg.com/media/GeVghmwW8AACzaV.jpg&quot;,&quot;https://pbs.twimg.com/media/GeVgh1AXgAE65Mr.jpg&quot;]"/>
    <s v="https://x.com/NBA/status/1866004721338548545"/>
    <s v="null"/>
    <n v="83"/>
    <n v="301"/>
    <n v="2002"/>
    <n v="218069"/>
    <s v="https://link.nba.com/standings_"/>
    <s v="null"/>
    <n v="47705598"/>
    <s v="The #EmiratesNBACup Championship Game will take place Tuesday, 12/17 in Vegas! 🏆 8:30pm/et on ABC: Bucks/Thunder"/>
    <n v="367157"/>
    <s v="https://pbs.twimg.com/profile_images/1868174380468981760/m0FEipd2_normal.jpg"/>
    <n v="2012"/>
    <b v="0"/>
    <n v="47"/>
    <n v="31"/>
    <s v="{&quot;post_id&quot;:null,&quot;profile_id&quot;:null,&quot;profile_name&quot;:null}"/>
    <s v="null"/>
    <s v="null"/>
    <s v="{&quot;data_posted&quot;:null,&quot;description&quot;:null,&quot;photos&quot;:null,&quot;post_id&quot;:null,&quot;profile_id&quot;:null,&quot;profile_name&quot;:null,&quot;url&quot;:null,&quot;videos&quot;:null}"/>
    <n v="2464"/>
    <n v="1.1299175948896909E-2"/>
    <d v="2024-12-09T00:00:00"/>
    <n v="0.26351851851851854"/>
    <x v="2"/>
    <x v="23"/>
    <x v="0"/>
    <x v="0"/>
    <x v="0"/>
    <x v="0"/>
    <n v="144"/>
    <x v="1"/>
  </r>
  <r>
    <n v="1.8683319339205309E+18"/>
    <s v="Bar███ysW███"/>
    <s v="Bar███ys ███en'█████████eag███"/>
    <s v="FT: @ArsenalWFC head home with all three points!_x000a__x000a_#BarclaysWSL"/>
    <s v="&quot;2024-12-15T16:26:59.000Z&quot;"/>
    <s v="[&quot;https://pbs.twimg.com/media/Ge2l7nCXgAAaPLg.jpg&quot;]"/>
    <s v="https://x.com/BarclaysWSL/status/1868331933920530898"/>
    <s v="[{&quot;biography&quot;:null,&quot;followers&quot;:null,&quot;following&quot;:null,&quot;is_verified&quot;:null,&quot;profile_id&quot;:&quot;256551011&quot;,&quot;profile_name&quot;:&quot;Arsenal Women&quot;,&quot;url&quot;:&quot;https://x.com/ArsenalWFC&quot;}]"/>
    <n v="3"/>
    <n v="12"/>
    <n v="70"/>
    <n v="7927"/>
    <s v=""/>
    <s v="[&quot;BarclaysWSL&quot;]"/>
    <n v="337840"/>
    <s v="The home of top-flight women's football in England! 🤩_x000a__x000a_Subscribe to our brand-new BWSL YouTube Channel! 📺 #BarclaysWSL"/>
    <n v="57638"/>
    <s v="https://pbs.twimg.com/profile_images/1605171595160555521/NKG9mgxv_normal.jpg"/>
    <n v="587"/>
    <b v="0"/>
    <n v="2"/>
    <n v="2"/>
    <s v="{&quot;post_id&quot;:&quot;1868314983022338429&quot;,&quot;profile_id&quot;:&quot;273665871&quot;,&quot;profile_name&quot;:&quot;BarclaysWSL&quot;}"/>
    <s v="null"/>
    <s v="null"/>
    <s v="{&quot;data_posted&quot;:null,&quot;description&quot;:null,&quot;photos&quot;:null,&quot;post_id&quot;:null,&quot;profile_id&quot;:null,&quot;profile_name&quot;:null,&quot;url&quot;:null,&quot;videos&quot;:null}"/>
    <n v="89"/>
    <n v="1.1227450485681847E-2"/>
    <d v="2024-12-15T00:00:00"/>
    <n v="0.68540509259259264"/>
    <x v="0"/>
    <x v="15"/>
    <x v="0"/>
    <x v="0"/>
    <x v="1"/>
    <x v="0"/>
    <n v="62"/>
    <x v="2"/>
  </r>
  <r>
    <n v="1.8680915033875052E+18"/>
    <s v="nyp███"/>
    <s v="New███rk ███t"/>
    <s v="Jimmy Carter, 100, will skip Donald Trump’s inauguration, joining growing list of Dems"/>
    <s v="&quot;2024-12-15T00:31:36.000Z&quot;"/>
    <s v="[&quot;https://pbs.twimg.com/media/GezLUqBXEAAEYji.jpg&quot;]"/>
    <s v="https://x.com/nypost/status/1868091503387505053"/>
    <s v="null"/>
    <n v="3058"/>
    <n v="449"/>
    <n v="5092"/>
    <n v="822990"/>
    <s v="https://trib.al/OFH2keE"/>
    <s v="null"/>
    <n v="3313897"/>
    <s v="Breaking news &amp; features from The New York Post. Follow your favorite sections: @pagesix, @nypmetro, @nypostbiz, @nypostsports, @nypfashion, @nypostopinion"/>
    <n v="706459"/>
    <s v="https://pbs.twimg.com/profile_images/966372680306868224/60wfGe9e_normal.jpg"/>
    <n v="10308"/>
    <b v="0"/>
    <n v="509"/>
    <n v="127"/>
    <s v="{&quot;post_id&quot;:null,&quot;profile_id&quot;:null,&quot;profile_name&quot;:null}"/>
    <s v="null"/>
    <s v="null"/>
    <s v="{&quot;data_posted&quot;:null,&quot;description&quot;:null,&quot;photos&quot;:null,&quot;post_id&quot;:null,&quot;profile_id&quot;:null,&quot;profile_name&quot;:null,&quot;url&quot;:null,&quot;videos&quot;:null}"/>
    <n v="9235"/>
    <n v="1.122127850885187E-2"/>
    <d v="2024-12-15T00:00:00"/>
    <n v="2.1944444444444444E-2"/>
    <x v="0"/>
    <x v="5"/>
    <x v="0"/>
    <x v="0"/>
    <x v="0"/>
    <x v="0"/>
    <n v="86"/>
    <x v="0"/>
  </r>
  <r>
    <n v="1.8683018149253204E+18"/>
    <s v="Bar███ysW███"/>
    <s v="Bar███ys ███en'█████████eag███"/>
    <s v="On fire for the Hammers recently!_x000a__x000a_@Vivi_Asseyi heads it home!_x000a__x000a_#BarclaysWSL"/>
    <s v="&quot;2024-12-15T14:27:18.000Z&quot;"/>
    <s v="null"/>
    <s v="https://x.com/BarclaysWSL/status/1868301814925320572"/>
    <s v="[{&quot;biography&quot;:null,&quot;followers&quot;:null,&quot;following&quot;:null,&quot;is_verified&quot;:null,&quot;profile_id&quot;:&quot;120080221&quot;,&quot;profile_name&quot;:&quot;Vivi Asseyi&quot;,&quot;url&quot;:&quot;https://x.com/Vivi_Asseyi&quot;}]"/>
    <n v="4"/>
    <n v="11"/>
    <n v="99"/>
    <n v="10345"/>
    <s v=""/>
    <s v="[&quot;BarclaysWSL&quot;]"/>
    <n v="337839"/>
    <s v="The home of top-flight women's football in England! 🤩_x000a__x000a_Subscribe to our brand-new BWSL YouTube Channel! 📺 #BarclaysWSL"/>
    <n v="57638"/>
    <s v="https://pbs.twimg.com/profile_images/1605171595160555521/NKG9mgxv_normal.jpg"/>
    <n v="587"/>
    <b v="0"/>
    <n v="0"/>
    <n v="2"/>
    <s v="{&quot;post_id&quot;:null,&quot;profile_id&quot;:null,&quot;profile_name&quot;:null}"/>
    <s v="null"/>
    <s v="[{&quot;duration&quot;:35093,&quot;video_url&quot;:&quot;https://video.twimg.com/amplify_video/1868301789432320000/vid/avc1/1280x720/X1UIi1a4FxE-Zs0u.mp4?tag=16&quot;}]"/>
    <s v="{&quot;data_posted&quot;:null,&quot;description&quot;:null,&quot;photos&quot;:null,&quot;post_id&quot;:null,&quot;profile_id&quot;:null,&quot;profile_name&quot;:null,&quot;url&quot;:null,&quot;videos&quot;:null}"/>
    <n v="116"/>
    <n v="1.1213146447559207E-2"/>
    <d v="2024-12-15T00:00:00"/>
    <n v="0.60229166666666667"/>
    <x v="0"/>
    <x v="1"/>
    <x v="1"/>
    <x v="1"/>
    <x v="1"/>
    <x v="0"/>
    <n v="76"/>
    <x v="2"/>
  </r>
  <r>
    <n v="1.8682458698642964E+18"/>
    <s v="Met███ole███"/>
    <s v="Met███ole███"/>
    <s v="➡️ Rodrigo Constantino: saiba quais são os sintomas de câncer na língua_x000a__x000a_Comunicador Rodrigo Constantino revelou que está lutando contra um câncer de boca que teria começado na língua_x000a__x000a_Leia:"/>
    <s v="&quot;2024-12-15T10:45:00.000Z&quot;"/>
    <s v="[&quot;https://pbs.twimg.com/media/GeyUePzWoAAMwD8.png&quot;]"/>
    <s v="https://x.com/Metropoles/status/1868245869864296515"/>
    <s v="null"/>
    <n v="139"/>
    <n v="6"/>
    <n v="259"/>
    <n v="37762"/>
    <s v="https://curt.link/xnZlE"/>
    <s v="null"/>
    <n v="1239617"/>
    <s v="📱 O seu portal de notícias. Tudo sobre política, saúde, justiça, comportamento, entretenimento. Confira os fatos relevantes do país e do mundo em tempo real."/>
    <n v="402839"/>
    <s v="https://pbs.twimg.com/profile_images/1642966741138415647/fHdgQUGl_normal.jpg"/>
    <n v="1644"/>
    <b v="0"/>
    <n v="11"/>
    <n v="8"/>
    <s v="{&quot;post_id&quot;:null,&quot;profile_id&quot;:null,&quot;profile_name&quot;:null}"/>
    <s v="null"/>
    <s v="null"/>
    <s v="{&quot;data_posted&quot;:null,&quot;description&quot;:null,&quot;photos&quot;:null,&quot;post_id&quot;:null,&quot;profile_id&quot;:null,&quot;profile_name&quot;:null,&quot;url&quot;:null,&quot;videos&quot;:null}"/>
    <n v="423"/>
    <n v="1.1201737196123086E-2"/>
    <d v="2024-12-15T00:00:00"/>
    <n v="0.44791666666666669"/>
    <x v="0"/>
    <x v="17"/>
    <x v="0"/>
    <x v="0"/>
    <x v="0"/>
    <x v="0"/>
    <n v="190"/>
    <x v="0"/>
  </r>
  <r>
    <n v="1.8061395310932585E+18"/>
    <s v="Cha███rli███24"/>
    <s v="Mac███ham███lin███"/>
    <s v="What a morning, was called by my HS Coach &amp;amp; learned ⁦I was named the 2024 Ohio HS softball catcher of the year!! Thank you ⁦@JohnnyBench_5⁩ #hardworkpaysoff ⁦@coach_crowell⁩ ⁦@mysha_sataraka⁩ ⁦@ABaggetta⁩ ⁦@lexxx_20⁩ ⁦"/>
    <s v="&quot;2024-06-27T01:36:35.000Z&quot;"/>
    <s v="null"/>
    <s v="https://x.com/Chamberlin2024/status/1806139531093258466"/>
    <s v="[{&quot;biography&quot;:null,&quot;followers&quot;:null,&quot;following&quot;:null,&quot;is_verified&quot;:null,&quot;profile_id&quot;:&quot;267560004&quot;,&quot;profile_name&quot;:&quot;Johnny Bench&quot;,&quot;url&quot;:&quot;https://x.com/JohnnyBench_5&quot;},{&quot;biography&quot;:null,&quot;followers&quot;:null,&quot;following&quot;:null,&quot;is_verified&quot;:null,&quot;profile_id&quot;:&quot;262428933&quot;,&quot;profile_name&quot;:&quot;Clarisa Crowell&quot;,&quot;url&quot;:&quot;https://x.com/coach_crowell&quot;},{&quot;biography&quot;:null,&quot;followers&quot;:null,&quot;following&quot;:null,&quot;is_verified&quot;:null,&quot;profile_id&quot;:&quot;1345141729456885761&quot;,&quot;profile_name&quot;:&quot;Mysha Sataraka&quot;,&quot;url&quot;:&quot;https://x.com/mysha_sataraka&quot;},{&quot;biography&quot;:null,&quot;followers&quot;:null,&quot;following&quot;:null,&quot;is_verified&quot;:null,&quot;profile_id&quot;:&quot;41133192&quot;,&quot;profile_name&quot;:&quot;Adrianna Baggetta&quot;,&quot;url&quot;:&quot;https://x.com/ABaggetta&quot;},{&quot;biography&quot;:null,&quot;followers&quot;:null,&quot;following&quot;:null,&quot;is_verified&quot;:null,&quot;profile_id&quot;:&quot;1482112652&quot;,&quot;profile_name&quot;:&quot;Alexis Gallagher&quot;,&quot;url&quot;:&quot;https://x.com/lexxx_20&quot;}]"/>
    <n v="9"/>
    <n v="3"/>
    <n v="86"/>
    <n v="9270"/>
    <s v="https://www.mlb.com/press-release/2024-johnny-bench-awards-winners?partnerID=web_article-share"/>
    <s v="[&quot;hardworkpaysoff&quot;]"/>
    <n v="1293"/>
    <s v="Penn State Softball 🦁 💙 Class of 2028"/>
    <n v="2739"/>
    <s v="https://pbs.twimg.com/profile_images/1709288037635575808/IFUcCq74_normal.jpg"/>
    <n v="900"/>
    <b v="0"/>
    <n v="5"/>
    <n v="0"/>
    <s v="{&quot;post_id&quot;:null,&quot;profile_id&quot;:null,&quot;profile_name&quot;:null}"/>
    <s v="[&quot;https://pbs.twimg.com/card_img/1866910384784896001/3vnhde_7?format=jpg&amp;name=orig&quot;]"/>
    <s v="null"/>
    <s v="{&quot;data_posted&quot;:null,&quot;description&quot;:null,&quot;photos&quot;:null,&quot;post_id&quot;:null,&quot;profile_id&quot;:null,&quot;profile_name&quot;:null,&quot;url&quot;:null,&quot;videos&quot;:null}"/>
    <n v="103"/>
    <n v="1.1111111111111112E-2"/>
    <d v="2024-06-27T00:00:00"/>
    <n v="6.7071759259259262E-2"/>
    <x v="6"/>
    <x v="19"/>
    <x v="0"/>
    <x v="1"/>
    <x v="1"/>
    <x v="0"/>
    <n v="222"/>
    <x v="3"/>
  </r>
  <r>
    <n v="1.8680835539105303E+18"/>
    <s v="tvg███o"/>
    <s v="TV ███bo ███"/>
    <s v="Como vou ser triste com esse #AltasHoras mais que especial? Vem comigo, mô!"/>
    <s v="&quot;2024-12-15T00:00:01.000Z&quot;"/>
    <s v="null"/>
    <s v="https://x.com/tvglobo/status/1868083553910530281"/>
    <s v="null"/>
    <n v="3"/>
    <n v="3"/>
    <n v="81"/>
    <n v="8192"/>
    <s v=""/>
    <s v="[&quot;AltasHoras&quot;]"/>
    <n v="13492432"/>
    <s v="oi, eu sou a Glô 😜"/>
    <n v="314515"/>
    <s v="https://pbs.twimg.com/profile_images/1863599216829792256/r5M1uKA8_normal.jpg"/>
    <n v="708"/>
    <b v="0"/>
    <n v="3"/>
    <n v="1"/>
    <s v="{&quot;post_id&quot;:null,&quot;profile_id&quot;:null,&quot;profile_name&quot;:null}"/>
    <s v="null"/>
    <s v="[{&quot;duration&quot;:60760,&quot;video_url&quot;:&quot;https://video.twimg.com/amplify_video/1867726608989134848/vid/avc1/1280x720/SBJuXgujyjGDdJns.mp4?tag=14&quot;}]"/>
    <s v="{&quot;data_posted&quot;:null,&quot;description&quot;:null,&quot;photos&quot;:null,&quot;post_id&quot;:null,&quot;profile_id&quot;:null,&quot;profile_name&quot;:null,&quot;url&quot;:null,&quot;videos&quot;:null}"/>
    <n v="91"/>
    <n v="1.11083984375E-2"/>
    <d v="2024-12-15T00:00:00"/>
    <n v="1.1574074074074073E-5"/>
    <x v="0"/>
    <x v="5"/>
    <x v="1"/>
    <x v="1"/>
    <x v="1"/>
    <x v="0"/>
    <n v="75"/>
    <x v="1"/>
  </r>
  <r>
    <n v="1.8681536139204854E+18"/>
    <s v="WWE"/>
    <s v="WWE"/>
    <s v="EXCLUSIVE: After his win over @SamiZayn, @DMcIntyreWWE doesn't stick around for an interview with @Jackie_Redmond and @Rosenbergradio. _x000a__x000a_#SNME"/>
    <s v="&quot;2024-12-15T04:38:24.000Z&quot;"/>
    <s v="null"/>
    <s v="https://x.com/WWE/status/1868153613920485384"/>
    <s v="[{&quot;biography&quot;:null,&quot;followers&quot;:null,&quot;following&quot;:null,&quot;is_verified&quot;:null,&quot;profile_id&quot;:&quot;1289482598&quot;,&quot;profile_name&quot;:&quot;Sami Zayn&quot;,&quot;url&quot;:&quot;https://x.com/SamiZayn&quot;},{&quot;biography&quot;:null,&quot;followers&quot;:null,&quot;following&quot;:null,&quot;is_verified&quot;:null,&quot;profile_id&quot;:&quot;299932350&quot;,&quot;profile_name&quot;:&quot;Drew&quot;,&quot;url&quot;:&quot;https://x.com/DMcIntyreWWE&quot;},{&quot;biography&quot;:null,&quot;followers&quot;:null,&quot;following&quot;:null,&quot;is_verified&quot;:null,&quot;profile_id&quot;:&quot;74306074&quot;,&quot;profile_name&quot;:&quot;Jackie Redmond&quot;,&quot;url&quot;:&quot;https://x.com/Jackie_Redmond&quot;},{&quot;biography&quot;:null,&quot;followers&quot;:null,&quot;following&quot;:null,&quot;is_verified&quot;:null,&quot;profile_id&quot;:&quot;8318902&quot;,&quot;profile_name&quot;:&quot;Peter Rosenberg&quot;,&quot;url&quot;:&quot;https://x.com/Rosenbergradio&quot;}]"/>
    <n v="42"/>
    <n v="260"/>
    <n v="1776"/>
    <n v="199425"/>
    <s v=""/>
    <s v="[&quot;SNME&quot;]"/>
    <n v="14375936"/>
    <s v="WWE Raw | Mondays at 8/7c on USA Network _x000a_WWE NXT | Tuesdays at 8/7c on The CW _x000a_WWE SmackDown | Fridays at 8/7c on USA Network"/>
    <n v="346973"/>
    <s v="https://pbs.twimg.com/profile_images/1383079031805972485/3sWoMX-R_normal.jpg"/>
    <n v="392"/>
    <b v="0"/>
    <n v="11"/>
    <n v="120"/>
    <s v="{&quot;post_id&quot;:null,&quot;profile_id&quot;:null,&quot;profile_name&quot;:null}"/>
    <s v="null"/>
    <s v="[{&quot;duration&quot;:123066,&quot;video_url&quot;:&quot;https://video.twimg.com/amplify_video/1868153543389011968/vid/avc1/1920x1080/MJhd-LpyD3NOycGF.mp4?tag=16&quot;}]"/>
    <s v="{&quot;data_posted&quot;:null,&quot;description&quot;:null,&quot;photos&quot;:null,&quot;post_id&quot;:null,&quot;profile_id&quot;:null,&quot;profile_name&quot;:null,&quot;url&quot;:null,&quot;videos&quot;:null}"/>
    <n v="2209"/>
    <n v="1.1076845932054658E-2"/>
    <d v="2024-12-15T00:00:00"/>
    <n v="0.19333333333333333"/>
    <x v="0"/>
    <x v="9"/>
    <x v="1"/>
    <x v="1"/>
    <x v="1"/>
    <x v="0"/>
    <n v="142"/>
    <x v="1"/>
  </r>
  <r>
    <n v="1.868356093929247E+18"/>
    <s v="WWE"/>
    <s v="WWE"/>
    <s v="Relive the most unexpected PLE moments of 2024 in this special #WWETop25! Did your favorite surprise make the list? _x000a__x000a_▶️"/>
    <s v="&quot;2024-12-15T18:02:59.000Z&quot;"/>
    <s v="[&quot;https://pbs.twimg.com/media/Ge279rOWEAAqA6V.jpg&quot;]"/>
    <s v="https://x.com/WWE/status/1868356093929247028"/>
    <s v="null"/>
    <n v="44"/>
    <n v="136"/>
    <n v="809"/>
    <n v="93120"/>
    <s v="http://ms.spr.ly/6016oTsT8"/>
    <s v="[&quot;WWETop25&quot;]"/>
    <n v="14376035"/>
    <s v="WWE Raw | Mondays at 8/7c on USA Network _x000a_WWE NXT | Tuesdays at 8/7c on The CW _x000a_WWE SmackDown | Fridays at 8/7c on USA Network"/>
    <n v="346973"/>
    <s v="https://pbs.twimg.com/profile_images/1383079031805972485/3sWoMX-R_normal.jpg"/>
    <n v="392"/>
    <b v="0"/>
    <n v="6"/>
    <n v="31"/>
    <s v="{&quot;post_id&quot;:null,&quot;profile_id&quot;:null,&quot;profile_name&quot;:null}"/>
    <s v="null"/>
    <s v="null"/>
    <s v="{&quot;data_posted&quot;:null,&quot;description&quot;:null,&quot;photos&quot;:null,&quot;post_id&quot;:null,&quot;profile_id&quot;:null,&quot;profile_name&quot;:null,&quot;url&quot;:null,&quot;videos&quot;:null}"/>
    <n v="1026"/>
    <n v="1.1018041237113403E-2"/>
    <d v="2024-12-15T00:00:00"/>
    <n v="0.75207175925925929"/>
    <x v="0"/>
    <x v="8"/>
    <x v="0"/>
    <x v="0"/>
    <x v="1"/>
    <x v="0"/>
    <n v="120"/>
    <x v="1"/>
  </r>
  <r>
    <n v="1.8684421629431685E+18"/>
    <s v="acm███n"/>
    <s v="AC ███an"/>
    <s v="Paulo Fonseca after #MilanGenoa 🎙️_x000a__x000a_#SempreMilan"/>
    <s v="&quot;2024-12-15T23:45:00.000Z&quot;"/>
    <s v="null"/>
    <s v="https://x.com/acmilan/status/1868442162943168587"/>
    <s v="null"/>
    <n v="172"/>
    <n v="22"/>
    <n v="262"/>
    <n v="44095"/>
    <s v=""/>
    <s v="[&quot;MilanGenoa&quot;,&quot;SempreMilan&quot;]"/>
    <n v="8539601"/>
    <s v="❤🖤 125 years together, worth every minute ❤🖤 _x000a__x000a_#SempreMilan since 1899! 🔙 _x000a__x000a_Arabic: @acmilanar | Portuguese: @acmilanbr | #MilanYouth: @acmilanyouth"/>
    <n v="75535"/>
    <s v="https://pbs.twimg.com/profile_images/1848748720050868225/FQY9F6Hn_normal.jpg"/>
    <n v="117"/>
    <b v="0"/>
    <n v="21"/>
    <n v="8"/>
    <s v="{&quot;post_id&quot;:null,&quot;profile_id&quot;:null,&quot;profile_name&quot;:null}"/>
    <s v="null"/>
    <s v="[{&quot;duration&quot;:102320,&quot;video_url&quot;:&quot;https://video.twimg.com/amplify_video/1868440026599624704/vid/avc1/720x900/rW_wOjx9b6lOIkyp.mp4?tag=14&quot;}]"/>
    <s v="{&quot;data_posted&quot;:null,&quot;description&quot;:null,&quot;photos&quot;:null,&quot;post_id&quot;:null,&quot;profile_id&quot;:null,&quot;profile_name&quot;:null,&quot;url&quot;:null,&quot;videos&quot;:null}"/>
    <n v="485"/>
    <n v="1.0998979476131081E-2"/>
    <d v="2024-12-15T00:00:00"/>
    <n v="0.98958333333333337"/>
    <x v="0"/>
    <x v="7"/>
    <x v="1"/>
    <x v="1"/>
    <x v="1"/>
    <x v="0"/>
    <n v="48"/>
    <x v="0"/>
  </r>
  <r>
    <n v="1.868092274002764E+18"/>
    <s v="tvg███o"/>
    <s v="TV ███bo ███"/>
    <s v="Claro que ele ia mexer os pauzinhos dele, até descobrir que o Rudá tinha uma noiva 🤯🤯🤯 #ManiaDeVocê"/>
    <s v="&quot;2024-12-15T00:34:40.000Z&quot;"/>
    <s v="null"/>
    <s v="https://x.com/tvglobo/status/1868092274002763963"/>
    <s v="null"/>
    <n v="4"/>
    <n v="9"/>
    <n v="88"/>
    <n v="9825"/>
    <s v=""/>
    <s v="[&quot;ManiaDeVocê&quot;]"/>
    <n v="13492372"/>
    <s v="oi, eu sou a Glô 😜"/>
    <n v="314515"/>
    <s v="https://pbs.twimg.com/profile_images/1863599216829792256/r5M1uKA8_normal.jpg"/>
    <n v="708"/>
    <b v="0"/>
    <n v="3"/>
    <n v="4"/>
    <s v="{&quot;post_id&quot;:null,&quot;profile_id&quot;:null,&quot;profile_name&quot;:null}"/>
    <s v="null"/>
    <s v="[{&quot;duration&quot;:51820,&quot;video_url&quot;:&quot;https://video.twimg.com/amplify_video/1868092105421135872/vid/avc1/1920x1080/DyVovTqmfzitEUX0.mp4?tag=16&quot;}]"/>
    <s v="{&quot;data_posted&quot;:null,&quot;description&quot;:null,&quot;photos&quot;:null,&quot;post_id&quot;:null,&quot;profile_id&quot;:null,&quot;profile_name&quot;:null,&quot;url&quot;:null,&quot;videos&quot;:null}"/>
    <n v="108"/>
    <n v="1.0992366412213741E-2"/>
    <d v="2024-12-15T00:00:00"/>
    <n v="2.4074074074074074E-2"/>
    <x v="0"/>
    <x v="5"/>
    <x v="1"/>
    <x v="1"/>
    <x v="1"/>
    <x v="0"/>
    <n v="99"/>
    <x v="1"/>
  </r>
  <r>
    <n v="1.8668839138950062E+18"/>
    <s v="Bro███ynN███"/>
    <s v="Bro███yn ███s"/>
    <s v="Join us in wishing @NoahEagle15 a happy birthday! 🎂"/>
    <s v="&quot;2024-12-11T16:33:04.000Z&quot;"/>
    <s v="[&quot;https://pbs.twimg.com/media/GeiAVVmWsAEGsWE.jpg&quot;]"/>
    <s v="https://x.com/BrooklynNets/status/1866883913895006221"/>
    <s v="[{&quot;biography&quot;:null,&quot;followers&quot;:null,&quot;following&quot;:null,&quot;is_verified&quot;:null,&quot;profile_id&quot;:&quot;1733649224&quot;,&quot;profile_name&quot;:&quot;Noah Eagle&quot;,&quot;url&quot;:&quot;https://x.com/NoahEagle15&quot;}]"/>
    <n v="11"/>
    <n v="19"/>
    <n v="226"/>
    <n v="23935"/>
    <s v=""/>
    <s v="null"/>
    <n v="2035097"/>
    <s v="Tweets from #NetsWorld"/>
    <n v="106867"/>
    <s v="https://pbs.twimg.com/profile_images/1811024920870277122/1wQgAUZH_normal.jpg"/>
    <n v="411"/>
    <b v="0"/>
    <n v="3"/>
    <n v="1"/>
    <s v="{&quot;post_id&quot;:null,&quot;profile_id&quot;:null,&quot;profile_name&quot;:null}"/>
    <s v="null"/>
    <s v="null"/>
    <s v="{&quot;data_posted&quot;:null,&quot;description&quot;:null,&quot;photos&quot;:null,&quot;post_id&quot;:null,&quot;profile_id&quot;:null,&quot;profile_name&quot;:null,&quot;url&quot;:null,&quot;videos&quot;:null}"/>
    <n v="260"/>
    <n v="1.0862753290160853E-2"/>
    <d v="2024-12-11T00:00:00"/>
    <n v="0.68962962962962959"/>
    <x v="4"/>
    <x v="15"/>
    <x v="0"/>
    <x v="0"/>
    <x v="0"/>
    <x v="0"/>
    <n v="51"/>
    <x v="0"/>
  </r>
  <r>
    <n v="1.8663022108684575E+18"/>
    <s v="Bro███ynN███"/>
    <s v="Bro███yn ███s"/>
    <s v="The holidays are here, and @dayron_sharpe is spreading festive cheer! 🎁_x000a__x000a_He treated kids from SCO Family of Services to an early holiday shopping spree, courtesy of @Ticketmaster."/>
    <s v="&quot;2024-12-10T02:01:35.000Z&quot;"/>
    <s v="[&quot;https://pbs.twimg.com/media/GeZv936WwAAE8Mt.jpg&quot;,&quot;https://pbs.twimg.com/media/GeZv937XoAAnSAw.jpg&quot;,&quot;https://pbs.twimg.com/media/GeZv933XIAASH2i.jpg&quot;]"/>
    <s v="https://x.com/BrooklynNets/status/1866302210868457487"/>
    <s v="[{&quot;biography&quot;:null,&quot;followers&quot;:null,&quot;following&quot;:null,&quot;is_verified&quot;:null,&quot;profile_id&quot;:&quot;3355932731&quot;,&quot;profile_name&quot;:&quot;Dayron sharpe&quot;,&quot;url&quot;:&quot;https://x.com/dayron_sharpe&quot;},{&quot;biography&quot;:null,&quot;followers&quot;:null,&quot;following&quot;:null,&quot;is_verified&quot;:null,&quot;profile_id&quot;:&quot;27743648&quot;,&quot;profile_name&quot;:&quot;Ticketmaster&quot;,&quot;url&quot;:&quot;https://x.com/Ticketmaster&quot;}]"/>
    <n v="4"/>
    <n v="10"/>
    <n v="141"/>
    <n v="14547"/>
    <s v=""/>
    <s v="null"/>
    <n v="2035100"/>
    <s v="Tweets from #NetsWorld"/>
    <n v="106867"/>
    <s v="https://pbs.twimg.com/profile_images/1811024920870277122/1wQgAUZH_normal.jpg"/>
    <n v="411"/>
    <b v="0"/>
    <n v="2"/>
    <n v="1"/>
    <s v="{&quot;post_id&quot;:null,&quot;profile_id&quot;:null,&quot;profile_name&quot;:null}"/>
    <s v="null"/>
    <s v="null"/>
    <s v="{&quot;data_posted&quot;:null,&quot;description&quot;:null,&quot;photos&quot;:null,&quot;post_id&quot;:null,&quot;profile_id&quot;:null,&quot;profile_name&quot;:null,&quot;url&quot;:null,&quot;videos&quot;:null}"/>
    <n v="158"/>
    <n v="1.0861345981989413E-2"/>
    <d v="2024-12-10T00:00:00"/>
    <n v="8.4432870370370366E-2"/>
    <x v="3"/>
    <x v="2"/>
    <x v="0"/>
    <x v="0"/>
    <x v="0"/>
    <x v="0"/>
    <n v="179"/>
    <x v="0"/>
  </r>
  <r>
    <n v="1.818486327991468E+18"/>
    <s v="Cha███rli███24"/>
    <s v="Mac███ham███lin███"/>
    <s v="Thank you @JohnnyBench_5 for a great day! It’s an honor to win such a prestigious award!_x000a_#benchawards"/>
    <s v="&quot;2024-07-31T03:18:21.000Z&quot;"/>
    <s v="[&quot;https://pbs.twimg.com/media/GTyPrBXWQAAPs9O.jpg&quot;]"/>
    <s v="https://x.com/Chamberlin2024/status/1818486327991468033"/>
    <s v="[{&quot;biography&quot;:null,&quot;followers&quot;:null,&quot;following&quot;:null,&quot;is_verified&quot;:null,&quot;profile_id&quot;:&quot;267560004&quot;,&quot;profile_name&quot;:&quot;Johnny Bench&quot;,&quot;url&quot;:&quot;https://x.com/JohnnyBench_5&quot;}]"/>
    <n v="7"/>
    <n v="10"/>
    <n v="209"/>
    <n v="21525"/>
    <s v=""/>
    <s v="[&quot;benchawards&quot;]"/>
    <n v="1293"/>
    <s v="Penn State Softball 🦁 💙 Class of 2028"/>
    <n v="2739"/>
    <s v="https://pbs.twimg.com/profile_images/1709288037635575808/IFUcCq74_normal.jpg"/>
    <n v="900"/>
    <b v="0"/>
    <n v="6"/>
    <n v="1"/>
    <s v="{&quot;post_id&quot;:null,&quot;profile_id&quot;:null,&quot;profile_name&quot;:null}"/>
    <s v="null"/>
    <s v="null"/>
    <s v="{&quot;data_posted&quot;:null,&quot;description&quot;:null,&quot;photos&quot;:null,&quot;post_id&quot;:null,&quot;profile_id&quot;:null,&quot;profile_name&quot;:null,&quot;url&quot;:null,&quot;videos&quot;:null}"/>
    <n v="233"/>
    <n v="1.0824622531939606E-2"/>
    <d v="2024-07-31T00:00:00"/>
    <n v="0.13774305555555555"/>
    <x v="4"/>
    <x v="21"/>
    <x v="0"/>
    <x v="0"/>
    <x v="1"/>
    <x v="0"/>
    <n v="101"/>
    <x v="3"/>
  </r>
  <r>
    <n v="1.86746815627441E+18"/>
    <s v="kann"/>
    <s v="כאן"/>
    <s v="&quot;לא רציתי להתנגח איתו&quot;, מיכאל שמש מגיע לפגישה ומדבר על הסערה במסיבת העיתונאים עם ראש הממשלה_x000a__x000a_פגישה עם רוני קובן, מחר אחרי החדשות בכאן 11 ובכאן BOX_x000a__x000a_@shemeshmicha @ronikuban"/>
    <s v="&quot;2024-12-13T07:14:38.000Z&quot;"/>
    <s v="null"/>
    <s v="https://x.com/kann/status/1867468156274409906"/>
    <s v="[{&quot;biography&quot;:null,&quot;followers&quot;:null,&quot;following&quot;:null,&quot;is_verified&quot;:null,&quot;profile_id&quot;:&quot;504604552&quot;,&quot;profile_name&quot;:&quot;מיכאל שמש Michael Shemesh&quot;,&quot;url&quot;:&quot;https://x.com/shemeshmicha&quot;},{&quot;biography&quot;:null,&quot;followers&quot;:null,&quot;following&quot;:null,&quot;is_verified&quot;:null,&quot;profile_id&quot;:&quot;310423509&quot;,&quot;profile_name&quot;:&quot;roni kuban רוני קובן&quot;,&quot;url&quot;:&quot;https://x.com/ronikuban&quot;}]"/>
    <n v="18"/>
    <n v="4"/>
    <n v="58"/>
    <n v="8198"/>
    <s v=""/>
    <s v="null"/>
    <n v="182895"/>
    <s v="אנחנו כאן ❤️"/>
    <n v="30781"/>
    <s v="https://pbs.twimg.com/profile_images/1843516623740633088/WbeaAr02_normal.jpg"/>
    <n v="559"/>
    <b v="0"/>
    <n v="3"/>
    <n v="5"/>
    <s v="{&quot;post_id&quot;:null,&quot;profile_id&quot;:null,&quot;profile_name&quot;:null}"/>
    <s v="null"/>
    <s v="[{&quot;duration&quot;:178633,&quot;video_url&quot;:&quot;https://video.twimg.com/amplify_video/1867466732970893312/vid/avc1/848x464/Qc1617fH3TfFyeN7.mp4?tag=14&quot;}]"/>
    <s v="{&quot;data_posted&quot;:null,&quot;description&quot;:null,&quot;photos&quot;:null,&quot;post_id&quot;:null,&quot;profile_id&quot;:null,&quot;profile_name&quot;:null,&quot;url&quot;:null,&quot;videos&quot;:null}"/>
    <n v="88"/>
    <n v="1.0734325445230545E-2"/>
    <d v="2024-12-13T00:00:00"/>
    <n v="0.30182870370370368"/>
    <x v="1"/>
    <x v="20"/>
    <x v="1"/>
    <x v="1"/>
    <x v="0"/>
    <x v="0"/>
    <n v="172"/>
    <x v="2"/>
  </r>
  <r>
    <n v="1.8681659780493806E+18"/>
    <s v="ufc"/>
    <s v="UFC"/>
    <s v="&quot;I'm the one who can destroy Pantoja.&quot;_x000a__x000a_@ManelKape wants a title fight next! #UFCTampa"/>
    <s v="&quot;2024-12-15T05:27:32.000Z&quot;"/>
    <s v="null"/>
    <s v="https://x.com/ufc/status/1868165978049380565"/>
    <s v="[{&quot;biography&quot;:null,&quot;followers&quot;:null,&quot;following&quot;:null,&quot;is_verified&quot;:null,&quot;profile_id&quot;:&quot;1089988262&quot;,&quot;profile_name&quot;:&quot;マネル・ケイプ موسى Manel Kape&quot;,&quot;url&quot;:&quot;https://x.com/ManelKape&quot;}]"/>
    <n v="97"/>
    <n v="82"/>
    <n v="1257"/>
    <n v="140561"/>
    <s v=""/>
    <s v="[&quot;UFCTampa&quot;]"/>
    <n v="12876593"/>
    <s v="#UFCTampa | Covington vs Buckley | December 14 | 10pmET | LIVE on @ESPNPlus"/>
    <n v="141401"/>
    <s v="https://pbs.twimg.com/profile_images/1835773190385328128/4fVrF1UI_normal.jpg"/>
    <n v="717"/>
    <b v="0"/>
    <n v="14"/>
    <n v="55"/>
    <s v="{&quot;post_id&quot;:null,&quot;profile_id&quot;:null,&quot;profile_name&quot;:null}"/>
    <s v="null"/>
    <s v="[{&quot;duration&quot;:40966,&quot;video_url&quot;:&quot;https://video.twimg.com/ext_tw_video/1868165723849146368/pu/vid/avc1/720x720/ZmzuT-p73o7__8xk.mp4?tag=12&quot;}]"/>
    <s v="{&quot;data_posted&quot;:null,&quot;description&quot;:null,&quot;photos&quot;:null,&quot;post_id&quot;:null,&quot;profile_id&quot;:null,&quot;profile_name&quot;:null,&quot;url&quot;:null,&quot;videos&quot;:null}"/>
    <n v="1505"/>
    <n v="1.0707095140188246E-2"/>
    <d v="2024-12-15T00:00:00"/>
    <n v="0.22745370370370371"/>
    <x v="0"/>
    <x v="22"/>
    <x v="1"/>
    <x v="1"/>
    <x v="1"/>
    <x v="0"/>
    <n v="86"/>
    <x v="1"/>
  </r>
  <r>
    <n v="1.8683875257291369E+18"/>
    <s v="KAA███t"/>
    <s v="KAA███nt"/>
    <s v="FT 1-1 | #GNTCER #JPL"/>
    <s v="&quot;2024-12-15T20:07:53.000Z&quot;"/>
    <s v="[&quot;https://pbs.twimg.com/media/Ge3X26lW8AA5hGE.jpg&quot;]"/>
    <s v="https://x.com/KAAGent/status/1868387525729137023"/>
    <s v="null"/>
    <n v="10"/>
    <n v="2"/>
    <n v="22"/>
    <n v="3364"/>
    <s v=""/>
    <s v="[&quot;GNTCER&quot;,&quot;JPL&quot;]"/>
    <n v="95472"/>
    <s v="Official account of KAA Gent | 4x Belgian Cupwinners 1964-1984-2010-2022 | Supercup Winners 2015 | Belgian Champions 2014-2015 | #COBW"/>
    <n v="46289"/>
    <s v="https://pbs.twimg.com/profile_images/634664595534147584/kJGzhgD5_normal.jpg"/>
    <n v="1327"/>
    <b v="0"/>
    <n v="1"/>
    <n v="1"/>
    <s v="{&quot;post_id&quot;:null,&quot;profile_id&quot;:null,&quot;profile_name&quot;:null}"/>
    <s v="null"/>
    <s v="null"/>
    <s v="{&quot;data_posted&quot;:null,&quot;description&quot;:null,&quot;photos&quot;:null,&quot;post_id&quot;:null,&quot;profile_id&quot;:null,&quot;profile_name&quot;:null,&quot;url&quot;:null,&quot;videos&quot;:null}"/>
    <n v="36"/>
    <n v="1.070154577883472E-2"/>
    <d v="2024-12-15T00:00:00"/>
    <n v="0.83880787037037041"/>
    <x v="0"/>
    <x v="3"/>
    <x v="0"/>
    <x v="0"/>
    <x v="1"/>
    <x v="0"/>
    <n v="21"/>
    <x v="3"/>
  </r>
  <r>
    <n v="1.8667465482492969E+18"/>
    <s v="kann"/>
    <s v="כאן"/>
    <s v="&quot;הצמח הזה הוא בית מרקחת&quot;_x000a_אתם לא תאמינו אבל כנראה הצמח הזה גדל לכם בגינה והוא משמש כמזון על_x000a__x000a_#בטעם_של_פעם עם אבתסאם מחורפיש שמכינה מתכונים טעימים מריג'לת הגינה"/>
    <s v="&quot;2024-12-11T07:27:14.000Z&quot;"/>
    <s v="null"/>
    <s v="https://x.com/kann/status/1866746548249296993"/>
    <s v="null"/>
    <n v="3"/>
    <n v="2"/>
    <n v="47"/>
    <n v="6195"/>
    <s v=""/>
    <s v="[&quot;בטעם_של_פעם&quot;]"/>
    <n v="182895"/>
    <s v="אנחנו כאן ❤️"/>
    <n v="30781"/>
    <s v="https://pbs.twimg.com/profile_images/1843516623740633088/WbeaAr02_normal.jpg"/>
    <n v="559"/>
    <b v="0"/>
    <n v="1"/>
    <n v="13"/>
    <s v="{&quot;post_id&quot;:null,&quot;profile_id&quot;:null,&quot;profile_name&quot;:null}"/>
    <s v="null"/>
    <s v="[{&quot;duration&quot;:599800,&quot;video_url&quot;:&quot;https://video.twimg.com/amplify_video/1866500539254558720/vid/avc1/1280x720/MyezzYCaWxAabqLJ.mp4?tag=14&quot;}]"/>
    <s v="{&quot;data_posted&quot;:null,&quot;description&quot;:null,&quot;photos&quot;:null,&quot;post_id&quot;:null,&quot;profile_id&quot;:null,&quot;profile_name&quot;:null,&quot;url&quot;:null,&quot;videos&quot;:null}"/>
    <n v="66"/>
    <n v="1.0653753026634382E-2"/>
    <d v="2024-12-11T00:00:00"/>
    <n v="0.31057870370370372"/>
    <x v="4"/>
    <x v="20"/>
    <x v="1"/>
    <x v="1"/>
    <x v="1"/>
    <x v="0"/>
    <n v="158"/>
    <x v="2"/>
  </r>
  <r>
    <n v="1.8677654425021112E+18"/>
    <s v="Bro███ynN███"/>
    <s v="Bro███yn ███s"/>
    <s v=".@thejalenwilson assertive! 💪😤"/>
    <s v="&quot;2024-12-14T02:55:57.000Z&quot;"/>
    <s v="null"/>
    <s v="https://x.com/BrooklynNets/status/1867765442502111312"/>
    <s v="[{&quot;biography&quot;:null,&quot;followers&quot;:null,&quot;following&quot;:null,&quot;is_verified&quot;:null,&quot;profile_id&quot;:&quot;2369333263&quot;,&quot;profile_name&quot;:&quot;jwill&quot;,&quot;url&quot;:&quot;https://x.com/thejalenwilson&quot;}]"/>
    <n v="6"/>
    <n v="18"/>
    <n v="402"/>
    <n v="40221"/>
    <s v=""/>
    <s v="null"/>
    <n v="2035100"/>
    <s v="Tweets from #NetsWorld"/>
    <n v="106867"/>
    <s v="https://pbs.twimg.com/profile_images/1811024920870277122/1wQgAUZH_normal.jpg"/>
    <n v="411"/>
    <b v="0"/>
    <n v="1"/>
    <n v="1"/>
    <s v="{&quot;post_id&quot;:null,&quot;profile_id&quot;:null,&quot;profile_name&quot;:null}"/>
    <s v="null"/>
    <s v="[{&quot;duration&quot;:29195,&quot;video_url&quot;:&quot;https://video.twimg.com/ext_tw_video/1867764973331431424/pu/vid/avc1/720x720/4S0NY1Y155Hu2-Tk.mp4?tag=12&quot;}]"/>
    <s v="{&quot;data_posted&quot;:null,&quot;description&quot;:null,&quot;photos&quot;:null,&quot;post_id&quot;:null,&quot;profile_id&quot;:null,&quot;profile_name&quot;:null,&quot;url&quot;:null,&quot;videos&quot;:null}"/>
    <n v="428"/>
    <n v="1.0641207329504488E-2"/>
    <d v="2024-12-14T00:00:00"/>
    <n v="0.1221875"/>
    <x v="5"/>
    <x v="2"/>
    <x v="1"/>
    <x v="1"/>
    <x v="0"/>
    <x v="0"/>
    <n v="30"/>
    <x v="0"/>
  </r>
  <r>
    <n v="1.8681512493018895E+18"/>
    <s v="ufc"/>
    <s v="UFC"/>
    <s v="SOON 👀_x000a__x000a_@ColbyCovMMA vs @NewMansa94 _x000a__x000a_[ #UFCTampa is LIVE on @ESPNPlus &amp; ESPN2 ]"/>
    <s v="&quot;2024-12-15T04:29:01.000Z&quot;"/>
    <s v="[&quot;https://pbs.twimg.com/media/Ge0BgKvWUAAcdHb.jpg&quot;,&quot;https://pbs.twimg.com/media/Ge0BiOYW8AAkMK6.jpg&quot;]"/>
    <s v="https://x.com/ufc/status/1868151249301889411"/>
    <s v="[{&quot;biography&quot;:null,&quot;followers&quot;:null,&quot;following&quot;:null,&quot;is_verified&quot;:null,&quot;profile_id&quot;:&quot;442456291&quot;,&quot;profile_name&quot;:&quot;Colby Covington&quot;,&quot;url&quot;:&quot;https://x.com/ColbyCovMMA&quot;},{&quot;biography&quot;:null,&quot;followers&quot;:null,&quot;following&quot;:null,&quot;is_verified&quot;:null,&quot;profile_id&quot;:&quot;922938072836313089&quot;,&quot;profile_name&quot;:&quot;Joaquin New Mansa Buckley&quot;,&quot;url&quot;:&quot;https://x.com/Newmansa94&quot;},{&quot;biography&quot;:null,&quot;followers&quot;:null,&quot;following&quot;:null,&quot;is_verified&quot;:null,&quot;profile_id&quot;:&quot;1044284694387412992&quot;,&quot;profile_name&quot;:&quot;ESPN+&quot;,&quot;url&quot;:&quot;https://x.com/ESPNPlus&quot;}]"/>
    <n v="42"/>
    <n v="73"/>
    <n v="1306"/>
    <n v="136035"/>
    <s v=""/>
    <s v="[&quot;UFCTampa&quot;]"/>
    <n v="12876593"/>
    <s v="#UFCTampa | Covington vs Buckley | December 14 | 10pmET | LIVE on @ESPNPlus"/>
    <n v="141401"/>
    <s v="https://pbs.twimg.com/profile_images/1835773190385328128/4fVrF1UI_normal.jpg"/>
    <n v="717"/>
    <b v="0"/>
    <n v="4"/>
    <n v="19"/>
    <s v="{&quot;post_id&quot;:null,&quot;profile_id&quot;:null,&quot;profile_name&quot;:null}"/>
    <s v="null"/>
    <s v="null"/>
    <s v="{&quot;data_posted&quot;:null,&quot;description&quot;:null,&quot;photos&quot;:null,&quot;post_id&quot;:null,&quot;profile_id&quot;:null,&quot;profile_name&quot;:null,&quot;url&quot;:null,&quot;videos&quot;:null}"/>
    <n v="1444"/>
    <n v="1.06149152791561E-2"/>
    <d v="2024-12-15T00:00:00"/>
    <n v="0.18681712962962962"/>
    <x v="0"/>
    <x v="9"/>
    <x v="0"/>
    <x v="0"/>
    <x v="1"/>
    <x v="0"/>
    <n v="80"/>
    <x v="1"/>
  </r>
  <r>
    <n v="1.8675422843693757E+18"/>
    <s v="kann"/>
    <s v="כאן"/>
    <s v="מוקדמות מונדיאל 2026 ישראל הוגרלה לבית 9 ותשחק מול: גרמניה 🇩🇪 או איטליה 🇮🇹 , נורווגיה 🇳🇴 , אסטוניה 🇪🇪 ומולדובה 🇲🇩 _x000a__x000a_המונדיאל ישודר בחינם בכאן בעוד 18 חודשים_x000a__x000a_@lianwildau @Levyninho"/>
    <s v="&quot;2024-12-13T12:09:12.000Z&quot;"/>
    <s v="[&quot;https://pbs.twimg.com/media/GerXtIpX0AA8fWH.jpg&quot;]"/>
    <s v="https://x.com/kann/status/1867542284369375623"/>
    <s v="[{&quot;biography&quot;:null,&quot;followers&quot;:null,&quot;following&quot;:null,&quot;is_verified&quot;:null,&quot;profile_id&quot;:&quot;543253030&quot;,&quot;profile_name&quot;:&quot;Lian Wildau&quot;,&quot;url&quot;:&quot;https://x.com/lianwildau&quot;},{&quot;biography&quot;:null,&quot;followers&quot;:null,&quot;following&quot;:null,&quot;is_verified&quot;:null,&quot;profile_id&quot;:&quot;3190010498&quot;,&quot;profile_name&quot;:&quot;Uri Levy&quot;,&quot;url&quot;:&quot;https://x.com/Levyninho&quot;}]"/>
    <n v="7"/>
    <n v="4"/>
    <n v="33"/>
    <n v="4534"/>
    <s v=""/>
    <s v="null"/>
    <n v="182895"/>
    <s v="אנחנו כאן ❤️"/>
    <n v="30781"/>
    <s v="https://pbs.twimg.com/profile_images/1843516623740633088/WbeaAr02_normal.jpg"/>
    <n v="559"/>
    <b v="0"/>
    <n v="3"/>
    <n v="1"/>
    <s v="{&quot;post_id&quot;:null,&quot;profile_id&quot;:null,&quot;profile_name&quot;:null}"/>
    <s v="null"/>
    <s v="null"/>
    <s v="{&quot;data_posted&quot;:null,&quot;description&quot;:null,&quot;photos&quot;:null,&quot;post_id&quot;:null,&quot;profile_id&quot;:null,&quot;profile_name&quot;:null,&quot;url&quot;:null,&quot;videos&quot;:null}"/>
    <n v="48"/>
    <n v="1.05866784296427E-2"/>
    <d v="2024-12-13T00:00:00"/>
    <n v="0.50638888888888889"/>
    <x v="1"/>
    <x v="0"/>
    <x v="0"/>
    <x v="0"/>
    <x v="0"/>
    <x v="0"/>
    <n v="180"/>
    <x v="2"/>
  </r>
  <r>
    <n v="1.8682572052267256E+18"/>
    <s v="Eve███nWo███"/>
    <s v="Eve███n W███n"/>
    <s v="🔵 Your Blues to take on Manchester City._x000a__x000a_#COYB"/>
    <s v="&quot;2024-12-15T11:30:02.000Z&quot;"/>
    <s v="[&quot;https://pbs.twimg.com/media/Ge1hI75XwAAPiNR.jpg&quot;]"/>
    <s v="https://x.com/EvertonWomen/status/1868257205226725714"/>
    <s v="null"/>
    <n v="5"/>
    <n v="23"/>
    <n v="145"/>
    <n v="17227"/>
    <s v=""/>
    <s v="[&quot;COYB&quot;]"/>
    <n v="60046"/>
    <s v="The official X page of Everton Women, with news, fixture details, ticket offers and much, much more from the team. #COYB"/>
    <n v="20517"/>
    <s v="https://pbs.twimg.com/profile_images/1729579033464107008/u8MwPO-v_normal.jpg"/>
    <n v="313"/>
    <b v="0"/>
    <n v="6"/>
    <n v="2"/>
    <s v="{&quot;post_id&quot;:null,&quot;profile_id&quot;:null,&quot;profile_name&quot;:null}"/>
    <s v="null"/>
    <s v="null"/>
    <s v="{&quot;data_posted&quot;:null,&quot;description&quot;:null,&quot;photos&quot;:null,&quot;post_id&quot;:null,&quot;profile_id&quot;:null,&quot;profile_name&quot;:null,&quot;url&quot;:null,&quot;videos&quot;:null}"/>
    <n v="181"/>
    <n v="1.0506762640041795E-2"/>
    <d v="2024-12-15T00:00:00"/>
    <n v="0.47918981481481482"/>
    <x v="0"/>
    <x v="16"/>
    <x v="0"/>
    <x v="0"/>
    <x v="1"/>
    <x v="0"/>
    <n v="47"/>
    <x v="3"/>
  </r>
  <r>
    <n v="1.8683640407385951E+18"/>
    <s v="nyp███"/>
    <s v="New███rk ███t"/>
    <s v="Eric Adams’ top aide Ingrid Lewis-Martin abruptly resigns in latest City Hall shakeup"/>
    <s v="&quot;2024-12-15T18:34:34.000Z&quot;"/>
    <s v="[&quot;https://pbs.twimg.com/media/Ge3DMYNWgAAcewR.jpg&quot;]"/>
    <s v="https://x.com/nypost/status/1868364040738594988"/>
    <s v="null"/>
    <n v="58"/>
    <n v="56"/>
    <n v="157"/>
    <n v="26593"/>
    <s v="https://trib.al/MCeWqJ9"/>
    <s v="null"/>
    <n v="3313888"/>
    <s v="Breaking news &amp; features from The New York Post. Follow your favorite sections: @pagesix, @nypmetro, @nypostbiz, @nypostsports, @nypfashion, @nypostopinion"/>
    <n v="706459"/>
    <s v="https://pbs.twimg.com/profile_images/966372680306868224/60wfGe9e_normal.jpg"/>
    <n v="10308"/>
    <b v="0"/>
    <n v="3"/>
    <n v="3"/>
    <s v="{&quot;post_id&quot;:null,&quot;profile_id&quot;:null,&quot;profile_name&quot;:null}"/>
    <s v="null"/>
    <s v="null"/>
    <s v="{&quot;data_posted&quot;:null,&quot;description&quot;:null,&quot;photos&quot;:null,&quot;post_id&quot;:null,&quot;profile_id&quot;:null,&quot;profile_name&quot;:null,&quot;url&quot;:null,&quot;videos&quot;:null}"/>
    <n v="277"/>
    <n v="1.0416274959575828E-2"/>
    <d v="2024-12-15T00:00:00"/>
    <n v="0.77400462962962968"/>
    <x v="0"/>
    <x v="8"/>
    <x v="0"/>
    <x v="0"/>
    <x v="0"/>
    <x v="0"/>
    <n v="85"/>
    <x v="0"/>
  </r>
  <r>
    <n v="1.8684409582383557E+18"/>
    <s v="CNN███sil███"/>
    <s v="CNN███asi███"/>
    <s v="Lula pode manter rotina, mas sem exercícios físicos, diz Dr. Kalil à CNN"/>
    <s v="&quot;2024-12-15T23:40:13.000Z&quot;"/>
    <s v="null"/>
    <s v="https://x.com/CNNBrasil/status/1868440958238355798"/>
    <s v="null"/>
    <n v="19"/>
    <n v="1"/>
    <n v="71"/>
    <n v="9154"/>
    <s v="https://www.cnnbrasil.com.br/politica/lula-pode-manter-rotina-mas-sem-exercicios-fisicos-diz-dr-kalil-a-cnn/?utm_source=social&amp;utm_medium=twitter&amp;utm_campaign=politica"/>
    <s v="null"/>
    <n v="2819409"/>
    <s v="Pense bem, pense CNN._x000a_Acompanhe também pelo canal 577, app ou site. _x000a_⚽ @esportescnn_x000a_⚡️ @cnnpop_x000a_💰 @cnneconomia_x000a_💵 @nolucrocnn"/>
    <n v="286269"/>
    <s v="https://pbs.twimg.com/profile_images/1202609722257485824/NcFn6f7X_normal.jpg"/>
    <n v="4"/>
    <b v="0"/>
    <n v="2"/>
    <n v="2"/>
    <s v="{&quot;post_id&quot;:null,&quot;profile_id&quot;:null,&quot;profile_name&quot;:null}"/>
    <s v="[&quot;https://pbs.twimg.com/card_img/1868440959748382720/XSNDhrpK?format=jpg&amp;name=orig&quot;]"/>
    <s v="null"/>
    <s v="{&quot;data_posted&quot;:null,&quot;description&quot;:null,&quot;photos&quot;:null,&quot;post_id&quot;:null,&quot;profile_id&quot;:null,&quot;profile_name&quot;:null,&quot;url&quot;:null,&quot;videos&quot;:null}"/>
    <n v="95"/>
    <n v="1.0377976840725367E-2"/>
    <d v="2024-12-15T00:00:00"/>
    <n v="0.98626157407407411"/>
    <x v="0"/>
    <x v="7"/>
    <x v="0"/>
    <x v="1"/>
    <x v="0"/>
    <x v="0"/>
    <n v="72"/>
    <x v="0"/>
  </r>
  <r>
    <n v="1.8442850442879962E+18"/>
    <s v="Tru███edi███3"/>
    <s v="真相傳媒"/>
    <s v="电影《国有器官》上映，竟收炸弹威胁恐吓不准播放！_x000a_#民视新闻 真实纪录片《国有器官》，讲述活摘人体器官的恐怖事件，没想到，全台影城10月上映后，陆续收到恐吓信件，扬言要在影城放炸弹等各种讯息，警方不断接获报案，现在，除了加强巡逻，同时也调查IP位置，初步研判，是中国网军惯用的滋扰手段，在境外犯案。"/>
    <s v="&quot;2024-10-10T07:53:14.000Z&quot;"/>
    <s v="null"/>
    <s v="https://x.com/TruthMedia123/status/1844285044287996170"/>
    <s v="null"/>
    <n v="51"/>
    <n v="596"/>
    <n v="1624"/>
    <n v="248407"/>
    <s v=""/>
    <s v="[&quot;民视新闻&quot;]"/>
    <n v="234568"/>
    <s v="傳播真相，匡扶正義良知，回歸中華傳統。 世間總有公道。歡迎投稿爆料！如果推文有錯誤歡迎指正。通過本號私信發送即可。"/>
    <n v="102643"/>
    <s v="https://pbs.twimg.com/profile_images/1618727520500850692/SdW0o-cV_normal.jpg"/>
    <n v="5173"/>
    <b v="0"/>
    <n v="19"/>
    <n v="278"/>
    <s v="{&quot;post_id&quot;:null,&quot;profile_id&quot;:null,&quot;profile_name&quot;:null}"/>
    <s v="null"/>
    <s v="[{&quot;duration&quot;:119466,&quot;video_url&quot;:&quot;https://video.twimg.com/ext_tw_video/1844284487905222656/pu/vid/avc1/640x360/JEPz-6WuDNTsafyx.mp4?tag=12&quot;}]"/>
    <s v="{&quot;data_posted&quot;:null,&quot;description&quot;:null,&quot;photos&quot;:null,&quot;post_id&quot;:null,&quot;profile_id&quot;:null,&quot;profile_name&quot;:null,&quot;url&quot;:null,&quot;videos&quot;:null}"/>
    <n v="2568"/>
    <n v="1.0337872926286296E-2"/>
    <d v="2024-10-10T00:00:00"/>
    <n v="0.32863425925925926"/>
    <x v="6"/>
    <x v="20"/>
    <x v="1"/>
    <x v="1"/>
    <x v="1"/>
    <x v="0"/>
    <n v="149"/>
    <x v="2"/>
  </r>
  <r>
    <n v="1.8683545119300652E+18"/>
    <s v="nyp███"/>
    <s v="New███rk ███t"/>
    <s v="President-elect Donald Trump attends 2024 Army-Navy football game"/>
    <s v="&quot;2024-12-15T17:56:42.000Z&quot;"/>
    <s v="[&quot;https://pbs.twimg.com/media/Ge26htHW8AAQPRo.jpg&quot;]"/>
    <s v="https://x.com/nypost/status/1868354511930065242"/>
    <s v="null"/>
    <n v="40"/>
    <n v="16"/>
    <n v="162"/>
    <n v="21483"/>
    <s v="https://trib.al/5HYrYaR"/>
    <s v="null"/>
    <n v="3313889"/>
    <s v="Breaking news &amp; features from The New York Post. Follow your favorite sections: @pagesix, @nypmetro, @nypostbiz, @nypostsports, @nypfashion, @nypostopinion"/>
    <n v="706459"/>
    <s v="https://pbs.twimg.com/profile_images/966372680306868224/60wfGe9e_normal.jpg"/>
    <n v="10308"/>
    <b v="0"/>
    <n v="1"/>
    <n v="3"/>
    <s v="{&quot;post_id&quot;:null,&quot;profile_id&quot;:null,&quot;profile_name&quot;:null}"/>
    <s v="null"/>
    <s v="null"/>
    <s v="{&quot;data_posted&quot;:null,&quot;description&quot;:null,&quot;photos&quot;:null,&quot;post_id&quot;:null,&quot;profile_id&quot;:null,&quot;profile_name&quot;:null,&quot;url&quot;:null,&quot;videos&quot;:null}"/>
    <n v="222"/>
    <n v="1.033375226923614E-2"/>
    <d v="2024-12-15T00:00:00"/>
    <n v="0.74770833333333331"/>
    <x v="0"/>
    <x v="12"/>
    <x v="0"/>
    <x v="0"/>
    <x v="0"/>
    <x v="0"/>
    <n v="65"/>
    <x v="0"/>
  </r>
  <r>
    <n v="1.8682209595154271E+18"/>
    <s v="Man███y"/>
    <s v="Man███ste███ity███"/>
    <s v="IT’S DERBY DAY! 🩵_x000a__x000a_#ManCity"/>
    <s v="&quot;2024-12-15T09:06:01.000Z&quot;"/>
    <s v="[&quot;https://pbs.twimg.com/media/Ge1BDx6XEAA2_jd.jpg&quot;]"/>
    <s v="https://x.com/ManCity/status/1868220959515426969"/>
    <s v="null"/>
    <n v="337"/>
    <n v="861"/>
    <n v="7699"/>
    <n v="889292"/>
    <s v=""/>
    <s v="[&quot;ManCity&quot;]"/>
    <n v="17891377"/>
    <s v="WATCH TOGETHER: 4-IN-A-ROW 🍿"/>
    <n v="168939"/>
    <s v="https://pbs.twimg.com/profile_images/1856263834400358400/RysToJDu_normal.png"/>
    <n v="47365"/>
    <b v="0"/>
    <n v="183"/>
    <n v="46"/>
    <s v="{&quot;post_id&quot;:null,&quot;profile_id&quot;:null,&quot;profile_name&quot;:null}"/>
    <s v="null"/>
    <s v="null"/>
    <s v="{&quot;data_posted&quot;:null,&quot;description&quot;:null,&quot;photos&quot;:null,&quot;post_id&quot;:null,&quot;profile_id&quot;:null,&quot;profile_name&quot;:null,&quot;url&quot;:null,&quot;videos&quot;:null}"/>
    <n v="9126"/>
    <n v="1.0262096139400781E-2"/>
    <d v="2024-12-15T00:00:00"/>
    <n v="0.37917824074074075"/>
    <x v="0"/>
    <x v="18"/>
    <x v="0"/>
    <x v="0"/>
    <x v="1"/>
    <x v="0"/>
    <n v="27"/>
    <x v="1"/>
  </r>
  <r>
    <n v="1.8659760623472602E+18"/>
    <s v="Lig███VAM███"/>
    <s v="Lig███BVA███"/>
    <s v="¡Tú eliges!_x000a__x000a_Llegó el momento de votar por lo mejor de las Semifinales del Torneo AP 24 ⚽️ ¡Participa aquí! ⬇️"/>
    <s v="&quot;2024-12-09T04:25:36.000Z&quot;"/>
    <s v="[&quot;https://pbs.twimg.com/media/GeVHR-tXUAAa8WN.jpg&quot;]"/>
    <s v="https://x.com/LigaBBVAMX/status/1865976062347260121"/>
    <s v="null"/>
    <n v="28"/>
    <n v="6"/>
    <n v="209"/>
    <n v="23924"/>
    <s v="https://bit.ly/3ZIhBS4"/>
    <s v="[&quot;SoyFanLMX&quot;]"/>
    <n v="4017749"/>
    <s v="Te tqm, Liga BBVA MX. 🥰 Soy un fan más haciéndola de CM. Como dice la chaviza, es la liga más mágica del continente. ✨⚽_x000a__x000a_Cuenta corporativa ➡️ @LigaBBVAMXCorp"/>
    <n v="216531"/>
    <s v="https://pbs.twimg.com/profile_images/1853440816137510912/a14K-9q2_normal.jpg"/>
    <n v="214"/>
    <b v="0"/>
    <n v="0"/>
    <n v="2"/>
    <s v="{&quot;post_id&quot;:null,&quot;profile_id&quot;:null,&quot;profile_name&quot;:null}"/>
    <s v="null"/>
    <s v="null"/>
    <s v="{&quot;data_posted&quot;:null,&quot;description&quot;:null,&quot;photos&quot;:null,&quot;post_id&quot;:null,&quot;profile_id&quot;:null,&quot;profile_name&quot;:null,&quot;url&quot;:null,&quot;videos&quot;:null}"/>
    <n v="245"/>
    <n v="1.0240762414311988E-2"/>
    <d v="2024-12-09T00:00:00"/>
    <n v="0.18444444444444444"/>
    <x v="2"/>
    <x v="9"/>
    <x v="0"/>
    <x v="0"/>
    <x v="1"/>
    <x v="0"/>
    <n v="110"/>
    <x v="0"/>
  </r>
  <r>
    <n v="1.8683770488400732E+18"/>
    <s v="Bra███eir███"/>
    <s v="Bra███eir███Bet██████"/>
    <s v="A soma de gols e assistências! Números importantes para os craques do #BrasileirãoBetano! ✅️"/>
    <s v="&quot;2024-12-15T19:26:15.000Z&quot;"/>
    <s v="[&quot;https://pbs.twimg.com/media/Ge3PBerW4AAwt09.jpg&quot;]"/>
    <s v="https://x.com/Brasileirao/status/1868377048840073248"/>
    <s v="null"/>
    <n v="3"/>
    <n v="2"/>
    <n v="93"/>
    <n v="9962"/>
    <s v=""/>
    <s v="[&quot;BrasileirãoBetano&quot;]"/>
    <n v="1641578"/>
    <s v="O Brasileirão agora é Brasileirão Betano! #ÉoBrasileiro 🇧🇷"/>
    <n v="47630"/>
    <s v="https://pbs.twimg.com/profile_images/1778793024606093312/qKUKwHa1_normal.jpg"/>
    <n v="598"/>
    <b v="0"/>
    <n v="1"/>
    <n v="3"/>
    <s v="{&quot;post_id&quot;:null,&quot;profile_id&quot;:null,&quot;profile_name&quot;:null}"/>
    <s v="null"/>
    <s v="null"/>
    <s v="{&quot;data_posted&quot;:null,&quot;description&quot;:null,&quot;photos&quot;:null,&quot;post_id&quot;:null,&quot;profile_id&quot;:null,&quot;profile_name&quot;:null,&quot;url&quot;:null,&quot;videos&quot;:null}"/>
    <n v="102"/>
    <n v="1.0238907849829351E-2"/>
    <d v="2024-12-15T00:00:00"/>
    <n v="0.80989583333333337"/>
    <x v="0"/>
    <x v="4"/>
    <x v="0"/>
    <x v="0"/>
    <x v="1"/>
    <x v="0"/>
    <n v="92"/>
    <x v="0"/>
  </r>
  <r>
    <n v="1.8683422220617075E+18"/>
    <s v="Man███y"/>
    <s v="Man███ste███ity███"/>
    <s v="JOSKOOOOOOO!!!!!!!!!_x000a__x000a_🩵 1-0 🔴 #ManCity"/>
    <s v="&quot;2024-12-15T17:07:52.000Z&quot;"/>
    <s v="null"/>
    <s v="https://x.com/ManCity/status/1868342222061707402"/>
    <s v="null"/>
    <n v="196"/>
    <n v="882"/>
    <n v="3433"/>
    <n v="459727"/>
    <s v=""/>
    <s v="[&quot;ManCity&quot;]"/>
    <n v="17891376"/>
    <s v="WATCH TOGETHER: 4-IN-A-ROW 🍿"/>
    <n v="168939"/>
    <s v="https://pbs.twimg.com/profile_images/1856263834400358400/RysToJDu_normal.png"/>
    <n v="47365"/>
    <b v="0"/>
    <n v="182"/>
    <n v="14"/>
    <s v="{&quot;post_id&quot;:null,&quot;profile_id&quot;:null,&quot;profile_name&quot;:null}"/>
    <s v="null"/>
    <s v="[{&quot;duration&quot;:5040,&quot;video_url&quot;:&quot;https://video.twimg.com/ext_tw_video/1868342168823218176/pu/vid/avc1/720x900/KAzchqqho_Pj7I-5.mp4?tag=12&quot;}]"/>
    <s v="{&quot;data_posted&quot;:null,&quot;description&quot;:null,&quot;photos&quot;:null,&quot;post_id&quot;:null,&quot;profile_id&quot;:null,&quot;profile_name&quot;:null,&quot;url&quot;:null,&quot;videos&quot;:null}"/>
    <n v="4707"/>
    <n v="1.0238685132698318E-2"/>
    <d v="2024-12-15T00:00:00"/>
    <n v="0.71379629629629626"/>
    <x v="0"/>
    <x v="12"/>
    <x v="1"/>
    <x v="1"/>
    <x v="1"/>
    <x v="0"/>
    <n v="38"/>
    <x v="1"/>
  </r>
  <r>
    <n v="1.8659574352041088E+18"/>
    <s v="NHL"/>
    <s v="NHL"/>
    <s v="Another dub for the @utahhockeyclub! ✅"/>
    <s v="&quot;2024-12-09T03:11:35.000Z&quot;"/>
    <s v="[&quot;https://pbs.twimg.com/media/GeU2ZbmWAAAwhwF.jpg&quot;]"/>
    <s v="https://x.com/NHL/status/1865957435204108730"/>
    <s v="[{&quot;biography&quot;:null,&quot;followers&quot;:null,&quot;following&quot;:null,&quot;is_verified&quot;:null,&quot;profile_id&quot;:&quot;1778101138421850112&quot;,&quot;profile_name&quot;:&quot;Utah Hockey Club&quot;,&quot;url&quot;:&quot;https://x.com/utahhockeyclub&quot;}]"/>
    <n v="22"/>
    <n v="64"/>
    <n v="907"/>
    <n v="97855"/>
    <s v=""/>
    <s v="null"/>
    <n v="7196578"/>
    <s v="Your home for hockey._x000a__x000a_🔄: @NHLGIFs_x000a_🏆: @StanleyCup_x000a_🗣️: @PR_NHL_x000a_📈: @NHLFantasy_x000a_📺: @espn, @NHL_On_TNT, @SportsOnPrimeCA, @Sportsnet, @NHLNetwork"/>
    <n v="258759"/>
    <s v="https://pbs.twimg.com/profile_images/1862728438399799297/3aEXtQ0d_normal.jpg"/>
    <n v="2150"/>
    <b v="0"/>
    <n v="3"/>
    <n v="3"/>
    <s v="{&quot;post_id&quot;:null,&quot;profile_id&quot;:null,&quot;profile_name&quot;:null}"/>
    <s v="null"/>
    <s v="null"/>
    <s v="{&quot;data_posted&quot;:null,&quot;description&quot;:null,&quot;photos&quot;:null,&quot;post_id&quot;:null,&quot;profile_id&quot;:null,&quot;profile_name&quot;:null,&quot;url&quot;:null,&quot;videos&quot;:null}"/>
    <n v="999"/>
    <n v="1.0208982678452813E-2"/>
    <d v="2024-12-09T00:00:00"/>
    <n v="0.13304398148148147"/>
    <x v="2"/>
    <x v="21"/>
    <x v="0"/>
    <x v="0"/>
    <x v="0"/>
    <x v="0"/>
    <n v="38"/>
    <x v="0"/>
  </r>
  <r>
    <n v="1.8660211267381581E+18"/>
    <s v="MFL███"/>
    <s v="Mal███ian███otb█████████e"/>
    <s v="Malaysian Football League (MFL) telah mengemaskini jadual perlawanan MFL Challenge Cup 2024-2025 melibatkan beberapa perlawanan. Pindaan ini telah dipersetujui oleh kedua-dua pasukan yang terlibat."/>
    <s v="&quot;2024-12-09T07:24:40.000Z&quot;"/>
    <s v="[&quot;https://pbs.twimg.com/media/GeVwSLjawAAnAEP.jpg&quot;]"/>
    <s v="https://x.com/MFL_MY/status/1866021126738158030"/>
    <s v="null"/>
    <n v="0"/>
    <n v="3"/>
    <n v="5"/>
    <n v="1078"/>
    <s v="https://www.malaysianfootballleague.com/Content/Post/Watch/2451"/>
    <s v="[&quot;MFLChallengeCup24&quot;,&quot;DemiLigaKita&quot;,&quot;LigaMalaysia&quot;]"/>
    <n v="128359"/>
    <s v="Official Twitter of the Malaysian Football League (MFL). 🇲🇾⚽"/>
    <n v="38582"/>
    <s v="https://pbs.twimg.com/profile_images/1638733016985145344/DlS5U4Qj_normal.jpg"/>
    <n v="45"/>
    <b v="0"/>
    <n v="2"/>
    <n v="1"/>
    <s v="{&quot;post_id&quot;:null,&quot;profile_id&quot;:null,&quot;profile_name&quot;:null}"/>
    <s v="null"/>
    <s v="null"/>
    <s v="{&quot;data_posted&quot;:null,&quot;description&quot;:null,&quot;photos&quot;:null,&quot;post_id&quot;:null,&quot;profile_id&quot;:null,&quot;profile_name&quot;:null,&quot;url&quot;:null,&quot;videos&quot;:null}"/>
    <n v="11"/>
    <n v="1.020408163265306E-2"/>
    <d v="2024-12-09T00:00:00"/>
    <n v="0.30879629629629629"/>
    <x v="2"/>
    <x v="20"/>
    <x v="0"/>
    <x v="0"/>
    <x v="1"/>
    <x v="0"/>
    <n v="197"/>
    <x v="2"/>
  </r>
  <r>
    <n v="1.868497483019764E+18"/>
    <s v="fin███e_b███"/>
    <s v="财经不踩雷"/>
    <s v="啥？美中《科技合作协定》修订后再 延长有效期五年？🤝🤝🤝🤝🤝_x000a__x000a_说好的科技制裁呢？🩴🩴🩴👡👡👡_x000a__x000a_其实，修订后的协议明确排除了在人工智能和半导体等“新兴或关键技术”领域的合作，反映了对国家安全的担忧。_x000a__x000a_那么，中美科技竞争到底是什么态势呢？_x000a__x000a_美国实施了严格的出口管制，旨在限制中国获取先进的半导体技术。_x000a__x000a_这些措施旨在阻止中国在人工智能和军事技术领域的快速发展。美国还与盟友（如日本和荷兰）协调行动，采取类似限制措施，进一步削弱中国获取尖端技术的能力。_x000a__x000a_作为回应，中国批评美国采取经济胁迫，并采取措施保护自身利益，包括对稀土等关键材料的出口实施限制。_x000a__x000a_到2028年，全球技术生态系统可能出现显著分裂，由美国和中国分别主导各自的阵营。_x000a__x000a_这可能导致国际贸易更加复杂化，并加剧竞争。_x000a__x000a_到时候，所有国家都不得不选边站了。_x000a__x000a_详细报告，可以访问我的电报群。_x000a__x000a_#中美科技局竞争"/>
    <s v="&quot;2024-12-16T03:24:49.000Z&quot;"/>
    <s v="[&quot;https://pbs.twimg.com/media/Ge46_OKagAE-ujl.png&quot;,&quot;https://pbs.twimg.com/media/Ge47S-8bwAAMhCB.jpg&quot;,&quot;https://pbs.twimg.com/media/Ge48ep1bEAAHeoq.jpg&quot;]"/>
    <s v="https://x.com/finance_bcl/status/1868497483019764076"/>
    <s v="null"/>
    <n v="3"/>
    <n v="3"/>
    <n v="6"/>
    <n v="1866"/>
    <s v=""/>
    <s v="null"/>
    <n v="19982"/>
    <s v="“财经不踩雷”，让你在财经领域不再孤单，不再无聊，不再踩雷。继续分享 #财经 #股市 重点看法，欢迎大家订阅。 防止推特再被封， 油管：https://t.co/eKWWaKLOiC 电报群：https://t.co/7qFcnCqoV6"/>
    <n v="6435"/>
    <s v="https://pbs.twimg.com/profile_images/1867478029964128257/2hEhOcPF_normal.jpg"/>
    <n v="416"/>
    <b v="0"/>
    <n v="1"/>
    <n v="6"/>
    <s v="{&quot;post_id&quot;:null,&quot;profile_id&quot;:null,&quot;profile_name&quot;:null}"/>
    <s v="null"/>
    <s v="[{&quot;duration&quot;:30066,&quot;video_url&quot;:&quot;https://video.twimg.com/ext_tw_video/1868495614071484416/pu/vid/avc1/576x1024/3FYeFXX57pkZ3RiJ.mp4?tag=12&quot;}]"/>
    <s v="{&quot;data_posted&quot;:&quot;2023-01-26T00:47:24.000Z&quot;,&quot;description&quot;:&quot;经济学人说，俄罗斯经济将于2025年崩溃，这是真的吗？⁉️⁉️⁉️⁉️⁉️\n\n这让俄罗斯分析师们感到恐惧。😱😱😱😱\n\n因为许多人认为，《经济学人》是由控制历史进程的跨国精英所拥有的。\n\n经济学人也确实牛逼，\n\n1983年，他们预测了苏联的崩溃；2000年，预言了双子塔的倒塌。 https://t.co/POOsrIkgEv&quot;,&quot;photos&quot;:[&quot;https://pbs.twimg.com/media/Ge02G0ObAAAjUjN.png&quot;,&quot;https://pbs.twimg.com/media/Ge02LddaQAAWjDl.png&quot;,&quot;https://pbs.twimg.com/media/Ge02ksSbwAAgGdA.jpg&quot;],&quot;post_id&quot;:&quot;1868209531232354706&quot;,&quot;profile_id&quot;:&quot;finance_bcl&quot;,&quot;profile_name&quot;:&quot;财经不踩雷&quot;,&quot;url&quot;:&quot;https://x.com/finance_bcl/status/1868209531232354706&quot;,&quot;videos&quot;:[{&quot;duration&quot;:183333,&quot;url&quot;:&quot;https://video.twimg.com/ext_tw_video/1868208769811009536/pu/vid/avc1/576x1024/a4524JCDluOBSWMy.mp4?tag=12&quot;}]}"/>
    <n v="19"/>
    <n v="1.0182207931404072E-2"/>
    <d v="2024-12-16T00:00:00"/>
    <n v="0.14223379629629629"/>
    <x v="2"/>
    <x v="21"/>
    <x v="1"/>
    <x v="0"/>
    <x v="0"/>
    <x v="0"/>
    <n v="388"/>
    <x v="3"/>
  </r>
  <r>
    <n v="1.8683306962566597E+18"/>
    <s v="Ran███sFC███"/>
    <s v="Ran███s F███bal█████████"/>
    <s v="HALF-TIME: Rangers 1-0 Celtic | #PremierSportsCup  _x000a__x000a_Nedim Bajrami sends us in with the HT advantage._x000a__x000a_📲 Follow the second-half live in our Match Hub:"/>
    <s v="&quot;2024-12-15T16:22:04.000Z&quot;"/>
    <s v="[&quot;https://pbs.twimg.com/media/Ge2kIIvWMAAnZ-D.jpg&quot;]"/>
    <s v="https://x.com/RangersFC/status/1868330696256659797"/>
    <s v="null"/>
    <n v="91"/>
    <n v="111"/>
    <n v="1140"/>
    <n v="133706"/>
    <s v="https://rng.rs/Cup-Final"/>
    <s v="[&quot;PremierSportsCup&quot;]"/>
    <n v="812161"/>
    <s v="The Home of #RangersFC 💙"/>
    <n v="110924"/>
    <s v="https://pbs.twimg.com/profile_images/1856633703734112256/PBlqGEwC_normal.jpg"/>
    <n v="322"/>
    <b v="0"/>
    <n v="18"/>
    <n v="1"/>
    <s v="{&quot;post_id&quot;:null,&quot;profile_id&quot;:null,&quot;profile_name&quot;:null}"/>
    <s v="null"/>
    <s v="null"/>
    <s v="{&quot;data_posted&quot;:null,&quot;description&quot;:null,&quot;photos&quot;:null,&quot;post_id&quot;:null,&quot;profile_id&quot;:null,&quot;profile_name&quot;:null,&quot;url&quot;:null,&quot;videos&quot;:null}"/>
    <n v="1361"/>
    <n v="1.0179049556489612E-2"/>
    <d v="2024-12-15T00:00:00"/>
    <n v="0.68199074074074073"/>
    <x v="0"/>
    <x v="15"/>
    <x v="0"/>
    <x v="0"/>
    <x v="1"/>
    <x v="0"/>
    <n v="150"/>
    <x v="2"/>
  </r>
  <r>
    <n v="1.8681272865930079E+18"/>
    <s v="WWE"/>
    <s v="WWE"/>
    <s v=".@CodyRhodes wasn't about to take that from @FightOwensFight! 😤_x000a__x000a_#SNME"/>
    <s v="&quot;2024-12-15T02:53:47.000Z&quot;"/>
    <s v="null"/>
    <s v="https://x.com/WWE/status/1868127286593007841"/>
    <s v="[{&quot;biography&quot;:null,&quot;followers&quot;:null,&quot;following&quot;:null,&quot;is_verified&quot;:null,&quot;profile_id&quot;:&quot;516771605&quot;,&quot;profile_name&quot;:&quot;Cody Rhodes&quot;,&quot;url&quot;:&quot;https://x.com/CodyRhodes&quot;},{&quot;biography&quot;:null,&quot;followers&quot;:null,&quot;following&quot;:null,&quot;is_verified&quot;:null,&quot;profile_id&quot;:&quot;195508960&quot;,&quot;profile_name&quot;:&quot;Kevin&quot;,&quot;url&quot;:&quot;https://x.com/FightOwensFight&quot;}]"/>
    <n v="65"/>
    <n v="471"/>
    <n v="4068"/>
    <n v="469546"/>
    <s v=""/>
    <s v="[&quot;SNME&quot;]"/>
    <n v="14375937"/>
    <s v="WWE Raw | Mondays at 8/7c on USA Network _x000a_WWE NXT | Tuesdays at 8/7c on The CW _x000a_WWE SmackDown | Fridays at 8/7c on USA Network"/>
    <n v="346973"/>
    <s v="https://pbs.twimg.com/profile_images/1383079031805972485/3sWoMX-R_normal.jpg"/>
    <n v="392"/>
    <b v="0"/>
    <n v="16"/>
    <n v="154"/>
    <s v="{&quot;post_id&quot;:null,&quot;profile_id&quot;:null,&quot;profile_name&quot;:null}"/>
    <s v="null"/>
    <s v="[{&quot;duration&quot;:26467,&quot;video_url&quot;:&quot;https://video.twimg.com/amplify_video/1868127230112485377/vid/avc1/1920x1080/R0iDtvAqhU5oPezS.mp4?tag=16&quot;}]"/>
    <s v="{&quot;data_posted&quot;:null,&quot;description&quot;:null,&quot;photos&quot;:null,&quot;post_id&quot;:null,&quot;profile_id&quot;:null,&quot;profile_name&quot;:null,&quot;url&quot;:null,&quot;videos&quot;:null}"/>
    <n v="4774"/>
    <n v="1.0167267956707117E-2"/>
    <d v="2024-12-15T00:00:00"/>
    <n v="0.12068287037037037"/>
    <x v="0"/>
    <x v="2"/>
    <x v="1"/>
    <x v="1"/>
    <x v="1"/>
    <x v="0"/>
    <n v="70"/>
    <x v="1"/>
  </r>
  <r>
    <n v="1.8681364725381409E+18"/>
    <s v="ufc"/>
    <s v="UFC"/>
    <s v="Fresh on the scene 👀_x000a__x000a_@ColbyCovMMA vs @NewMansa94 is coming up!_x000a__x000a_[ #UFCTampa is LIVE on @ESPNPlus &amp;amp; ESPN2 ]"/>
    <s v="&quot;2024-12-15T03:30:18.000Z&quot;"/>
    <s v="[&quot;https://pbs.twimg.com/media/GezzaqvWgAA463H.jpg&quot;,&quot;https://pbs.twimg.com/media/Gezzc39XAAADco8.jpg&quot;]"/>
    <s v="https://x.com/ufc/status/1868136472538140873"/>
    <s v="[{&quot;biography&quot;:null,&quot;followers&quot;:null,&quot;following&quot;:null,&quot;is_verified&quot;:null,&quot;profile_id&quot;:&quot;442456291&quot;,&quot;profile_name&quot;:&quot;Colby Covington&quot;,&quot;url&quot;:&quot;https://x.com/ColbyCovMMA&quot;},{&quot;biography&quot;:null,&quot;followers&quot;:null,&quot;following&quot;:null,&quot;is_verified&quot;:null,&quot;profile_id&quot;:&quot;922938072836313089&quot;,&quot;profile_name&quot;:&quot;Joaquin New Mansa Buckley&quot;,&quot;url&quot;:&quot;https://x.com/Newmansa94&quot;},{&quot;biography&quot;:null,&quot;followers&quot;:null,&quot;following&quot;:null,&quot;is_verified&quot;:null,&quot;profile_id&quot;:&quot;1044284694387412992&quot;,&quot;profile_name&quot;:&quot;ESPN+&quot;,&quot;url&quot;:&quot;https://x.com/ESPNPlus&quot;}]"/>
    <n v="42"/>
    <n v="69"/>
    <n v="1177"/>
    <n v="129339"/>
    <s v=""/>
    <s v="[&quot;UFCTampa&quot;]"/>
    <n v="12876593"/>
    <s v="#UFCTampa | Covington vs Buckley | December 14 | 10pmET | LIVE on @ESPNPlus"/>
    <n v="141401"/>
    <s v="https://pbs.twimg.com/profile_images/1835773190385328128/4fVrF1UI_normal.jpg"/>
    <n v="717"/>
    <b v="0"/>
    <n v="8"/>
    <n v="16"/>
    <s v="{&quot;post_id&quot;:null,&quot;profile_id&quot;:null,&quot;profile_name&quot;:null}"/>
    <s v="null"/>
    <s v="null"/>
    <s v="{&quot;data_posted&quot;:null,&quot;description&quot;:null,&quot;photos&quot;:null,&quot;post_id&quot;:null,&quot;profile_id&quot;:null,&quot;profile_name&quot;:null,&quot;url&quot;:null,&quot;videos&quot;:null}"/>
    <n v="1312"/>
    <n v="1.0143885448317985E-2"/>
    <d v="2024-12-15T00:00:00"/>
    <n v="0.14604166666666665"/>
    <x v="0"/>
    <x v="21"/>
    <x v="0"/>
    <x v="0"/>
    <x v="1"/>
    <x v="0"/>
    <n v="111"/>
    <x v="1"/>
  </r>
  <r>
    <n v="1.8683474569177912E+18"/>
    <s v="spfl"/>
    <s v="SPFL"/>
    <s v="🤯 INCREDIBLE! _x000a__x000a_Behind for only a minute, @RangersFC are level again at 3-3 through Danilo!"/>
    <s v="&quot;2024-12-15T17:28:40.000Z&quot;"/>
    <s v="null"/>
    <s v="https://x.com/spfl/status/1868347456917791119"/>
    <s v="[{&quot;biography&quot;:null,&quot;followers&quot;:null,&quot;following&quot;:null,&quot;is_verified&quot;:null,&quot;profile_id&quot;:&quot;351838853&quot;,&quot;profile_name&quot;:&quot;Rangers Football Club&quot;,&quot;url&quot;:&quot;https://x.com/RangersFC&quot;}]"/>
    <n v="5"/>
    <n v="11"/>
    <n v="289"/>
    <n v="30741"/>
    <s v=""/>
    <s v="null"/>
    <n v="294711"/>
    <s v="Official Twitter/X account for the Scottish Professional Football League, sponsored by @WilliamHill."/>
    <n v="66342"/>
    <s v="https://pbs.twimg.com/profile_images/1798999022348496896/ZZU_hFqY_normal.jpg"/>
    <n v="1449"/>
    <b v="0"/>
    <n v="4"/>
    <n v="2"/>
    <s v="{&quot;post_id&quot;:null,&quot;profile_id&quot;:null,&quot;profile_name&quot;:null}"/>
    <s v="null"/>
    <s v="[{&quot;duration&quot;:61696,&quot;video_url&quot;:&quot;https://video.twimg.com/amplify_video/1868347075634626560/vid/avc1/1280x720/awLs42BZcNNWj9xI.mp4?tag=16&quot;}]"/>
    <s v="{&quot;data_posted&quot;:null,&quot;description&quot;:null,&quot;photos&quot;:null,&quot;post_id&quot;:null,&quot;profile_id&quot;:null,&quot;profile_name&quot;:null,&quot;url&quot;:null,&quot;videos&quot;:null}"/>
    <n v="311"/>
    <n v="1.0116782147620441E-2"/>
    <d v="2024-12-15T00:00:00"/>
    <n v="0.72824074074074074"/>
    <x v="0"/>
    <x v="12"/>
    <x v="1"/>
    <x v="1"/>
    <x v="0"/>
    <x v="0"/>
    <n v="91"/>
    <x v="2"/>
  </r>
  <r>
    <n v="1.8683694359431168E+18"/>
    <s v="nyp███"/>
    <s v="New███rk ███t"/>
    <s v="King Charles is ‘furious’ with Prince Andrew over Chinese spy drama that ‘looks bad’ for royal family"/>
    <s v="&quot;2024-12-15T18:56:00.000Z&quot;"/>
    <s v="[&quot;https://pbs.twimg.com/media/Ge3IGeEXEAADk9D.jpg&quot;]"/>
    <s v="https://x.com/nypost/status/1868369435943116921"/>
    <s v="null"/>
    <n v="105"/>
    <n v="68"/>
    <n v="177"/>
    <n v="36570"/>
    <s v="https://trib.al/b5YelMw"/>
    <s v="null"/>
    <n v="3313888"/>
    <s v="Breaking news &amp; features from The New York Post. Follow your favorite sections: @pagesix, @nypmetro, @nypostbiz, @nypostsports, @nypfashion, @nypostopinion"/>
    <n v="706459"/>
    <s v="https://pbs.twimg.com/profile_images/966372680306868224/60wfGe9e_normal.jpg"/>
    <n v="10308"/>
    <b v="0"/>
    <n v="9"/>
    <n v="10"/>
    <s v="{&quot;post_id&quot;:null,&quot;profile_id&quot;:null,&quot;profile_name&quot;:null}"/>
    <s v="null"/>
    <s v="null"/>
    <s v="{&quot;data_posted&quot;:null,&quot;description&quot;:null,&quot;photos&quot;:null,&quot;post_id&quot;:null,&quot;profile_id&quot;:null,&quot;profile_name&quot;:null,&quot;url&quot;:null,&quot;videos&quot;:null}"/>
    <n v="369"/>
    <n v="1.0090237899917965E-2"/>
    <d v="2024-12-15T00:00:00"/>
    <n v="0.78888888888888886"/>
    <x v="0"/>
    <x v="8"/>
    <x v="0"/>
    <x v="0"/>
    <x v="0"/>
    <x v="0"/>
    <n v="101"/>
    <x v="0"/>
  </r>
  <r>
    <n v="1.8683364824880748E+18"/>
    <s v="Man███"/>
    <s v="Man███ste███nit███"/>
    <s v="🔄 United are forced into an early change._x000a__x000a_#MUFC || #MCIMUN"/>
    <s v="&quot;2024-12-15T16:45:04.000Z&quot;"/>
    <s v="[&quot;https://pbs.twimg.com/media/Ge2p99WWQAAFAJx.jpg&quot;]"/>
    <s v="https://x.com/ManUtd/status/1868336482488074641"/>
    <s v="null"/>
    <n v="333"/>
    <n v="219"/>
    <n v="2073"/>
    <n v="273466"/>
    <s v=""/>
    <s v="[&quot;MUFC&quot;,&quot;MCIMUN&quot;]"/>
    <n v="38438998"/>
    <s v="’Tis the season to gift United! 🎁🎄"/>
    <n v="92455"/>
    <s v="https://pbs.twimg.com/profile_images/1856418426496880640/iIvJaO5T_normal.png"/>
    <n v="145"/>
    <b v="0"/>
    <n v="113"/>
    <n v="11"/>
    <s v="{&quot;post_id&quot;:null,&quot;profile_id&quot;:null,&quot;profile_name&quot;:null}"/>
    <s v="null"/>
    <s v="null"/>
    <s v="{&quot;data_posted&quot;:null,&quot;description&quot;:null,&quot;photos&quot;:null,&quot;post_id&quot;:null,&quot;profile_id&quot;:null,&quot;profile_name&quot;:null,&quot;url&quot;:null,&quot;videos&quot;:null}"/>
    <n v="2749"/>
    <n v="1.0052437963037453E-2"/>
    <d v="2024-12-15T00:00:00"/>
    <n v="0.69796296296296301"/>
    <x v="0"/>
    <x v="15"/>
    <x v="0"/>
    <x v="0"/>
    <x v="1"/>
    <x v="0"/>
    <n v="59"/>
    <x v="1"/>
  </r>
  <r>
    <n v="1.868330841891328E+18"/>
    <s v="spfl"/>
    <s v="SPFL"/>
    <s v="HT | 0⃣-1⃣ #CELRAN_x000a__x000a_@RangersFC lead the Premier Sports Cup Final at the break thanks to Nedim Bajrami's goal._x000a__x000a_🏆 #PremierSportsCup"/>
    <s v="&quot;2024-12-15T16:22:39.000Z&quot;"/>
    <s v="[&quot;https://pbs.twimg.com/media/Ge2k8ldX0AAX8Jr.jpg&quot;]"/>
    <s v="https://x.com/spfl/status/1868330841891328093"/>
    <s v="[{&quot;biography&quot;:null,&quot;followers&quot;:null,&quot;following&quot;:null,&quot;is_verified&quot;:null,&quot;profile_id&quot;:&quot;351838853&quot;,&quot;profile_name&quot;:&quot;Rangers Football Club&quot;,&quot;url&quot;:&quot;https://x.com/RangersFC&quot;}]"/>
    <n v="7"/>
    <n v="9"/>
    <n v="158"/>
    <n v="17482"/>
    <s v=""/>
    <s v="[&quot;CELRAN&quot;,&quot;PremierSportsCup&quot;]"/>
    <n v="294711"/>
    <s v="Official Twitter/X account for the Scottish Professional Football League, sponsored by @WilliamHill."/>
    <n v="66342"/>
    <s v="https://pbs.twimg.com/profile_images/1798999022348496896/ZZU_hFqY_normal.jpg"/>
    <n v="1449"/>
    <b v="0"/>
    <n v="1"/>
    <n v="0"/>
    <s v="{&quot;post_id&quot;:null,&quot;profile_id&quot;:null,&quot;profile_name&quot;:null}"/>
    <s v="null"/>
    <s v="null"/>
    <s v="{&quot;data_posted&quot;:null,&quot;description&quot;:null,&quot;photos&quot;:null,&quot;post_id&quot;:null,&quot;profile_id&quot;:null,&quot;profile_name&quot;:null,&quot;url&quot;:null,&quot;videos&quot;:null}"/>
    <n v="175"/>
    <n v="1.0010296304770622E-2"/>
    <d v="2024-12-15T00:00:00"/>
    <n v="0.68239583333333331"/>
    <x v="0"/>
    <x v="15"/>
    <x v="0"/>
    <x v="0"/>
    <x v="1"/>
    <x v="0"/>
    <n v="130"/>
    <x v="2"/>
  </r>
  <r>
    <n v="1.8684063331599529E+18"/>
    <s v="Spu███ffi███l"/>
    <s v="Tot███ham███tsp███"/>
    <s v="Who was your #SOUTOT Player of the Match? 🤔_x000a__x000a_Vote now via the Official Spurs App 📲"/>
    <s v="&quot;2024-12-15T21:22:37.000Z&quot;"/>
    <s v="[&quot;https://pbs.twimg.com/media/Ge3oPOzWIAEQ1pX.jpg&quot;]"/>
    <s v="https://x.com/SpursOfficial/status/1868406333159952780"/>
    <s v="[{&quot;biography&quot;:null,&quot;followers&quot;:null,&quot;following&quot;:null,&quot;is_verified&quot;:null,&quot;profile_id&quot;:&quot;2316897812&quot;,&quot;profile_name&quot;:&quot;HSBC Sport&quot;,&quot;url&quot;:&quot;https://x.com/HSBC_Sport&quot;}]"/>
    <n v="71"/>
    <n v="34"/>
    <n v="755"/>
    <n v="87579"/>
    <s v="http://bit.ly/4iz3wOn"/>
    <s v="[&quot;SOUTOT&quot;]"/>
    <n v="8885747"/>
    <s v="COYS 🤍"/>
    <n v="115852"/>
    <s v="https://pbs.twimg.com/profile_images/1864976047902498816/FUkKarj7_normal.jpg"/>
    <n v="469"/>
    <b v="0"/>
    <n v="9"/>
    <n v="7"/>
    <s v="{&quot;post_id&quot;:null,&quot;profile_id&quot;:null,&quot;profile_name&quot;:null}"/>
    <s v="null"/>
    <s v="null"/>
    <s v="{&quot;data_posted&quot;:null,&quot;description&quot;:null,&quot;photos&quot;:null,&quot;post_id&quot;:null,&quot;profile_id&quot;:null,&quot;profile_name&quot;:null,&quot;url&quot;:null,&quot;videos&quot;:null}"/>
    <n v="876"/>
    <n v="1.0002397835097454E-2"/>
    <d v="2024-12-15T00:00:00"/>
    <n v="0.89070601851851849"/>
    <x v="0"/>
    <x v="10"/>
    <x v="0"/>
    <x v="0"/>
    <x v="1"/>
    <x v="0"/>
    <n v="82"/>
    <x v="0"/>
  </r>
  <r>
    <n v="1.8683422623268623E+18"/>
    <s v="nyp███"/>
    <s v="New███rk ███t"/>
    <s v="Police search for whoever discarded a bulldog inside a trash bag in Iowa"/>
    <s v="&quot;2024-12-15T17:08:02.000Z&quot;"/>
    <s v="[&quot;https://pbs.twimg.com/media/Ge2vYvkXsAAftL_.jpg&quot;]"/>
    <s v="https://x.com/nypost/status/1868342262326862330"/>
    <s v="null"/>
    <n v="99"/>
    <n v="45"/>
    <n v="219"/>
    <n v="38903"/>
    <s v="https://trib.al/fxAHtjF"/>
    <s v="null"/>
    <n v="3313888"/>
    <s v="Breaking news &amp; features from The New York Post. Follow your favorite sections: @pagesix, @nypmetro, @nypostbiz, @nypostsports, @nypfashion, @nypostopinion"/>
    <n v="706459"/>
    <s v="https://pbs.twimg.com/profile_images/966372680306868224/60wfGe9e_normal.jpg"/>
    <n v="10308"/>
    <b v="0"/>
    <n v="18"/>
    <n v="5"/>
    <s v="{&quot;post_id&quot;:null,&quot;profile_id&quot;:null,&quot;profile_name&quot;:null}"/>
    <s v="null"/>
    <s v="null"/>
    <s v="{&quot;data_posted&quot;:null,&quot;description&quot;:null,&quot;photos&quot;:null,&quot;post_id&quot;:null,&quot;profile_id&quot;:null,&quot;profile_name&quot;:null,&quot;url&quot;:null,&quot;videos&quot;:null}"/>
    <n v="386"/>
    <n v="9.9221139757859293E-3"/>
    <d v="2024-12-15T00:00:00"/>
    <n v="0.71391203703703698"/>
    <x v="0"/>
    <x v="12"/>
    <x v="0"/>
    <x v="0"/>
    <x v="0"/>
    <x v="0"/>
    <n v="72"/>
    <x v="0"/>
  </r>
  <r>
    <n v="1.8683701221983644E+18"/>
    <s v="TNT███rts███"/>
    <s v="TNT███ort███R"/>
    <s v="MANCHESTER É VERMELHO! 🔴🔥 O City achou que estava com a vitória garantida, mas o United mostrou que é gigante e buscou a virada na casa do rival com dois gols no finalzinho! Crise para Pep Guardiola e festa do lado vermelho! #PremierLeague"/>
    <s v="&quot;2024-12-15T18:58:44.000Z&quot;"/>
    <s v="[&quot;https://pbs.twimg.com/media/Ge3IkOLWMAAtR8a.jpg&quot;,&quot;https://pbs.twimg.com/media/Ge3IlZiW4AElN6Y.jpg&quot;,&quot;https://pbs.twimg.com/media/Ge3Im6aWIAARuDq.jpg&quot;]"/>
    <s v="https://x.com/TNTSportsBR/status/1868370122198364508"/>
    <s v="null"/>
    <n v="6"/>
    <n v="3"/>
    <n v="151"/>
    <n v="16429"/>
    <s v=""/>
    <s v="[&quot;PremierLeague&quot;]"/>
    <n v="8293202"/>
    <s v="⚽️ É muito mais Champions na Max, com TODOS os jogos ao vivo!_x000a_👇🏻Assine e assista clicando no link👇🏻"/>
    <n v="456734"/>
    <s v="https://pbs.twimg.com/profile_images/1807013047975768065/8sm_IGpw_normal.jpg"/>
    <n v="859"/>
    <b v="0"/>
    <n v="2"/>
    <n v="1"/>
    <s v="{&quot;post_id&quot;:null,&quot;profile_id&quot;:null,&quot;profile_name&quot;:null}"/>
    <s v="null"/>
    <s v="null"/>
    <s v="{&quot;data_posted&quot;:null,&quot;description&quot;:null,&quot;photos&quot;:null,&quot;post_id&quot;:null,&quot;profile_id&quot;:null,&quot;profile_name&quot;:null,&quot;url&quot;:null,&quot;videos&quot;:null}"/>
    <n v="163"/>
    <n v="9.9214803092093247E-3"/>
    <d v="2024-12-15T00:00:00"/>
    <n v="0.79078703703703701"/>
    <x v="0"/>
    <x v="8"/>
    <x v="0"/>
    <x v="0"/>
    <x v="1"/>
    <x v="0"/>
    <n v="239"/>
    <x v="0"/>
  </r>
  <r>
    <n v="1.8668697418616586E+18"/>
    <s v="kann"/>
    <s v="כאן"/>
    <s v="כנרת בראשי נלחמת למען ראש הממשלה: ״אני מאוד גאה בקשר שלי איתו״_x000a_ _x000a_#דוח_רולניק מאחורי הקלעים של משפט נתניהו, הערב אחרי החדשות בכאן 11 ובכאן BOX"/>
    <s v="&quot;2024-12-11T15:36:45.000Z&quot;"/>
    <s v="null"/>
    <s v="https://x.com/kann/status/1866869741861658729"/>
    <s v="null"/>
    <n v="63"/>
    <n v="20"/>
    <n v="141"/>
    <n v="25423"/>
    <s v=""/>
    <s v="[&quot;דוח_רולניק&quot;]"/>
    <n v="182895"/>
    <s v="אנחנו כאן ❤️"/>
    <n v="30781"/>
    <s v="https://pbs.twimg.com/profile_images/1843516623740633088/WbeaAr02_normal.jpg"/>
    <n v="559"/>
    <b v="0"/>
    <n v="16"/>
    <n v="12"/>
    <s v="{&quot;post_id&quot;:null,&quot;profile_id&quot;:null,&quot;profile_name&quot;:null}"/>
    <s v="null"/>
    <s v="[{&quot;duration&quot;:138368,&quot;video_url&quot;:&quot;https://video.twimg.com/amplify_video/1866862892412190720/vid/avc1/1280x720/GCl19Y9xCmT1Pcmm.mp4?tag=14&quot;}]"/>
    <s v="{&quot;data_posted&quot;:null,&quot;description&quot;:null,&quot;photos&quot;:null,&quot;post_id&quot;:null,&quot;profile_id&quot;:null,&quot;profile_name&quot;:null,&quot;url&quot;:null,&quot;videos&quot;:null}"/>
    <n v="252"/>
    <n v="9.912284152145694E-3"/>
    <d v="2024-12-11T00:00:00"/>
    <n v="0.65052083333333333"/>
    <x v="4"/>
    <x v="13"/>
    <x v="1"/>
    <x v="1"/>
    <x v="1"/>
    <x v="0"/>
    <n v="141"/>
    <x v="2"/>
  </r>
  <r>
    <n v="1.8682134057498097E+18"/>
    <s v="Man███"/>
    <s v="Man███ste███nit███"/>
    <s v="IT’S DERBY DAY 🔵⚔️🔴_x000a__x000a_#MUFC || #MCIMUN"/>
    <s v="&quot;2024-12-15T08:36:00.000Z&quot;"/>
    <s v="null"/>
    <s v="https://x.com/ManUtd/status/1868213405749809562"/>
    <s v="null"/>
    <n v="460"/>
    <n v="1905"/>
    <n v="13652"/>
    <n v="1669790"/>
    <s v="https://store.manutd.com/en-gb/c/kit/authentic?t=y&amp;utm_source=twitter&amp;utm_medium=post&amp;utm_campaign=ecom&amp;utm_content=mancitymd"/>
    <s v="[&quot;MUFC&quot;,&quot;MCIMUN&quot;]"/>
    <n v="38439072"/>
    <s v="’Tis the season to gift United! 🎁🎄"/>
    <n v="92455"/>
    <s v="https://pbs.twimg.com/profile_images/1856418426496880640/iIvJaO5T_normal.png"/>
    <n v="145"/>
    <b v="0"/>
    <n v="397"/>
    <n v="67"/>
    <s v="{&quot;post_id&quot;:null,&quot;profile_id&quot;:null,&quot;profile_name&quot;:null}"/>
    <s v="null"/>
    <s v="null"/>
    <s v="{&quot;data_posted&quot;:null,&quot;description&quot;:null,&quot;photos&quot;:null,&quot;post_id&quot;:null,&quot;profile_id&quot;:null,&quot;profile_name&quot;:null,&quot;url&quot;:null,&quot;videos&quot;:null}"/>
    <n v="16481"/>
    <n v="9.8701034261793399E-3"/>
    <d v="2024-12-15T00:00:00"/>
    <n v="0.35833333333333334"/>
    <x v="0"/>
    <x v="6"/>
    <x v="0"/>
    <x v="1"/>
    <x v="1"/>
    <x v="0"/>
    <n v="37"/>
    <x v="1"/>
  </r>
  <r>
    <n v="1.8684006431587988E+18"/>
    <s v="Sup███ugb███"/>
    <s v="Sup███Rug███Pac██████"/>
    <s v=".@MoanaPasifika_  has entered the chat 🫡_x000a__x000a_Who will be #MoanaPasifika most impactful signing in 2025?_x000a__x000a_#SuperRugbyPacific"/>
    <s v="&quot;2024-12-15T21:00:01.000Z&quot;"/>
    <s v="[&quot;https://pbs.twimg.com/media/Gekz4x2aEAELcxR.jpg&quot;]"/>
    <s v="https://x.com/SuperRugby/status/1868400643158798786"/>
    <s v="[{&quot;biography&quot;:null,&quot;followers&quot;:null,&quot;following&quot;:null,&quot;is_verified&quot;:null,&quot;profile_id&quot;:&quot;1448120319512776705&quot;,&quot;profile_name&quot;:&quot;Moana Pasifika Rugby&quot;,&quot;url&quot;:&quot;https://x.com/MoanaPasifika_&quot;}]"/>
    <n v="4"/>
    <n v="3"/>
    <n v="34"/>
    <n v="4471"/>
    <s v=""/>
    <s v="[&quot;MoanaPasifika&quot;,&quot;SuperRugbyPacific&quot;]"/>
    <n v="305976"/>
    <s v="we love rugby"/>
    <n v="21543"/>
    <s v="https://pbs.twimg.com/profile_images/1806481029508784128/CPi7a54Z_normal.png"/>
    <n v="302"/>
    <b v="0"/>
    <n v="1"/>
    <n v="2"/>
    <s v="{&quot;post_id&quot;:null,&quot;profile_id&quot;:null,&quot;profile_name&quot;:null}"/>
    <s v="null"/>
    <s v="null"/>
    <s v="{&quot;data_posted&quot;:null,&quot;description&quot;:null,&quot;photos&quot;:null,&quot;post_id&quot;:null,&quot;profile_id&quot;:null,&quot;profile_name&quot;:null,&quot;url&quot;:null,&quot;videos&quot;:null}"/>
    <n v="44"/>
    <n v="9.8411988369492276E-3"/>
    <d v="2024-12-15T00:00:00"/>
    <n v="0.87501157407407404"/>
    <x v="0"/>
    <x v="10"/>
    <x v="0"/>
    <x v="0"/>
    <x v="1"/>
    <x v="0"/>
    <n v="120"/>
    <x v="2"/>
  </r>
  <r>
    <n v="1.8683557236561103E+18"/>
    <s v="Man███y"/>
    <s v="Man███ste███ity███"/>
    <s v="68. CITY SUB | Kova returns replacing KDB 🔄_x000a__x000a_🩵 1-0 🔴 #ManCity"/>
    <s v="&quot;2024-12-15T18:01:31.000Z&quot;"/>
    <s v="[&quot;https://pbs.twimg.com/media/Ge27kd_W4AAgjsF.jpg&quot;]"/>
    <s v="https://x.com/ManCity/status/1868355723656110263"/>
    <s v="null"/>
    <n v="80"/>
    <n v="79"/>
    <n v="737"/>
    <n v="93814"/>
    <s v=""/>
    <s v="[&quot;ManCity&quot;]"/>
    <n v="17891377"/>
    <s v="WATCH TOGETHER: 4-IN-A-ROW 🍿"/>
    <n v="168939"/>
    <s v="https://pbs.twimg.com/profile_images/1856263834400358400/RysToJDu_normal.png"/>
    <n v="47365"/>
    <b v="0"/>
    <n v="11"/>
    <n v="5"/>
    <s v="{&quot;post_id&quot;:null,&quot;profile_id&quot;:null,&quot;profile_name&quot;:null}"/>
    <s v="null"/>
    <s v="null"/>
    <s v="{&quot;data_posted&quot;:null,&quot;description&quot;:null,&quot;photos&quot;:null,&quot;post_id&quot;:null,&quot;profile_id&quot;:null,&quot;profile_name&quot;:null,&quot;url&quot;:null,&quot;videos&quot;:null}"/>
    <n v="912"/>
    <n v="9.7213635491504458E-3"/>
    <d v="2024-12-15T00:00:00"/>
    <n v="0.75105324074074076"/>
    <x v="0"/>
    <x v="8"/>
    <x v="0"/>
    <x v="0"/>
    <x v="1"/>
    <x v="0"/>
    <n v="61"/>
    <x v="1"/>
  </r>
  <r>
    <n v="1.8657652747268918E+18"/>
    <s v="Bro███ynN███"/>
    <s v="Bro███yn ███s"/>
    <s v="hustle personified 😤_x000a__x000a_keep an eye on @trendonw during this play"/>
    <s v="&quot;2024-12-08T14:28:00.000Z&quot;"/>
    <s v="null"/>
    <s v="https://x.com/BrooklynNets/status/1865765274726891854"/>
    <s v="[{&quot;biography&quot;:null,&quot;followers&quot;:null,&quot;following&quot;:null,&quot;is_verified&quot;:null,&quot;profile_id&quot;:&quot;2309475188&quot;,&quot;profile_name&quot;:&quot;Trendon Watford&quot;,&quot;url&quot;:&quot;https://x.com/trendonw&quot;}]"/>
    <n v="2"/>
    <n v="16"/>
    <n v="157"/>
    <n v="18516"/>
    <s v=""/>
    <s v="null"/>
    <n v="2035100"/>
    <s v="Tweets from #NetsWorld"/>
    <n v="106867"/>
    <s v="https://pbs.twimg.com/profile_images/1811024920870277122/1wQgAUZH_normal.jpg"/>
    <n v="411"/>
    <b v="0"/>
    <n v="3"/>
    <n v="2"/>
    <s v="{&quot;post_id&quot;:null,&quot;profile_id&quot;:null,&quot;profile_name&quot;:null}"/>
    <s v="null"/>
    <s v="[{&quot;duration&quot;:38336,&quot;video_url&quot;:&quot;https://video.twimg.com/ext_tw_video/1865507913692794880/pu/vid/avc1/720x720/3dLjhlpqUU3BKb8K.mp4?tag=12&quot;}]"/>
    <s v="{&quot;data_posted&quot;:null,&quot;description&quot;:null,&quot;photos&quot;:null,&quot;post_id&quot;:null,&quot;profile_id&quot;:null,&quot;profile_name&quot;:null,&quot;url&quot;:null,&quot;videos&quot;:null}"/>
    <n v="180"/>
    <n v="9.7213220998055728E-3"/>
    <d v="2024-12-08T00:00:00"/>
    <n v="0.60277777777777775"/>
    <x v="0"/>
    <x v="1"/>
    <x v="1"/>
    <x v="1"/>
    <x v="0"/>
    <x v="0"/>
    <n v="63"/>
    <x v="0"/>
  </r>
  <r>
    <n v="1.86837231942237E+18"/>
    <s v="WWE"/>
    <s v="WWE"/>
    <s v="In case you missed the return of #SNME last night, catch it now on @peacock! 👀_x000a__x000a_⤵️"/>
    <s v="&quot;2024-12-15T19:07:28.000Z&quot;"/>
    <s v="null"/>
    <s v="https://x.com/WWE/status/1868372319422370039"/>
    <s v="[{&quot;biography&quot;:null,&quot;followers&quot;:null,&quot;following&quot;:null,&quot;is_verified&quot;:null,&quot;profile_id&quot;:&quot;1171155332917321730&quot;,&quot;profile_name&quot;:&quot;Peacock&quot;,&quot;url&quot;:&quot;https://x.com/peacock&quot;}]"/>
    <n v="38"/>
    <n v="92"/>
    <n v="609"/>
    <n v="77980"/>
    <s v="http://ms.spr.ly/6012oTv12"/>
    <s v="[&quot;SNME&quot;]"/>
    <n v="14375934"/>
    <s v="WWE Raw | Mondays at 8/7c on USA Network _x000a_WWE NXT | Tuesdays at 8/7c on The CW _x000a_WWE SmackDown | Fridays at 8/7c on USA Network"/>
    <n v="346973"/>
    <s v="https://pbs.twimg.com/profile_images/1383079031805972485/3sWoMX-R_normal.jpg"/>
    <n v="392"/>
    <b v="0"/>
    <n v="3"/>
    <n v="16"/>
    <s v="{&quot;post_id&quot;:null,&quot;profile_id&quot;:null,&quot;profile_name&quot;:null}"/>
    <s v="[&quot;https://pbs.twimg.com/card_img/1868368878570549248/crFb71SL?format=jpg&amp;name=orig&quot;]"/>
    <s v="null"/>
    <s v="{&quot;data_posted&quot;:null,&quot;description&quot;:null,&quot;photos&quot;:null,&quot;post_id&quot;:null,&quot;profile_id&quot;:null,&quot;profile_name&quot;:null,&quot;url&quot;:null,&quot;videos&quot;:null}"/>
    <n v="758"/>
    <n v="9.7204411387535258E-3"/>
    <d v="2024-12-15T00:00:00"/>
    <n v="0.79685185185185181"/>
    <x v="0"/>
    <x v="4"/>
    <x v="0"/>
    <x v="1"/>
    <x v="1"/>
    <x v="0"/>
    <n v="82"/>
    <x v="1"/>
  </r>
  <r>
    <n v="1.8682199820035077E+18"/>
    <s v="BBL"/>
    <s v="KFC███g B███ Le██████"/>
    <s v="Coming to the cricket..._x000a__x000a_Dressed as crickets 😂 #BBL14"/>
    <s v="&quot;2024-12-15T09:02:08.000Z&quot;"/>
    <s v="[&quot;https://pbs.twimg.com/media/Ge1AETPaEAAMA6L.jpg&quot;]"/>
    <s v="https://x.com/BBL/status/1868219982003507658"/>
    <s v="null"/>
    <n v="15"/>
    <n v="21"/>
    <n v="764"/>
    <n v="84181"/>
    <s v=""/>
    <s v="[&quot;BBL14&quot;]"/>
    <n v="551402"/>
    <s v="🗓️ 15 Dec - 27 Jan_x000a_📲 Download the Big Bash App for #BBL14 _x000a_🎟️ Grab your tickets!"/>
    <n v="40407"/>
    <s v="https://pbs.twimg.com/profile_images/1670610412042334208/p_7jGcdv_normal.jpg"/>
    <n v="282"/>
    <b v="0"/>
    <n v="5"/>
    <n v="13"/>
    <s v="{&quot;post_id&quot;:null,&quot;profile_id&quot;:null,&quot;profile_name&quot;:null}"/>
    <s v="null"/>
    <s v="null"/>
    <s v="{&quot;data_posted&quot;:null,&quot;description&quot;:null,&quot;photos&quot;:null,&quot;post_id&quot;:null,&quot;profile_id&quot;:null,&quot;profile_name&quot;:null,&quot;url&quot;:null,&quot;videos&quot;:null}"/>
    <n v="818"/>
    <n v="9.7171570782005438E-3"/>
    <d v="2024-12-15T00:00:00"/>
    <n v="0.37648148148148147"/>
    <x v="0"/>
    <x v="18"/>
    <x v="0"/>
    <x v="0"/>
    <x v="1"/>
    <x v="0"/>
    <n v="54"/>
    <x v="2"/>
  </r>
  <r>
    <n v="1.8683860526347843E+18"/>
    <s v="bil███ard███"/>
    <s v="bil███ard███"/>
    <s v="Taylor Swift’s ‘The Tortured Poets Department’ Logs 17th Week at No. 1 on Billboard 200"/>
    <s v="&quot;2024-12-15T20:02:02.000Z&quot;"/>
    <s v="null"/>
    <s v="https://x.com/billboard/status/1868386052634784163"/>
    <s v="null"/>
    <n v="9"/>
    <n v="64"/>
    <n v="524"/>
    <n v="63114"/>
    <s v="https://www.billboard.com/music/chart-beat/taylor-swift-tortured-poets-department-17th-week-number-one-billboard-200-chart-1235857250/?taid=675f35ba474c59000133b642&amp;utm_campaign=trueanthem&amp;utm_medium=social&amp;utm_source=twitter"/>
    <s v="null"/>
    <n v="14257907"/>
    <s v="@billboardcharts • @billboardhiphop • @billboardlatin • @billboardfamily • @billboardpro • @shopbillboard • @billboarddance • @billboardpride"/>
    <n v="357584"/>
    <s v="https://pbs.twimg.com/profile_images/1696577202496966657/FhNkxqHF_normal.jpg"/>
    <n v="3784"/>
    <b v="0"/>
    <n v="6"/>
    <n v="9"/>
    <s v="{&quot;post_id&quot;:null,&quot;profile_id&quot;:null,&quot;profile_name&quot;:null}"/>
    <s v="[&quot;https://pbs.twimg.com/card_img/1868069417310994432/YvDeRYWS?format=jpg&amp;name=orig&quot;]"/>
    <s v="null"/>
    <s v="{&quot;data_posted&quot;:null,&quot;description&quot;:null,&quot;photos&quot;:null,&quot;post_id&quot;:null,&quot;profile_id&quot;:null,&quot;profile_name&quot;:null,&quot;url&quot;:null,&quot;videos&quot;:null}"/>
    <n v="612"/>
    <n v="9.6967392337674683E-3"/>
    <d v="2024-12-15T00:00:00"/>
    <n v="0.83474537037037033"/>
    <x v="0"/>
    <x v="3"/>
    <x v="0"/>
    <x v="1"/>
    <x v="0"/>
    <x v="0"/>
    <n v="87"/>
    <x v="1"/>
  </r>
  <r>
    <n v="1.8681047791524252E+18"/>
    <s v="tvg███o"/>
    <s v="TV ███bo ███"/>
    <s v="GENTE DO CÉUU 😱 A FILIPA TÁ GRAVIDA DO RUDÁ #ManiaDeVocê"/>
    <s v="&quot;2024-12-15T01:24:21.000Z&quot;"/>
    <s v="null"/>
    <s v="https://x.com/tvglobo/status/1868104779152425304"/>
    <s v="null"/>
    <n v="14"/>
    <n v="14"/>
    <n v="126"/>
    <n v="18466"/>
    <s v=""/>
    <s v="[&quot;ManiaDeVocê&quot;]"/>
    <n v="13492430"/>
    <s v="oi, eu sou a Glô 😜"/>
    <n v="314515"/>
    <s v="https://pbs.twimg.com/profile_images/1863599216829792256/r5M1uKA8_normal.jpg"/>
    <n v="708"/>
    <b v="0"/>
    <n v="8"/>
    <n v="17"/>
    <s v="{&quot;post_id&quot;:null,&quot;profile_id&quot;:null,&quot;profile_name&quot;:null}"/>
    <s v="null"/>
    <s v="[{&quot;duration&quot;:31500,&quot;video_url&quot;:&quot;https://video.twimg.com/amplify_video/1868104591532834816/vid/avc1/1920x1080/zG3KcEagEoTizG_i.mp4?tag=16&quot;}]"/>
    <s v="{&quot;data_posted&quot;:null,&quot;description&quot;:null,&quot;photos&quot;:null,&quot;post_id&quot;:null,&quot;profile_id&quot;:null,&quot;profile_name&quot;:null,&quot;url&quot;:null,&quot;videos&quot;:null}"/>
    <n v="179"/>
    <n v="9.6934907397378967E-3"/>
    <d v="2024-12-15T00:00:00"/>
    <n v="5.8576388888888886E-2"/>
    <x v="0"/>
    <x v="19"/>
    <x v="1"/>
    <x v="1"/>
    <x v="1"/>
    <x v="0"/>
    <n v="56"/>
    <x v="1"/>
  </r>
  <r>
    <n v="1.8683599835674422E+18"/>
    <s v="Man███y"/>
    <s v="Man███ste███ity███"/>
    <s v="Into the final stages ⏱️_x000a__x000a_🩵 1-0 🔴 #ManCity"/>
    <s v="&quot;2024-12-15T18:18:27.000Z&quot;"/>
    <s v="[&quot;https://pbs.twimg.com/media/Ge2_cdzXcAAchun.jpg&quot;]"/>
    <s v="https://x.com/ManCity/status/1868359983567442165"/>
    <s v="null"/>
    <n v="74"/>
    <n v="78"/>
    <n v="964"/>
    <n v="117033"/>
    <s v=""/>
    <s v="[&quot;ManCity&quot;]"/>
    <n v="17891377"/>
    <s v="WATCH TOGETHER: 4-IN-A-ROW 🍿"/>
    <n v="168939"/>
    <s v="https://pbs.twimg.com/profile_images/1856263834400358400/RysToJDu_normal.png"/>
    <n v="47365"/>
    <b v="0"/>
    <n v="5"/>
    <n v="13"/>
    <s v="{&quot;post_id&quot;:null,&quot;profile_id&quot;:null,&quot;profile_name&quot;:null}"/>
    <s v="null"/>
    <s v="null"/>
    <s v="{&quot;data_posted&quot;:null,&quot;description&quot;:null,&quot;photos&quot;:null,&quot;post_id&quot;:null,&quot;profile_id&quot;:null,&quot;profile_name&quot;:null,&quot;url&quot;:null,&quot;videos&quot;:null}"/>
    <n v="1134"/>
    <n v="9.6895747353310611E-3"/>
    <d v="2024-12-15T00:00:00"/>
    <n v="0.7628125"/>
    <x v="0"/>
    <x v="8"/>
    <x v="0"/>
    <x v="0"/>
    <x v="1"/>
    <x v="0"/>
    <n v="42"/>
    <x v="1"/>
  </r>
  <r>
    <n v="1.8681798831234217E+18"/>
    <s v="ufc"/>
    <s v="UFC"/>
    <s v="SIX in a row for @NewMansa94 👏_x000a__x000a_#UFCTampa"/>
    <s v="&quot;2024-12-15T06:22:47.000Z&quot;"/>
    <s v="null"/>
    <s v="https://x.com/ufc/status/1868179883123421600"/>
    <s v="[{&quot;biography&quot;:null,&quot;followers&quot;:null,&quot;following&quot;:null,&quot;is_verified&quot;:null,&quot;profile_id&quot;:&quot;922938072836313089&quot;,&quot;profile_name&quot;:&quot;Joaquin New Mansa Buckley&quot;,&quot;url&quot;:&quot;https://x.com/Newmansa94&quot;}]"/>
    <n v="566"/>
    <n v="643"/>
    <n v="12983"/>
    <n v="1521807"/>
    <s v=""/>
    <s v="[&quot;UFCTampa&quot;]"/>
    <n v="12876593"/>
    <s v="#UFCTampa | Covington vs Buckley | December 14 | 10pmET | LIVE on @ESPNPlus"/>
    <n v="141401"/>
    <s v="https://pbs.twimg.com/profile_images/1835773190385328128/4fVrF1UI_normal.jpg"/>
    <n v="717"/>
    <b v="0"/>
    <n v="184"/>
    <n v="341"/>
    <s v="{&quot;post_id&quot;:null,&quot;profile_id&quot;:null,&quot;profile_name&quot;:null}"/>
    <s v="null"/>
    <s v="[{&quot;duration&quot;:22315,&quot;video_url&quot;:&quot;https://video.twimg.com/ext_tw_video/1868179830379802624/pu/vid/avc1/720x720/BESZz9yvoD7vFD62.mp4?tag=12&quot;}]"/>
    <s v="{&quot;data_posted&quot;:null,&quot;description&quot;:null,&quot;photos&quot;:null,&quot;post_id&quot;:null,&quot;profile_id&quot;:null,&quot;profile_name&quot;:null,&quot;url&quot;:null,&quot;videos&quot;:null}"/>
    <n v="14717"/>
    <n v="9.6707401135623632E-3"/>
    <d v="2024-12-15T00:00:00"/>
    <n v="0.26582175925925927"/>
    <x v="0"/>
    <x v="23"/>
    <x v="1"/>
    <x v="1"/>
    <x v="1"/>
    <x v="0"/>
    <n v="41"/>
    <x v="1"/>
  </r>
  <r>
    <n v="1.8683404934045453E+18"/>
    <s v="CPFC"/>
    <s v="Cry███l P███ce ██████"/>
    <s v="When you book tunnel club tickets and see JP after full-time 😅_x000a__x000a_#CPFC // #BHACRY"/>
    <s v="&quot;2024-12-15T17:01:00.000Z&quot;"/>
    <s v="null"/>
    <s v="https://x.com/CPFC/status/1868340493404545316"/>
    <s v="null"/>
    <n v="18"/>
    <n v="139"/>
    <n v="1363"/>
    <n v="169117"/>
    <s v=""/>
    <s v="[&quot;CPFC&quot;,&quot;BHACRY&quot;]"/>
    <n v="1480966"/>
    <s v="The Pride of South London."/>
    <n v="103753"/>
    <s v="https://pbs.twimg.com/profile_images/1857393032883994624/qN-MGWEH_normal.jpg"/>
    <n v="552"/>
    <b v="0"/>
    <n v="51"/>
    <n v="63"/>
    <s v="{&quot;post_id&quot;:null,&quot;profile_id&quot;:null,&quot;profile_name&quot;:null}"/>
    <s v="null"/>
    <s v="[{&quot;duration&quot;:12466,&quot;video_url&quot;:&quot;https://video.twimg.com/ext_tw_video/1868330360611766272/pu/vid/avc1/720x1280/a2YwrHJd9nuz8y62.mp4?tag=12&quot;}]"/>
    <s v="{&quot;data_posted&quot;:null,&quot;description&quot;:null,&quot;photos&quot;:null,&quot;post_id&quot;:null,&quot;profile_id&quot;:null,&quot;profile_name&quot;:null,&quot;url&quot;:null,&quot;videos&quot;:null}"/>
    <n v="1634"/>
    <n v="9.6619500109391722E-3"/>
    <d v="2024-12-15T00:00:00"/>
    <n v="0.70902777777777781"/>
    <x v="0"/>
    <x v="12"/>
    <x v="1"/>
    <x v="1"/>
    <x v="1"/>
    <x v="0"/>
    <n v="80"/>
    <x v="0"/>
  </r>
  <r>
    <n v="1.8683860435292247E+18"/>
    <s v="Bar███ysW███"/>
    <s v="Bar███ys ███en'█████████eag███"/>
    <s v="What a performance from Sara Holmgaard today!_x000a__x000a_#BarclaysWSL @EvertonWomen"/>
    <s v="&quot;2024-12-15T20:02:00.000Z&quot;"/>
    <s v="null"/>
    <s v="https://x.com/BarclaysWSL/status/1868386043529224600"/>
    <s v="[{&quot;biography&quot;:null,&quot;followers&quot;:null,&quot;following&quot;:null,&quot;is_verified&quot;:null,&quot;profile_id&quot;:&quot;485857070&quot;,&quot;profile_name&quot;:&quot;Everton Women&quot;,&quot;url&quot;:&quot;https://x.com/EvertonWomen&quot;}]"/>
    <n v="1"/>
    <n v="3"/>
    <n v="75"/>
    <n v="8622"/>
    <s v=""/>
    <s v="[&quot;BarclaysWSL&quot;]"/>
    <n v="337839"/>
    <s v="The home of top-flight women's football in England! 🤩_x000a__x000a_Subscribe to our brand-new BWSL YouTube Channel! 📺 #BarclaysWSL"/>
    <n v="57638"/>
    <s v="https://pbs.twimg.com/profile_images/1605171595160555521/NKG9mgxv_normal.jpg"/>
    <n v="587"/>
    <b v="0"/>
    <n v="1"/>
    <n v="3"/>
    <s v="{&quot;post_id&quot;:null,&quot;profile_id&quot;:null,&quot;profile_name&quot;:null}"/>
    <s v="null"/>
    <s v="[{&quot;duration&quot;:6988,&quot;video_url&quot;:&quot;https://video.twimg.com/amplify_video/1868325257079050240/vid/avc1/1080x1920/CSDZ17hiSp3pQaOt.mp4?tag=16&quot;}]"/>
    <s v="{&quot;data_posted&quot;:null,&quot;description&quot;:null,&quot;photos&quot;:null,&quot;post_id&quot;:null,&quot;profile_id&quot;:null,&quot;profile_name&quot;:null,&quot;url&quot;:null,&quot;videos&quot;:null}"/>
    <n v="83"/>
    <n v="9.6265367664115052E-3"/>
    <d v="2024-12-15T00:00:00"/>
    <n v="0.83472222222222225"/>
    <x v="0"/>
    <x v="3"/>
    <x v="1"/>
    <x v="1"/>
    <x v="1"/>
    <x v="0"/>
    <n v="73"/>
    <x v="2"/>
  </r>
  <r>
    <n v="1.8682252338341274E+18"/>
    <s v="F1"/>
    <s v="For███a 1███"/>
    <s v="From breakthrough victories to jaw-dropping comebacks 💪_x000a__x000a_Lewis Hamilton's top 10 greatest moments for @MercedesAMGF1 👇_x000a__x000a_#F1"/>
    <s v="&quot;2024-12-15T09:23:00.000Z&quot;"/>
    <s v="null"/>
    <s v="https://x.com/F1/status/1868225233834127405"/>
    <s v="[{&quot;biography&quot;:null,&quot;followers&quot;:null,&quot;following&quot;:null,&quot;is_verified&quot;:null,&quot;profile_id&quot;:&quot;26235265&quot;,&quot;profile_name&quot;:&quot;Mercedes-AMG PETRONAS F1 Team&quot;,&quot;url&quot;:&quot;https://x.com/MercedesAMGF1&quot;}]"/>
    <n v="42"/>
    <n v="156"/>
    <n v="1924"/>
    <n v="228168"/>
    <s v="https://f1.com/Hamilton_Mercedes_Best_Moments"/>
    <s v="[&quot;F1&quot;]"/>
    <n v="10795896"/>
    <s v="The home of risk takers, late brakers and history makers 💫"/>
    <n v="95508"/>
    <s v="https://pbs.twimg.com/profile_images/1612433922733887489/7f5XFklA_normal.jpg"/>
    <n v="98"/>
    <b v="0"/>
    <n v="5"/>
    <n v="69"/>
    <s v="{&quot;post_id&quot;:null,&quot;profile_id&quot;:null,&quot;profile_name&quot;:null}"/>
    <s v="[&quot;https://pbs.twimg.com/card_img/1867601658600931328/fXdzgMCI?format=jpg&amp;name=orig&quot;]"/>
    <s v="null"/>
    <s v="{&quot;data_posted&quot;:null,&quot;description&quot;:null,&quot;photos&quot;:null,&quot;post_id&quot;:null,&quot;profile_id&quot;:null,&quot;profile_name&quot;:null,&quot;url&quot;:null,&quot;videos&quot;:null}"/>
    <n v="2196"/>
    <n v="9.6244872199432001E-3"/>
    <d v="2024-12-15T00:00:00"/>
    <n v="0.39097222222222222"/>
    <x v="0"/>
    <x v="18"/>
    <x v="0"/>
    <x v="1"/>
    <x v="1"/>
    <x v="0"/>
    <n v="123"/>
    <x v="1"/>
  </r>
  <r>
    <n v="1.8683711957221583E+18"/>
    <s v="ufc"/>
    <s v="UFC"/>
    <s v="Last night @Newmansa94 grabbed his 6th win in a row🔥_x000a__x000a_Big things coming for Joaquin Buckley in 2025! #UFCTampa"/>
    <s v="&quot;2024-12-15T19:03:00.000Z&quot;"/>
    <s v="[&quot;https://pbs.twimg.com/media/Ge0kFFua4AA1qpx.jpg&quot;,&quot;https://pbs.twimg.com/media/Ge0kFFubUAAoQz0.jpg&quot;,&quot;https://pbs.twimg.com/media/Ge0kFFtawAAK8fS.jpg&quot;,&quot;https://pbs.twimg.com/media/Ge0kFe8a0AA6Tw2.jpg&quot;]"/>
    <s v="https://x.com/ufc/status/1868371195722158288"/>
    <s v="[{&quot;biography&quot;:null,&quot;followers&quot;:null,&quot;following&quot;:null,&quot;is_verified&quot;:null,&quot;profile_id&quot;:&quot;922938072836313089&quot;,&quot;profile_name&quot;:&quot;Joaquin New Mansa Buckley&quot;,&quot;url&quot;:&quot;https://x.com/Newmansa94&quot;}]"/>
    <n v="43"/>
    <n v="52"/>
    <n v="803"/>
    <n v="95255"/>
    <s v=""/>
    <s v="[&quot;UFCTampa&quot;]"/>
    <n v="12876593"/>
    <s v="#UFCTampa | Covington vs Buckley | December 14 | 10pmET | LIVE on @ESPNPlus"/>
    <n v="141401"/>
    <s v="https://pbs.twimg.com/profile_images/1835773190385328128/4fVrF1UI_normal.jpg"/>
    <n v="717"/>
    <b v="0"/>
    <n v="5"/>
    <n v="11"/>
    <s v="{&quot;post_id&quot;:null,&quot;profile_id&quot;:null,&quot;profile_name&quot;:null}"/>
    <s v="null"/>
    <s v="null"/>
    <s v="{&quot;data_posted&quot;:null,&quot;description&quot;:null,&quot;photos&quot;:null,&quot;post_id&quot;:null,&quot;profile_id&quot;:null,&quot;profile_name&quot;:null,&quot;url&quot;:null,&quot;videos&quot;:null}"/>
    <n v="914"/>
    <n v="9.5952968348118201E-3"/>
    <d v="2024-12-15T00:00:00"/>
    <n v="0.79374999999999996"/>
    <x v="0"/>
    <x v="4"/>
    <x v="0"/>
    <x v="0"/>
    <x v="1"/>
    <x v="0"/>
    <n v="110"/>
    <x v="1"/>
  </r>
  <r>
    <n v="1.8683357202820672E+18"/>
    <s v="nyp███"/>
    <s v="New███rk ███t"/>
    <s v="Feds to deploy high-tech system to NY as drone swarms have experts baffled"/>
    <s v="&quot;2024-12-15T16:42:02.000Z&quot;"/>
    <s v="[&quot;https://pbs.twimg.com/media/Ge2pb5bWYAAiLKR.jpg&quot;]"/>
    <s v="https://x.com/nypost/status/1868335720282067089"/>
    <s v="null"/>
    <n v="87"/>
    <n v="89"/>
    <n v="242"/>
    <n v="48141"/>
    <s v="https://trib.al/pFgPJVJ"/>
    <s v="null"/>
    <n v="3313889"/>
    <s v="Breaking news &amp; features from The New York Post. Follow your favorite sections: @pagesix, @nypmetro, @nypostbiz, @nypostsports, @nypfashion, @nypostopinion"/>
    <n v="706459"/>
    <s v="https://pbs.twimg.com/profile_images/966372680306868224/60wfGe9e_normal.jpg"/>
    <n v="10308"/>
    <b v="0"/>
    <n v="19"/>
    <n v="23"/>
    <s v="{&quot;post_id&quot;:null,&quot;profile_id&quot;:null,&quot;profile_name&quot;:null}"/>
    <s v="null"/>
    <s v="null"/>
    <s v="{&quot;data_posted&quot;:null,&quot;description&quot;:null,&quot;photos&quot;:null,&quot;post_id&quot;:null,&quot;profile_id&quot;:null,&quot;profile_name&quot;:null,&quot;url&quot;:null,&quot;videos&quot;:null}"/>
    <n v="460"/>
    <n v="9.5552647431503285E-3"/>
    <d v="2024-12-15T00:00:00"/>
    <n v="0.69585648148148149"/>
    <x v="0"/>
    <x v="15"/>
    <x v="0"/>
    <x v="0"/>
    <x v="0"/>
    <x v="0"/>
    <n v="74"/>
    <x v="0"/>
  </r>
  <r>
    <n v="1.8682194526823096E+18"/>
    <s v="Ran███sFC███"/>
    <s v="Ran███s F███bal█████████"/>
    <s v="👊IT'S MATCHDAY! 👊_x000a__x000a_🆚 Celtic_x000a_🏆 Premier Sports Cup Final_x000a_🏟️ Hampden Park_x000a_⏰ 15:30 (UK)_x000a_🇬🇧 Live on Premier Sports (UK)_x000a_🌎 Live on RangersTV (exc UK)_x000a__x000a_Come on #RangersFC 💙"/>
    <s v="&quot;2024-12-15T09:00:02.000Z&quot;"/>
    <s v="[&quot;https://pbs.twimg.com/media/Gex5Pf1XQAAYgGn.jpg&quot;]"/>
    <s v="https://x.com/RangersFC/status/1868219452682309649"/>
    <s v="null"/>
    <n v="94"/>
    <n v="195"/>
    <n v="1961"/>
    <n v="240781"/>
    <s v=""/>
    <s v="[&quot;RangersFC&quot;]"/>
    <n v="812163"/>
    <s v="The Home of #RangersFC 💙"/>
    <n v="110924"/>
    <s v="https://pbs.twimg.com/profile_images/1856633703734112256/PBlqGEwC_normal.jpg"/>
    <n v="322"/>
    <b v="0"/>
    <n v="43"/>
    <n v="4"/>
    <s v="{&quot;post_id&quot;:null,&quot;profile_id&quot;:null,&quot;profile_name&quot;:null}"/>
    <s v="null"/>
    <s v="null"/>
    <s v="{&quot;data_posted&quot;:null,&quot;description&quot;:null,&quot;photos&quot;:null,&quot;post_id&quot;:null,&quot;profile_id&quot;:null,&quot;profile_name&quot;:null,&quot;url&quot;:null,&quot;videos&quot;:null}"/>
    <n v="2297"/>
    <n v="9.5397892690868465E-3"/>
    <d v="2024-12-15T00:00:00"/>
    <n v="0.37502314814814813"/>
    <x v="0"/>
    <x v="18"/>
    <x v="0"/>
    <x v="0"/>
    <x v="1"/>
    <x v="0"/>
    <n v="165"/>
    <x v="2"/>
  </r>
  <r>
    <n v="1.8681884150844255E+18"/>
    <s v="ufc"/>
    <s v="UFC"/>
    <s v="This shouldn't come as a surprise!_x000a__x000a_@CubSwanson &amp;amp; @BillyQMMA are taking home tonight's FOTN! 💰_x000a__x000a_[ #UFCTampa | B2YB @ToyoTires ]"/>
    <s v="&quot;2024-12-15T06:56:42.000Z&quot;"/>
    <s v="[&quot;https://pbs.twimg.com/media/Ge0jRytXsAA4t3D.jpg&quot;]"/>
    <s v="https://x.com/ufc/status/1868188415084425346"/>
    <s v="[{&quot;biography&quot;:null,&quot;followers&quot;:null,&quot;following&quot;:null,&quot;is_verified&quot;:null,&quot;profile_id&quot;:&quot;30506859&quot;,&quot;profile_name&quot;:&quot;Cub Swanson&quot;,&quot;url&quot;:&quot;https://x.com/CubSwanson&quot;},{&quot;biography&quot;:null,&quot;followers&quot;:null,&quot;following&quot;:null,&quot;is_verified&quot;:null,&quot;profile_id&quot;:&quot;546140410&quot;,&quot;profile_name&quot;:&quot;Billy Quarantillo&quot;,&quot;url&quot;:&quot;https://x.com/BillyQMMA&quot;},{&quot;biography&quot;:null,&quot;followers&quot;:null,&quot;following&quot;:null,&quot;is_verified&quot;:null,&quot;profile_id&quot;:&quot;16630696&quot;,&quot;profile_name&quot;:&quot;Toyo Tires&quot;,&quot;url&quot;:&quot;https://x.com/ToyoTires&quot;}]"/>
    <n v="42"/>
    <n v="81"/>
    <n v="1341"/>
    <n v="156329"/>
    <s v=""/>
    <s v="[&quot;UFCTampa&quot;]"/>
    <n v="12876593"/>
    <s v="#UFCTampa | Covington vs Buckley | December 14 | 10pmET | LIVE on @ESPNPlus"/>
    <n v="141401"/>
    <s v="https://pbs.twimg.com/profile_images/1835773190385328128/4fVrF1UI_normal.jpg"/>
    <n v="717"/>
    <b v="0"/>
    <n v="11"/>
    <n v="16"/>
    <s v="{&quot;post_id&quot;:null,&quot;profile_id&quot;:null,&quot;profile_name&quot;:null}"/>
    <s v="null"/>
    <s v="null"/>
    <s v="{&quot;data_posted&quot;:null,&quot;description&quot;:null,&quot;photos&quot;:null,&quot;post_id&quot;:null,&quot;profile_id&quot;:null,&quot;profile_name&quot;:null,&quot;url&quot;:null,&quot;videos&quot;:null}"/>
    <n v="1491"/>
    <n v="9.537577800663985E-3"/>
    <d v="2024-12-15T00:00:00"/>
    <n v="0.28937499999999999"/>
    <x v="0"/>
    <x v="23"/>
    <x v="0"/>
    <x v="0"/>
    <x v="1"/>
    <x v="0"/>
    <n v="131"/>
    <x v="1"/>
  </r>
  <r>
    <n v="1.8683586080036787E+18"/>
    <s v="Man███"/>
    <s v="Man███ste███nit███"/>
    <s v="🔄 Ruben shuffles his pack as we enter the closing stages._x000a__x000a_#MUFC || #MCIMUN"/>
    <s v="&quot;2024-12-15T18:12:59.000Z&quot;"/>
    <s v="[&quot;https://pbs.twimg.com/media/Ge2-ImoXYAAfuLI.jpg&quot;]"/>
    <s v="https://x.com/ManUtd/status/1868358608003678594"/>
    <s v="null"/>
    <n v="186"/>
    <n v="152"/>
    <n v="1631"/>
    <n v="208868"/>
    <s v=""/>
    <s v="[&quot;MUFC&quot;,&quot;MCIMUN&quot;]"/>
    <n v="38439094"/>
    <s v="’Tis the season to gift United! 🎁🎄"/>
    <n v="92455"/>
    <s v="https://pbs.twimg.com/profile_images/1856418426496880640/iIvJaO5T_normal.png"/>
    <n v="145"/>
    <b v="0"/>
    <n v="13"/>
    <n v="7"/>
    <s v="{&quot;post_id&quot;:null,&quot;profile_id&quot;:null,&quot;profile_name&quot;:null}"/>
    <s v="null"/>
    <s v="null"/>
    <s v="{&quot;data_posted&quot;:null,&quot;description&quot;:null,&quot;photos&quot;:null,&quot;post_id&quot;:null,&quot;profile_id&quot;:null,&quot;profile_name&quot;:null,&quot;url&quot;:null,&quot;videos&quot;:null}"/>
    <n v="1989"/>
    <n v="9.5227607867169693E-3"/>
    <d v="2024-12-15T00:00:00"/>
    <n v="0.75901620370370371"/>
    <x v="0"/>
    <x v="8"/>
    <x v="0"/>
    <x v="0"/>
    <x v="1"/>
    <x v="0"/>
    <n v="75"/>
    <x v="1"/>
  </r>
  <r>
    <n v="1.8682849232718523E+18"/>
    <s v="Bar███ysW███"/>
    <s v="Bar███ys ███en'█████████eag███"/>
    <s v="HT: The home side lead at the break!_x000a__x000a_#BarclaysWSL"/>
    <s v="&quot;2024-12-15T13:20:11.000Z&quot;"/>
    <s v="[&quot;https://pbs.twimg.com/media/Ge17JH2W4AAnGHi.jpg&quot;]"/>
    <s v="https://x.com/BarclaysWSL/status/1868284923271852257"/>
    <s v="null"/>
    <n v="4"/>
    <n v="5"/>
    <n v="91"/>
    <n v="11451"/>
    <s v=""/>
    <s v="[&quot;BarclaysWSL&quot;]"/>
    <n v="337839"/>
    <s v="The home of top-flight women's football in England! 🤩_x000a__x000a_Subscribe to our brand-new BWSL YouTube Channel! 📺 #BarclaysWSL"/>
    <n v="57638"/>
    <s v="https://pbs.twimg.com/profile_images/1605171595160555521/NKG9mgxv_normal.jpg"/>
    <n v="587"/>
    <b v="0"/>
    <n v="6"/>
    <n v="3"/>
    <s v="{&quot;post_id&quot;:&quot;1868272685903671474&quot;,&quot;profile_id&quot;:&quot;273665871&quot;,&quot;profile_name&quot;:&quot;BarclaysWSL&quot;}"/>
    <s v="null"/>
    <s v="null"/>
    <s v="{&quot;data_posted&quot;:null,&quot;description&quot;:null,&quot;photos&quot;:null,&quot;post_id&quot;:null,&quot;profile_id&quot;:null,&quot;profile_name&quot;:null,&quot;url&quot;:null,&quot;videos&quot;:null}"/>
    <n v="109"/>
    <n v="9.5188193170902113E-3"/>
    <d v="2024-12-15T00:00:00"/>
    <n v="0.55568287037037034"/>
    <x v="0"/>
    <x v="14"/>
    <x v="0"/>
    <x v="0"/>
    <x v="1"/>
    <x v="0"/>
    <n v="50"/>
    <x v="2"/>
  </r>
  <r>
    <n v="1.8682420959848371E+18"/>
    <s v="Bar███ysW███"/>
    <s v="Bar███ys ███en'█████████eag███"/>
    <s v="Brilliant play from @LCFC_Women 👊_x000a__x000a_@MissyGoodwin_4 with a fantastic composed finish! _x000a__x000a_#BarclaysWSL"/>
    <s v="&quot;2024-12-15T10:30:00.000Z&quot;"/>
    <s v="null"/>
    <s v="https://x.com/BarclaysWSL/status/1868242095984837066"/>
    <s v="[{&quot;biography&quot;:null,&quot;followers&quot;:null,&quot;following&quot;:null,&quot;is_verified&quot;:null,&quot;profile_id&quot;:&quot;424118576&quot;,&quot;profile_name&quot;:&quot;LCFC Women&quot;,&quot;url&quot;:&quot;https://x.com/LCFC_Women&quot;},{&quot;biography&quot;:null,&quot;followers&quot;:null,&quot;following&quot;:null,&quot;is_verified&quot;:null,&quot;profile_id&quot;:&quot;852468170011152384&quot;,&quot;profile_name&quot;:&quot;Missy Goodwin&quot;,&quot;url&quot;:&quot;https://x.com/MissyGoodwin_4&quot;}]"/>
    <n v="1"/>
    <n v="5"/>
    <n v="84"/>
    <n v="9985"/>
    <s v=""/>
    <s v="[&quot;BarclaysWSL&quot;]"/>
    <n v="337840"/>
    <s v="The home of top-flight women's football in England! 🤩_x000a__x000a_Subscribe to our brand-new BWSL YouTube Channel! 📺 #BarclaysWSL"/>
    <n v="57638"/>
    <s v="https://pbs.twimg.com/profile_images/1605171595160555521/NKG9mgxv_normal.jpg"/>
    <n v="587"/>
    <b v="0"/>
    <n v="2"/>
    <n v="3"/>
    <s v="{&quot;post_id&quot;:null,&quot;profile_id&quot;:null,&quot;profile_name&quot;:null}"/>
    <s v="null"/>
    <s v="[{&quot;duration&quot;:32400,&quot;video_url&quot;:&quot;https://video.twimg.com/ext_tw_video/1868003907353419776/pu/vid/avc1/720x900/hG1Kt7xnMd02Qlbz.mp4?tag=12&quot;}]"/>
    <s v="{&quot;data_posted&quot;:null,&quot;description&quot;:null,&quot;photos&quot;:null,&quot;post_id&quot;:null,&quot;profile_id&quot;:null,&quot;profile_name&quot;:null,&quot;url&quot;:null,&quot;videos&quot;:null}"/>
    <n v="95"/>
    <n v="9.5142714071106659E-3"/>
    <d v="2024-12-15T00:00:00"/>
    <n v="0.4375"/>
    <x v="0"/>
    <x v="17"/>
    <x v="1"/>
    <x v="1"/>
    <x v="1"/>
    <x v="0"/>
    <n v="99"/>
    <x v="2"/>
  </r>
  <r>
    <n v="1.8683152095735112E+18"/>
    <s v="Cha███ons███"/>
    <s v="Inv███ec ███mpi█████████"/>
    <s v="3x winners take on URC champs 🤩_x000a__x000a_Watch @RCTofficiel v @GlasgowWarriors live on @beinsports_FR, @PremSportsTV, @francetvsport &amp;amp; @FloRugby 📺_x000a__x000a_Or follow the #InvestecChampionsCup action here ➡️"/>
    <s v="&quot;2024-12-15T15:20:32.000Z&quot;"/>
    <s v="null"/>
    <s v="https://x.com/ChampionsCup/status/1868315209573511182"/>
    <s v="[{&quot;biography&quot;:null,&quot;followers&quot;:null,&quot;following&quot;:null,&quot;is_verified&quot;:null,&quot;profile_id&quot;:&quot;377915688&quot;,&quot;profile_name&quot;:&quot;RCT - RC Toulon&quot;,&quot;url&quot;:&quot;https://x.com/RCTofficiel&quot;},{&quot;biography&quot;:null,&quot;followers&quot;:null,&quot;following&quot;:null,&quot;is_verified&quot;:null,&quot;profile_id&quot;:&quot;54198070&quot;,&quot;profile_name&quot;:&quot;Glasgow Warriors&quot;,&quot;url&quot;:&quot;https://x.com/GlasgowWarriors&quot;},{&quot;biography&quot;:null,&quot;followers&quot;:null,&quot;following&quot;:null,&quot;is_verified&quot;:null,&quot;profile_id&quot;:&quot;569138069&quot;,&quot;profile_name&quot;:&quot;beIN SPORTS&quot;,&quot;url&quot;:&quot;https://x.com/beinsports_FR&quot;},{&quot;biography&quot;:null,&quot;followers&quot;:null,&quot;following&quot;:null,&quot;is_verified&quot;:null,&quot;profile_id&quot;:&quot;159582357&quot;,&quot;profile_name&quot;:&quot;Premier Sports&quot;,&quot;url&quot;:&quot;https://x.com/PremSportsTV&quot;},{&quot;biography&quot;:null,&quot;followers&quot;:null,&quot;following&quot;:null,&quot;is_verified&quot;:null,&quot;profile_id&quot;:&quot;140062928&quot;,&quot;profile_name&quot;:&quot;francetvsport&quot;,&quot;url&quot;:&quot;https://x.com/francetvsport&quot;},{&quot;biography&quot;:null,&quot;followers&quot;:null,&quot;following&quot;:null,&quot;is_verified&quot;:null,&quot;profile_id&quot;:&quot;747828622023503872&quot;,&quot;profile_name&quot;:&quot;FloRugby&quot;,&quot;url&quot;:&quot;https://x.com/FloRugby&quot;}]"/>
    <n v="5"/>
    <n v="5"/>
    <n v="49"/>
    <n v="6321"/>
    <s v="https://www.epcrugby.com/champions-cup/content/investec-champions-cup-live-round-2-matchday-3?utm_source=Social&amp;utm_medium=Organic&amp;utm_campaign="/>
    <s v="[&quot;InvestecChampionsCup&quot;]"/>
    <n v="156681"/>
    <s v="Welcome to the official account in English for the #InvestecChampionsCup. Follow @ChampionsCup_FR for French language, and @ChallengeCup_ for more updates"/>
    <n v="35682"/>
    <s v="https://pbs.twimg.com/profile_images/1697181182796935168/vcSAuYKk_normal.jpg"/>
    <n v="1430"/>
    <b v="0"/>
    <n v="0"/>
    <n v="1"/>
    <s v="{&quot;post_id&quot;:null,&quot;profile_id&quot;:null,&quot;profile_name&quot;:null}"/>
    <s v="null"/>
    <s v="[{&quot;duration&quot;:62120,&quot;video_url&quot;:&quot;https://video.twimg.com/amplify_video/1868315171388588032/vid/avc1/1280x720/kRt699WPzNqt5pFk.mp4?tag=16&quot;}]"/>
    <s v="{&quot;data_posted&quot;:null,&quot;description&quot;:null,&quot;photos&quot;:null,&quot;post_id&quot;:null,&quot;profile_id&quot;:null,&quot;profile_name&quot;:null,&quot;url&quot;:null,&quot;videos&quot;:null}"/>
    <n v="60"/>
    <n v="9.4921689606074985E-3"/>
    <d v="2024-12-15T00:00:00"/>
    <n v="0.6392592592592593"/>
    <x v="0"/>
    <x v="13"/>
    <x v="1"/>
    <x v="1"/>
    <x v="1"/>
    <x v="0"/>
    <n v="194"/>
    <x v="2"/>
  </r>
  <r>
    <n v="1.8682045986260628E+18"/>
    <s v="Sco███ndN███"/>
    <s v="Sco███nd ███ion█████████"/>
    <s v="🎂 Happy Birthday to @amygallacherr 🏴󠁧󠁢󠁳󠁣󠁴󠁿_x000a__x000a_#SWNT"/>
    <s v="&quot;2024-12-15T08:01:00.000Z&quot;"/>
    <s v="[&quot;https://pbs.twimg.com/media/GemR0-nWgAA7az1.jpg&quot;]"/>
    <s v="https://x.com/ScotlandNT/status/1868204598626062765"/>
    <s v="[{&quot;biography&quot;:null,&quot;followers&quot;:null,&quot;following&quot;:null,&quot;is_verified&quot;:null,&quot;profile_id&quot;:&quot;479670250&quot;,&quot;profile_name&quot;:&quot;Amy Gallacher&quot;,&quot;url&quot;:&quot;https://x.com/amygallacherr&quot;}]"/>
    <n v="4"/>
    <n v="10"/>
    <n v="128"/>
    <n v="15182"/>
    <s v=""/>
    <s v="[&quot;SWNT&quot;]"/>
    <n v="277178"/>
    <s v="The official Twitter account of the Scotland National Teams 🏴󠁧󠁢󠁳󠁣󠁴󠁿"/>
    <n v="20340"/>
    <s v="https://pbs.twimg.com/profile_images/1701911666747662336/O2E8IiBY_normal.jpg"/>
    <n v="346"/>
    <b v="0"/>
    <n v="1"/>
    <n v="0"/>
    <s v="{&quot;post_id&quot;:null,&quot;profile_id&quot;:null,&quot;profile_name&quot;:null}"/>
    <s v="null"/>
    <s v="null"/>
    <s v="{&quot;data_posted&quot;:null,&quot;description&quot;:null,&quot;photos&quot;:null,&quot;post_id&quot;:null,&quot;profile_id&quot;:null,&quot;profile_name&quot;:null,&quot;url&quot;:null,&quot;videos&quot;:null}"/>
    <n v="143"/>
    <n v="9.4190488736661838E-3"/>
    <d v="2024-12-15T00:00:00"/>
    <n v="0.33402777777777776"/>
    <x v="0"/>
    <x v="6"/>
    <x v="0"/>
    <x v="0"/>
    <x v="1"/>
    <x v="0"/>
    <n v="49"/>
    <x v="2"/>
  </r>
  <r>
    <n v="1.8684157450775104E+18"/>
    <s v="Met███ole███"/>
    <s v="Met███ole███"/>
    <s v="➡️ Rodrigo Constantino: conheça os fatores de risco para o câncer de boca_x000a__x000a_O comunicador Rodrigo Constantino está esperando biópsia para confirmar o diagnóstico de câncer de boca. Sintomas começaram na língua_x000a__x000a_Leia:"/>
    <s v="&quot;2024-12-15T22:00:01.000Z&quot;"/>
    <s v="[&quot;https://pbs.twimg.com/media/Ge2M7_NWUAAA-wL.png&quot;]"/>
    <s v="https://x.com/Metropoles/status/1868415745077510377"/>
    <s v="null"/>
    <n v="32"/>
    <n v="7"/>
    <n v="51"/>
    <n v="10262"/>
    <s v="https://curt.link/mxfnC"/>
    <s v="null"/>
    <n v="1239616"/>
    <s v="📱 O seu portal de notícias. Tudo sobre política, saúde, justiça, comportamento, entretenimento. Confira os fatos relevantes do país e do mundo em tempo real."/>
    <n v="402839"/>
    <s v="https://pbs.twimg.com/profile_images/1642966741138415647/fHdgQUGl_normal.jpg"/>
    <n v="1644"/>
    <b v="0"/>
    <n v="2"/>
    <n v="4"/>
    <s v="{&quot;post_id&quot;:null,&quot;profile_id&quot;:null,&quot;profile_name&quot;:null}"/>
    <s v="null"/>
    <s v="null"/>
    <s v="{&quot;data_posted&quot;:null,&quot;description&quot;:null,&quot;photos&quot;:null,&quot;post_id&quot;:null,&quot;profile_id&quot;:null,&quot;profile_name&quot;:null,&quot;url&quot;:null,&quot;videos&quot;:null}"/>
    <n v="96"/>
    <n v="9.3549015786396419E-3"/>
    <d v="2024-12-15T00:00:00"/>
    <n v="0.91667824074074078"/>
    <x v="0"/>
    <x v="11"/>
    <x v="0"/>
    <x v="0"/>
    <x v="0"/>
    <x v="0"/>
    <n v="215"/>
    <x v="0"/>
  </r>
  <r>
    <n v="1.86838821714754E+18"/>
    <s v="TNT███rts███"/>
    <s v="TNT███ort███R"/>
    <s v="&quot;VER A SELEÇÃO DE HOJE É UM POUCO TRISTE!&quot; 😳🇧🇷 Romário mandou essa aí ao falar sobre a má fase da #SeleçãoBrasileira, mas se mostrou esperançoso com a melhoria após o retorno de Neymar! 🙏"/>
    <s v="&quot;2024-12-15T20:10:38.000Z&quot;"/>
    <s v="null"/>
    <s v="https://x.com/TNTSportsBR/status/1868388217147539935"/>
    <s v="null"/>
    <n v="9"/>
    <n v="7"/>
    <n v="145"/>
    <n v="17872"/>
    <s v=""/>
    <s v="[&quot;SeleçãoBrasileira&quot;]"/>
    <n v="8293202"/>
    <s v="⚽️ É muito mais Champions na Max, com TODOS os jogos ao vivo!_x000a_👇🏻Assine e assista clicando no link👇🏻"/>
    <n v="456734"/>
    <s v="https://pbs.twimg.com/profile_images/1807013047975768065/8sm_IGpw_normal.jpg"/>
    <n v="859"/>
    <b v="0"/>
    <n v="1"/>
    <n v="5"/>
    <s v="{&quot;post_id&quot;:null,&quot;profile_id&quot;:null,&quot;profile_name&quot;:null}"/>
    <s v="null"/>
    <s v="[{&quot;duration&quot;:47881,&quot;video_url&quot;:&quot;https://video.twimg.com/ext_tw_video/1868388166299734016/pu/vid/avc1/720x1280/zgDAPYvE9mdmLlGO.mp4?tag=12&quot;}]"/>
    <s v="{&quot;data_posted&quot;:null,&quot;description&quot;:null,&quot;photos&quot;:null,&quot;post_id&quot;:null,&quot;profile_id&quot;:null,&quot;profile_name&quot;:null,&quot;url&quot;:null,&quot;videos&quot;:null}"/>
    <n v="167"/>
    <n v="9.3442256042972245E-3"/>
    <d v="2024-12-15T00:00:00"/>
    <n v="0.8407175925925926"/>
    <x v="0"/>
    <x v="3"/>
    <x v="1"/>
    <x v="1"/>
    <x v="1"/>
    <x v="0"/>
    <n v="187"/>
    <x v="0"/>
  </r>
  <r>
    <n v="1.8683131594777357E+18"/>
    <s v="Met███ole███"/>
    <s v="Met███ole███"/>
    <s v="⏯️“Ninguém atendeu”: pacientes se indignam após homem morrer em UPA_x000a__x000a_Os funcionários que estavam de plantão em UPA do Rio serão demitidos, conforme informou o secretário municipal de Saúde, Daniel Soranz_x000a__x000a_Leia:"/>
    <s v="&quot;2024-12-15T15:12:23.000Z&quot;"/>
    <s v="null"/>
    <s v="https://x.com/Metropoles/status/1868313159477735656"/>
    <s v="null"/>
    <n v="15"/>
    <n v="8"/>
    <n v="30"/>
    <n v="6107"/>
    <s v="https://curt.link/CaMet"/>
    <s v="null"/>
    <n v="1239617"/>
    <s v="📱 O seu portal de notícias. Tudo sobre política, saúde, justiça, comportamento, entretenimento. Confira os fatos relevantes do país e do mundo em tempo real."/>
    <n v="402839"/>
    <s v="https://pbs.twimg.com/profile_images/1642966741138415647/fHdgQUGl_normal.jpg"/>
    <n v="1644"/>
    <b v="0"/>
    <n v="1"/>
    <n v="3"/>
    <s v="{&quot;post_id&quot;:null,&quot;profile_id&quot;:null,&quot;profile_name&quot;:null}"/>
    <s v="null"/>
    <s v="[{&quot;duration&quot;:82350,&quot;video_url&quot;:&quot;https://video.twimg.com/ext_tw_video/1868312949577650177/pu/vid/avc1/720x1280/SQqVVKWhqW9_ZV6k.mp4?tag=12&quot;}]"/>
    <s v="{&quot;data_posted&quot;:null,&quot;description&quot;:null,&quot;photos&quot;:null,&quot;post_id&quot;:null,&quot;profile_id&quot;:null,&quot;profile_name&quot;:null,&quot;url&quot;:null,&quot;videos&quot;:null}"/>
    <n v="57"/>
    <n v="9.333551662027182E-3"/>
    <d v="2024-12-15T00:00:00"/>
    <n v="0.63359953703703709"/>
    <x v="0"/>
    <x v="13"/>
    <x v="1"/>
    <x v="1"/>
    <x v="0"/>
    <x v="0"/>
    <n v="210"/>
    <x v="0"/>
  </r>
  <r>
    <n v="1.8683204018618327E+18"/>
    <s v="Ran███sFC███"/>
    <s v="Ran███s F███bal█████████"/>
    <s v="💙_x000a__x000a_#PremierSportsCup"/>
    <s v="&quot;2024-12-15T15:41:10.000Z&quot;"/>
    <s v="[&quot;https://pbs.twimg.com/media/Ge2begfXsAAR7yi.jpg&quot;]"/>
    <s v="https://x.com/RangersFC/status/1868320401861832803"/>
    <s v="null"/>
    <n v="20"/>
    <n v="47"/>
    <n v="923"/>
    <n v="107172"/>
    <s v=""/>
    <s v="[&quot;PremierSportsCup&quot;]"/>
    <n v="812161"/>
    <s v="The Home of #RangersFC 💙"/>
    <n v="110924"/>
    <s v="https://pbs.twimg.com/profile_images/1856633703734112256/PBlqGEwC_normal.jpg"/>
    <n v="322"/>
    <b v="0"/>
    <n v="4"/>
    <n v="6"/>
    <s v="{&quot;post_id&quot;:null,&quot;profile_id&quot;:null,&quot;profile_name&quot;:null}"/>
    <s v="null"/>
    <s v="null"/>
    <s v="{&quot;data_posted&quot;:null,&quot;description&quot;:null,&quot;photos&quot;:null,&quot;post_id&quot;:null,&quot;profile_id&quot;:null,&quot;profile_name&quot;:null,&quot;url&quot;:null,&quot;videos&quot;:null}"/>
    <n v="1000"/>
    <n v="9.3307953569962306E-3"/>
    <d v="2024-12-15T00:00:00"/>
    <n v="0.65358796296296295"/>
    <x v="0"/>
    <x v="13"/>
    <x v="0"/>
    <x v="0"/>
    <x v="1"/>
    <x v="0"/>
    <n v="20"/>
    <x v="2"/>
  </r>
  <r>
    <n v="1.8681239183238103E+18"/>
    <s v="ufc"/>
    <s v="UFC"/>
    <s v="The Nigerian Nightmare is at #UFCTampa with his eyes on the main event 👀_x000a__x000a_[ LIVE on ESPN2 | @USMAN84kg ]"/>
    <s v="&quot;2024-12-15T02:40:24.000Z&quot;"/>
    <s v="null"/>
    <s v="https://x.com/ufc/status/1868123918323810380"/>
    <s v="[{&quot;biography&quot;:null,&quot;followers&quot;:null,&quot;following&quot;:null,&quot;is_verified&quot;:null,&quot;profile_id&quot;:&quot;182662505&quot;,&quot;profile_name&quot;:&quot;KAMARU USMAN&quot;,&quot;url&quot;:&quot;https://x.com/USMAN84kg&quot;}]"/>
    <n v="22"/>
    <n v="4"/>
    <n v="95"/>
    <n v="13314"/>
    <s v=""/>
    <s v="[&quot;UFCTampa&quot;]"/>
    <n v="12876592"/>
    <s v="#UFCTampa | Covington vs Buckley | December 14 | 10pmET | LIVE on @ESPNPlus"/>
    <n v="141401"/>
    <s v="https://pbs.twimg.com/profile_images/1835773190385328128/4fVrF1UI_normal.jpg"/>
    <n v="717"/>
    <b v="0"/>
    <n v="0"/>
    <n v="3"/>
    <s v="{&quot;post_id&quot;:null,&quot;profile_id&quot;:null,&quot;profile_name&quot;:null}"/>
    <s v="null"/>
    <s v="[{&quot;duration&quot;:16416,&quot;video_url&quot;:&quot;https://video.twimg.com/ext_tw_video/1868123326972915712/pu/vid/avc1/720x900/hXj08Wp38-0N1Gyl.mp4?tag=12&quot;}]"/>
    <s v="{&quot;data_posted&quot;:null,&quot;description&quot;:null,&quot;photos&quot;:null,&quot;post_id&quot;:null,&quot;profile_id&quot;:null,&quot;profile_name&quot;:null,&quot;url&quot;:null,&quot;videos&quot;:null}"/>
    <n v="124"/>
    <n v="9.313504581643383E-3"/>
    <d v="2024-12-15T00:00:00"/>
    <n v="0.11138888888888888"/>
    <x v="0"/>
    <x v="2"/>
    <x v="1"/>
    <x v="1"/>
    <x v="1"/>
    <x v="0"/>
    <n v="104"/>
    <x v="1"/>
  </r>
  <r>
    <n v="1.8684681318379113E+18"/>
    <s v="nyp███"/>
    <s v="New███rk ███t"/>
    <s v="Tennessee cop killed in shootout with ‘suspicious’ gunman reported lurking around neighborhood"/>
    <s v="&quot;2024-12-16T01:28:11.000Z&quot;"/>
    <s v="[&quot;https://pbs.twimg.com/media/Ge4h3S1WcAAcLhg.jpg&quot;]"/>
    <s v="https://x.com/nypost/status/1868468131837911369"/>
    <s v="null"/>
    <n v="31"/>
    <n v="75"/>
    <n v="189"/>
    <n v="32755"/>
    <s v="https://trib.al/FsMzIgc"/>
    <s v="null"/>
    <n v="3313886"/>
    <s v="Breaking news &amp; features from The New York Post. Follow your favorite sections: @pagesix, @nypmetro, @nypostbiz, @nypostsports, @nypfashion, @nypostopinion"/>
    <n v="706459"/>
    <s v="https://pbs.twimg.com/profile_images/966372680306868224/60wfGe9e_normal.jpg"/>
    <n v="10308"/>
    <b v="0"/>
    <n v="5"/>
    <n v="5"/>
    <s v="{&quot;post_id&quot;:null,&quot;profile_id&quot;:null,&quot;profile_name&quot;:null}"/>
    <s v="null"/>
    <s v="null"/>
    <s v="{&quot;data_posted&quot;:null,&quot;description&quot;:null,&quot;photos&quot;:null,&quot;post_id&quot;:null,&quot;profile_id&quot;:null,&quot;profile_name&quot;:null,&quot;url&quot;:null,&quot;videos&quot;:null}"/>
    <n v="305"/>
    <n v="9.3115554877117989E-3"/>
    <d v="2024-12-16T00:00:00"/>
    <n v="6.1238425925925925E-2"/>
    <x v="2"/>
    <x v="19"/>
    <x v="0"/>
    <x v="0"/>
    <x v="0"/>
    <x v="0"/>
    <n v="94"/>
    <x v="0"/>
  </r>
  <r>
    <n v="1.8681552793484905E+18"/>
    <s v="ufc"/>
    <s v="UFC"/>
    <s v="ONE AND DONE 💥_x000a__x000a_@TheHanyakDJ gets the third round KO! #UFCTampa_x000a__x000a_[ LIVE NOW on @ESPNPlus &amp;amp; ESPN2 ]"/>
    <s v="&quot;2024-12-15T04:45:01.000Z&quot;"/>
    <s v="null"/>
    <s v="https://x.com/ufc/status/1868155279348490389"/>
    <s v="[{&quot;biography&quot;:null,&quot;followers&quot;:null,&quot;following&quot;:null,&quot;is_verified&quot;:null,&quot;profile_id&quot;:&quot;222632459&quot;,&quot;profile_name&quot;:&quot;Dustin Jacoby 🇺🇸&quot;,&quot;url&quot;:&quot;https://x.com/thehanyakdj&quot;},{&quot;biography&quot;:null,&quot;followers&quot;:null,&quot;following&quot;:null,&quot;is_verified&quot;:null,&quot;profile_id&quot;:&quot;1044284694387412992&quot;,&quot;profile_name&quot;:&quot;ESPN+&quot;,&quot;url&quot;:&quot;https://x.com/ESPNPlus&quot;}]"/>
    <n v="179"/>
    <n v="153"/>
    <n v="1870"/>
    <n v="245803"/>
    <s v=""/>
    <s v="[&quot;UFCTampa&quot;]"/>
    <n v="12876593"/>
    <s v="#UFCTampa | Covington vs Buckley | December 14 | 10pmET | LIVE on @ESPNPlus"/>
    <n v="141401"/>
    <s v="https://pbs.twimg.com/profile_images/1835773190385328128/4fVrF1UI_normal.jpg"/>
    <n v="717"/>
    <b v="0"/>
    <n v="45"/>
    <n v="40"/>
    <s v="{&quot;post_id&quot;:null,&quot;profile_id&quot;:null,&quot;profile_name&quot;:null}"/>
    <s v="null"/>
    <s v="[{&quot;duration&quot;:23834,&quot;video_url&quot;:&quot;https://video.twimg.com/amplify_video/1868154769593778176/vid/avc1/720x720/S7kG3HtGj6GFQjdh.mp4?tag=14&quot;}]"/>
    <s v="{&quot;data_posted&quot;:null,&quot;description&quot;:null,&quot;photos&quot;:null,&quot;post_id&quot;:null,&quot;profile_id&quot;:null,&quot;profile_name&quot;:null,&quot;url&quot;:null,&quot;videos&quot;:null}"/>
    <n v="2287"/>
    <n v="9.3041988909818019E-3"/>
    <d v="2024-12-15T00:00:00"/>
    <n v="0.19792824074074075"/>
    <x v="0"/>
    <x v="9"/>
    <x v="1"/>
    <x v="1"/>
    <x v="1"/>
    <x v="0"/>
    <n v="102"/>
    <x v="1"/>
  </r>
  <r>
    <n v="1.8683121216139881E+18"/>
    <s v="Clu███ugg███"/>
    <s v="Clu███rug███KV"/>
    <s v="POV: je breekt je neus op dinsdag en scoort met de kop op zondag. Brandon Mechele is a beast. 🤯💪🏼 #CLUGNK"/>
    <s v="&quot;2024-12-15T15:08:16.000Z&quot;"/>
    <s v="[&quot;https://pbs.twimg.com/media/Ge2T73KXQAA7FfV.jpg&quot;]"/>
    <s v="https://x.com/ClubBrugge/status/1868312121613988140"/>
    <s v="null"/>
    <n v="1"/>
    <n v="10"/>
    <n v="197"/>
    <n v="22742"/>
    <s v=""/>
    <s v="[&quot;CLUGNK&quot;]"/>
    <n v="225733"/>
    <s v="The official account of Club Brugge. 𝟭𝟵 times Champion of Belgium.🏆 Questions? https://t.co/hw2kuDvIP2"/>
    <n v="42662"/>
    <s v="https://pbs.twimg.com/profile_images/1816386150455496704/5dfk0_QE_normal.jpg"/>
    <n v="148"/>
    <b v="0"/>
    <n v="1"/>
    <n v="1"/>
    <s v="{&quot;post_id&quot;:null,&quot;profile_id&quot;:null,&quot;profile_name&quot;:null}"/>
    <s v="null"/>
    <s v="[{&quot;duration&quot;:23150,&quot;video_url&quot;:&quot;https://video.twimg.com/ext_tw_video/1868312077053403136/pu/vid/avc1/720x900/Dg2ykCguKnJfdHxy.mp4?tag=12&quot;}]"/>
    <s v="{&quot;data_posted&quot;:null,&quot;description&quot;:null,&quot;photos&quot;:null,&quot;post_id&quot;:null,&quot;profile_id&quot;:null,&quot;profile_name&quot;:null,&quot;url&quot;:null,&quot;videos&quot;:null}"/>
    <n v="210"/>
    <n v="9.2340163574004038E-3"/>
    <d v="2024-12-15T00:00:00"/>
    <n v="0.63074074074074071"/>
    <x v="0"/>
    <x v="13"/>
    <x v="1"/>
    <x v="0"/>
    <x v="1"/>
    <x v="0"/>
    <n v="105"/>
    <x v="2"/>
  </r>
  <r>
    <n v="1.8683582111383798E+18"/>
    <s v="Bre███ord███"/>
    <s v="Bre███ord███"/>
    <s v="🎥 Stamford Bridge Showtime_x000a__x000a_@motorscouk | #CHEBRE"/>
    <s v="&quot;2024-12-15T18:11:24.000Z&quot;"/>
    <s v="null"/>
    <s v="https://x.com/BrentfordFC/status/1868358211138379781"/>
    <s v="[{&quot;biography&quot;:null,&quot;followers&quot;:null,&quot;following&quot;:null,&quot;is_verified&quot;:null,&quot;profile_id&quot;:&quot;19708957&quot;,&quot;profile_name&quot;:&quot;MOTORS&quot;,&quot;url&quot;:&quot;https://x.com/motorscouk&quot;}]"/>
    <n v="4"/>
    <n v="4"/>
    <n v="65"/>
    <n v="8700"/>
    <s v=""/>
    <s v="[&quot;CHEBRE&quot;]"/>
    <n v="376786"/>
    <s v="Chelsea away ⏳"/>
    <n v="106893"/>
    <s v="https://pbs.twimg.com/profile_images/1863925545009852417/pH2T1Sz8_normal.jpg"/>
    <n v="415"/>
    <b v="0"/>
    <n v="6"/>
    <n v="1"/>
    <s v="{&quot;post_id&quot;:null,&quot;profile_id&quot;:null,&quot;profile_name&quot;:null}"/>
    <s v="null"/>
    <s v="[{&quot;duration&quot;:17720,&quot;video_url&quot;:&quot;https://video.twimg.com/amplify_video/1868357633037815808/vid/avc1/1080x1080/YMYOPGKVMpf8D_wg.mp4?tag=16&quot;}]"/>
    <s v="{&quot;data_posted&quot;:null,&quot;description&quot;:null,&quot;photos&quot;:null,&quot;post_id&quot;:null,&quot;profile_id&quot;:null,&quot;profile_name&quot;:null,&quot;url&quot;:null,&quot;videos&quot;:null}"/>
    <n v="80"/>
    <n v="9.1954022988505746E-3"/>
    <d v="2024-12-15T00:00:00"/>
    <n v="0.75791666666666668"/>
    <x v="0"/>
    <x v="8"/>
    <x v="1"/>
    <x v="1"/>
    <x v="1"/>
    <x v="0"/>
    <n v="49"/>
    <x v="2"/>
  </r>
  <r>
    <n v="1.868219447950955E+18"/>
    <s v="KAA███t"/>
    <s v="KAA███nt"/>
    <s v="𝙃𝙖𝙥𝙥𝙮 𝙗𝙞𝙧𝙩𝙝𝙙𝙖𝙮, 𝙕𝙡𝙖𝙩𝙖𝙣! 🥳🎉_x000a__x000a_Enjoy your 41st birthday and thank you for the great memories!  157 games, 31 goals, 28 assists &amp;amp; 🏆 (Cupwinner 2010) _x000a__x000a_#COBW #OLEARYSGENT"/>
    <s v="&quot;2024-12-15T09:00:00.000Z&quot;"/>
    <s v="[&quot;https://pbs.twimg.com/media/Gesn9kXWkAA5cOh.jpg&quot;]"/>
    <s v="https://x.com/KAAGent/status/1868219447950954914"/>
    <s v="null"/>
    <n v="3"/>
    <n v="164"/>
    <n v="1023"/>
    <n v="134854"/>
    <s v=""/>
    <s v="[&quot;COBW&quot;,&quot;OLEARYSGENT&quot;]"/>
    <n v="95473"/>
    <s v="Official account of KAA Gent | 4x Belgian Cupwinners 1964-1984-2010-2022 | Supercup Winners 2015 | Belgian Champions 2014-2015 | #COBW"/>
    <n v="46289"/>
    <s v="https://pbs.twimg.com/profile_images/634664595534147584/kJGzhgD5_normal.jpg"/>
    <n v="1327"/>
    <b v="0"/>
    <n v="36"/>
    <n v="14"/>
    <s v="{&quot;post_id&quot;:null,&quot;profile_id&quot;:null,&quot;profile_name&quot;:null}"/>
    <s v="null"/>
    <s v="null"/>
    <s v="{&quot;data_posted&quot;:null,&quot;description&quot;:null,&quot;photos&quot;:null,&quot;post_id&quot;:null,&quot;profile_id&quot;:null,&quot;profile_name&quot;:null,&quot;url&quot;:null,&quot;videos&quot;:null}"/>
    <n v="1240"/>
    <n v="9.1951295475106408E-3"/>
    <d v="2024-12-15T00:00:00"/>
    <n v="0.375"/>
    <x v="0"/>
    <x v="18"/>
    <x v="0"/>
    <x v="0"/>
    <x v="1"/>
    <x v="0"/>
    <n v="169"/>
    <x v="3"/>
  </r>
  <r>
    <n v="1.8681244865427256E+18"/>
    <s v="ufc"/>
    <s v="UFC"/>
    <s v="The Nigerian Nightmare is at #UFCTampa with his eyes on the main event 👀_x000a__x000a_[ Main Card 10pmET LIVE on ESPN2 and @ESPNPlus ]"/>
    <s v="&quot;2024-12-15T02:42:40.000Z&quot;"/>
    <s v="null"/>
    <s v="https://x.com/ufc/status/1868124486542725512"/>
    <s v="[{&quot;biography&quot;:null,&quot;followers&quot;:null,&quot;following&quot;:null,&quot;is_verified&quot;:null,&quot;profile_id&quot;:&quot;1044284694387412992&quot;,&quot;profile_name&quot;:&quot;ESPN+&quot;,&quot;url&quot;:&quot;https://x.com/ESPNPlus&quot;}]"/>
    <n v="40"/>
    <n v="56"/>
    <n v="1066"/>
    <n v="130095"/>
    <s v=""/>
    <s v="[&quot;UFCTampa&quot;]"/>
    <n v="12876593"/>
    <s v="#UFCTampa | Covington vs Buckley | December 14 | 10pmET | LIVE on @ESPNPlus"/>
    <n v="141401"/>
    <s v="https://pbs.twimg.com/profile_images/1835773190385328128/4fVrF1UI_normal.jpg"/>
    <n v="717"/>
    <b v="0"/>
    <n v="6"/>
    <n v="27"/>
    <s v="{&quot;post_id&quot;:null,&quot;profile_id&quot;:null,&quot;profile_name&quot;:null}"/>
    <s v="null"/>
    <s v="[{&quot;duration&quot;:16416,&quot;video_url&quot;:&quot;https://video.twimg.com/ext_tw_video/1868123326972915712/pu/vid/avc1/720x900/hXj08Wp38-0N1Gyl.mp4?tag=12&quot;}]"/>
    <s v="{&quot;data_posted&quot;:null,&quot;description&quot;:null,&quot;photos&quot;:null,&quot;post_id&quot;:null,&quot;profile_id&quot;:null,&quot;profile_name&quot;:null,&quot;url&quot;:null,&quot;videos&quot;:null}"/>
    <n v="1195"/>
    <n v="9.1855951420116069E-3"/>
    <d v="2024-12-15T00:00:00"/>
    <n v="0.11296296296296296"/>
    <x v="0"/>
    <x v="2"/>
    <x v="1"/>
    <x v="1"/>
    <x v="1"/>
    <x v="0"/>
    <n v="122"/>
    <x v="1"/>
  </r>
  <r>
    <n v="1.8680997520441797E+18"/>
    <s v="tvg███o"/>
    <s v="TV ███bo ███"/>
    <s v="Quase que a paranoia do Hugo acaba com o casamento dele 🥲 #ManiaDeVocê"/>
    <s v="&quot;2024-12-15T01:04:23.000Z&quot;"/>
    <s v="null"/>
    <s v="https://x.com/tvglobo/status/1868099752044179744"/>
    <s v="null"/>
    <n v="4"/>
    <n v="6"/>
    <n v="85"/>
    <n v="11226"/>
    <s v=""/>
    <s v="[&quot;ManiaDeVocê&quot;]"/>
    <n v="13492430"/>
    <s v="oi, eu sou a Glô 😜"/>
    <n v="314515"/>
    <s v="https://pbs.twimg.com/profile_images/1863599216829792256/r5M1uKA8_normal.jpg"/>
    <n v="708"/>
    <b v="0"/>
    <n v="1"/>
    <n v="7"/>
    <s v="{&quot;post_id&quot;:null,&quot;profile_id&quot;:null,&quot;profile_name&quot;:null}"/>
    <s v="null"/>
    <s v="[{&quot;duration&quot;:75479,&quot;video_url&quot;:&quot;https://video.twimg.com/amplify_video/1868099308928516096/vid/avc1/1920x1080/Ve0S1YsOOdyfib6w.mp4?tag=16&quot;}]"/>
    <s v="{&quot;data_posted&quot;:null,&quot;description&quot;:null,&quot;photos&quot;:null,&quot;post_id&quot;:null,&quot;profile_id&quot;:null,&quot;profile_name&quot;:null,&quot;url&quot;:null,&quot;videos&quot;:null}"/>
    <n v="103"/>
    <n v="9.1751291644396934E-3"/>
    <d v="2024-12-15T00:00:00"/>
    <n v="4.4710648148148145E-2"/>
    <x v="0"/>
    <x v="19"/>
    <x v="1"/>
    <x v="1"/>
    <x v="1"/>
    <x v="0"/>
    <n v="70"/>
    <x v="1"/>
  </r>
  <r>
    <n v="1.8682990150092721E+18"/>
    <s v="Bar███ysW███"/>
    <s v="Bar███ys ███en'█████████eag███"/>
    <s v="Yanez had to be alert as Gabby George sent an inviting cross into the box 🧤_x000a__x000a_#BarclaysWSL @cpfc_w"/>
    <s v="&quot;2024-12-15T14:16:11.000Z&quot;"/>
    <s v="null"/>
    <s v="https://x.com/BarclaysWSL/status/1868299015009272035"/>
    <s v="[{&quot;biography&quot;:null,&quot;followers&quot;:null,&quot;following&quot;:null,&quot;is_verified&quot;:null,&quot;profile_id&quot;:&quot;2223982487&quot;,&quot;profile_name&quot;:&quot;Crystal Palace F.C. Women&quot;,&quot;url&quot;:&quot;https://x.com/cpfc_w&quot;}]"/>
    <n v="1"/>
    <n v="3"/>
    <n v="60"/>
    <n v="7092"/>
    <s v=""/>
    <s v="[&quot;BarclaysWSL&quot;]"/>
    <n v="337839"/>
    <s v="The home of top-flight women's football in England! 🤩_x000a__x000a_Subscribe to our brand-new BWSL YouTube Channel! 📺 #BarclaysWSL"/>
    <n v="57638"/>
    <s v="https://pbs.twimg.com/profile_images/1605171595160555521/NKG9mgxv_normal.jpg"/>
    <n v="587"/>
    <b v="0"/>
    <n v="0"/>
    <n v="1"/>
    <s v="{&quot;post_id&quot;:null,&quot;profile_id&quot;:null,&quot;profile_name&quot;:null}"/>
    <s v="null"/>
    <s v="[{&quot;duration&quot;:17413,&quot;video_url&quot;:&quot;https://video.twimg.com/amplify_video/1868298992506884096/vid/avc1/1280x720/D-lI41xPFBS8DJYa.mp4?tag=16&quot;}]"/>
    <s v="{&quot;data_posted&quot;:null,&quot;description&quot;:null,&quot;photos&quot;:null,&quot;post_id&quot;:null,&quot;profile_id&quot;:null,&quot;profile_name&quot;:null,&quot;url&quot;:null,&quot;videos&quot;:null}"/>
    <n v="65"/>
    <n v="9.1652566271855605E-3"/>
    <d v="2024-12-15T00:00:00"/>
    <n v="0.59457175925925931"/>
    <x v="0"/>
    <x v="1"/>
    <x v="1"/>
    <x v="1"/>
    <x v="1"/>
    <x v="0"/>
    <n v="97"/>
    <x v="2"/>
  </r>
  <r>
    <n v="1.8684223216077742E+18"/>
    <s v="nyp███"/>
    <s v="New███rk ███t"/>
    <s v="Adams’ top aide Ingrid Lewis-Martin expected to be indicted as probes swirl: sources"/>
    <s v="&quot;2024-12-15T22:26:09.000Z&quot;"/>
    <s v="[&quot;https://pbs.twimg.com/media/Ge34MxzWwAAdfhl.jpg&quot;]"/>
    <s v="https://x.com/nypost/status/1868422321607774264"/>
    <s v="null"/>
    <n v="34"/>
    <n v="68"/>
    <n v="198"/>
    <n v="35073"/>
    <s v="https://trib.al/s3FquAQ"/>
    <s v="null"/>
    <n v="3313886"/>
    <s v="Breaking news &amp; features from The New York Post. Follow your favorite sections: @pagesix, @nypmetro, @nypostbiz, @nypostsports, @nypfashion, @nypostopinion"/>
    <n v="706459"/>
    <s v="https://pbs.twimg.com/profile_images/966372680306868224/60wfGe9e_normal.jpg"/>
    <n v="10308"/>
    <b v="0"/>
    <n v="11"/>
    <n v="9"/>
    <s v="{&quot;post_id&quot;:null,&quot;profile_id&quot;:null,&quot;profile_name&quot;:null}"/>
    <s v="null"/>
    <s v="null"/>
    <s v="{&quot;data_posted&quot;:null,&quot;description&quot;:null,&quot;photos&quot;:null,&quot;post_id&quot;:null,&quot;profile_id&quot;:null,&quot;profile_name&quot;:null,&quot;url&quot;:null,&quot;videos&quot;:null}"/>
    <n v="320"/>
    <n v="9.1238274456134343E-3"/>
    <d v="2024-12-15T00:00:00"/>
    <n v="0.93482638888888892"/>
    <x v="0"/>
    <x v="11"/>
    <x v="0"/>
    <x v="0"/>
    <x v="0"/>
    <x v="0"/>
    <n v="84"/>
    <x v="0"/>
  </r>
  <r>
    <n v="1.8683024103614715E+18"/>
    <s v="CPFC"/>
    <s v="Cry███l P███ce ██████"/>
    <s v="BIG TREVOH CHALOBAH!_x000a__x000a_#CPFC // #BHACRY"/>
    <s v="&quot;2024-12-15T14:29:40.000Z&quot;"/>
    <s v="[&quot;https://pbs.twimg.com/media/Ge2K78oW0AAZwGu.jpg&quot;]"/>
    <s v="https://x.com/CPFC/status/1868302410361471403"/>
    <s v="null"/>
    <n v="28"/>
    <n v="74"/>
    <n v="608"/>
    <n v="81223"/>
    <s v=""/>
    <s v="[&quot;CPFC&quot;,&quot;BHACRY&quot;]"/>
    <n v="1480964"/>
    <s v="The Pride of South London."/>
    <n v="103753"/>
    <s v="https://pbs.twimg.com/profile_images/1857393032883994624/qN-MGWEH_normal.jpg"/>
    <n v="552"/>
    <b v="0"/>
    <n v="27"/>
    <n v="1"/>
    <s v="{&quot;post_id&quot;:null,&quot;profile_id&quot;:null,&quot;profile_name&quot;:null}"/>
    <s v="null"/>
    <s v="null"/>
    <s v="{&quot;data_posted&quot;:null,&quot;description&quot;:null,&quot;photos&quot;:null,&quot;post_id&quot;:null,&quot;profile_id&quot;:null,&quot;profile_name&quot;:null,&quot;url&quot;:null,&quot;videos&quot;:null}"/>
    <n v="738"/>
    <n v="9.0860963027713827E-3"/>
    <d v="2024-12-15T00:00:00"/>
    <n v="0.60393518518518519"/>
    <x v="0"/>
    <x v="1"/>
    <x v="0"/>
    <x v="0"/>
    <x v="1"/>
    <x v="0"/>
    <n v="38"/>
    <x v="0"/>
  </r>
  <r>
    <n v="1.8682648375724114E+18"/>
    <s v="Car███fCi███C"/>
    <s v="Car███f C███ FC███"/>
    <s v="#BluebirdsCrimbo 🎁 | Day 1️⃣5️⃣_x000a__x000a_@Joe_Ralls makes a surprise visit to lifelong #Bluebird, Jonathan!_x000a__x000a_Sign up for your chance to win a prize this month ➡️"/>
    <s v="&quot;2024-12-15T12:00:22.000Z&quot;"/>
    <s v="null"/>
    <s v="https://x.com/CardiffCityFC/status/1868264837572411439"/>
    <s v="[{&quot;biography&quot;:null,&quot;followers&quot;:null,&quot;following&quot;:null,&quot;is_verified&quot;:null,&quot;profile_id&quot;:&quot;240037700&quot;,&quot;profile_name&quot;:&quot;Joe Ralls&quot;,&quot;url&quot;:&quot;https://x.com/Joe_Ralls&quot;}]"/>
    <n v="4"/>
    <n v="4"/>
    <n v="95"/>
    <n v="11802"/>
    <s v="http://bit.ly/4fNeX2Z"/>
    <s v="[&quot;BluebirdsCrimbo&quot;,&quot;Bluebird&quot;,&quot;CityAsOne&quot;]"/>
    <n v="398606"/>
    <s v="The official Twitter feed of Cardiff City Football Club. ❓ @CardiffCitySLO 💙 @BluebirdBartley #CardiffCity #Bluebirds #CityAsOne"/>
    <n v="73534"/>
    <s v="https://pbs.twimg.com/profile_images/1838141016072650752/LQBWhJoK_normal.png"/>
    <n v="563"/>
    <b v="0"/>
    <n v="3"/>
    <n v="1"/>
    <s v="{&quot;post_id&quot;:null,&quot;profile_id&quot;:null,&quot;profile_name&quot;:null}"/>
    <s v="null"/>
    <s v="[{&quot;duration&quot;:126640,&quot;video_url&quot;:&quot;https://video.twimg.com/ext_tw_video/1868263665775804416/pu/vid/avc1/720x900/Qv13o2r_tarVa5VL.mp4?tag=12&quot;}]"/>
    <s v="{&quot;data_posted&quot;:null,&quot;description&quot;:null,&quot;photos&quot;:null,&quot;post_id&quot;:null,&quot;profile_id&quot;:null,&quot;profile_name&quot;:null,&quot;url&quot;:null,&quot;videos&quot;:null}"/>
    <n v="107"/>
    <n v="9.0662599559396713E-3"/>
    <d v="2024-12-15T00:00:00"/>
    <n v="0.50025462962962963"/>
    <x v="0"/>
    <x v="0"/>
    <x v="1"/>
    <x v="1"/>
    <x v="1"/>
    <x v="0"/>
    <n v="153"/>
    <x v="2"/>
  </r>
  <r>
    <n v="1.8684148403786345E+18"/>
    <s v="Met███ole███"/>
    <s v="Met███ole███"/>
    <s v="➡️ William Bonner comenta sobre aposentadoria e abençoa César Tralli_x000a__x000a_O apresentador respondeu sobre rumores que César Tralli poderia ficar no seu lugar_x000a__x000a_Leia:"/>
    <s v="&quot;2024-12-15T21:56:26.000Z&quot;"/>
    <s v="null"/>
    <s v="https://x.com/Metropoles/status/1868414840378634568"/>
    <s v="[{&quot;biography&quot;:null,&quot;followers&quot;:null,&quot;following&quot;:null,&quot;is_verified&quot;:null,&quot;profile_id&quot;:&quot;15292534&quot;,&quot;profile_name&quot;:&quot;Hugo Gloss&quot;,&quot;url&quot;:&quot;https://x.com/HugoGloss&quot;},{&quot;biography&quot;:null,&quot;followers&quot;:null,&quot;following&quot;:null,&quot;is_verified&quot;:null,&quot;profile_id&quot;:&quot;1443946613085454341&quot;,&quot;profile_name&quot;:&quot;MyHoodbr&quot;,&quot;url&quot;:&quot;https://x.com/MyHoodbr&quot;}]"/>
    <n v="3"/>
    <n v="2"/>
    <n v="64"/>
    <n v="8186"/>
    <s v="https://curt.link/ILfta"/>
    <s v="null"/>
    <n v="1239616"/>
    <s v="📱 O seu portal de notícias. Tudo sobre política, saúde, justiça, comportamento, entretenimento. Confira os fatos relevantes do país e do mundo em tempo real."/>
    <n v="402839"/>
    <s v="https://pbs.twimg.com/profile_images/1642966741138415647/fHdgQUGl_normal.jpg"/>
    <n v="1644"/>
    <b v="0"/>
    <n v="0"/>
    <n v="5"/>
    <s v="{&quot;post_id&quot;:null,&quot;profile_id&quot;:null,&quot;profile_name&quot;:null}"/>
    <s v="null"/>
    <s v="[{&quot;duration&quot;:47391,&quot;video_url&quot;:&quot;https://video.twimg.com/ext_tw_video/1868414692021923840/pu/vid/avc1/720x1280/Ip6mfLeA5yjscIii.mp4?tag=12&quot;}]"/>
    <s v="{&quot;data_posted&quot;:null,&quot;description&quot;:null,&quot;photos&quot;:null,&quot;post_id&quot;:null,&quot;profile_id&quot;:null,&quot;profile_name&quot;:null,&quot;url&quot;:null,&quot;videos&quot;:null}"/>
    <n v="74"/>
    <n v="9.0398240899096025E-3"/>
    <d v="2024-12-15T00:00:00"/>
    <n v="0.91418981481481476"/>
    <x v="0"/>
    <x v="10"/>
    <x v="1"/>
    <x v="1"/>
    <x v="0"/>
    <x v="0"/>
    <n v="159"/>
    <x v="0"/>
  </r>
  <r>
    <n v="1.8684875839294016E+18"/>
    <s v="nyp███"/>
    <s v="New███rk ███t"/>
    <s v="2 men arrested after manning ‘hazardous drone operation’ near Boston’s Logan Airport"/>
    <s v="&quot;2024-12-16T02:45:29.000Z&quot;"/>
    <s v="[&quot;https://pbs.twimg.com/media/Ge4zjk0XMAAX2nq.jpg&quot;]"/>
    <s v="https://x.com/nypost/status/1868487583929401721"/>
    <s v="null"/>
    <n v="22"/>
    <n v="59"/>
    <n v="186"/>
    <n v="31107"/>
    <s v="https://trib.al/tywutam"/>
    <s v="null"/>
    <n v="3313886"/>
    <s v="Breaking news &amp; features from The New York Post. Follow your favorite sections: @pagesix, @nypmetro, @nypostbiz, @nypostsports, @nypfashion, @nypostopinion"/>
    <n v="706459"/>
    <s v="https://pbs.twimg.com/profile_images/966372680306868224/60wfGe9e_normal.jpg"/>
    <n v="10308"/>
    <b v="0"/>
    <n v="7"/>
    <n v="7"/>
    <s v="{&quot;post_id&quot;:null,&quot;profile_id&quot;:null,&quot;profile_name&quot;:null}"/>
    <s v="null"/>
    <s v="null"/>
    <s v="{&quot;data_posted&quot;:null,&quot;description&quot;:null,&quot;photos&quot;:null,&quot;post_id&quot;:null,&quot;profile_id&quot;:null,&quot;profile_name&quot;:null,&quot;url&quot;:null,&quot;videos&quot;:null}"/>
    <n v="281"/>
    <n v="9.0333365480438493E-3"/>
    <d v="2024-12-16T00:00:00"/>
    <n v="0.11491898148148148"/>
    <x v="2"/>
    <x v="2"/>
    <x v="0"/>
    <x v="0"/>
    <x v="0"/>
    <x v="0"/>
    <n v="84"/>
    <x v="0"/>
  </r>
  <r>
    <n v="1.6646635094880748E+18"/>
    <s v="tay███swi███3"/>
    <s v="Tay███ Sw███"/>
    <s v="Really thrilled to tell you this!! Mexico, Argentina and Brazil: We are bringing The Eras Tour to you this year! Sweet angel princess @SabrinaAnnLynn will be joining us on all of the shows! Visit https://t.co/nAtMhYpVaY for more information on your registrations, pre-sales and on-sales.  _x000a__x000a_LOTS more international dates to come soon, promise!"/>
    <s v="&quot;2023-06-02T16:01:23.000Z&quot;"/>
    <s v="[&quot;https://pbs.twimg.com/media/FxoSodsWIAo6uj_.jpg&quot;]"/>
    <s v="https://x.com/taylorswift13/status/1664663509488074754"/>
    <s v="[{&quot;biography&quot;:null,&quot;followers&quot;:null,&quot;following&quot;:null,&quot;is_verified&quot;:null,&quot;profile_id&quot;:&quot;63822383&quot;,&quot;profile_name&quot;:&quot;Sabrina Carpenter&quot;,&quot;url&quot;:&quot;https://x.com/SabrinaAnnLynn&quot;}]"/>
    <n v="28180"/>
    <n v="109327"/>
    <n v="592538"/>
    <n v="95074893"/>
    <s v="http://taylorswift.com/tour"/>
    <s v="null"/>
    <n v="94676201"/>
    <s v="All’s fair in love and poetry... New album THE TORTURED POETS DEPARTMENT. Out now 🤍"/>
    <n v="860"/>
    <s v="https://pbs.twimg.com/profile_images/1766836345450672128/HpuBz514_normal.jpg"/>
    <n v="0"/>
    <b v="0"/>
    <n v="120743"/>
    <n v="6748"/>
    <s v="{&quot;post_id&quot;:null,&quot;profile_id&quot;:null,&quot;profile_name&quot;:null}"/>
    <s v="null"/>
    <s v="null"/>
    <s v="{&quot;data_posted&quot;:null,&quot;description&quot;:null,&quot;photos&quot;:null,&quot;post_id&quot;:null,&quot;profile_id&quot;:null,&quot;profile_name&quot;:null,&quot;url&quot;:null,&quot;videos&quot;:null}"/>
    <n v="857536"/>
    <n v="9.0195841713963335E-3"/>
    <d v="2023-06-02T00:00:00"/>
    <n v="0.66762731481481485"/>
    <x v="1"/>
    <x v="15"/>
    <x v="0"/>
    <x v="0"/>
    <x v="0"/>
    <x v="0"/>
    <n v="343"/>
    <x v="1"/>
  </r>
  <r>
    <n v="1.8683930909368855E+18"/>
    <s v="Met███ole███"/>
    <s v="Met███ole███"/>
    <s v="➡️ Temendo protestos, corte militar gasta R$ 75 mil com armamentos_x000a__x000a_Com julgamentos de militares envolvidos em atos antidemocráticos no horizonte, STM abriu licitação para comprar espingardas e munição_x000a__x000a_Leia na coluna @igorgadelham:"/>
    <s v="&quot;2024-12-15T20:30:00.000Z&quot;"/>
    <s v="[&quot;https://pbs.twimg.com/media/Ge2IA8ZXcAA-a2F.png&quot;]"/>
    <s v="https://x.com/Metropoles/status/1868393090936885567"/>
    <s v="[{&quot;biography&quot;:null,&quot;followers&quot;:null,&quot;following&quot;:null,&quot;is_verified&quot;:null,&quot;profile_id&quot;:&quot;780846744615530496&quot;,&quot;profile_name&quot;:&quot;Igor Gadelha&quot;,&quot;url&quot;:&quot;https://x.com/igorgadelham&quot;}]"/>
    <n v="20"/>
    <n v="4"/>
    <n v="20"/>
    <n v="5118"/>
    <s v="https://curt.link/CJPHh"/>
    <s v="null"/>
    <n v="1239616"/>
    <s v="📱 O seu portal de notícias. Tudo sobre política, saúde, justiça, comportamento, entretenimento. Confira os fatos relevantes do país e do mundo em tempo real."/>
    <n v="402839"/>
    <s v="https://pbs.twimg.com/profile_images/1642966741138415647/fHdgQUGl_normal.jpg"/>
    <n v="1644"/>
    <b v="0"/>
    <n v="2"/>
    <n v="0"/>
    <s v="{&quot;post_id&quot;:null,&quot;profile_id&quot;:null,&quot;profile_name&quot;:null}"/>
    <s v="null"/>
    <s v="null"/>
    <s v="{&quot;data_posted&quot;:null,&quot;description&quot;:null,&quot;photos&quot;:null,&quot;post_id&quot;:null,&quot;profile_id&quot;:null,&quot;profile_name&quot;:null,&quot;url&quot;:null,&quot;videos&quot;:null}"/>
    <n v="46"/>
    <n v="8.9878858929269244E-3"/>
    <d v="2024-12-15T00:00:00"/>
    <n v="0.85416666666666663"/>
    <x v="0"/>
    <x v="3"/>
    <x v="0"/>
    <x v="0"/>
    <x v="0"/>
    <x v="0"/>
    <n v="232"/>
    <x v="0"/>
  </r>
  <r>
    <n v="1.8684394591354145E+18"/>
    <s v="Bre███ord███"/>
    <s v="Bre███ord███"/>
    <s v="🗨️ Sepp van den Berg on a 'frustrating' evening at Stamford Bridge_x000a__x000a_#CHEBRE | @pensionbee"/>
    <s v="&quot;2024-12-15T23:34:15.000Z&quot;"/>
    <s v="null"/>
    <s v="https://x.com/BrentfordFC/status/1868439459135414544"/>
    <s v="[{&quot;biography&quot;:null,&quot;followers&quot;:null,&quot;following&quot;:null,&quot;is_verified&quot;:null,&quot;profile_id&quot;:&quot;2919959547&quot;,&quot;profile_name&quot;:&quot;PensionBee UK&quot;,&quot;url&quot;:&quot;https://x.com/pensionbee&quot;}]"/>
    <n v="10"/>
    <n v="2"/>
    <n v="66"/>
    <n v="9146"/>
    <s v=""/>
    <s v="[&quot;CHEBRE&quot;]"/>
    <n v="376785"/>
    <s v="Chelsea away ⏳"/>
    <n v="106893"/>
    <s v="https://pbs.twimg.com/profile_images/1863925545009852417/pH2T1Sz8_normal.jpg"/>
    <n v="415"/>
    <b v="0"/>
    <n v="1"/>
    <n v="3"/>
    <s v="{&quot;post_id&quot;:null,&quot;profile_id&quot;:null,&quot;profile_name&quot;:null}"/>
    <s v="null"/>
    <s v="[{&quot;duration&quot;:196560,&quot;video_url&quot;:&quot;https://video.twimg.com/amplify_video/1868438498786541568/vid/avc1/1080x1080/jlFvGor_GNCf2D9W.mp4?tag=16&quot;}]"/>
    <s v="{&quot;data_posted&quot;:null,&quot;description&quot;:null,&quot;photos&quot;:null,&quot;post_id&quot;:null,&quot;profile_id&quot;:null,&quot;profile_name&quot;:null,&quot;url&quot;:null,&quot;videos&quot;:null}"/>
    <n v="82"/>
    <n v="8.9656680516072597E-3"/>
    <d v="2024-12-15T00:00:00"/>
    <n v="0.98211805555555554"/>
    <x v="0"/>
    <x v="7"/>
    <x v="1"/>
    <x v="1"/>
    <x v="1"/>
    <x v="0"/>
    <n v="89"/>
    <x v="2"/>
  </r>
  <r>
    <n v="1.8683471593490189E+18"/>
    <s v="spfl"/>
    <s v="SPFL"/>
    <s v="A huge moment from Nicolas Kühn puts @CelticFC ahead late on! 💪"/>
    <s v="&quot;2024-12-15T17:27:29.000Z&quot;"/>
    <s v="null"/>
    <s v="https://x.com/spfl/status/1868347159349018754"/>
    <s v="[{&quot;biography&quot;:null,&quot;followers&quot;:null,&quot;following&quot;:null,&quot;is_verified&quot;:null,&quot;profile_id&quot;:&quot;15203904&quot;,&quot;profile_name&quot;:&quot;Celtic Football Club&quot;,&quot;url&quot;:&quot;https://x.com/CelticFC&quot;}]"/>
    <n v="3"/>
    <n v="9"/>
    <n v="156"/>
    <n v="19056"/>
    <s v=""/>
    <s v="null"/>
    <n v="294711"/>
    <s v="Official Twitter/X account for the Scottish Professional Football League, sponsored by @WilliamHill."/>
    <n v="66342"/>
    <s v="https://pbs.twimg.com/profile_images/1798999022348496896/ZZU_hFqY_normal.jpg"/>
    <n v="1449"/>
    <b v="0"/>
    <n v="1"/>
    <n v="1"/>
    <s v="{&quot;post_id&quot;:null,&quot;profile_id&quot;:null,&quot;profile_name&quot;:null}"/>
    <s v="null"/>
    <s v="[{&quot;duration&quot;:88256,&quot;video_url&quot;:&quot;https://video.twimg.com/amplify_video/1868346370509213696/vid/avc1/1280x720/p8SPqd6iRlHL2A9t.mp4?tag=16&quot;}]"/>
    <s v="{&quot;data_posted&quot;:null,&quot;description&quot;:null,&quot;photos&quot;:null,&quot;post_id&quot;:null,&quot;profile_id&quot;:null,&quot;profile_name&quot;:null,&quot;url&quot;:null,&quot;videos&quot;:null}"/>
    <n v="170"/>
    <n v="8.9210747271200666E-3"/>
    <d v="2024-12-15T00:00:00"/>
    <n v="0.72741898148148143"/>
    <x v="0"/>
    <x v="12"/>
    <x v="1"/>
    <x v="1"/>
    <x v="0"/>
    <x v="0"/>
    <n v="63"/>
    <x v="2"/>
  </r>
  <r>
    <n v="1.8684320971042696E+18"/>
    <s v="ufc"/>
    <s v="UFC"/>
    <s v="Going the distance is never in his plans 🔥 #UFCTampa _x000a__x000a_MOST LIGHTWEIGHT FINISHES - 2019 to Present_x000a_8 - Charles Oliveira_x000a_7 - @JoelElfeNomeno1 _x000a_7 - Drew Dober_x000a_7 - Jim Miller"/>
    <s v="&quot;2024-12-15T23:05:00.000Z&quot;"/>
    <s v="[&quot;https://pbs.twimg.com/media/Ge0g3XZWIAApYUg.jpg&quot;,&quot;https://pbs.twimg.com/media/Ge0g45-XQAElUIe.jpg&quot;,&quot;https://pbs.twimg.com/media/Ge0g6_CXwAAwmFx.jpg&quot;,&quot;https://pbs.twimg.com/media/Ge0g8Y-W0AAiEQM.jpg&quot;]"/>
    <s v="https://x.com/ufc/status/1868432097104269522"/>
    <s v="[{&quot;biography&quot;:null,&quot;followers&quot;:null,&quot;following&quot;:null,&quot;is_verified&quot;:null,&quot;profile_id&quot;:&quot;1286289526672031755&quot;,&quot;profile_name&quot;:&quot;joelelfenomenoalvarez&quot;,&quot;url&quot;:&quot;https://x.com/joelelfenomeno1&quot;}]"/>
    <n v="30"/>
    <n v="57"/>
    <n v="763"/>
    <n v="97382"/>
    <s v=""/>
    <s v="[&quot;UFCTampa&quot;]"/>
    <n v="12876593"/>
    <s v="#UFCTampa | Covington vs Buckley | December 14 | 10pmET | LIVE on @ESPNPlus"/>
    <n v="141401"/>
    <s v="https://pbs.twimg.com/profile_images/1835773190385328128/4fVrF1UI_normal.jpg"/>
    <n v="717"/>
    <b v="0"/>
    <n v="1"/>
    <n v="15"/>
    <s v="{&quot;post_id&quot;:null,&quot;profile_id&quot;:null,&quot;profile_name&quot;:null}"/>
    <s v="null"/>
    <s v="null"/>
    <s v="{&quot;data_posted&quot;:null,&quot;description&quot;:null,&quot;photos&quot;:null,&quot;post_id&quot;:null,&quot;profile_id&quot;:null,&quot;profile_name&quot;:null,&quot;url&quot;:null,&quot;videos&quot;:null}"/>
    <n v="866"/>
    <n v="8.892813867039084E-3"/>
    <d v="2024-12-15T00:00:00"/>
    <n v="0.96180555555555558"/>
    <x v="0"/>
    <x v="7"/>
    <x v="0"/>
    <x v="0"/>
    <x v="1"/>
    <x v="0"/>
    <n v="171"/>
    <x v="1"/>
  </r>
  <r>
    <n v="1.8659850702820188E+18"/>
    <s v="NBA"/>
    <s v="NBA"/>
    <s v="@Bucks @hornets @MiamiHEAT @nuggets @OrlandoMagic Wemby comes up big late to power the @spurs to victory!_x000a__x000a_Stephon Castle: 22 PTS_x000a_Charles Bassey: 16 PTS, 12 REB, 4 BLK_x000a_Chris Paul: 10 AST (moves to 2nd all-time)"/>
    <s v="&quot;2024-12-09T05:01:23.000Z&quot;"/>
    <s v="[&quot;https://pbs.twimg.com/media/GeVOsOFW4AAtl0j.jpg&quot;]"/>
    <s v="https://x.com/NBA/status/1865985070282018904"/>
    <s v="[{&quot;biography&quot;:null,&quot;followers&quot;:null,&quot;following&quot;:null,&quot;is_verified&quot;:null,&quot;profile_id&quot;:&quot;15900167&quot;,&quot;profile_name&quot;:&quot;Milwaukee Bucks&quot;,&quot;url&quot;:&quot;https://x.com/Bucks&quot;},{&quot;biography&quot;:null,&quot;followers&quot;:null,&quot;following&quot;:null,&quot;is_verified&quot;:null,&quot;profile_id&quot;:&quot;21308488&quot;,&quot;profile_name&quot;:&quot;Charlotte Hornets&quot;,&quot;url&quot;:&quot;https://x.com/hornets&quot;},{&quot;biography&quot;:null,&quot;followers&quot;:null,&quot;following&quot;:null,&quot;is_verified&quot;:null,&quot;profile_id&quot;:&quot;11026952&quot;,&quot;profile_name&quot;:&quot;Miami HEAT&quot;,&quot;url&quot;:&quot;https://x.com/MiamiHEAT&quot;},{&quot;biography&quot;:null,&quot;followers&quot;:null,&quot;following&quot;:null,&quot;is_verified&quot;:null,&quot;profile_id&quot;:&quot;26074296&quot;,&quot;profile_name&quot;:&quot;Denver Nuggets&quot;,&quot;url&quot;:&quot;https://x.com/nuggets&quot;},{&quot;biography&quot;:null,&quot;followers&quot;:null,&quot;following&quot;:null,&quot;is_verified&quot;:null,&quot;profile_id&quot;:&quot;19537303&quot;,&quot;profile_name&quot;:&quot;Orlando Magic&quot;,&quot;url&quot;:&quot;https://x.com/OrlandoMagic&quot;},{&quot;biography&quot;:null,&quot;followers&quot;:null,&quot;following&quot;:null,&quot;is_verified&quot;:null,&quot;profile_id&quot;:&quot;18371803&quot;,&quot;profile_name&quot;:&quot;San Antonio Spurs&quot;,&quot;url&quot;:&quot;https://x.com/spurs&quot;}]"/>
    <n v="20"/>
    <n v="56"/>
    <n v="252"/>
    <n v="38420"/>
    <s v=""/>
    <s v="null"/>
    <n v="47706829"/>
    <s v="The #EmiratesNBACup Championship Game will take place Tuesday, 12/17 in Vegas! 🏆 8:30pm/et on ABC: Bucks/Thunder"/>
    <n v="367152"/>
    <s v="https://pbs.twimg.com/profile_images/1868174380468981760/m0FEipd2_normal.jpg"/>
    <n v="2012"/>
    <b v="0"/>
    <n v="5"/>
    <n v="8"/>
    <s v="{&quot;post_id&quot;:&quot;1865983794068795687&quot;,&quot;profile_id&quot;:&quot;19923144&quot;,&quot;profile_name&quot;:&quot;NBA&quot;}"/>
    <s v="null"/>
    <s v="null"/>
    <s v="{&quot;data_posted&quot;:null,&quot;description&quot;:null,&quot;photos&quot;:null,&quot;post_id&quot;:null,&quot;profile_id&quot;:null,&quot;profile_name&quot;:null,&quot;url&quot;:null,&quot;videos&quot;:null}"/>
    <n v="341"/>
    <n v="8.8755856324830816E-3"/>
    <d v="2024-12-09T00:00:00"/>
    <n v="0.20929398148148148"/>
    <x v="2"/>
    <x v="22"/>
    <x v="0"/>
    <x v="0"/>
    <x v="0"/>
    <x v="0"/>
    <n v="210"/>
    <x v="1"/>
  </r>
  <r>
    <n v="1.8657499234355118E+18"/>
    <s v="kann"/>
    <s v="כאן"/>
    <s v="אתם לא תאמינו כמה קרולינה טובה בלעשות חצוצרה_x000a__x000a_מתוך ההסכת 1+1 עם אסף ליברמן @asaf_lib:"/>
    <s v="&quot;2024-12-08T13:27:00.000Z&quot;"/>
    <s v="null"/>
    <s v="https://x.com/kann/status/1865749923435511830"/>
    <s v="[{&quot;biography&quot;:null,&quot;followers&quot;:null,&quot;following&quot;:null,&quot;is_verified&quot;:null,&quot;profile_id&quot;:&quot;261305739&quot;,&quot;profile_name&quot;:&quot;אסף ליברמן&quot;,&quot;url&quot;:&quot;https://x.com/asaf_lib&quot;}]"/>
    <n v="2"/>
    <n v="2"/>
    <n v="44"/>
    <n v="5634"/>
    <s v="https://bit.ly/3VtfIX2"/>
    <s v="null"/>
    <n v="182895"/>
    <s v="אנחנו כאן ❤️"/>
    <n v="30781"/>
    <s v="https://pbs.twimg.com/profile_images/1843516623740633088/WbeaAr02_normal.jpg"/>
    <n v="559"/>
    <b v="0"/>
    <n v="0"/>
    <n v="2"/>
    <s v="{&quot;post_id&quot;:null,&quot;profile_id&quot;:null,&quot;profile_name&quot;:null}"/>
    <s v="null"/>
    <s v="[{&quot;duration&quot;:65626,&quot;video_url&quot;:&quot;https://video.twimg.com/amplify_video/1865737877948108800/vid/avc1/720x1280/FG456ZY69uXD2Gnq.mp4?tag=14&quot;}]"/>
    <s v="{&quot;data_posted&quot;:null,&quot;description&quot;:null,&quot;photos&quot;:null,&quot;post_id&quot;:null,&quot;profile_id&quot;:null,&quot;profile_name&quot;:null,&quot;url&quot;:null,&quot;videos&quot;:null}"/>
    <n v="50"/>
    <n v="8.8746893858714943E-3"/>
    <d v="2024-12-08T00:00:00"/>
    <n v="0.56041666666666667"/>
    <x v="0"/>
    <x v="14"/>
    <x v="1"/>
    <x v="1"/>
    <x v="0"/>
    <x v="0"/>
    <n v="85"/>
    <x v="2"/>
  </r>
  <r>
    <n v="1.8682707840089216E+18"/>
    <s v="afc███rne███th"/>
    <s v="AFC███urn███uth██████"/>
    <s v="The second-ever hat-trick in our @premierleague history 🔥"/>
    <s v="&quot;2024-12-15T12:24:00.000Z&quot;"/>
    <s v="null"/>
    <s v="https://x.com/afcbournemouth/status/1868270784008921527"/>
    <s v="[{&quot;biography&quot;:null,&quot;followers&quot;:null,&quot;following&quot;:null,&quot;is_verified&quot;:null,&quot;profile_id&quot;:&quot;343627165&quot;,&quot;profile_name&quot;:&quot;Premier League&quot;,&quot;url&quot;:&quot;https://x.com/premierleague&quot;}]"/>
    <n v="10"/>
    <n v="7"/>
    <n v="294"/>
    <n v="35659"/>
    <s v=""/>
    <s v="null"/>
    <n v="723805"/>
    <s v="Together, anything is possible 🍒"/>
    <n v="82452"/>
    <s v="https://pbs.twimg.com/profile_images/1764607912201097216/lo4jHcZ-_normal.jpg"/>
    <n v="118"/>
    <b v="0"/>
    <n v="1"/>
    <n v="3"/>
    <s v="{&quot;post_id&quot;:null,&quot;profile_id&quot;:null,&quot;profile_name&quot;:null}"/>
    <s v="null"/>
    <s v="[{&quot;duration&quot;:74774,&quot;video_url&quot;:&quot;https://video.twimg.com/ext_tw_video/1867530495644368896/pu/vid/avc1/720x720/Sgyy5C9C7_BI6VvD.mp4?tag=12&quot;}]"/>
    <s v="{&quot;data_posted&quot;:null,&quot;description&quot;:null,&quot;photos&quot;:null,&quot;post_id&quot;:null,&quot;profile_id&quot;:null,&quot;profile_name&quot;:null,&quot;url&quot;:null,&quot;videos&quot;:null}"/>
    <n v="315"/>
    <n v="8.8336745281696067E-3"/>
    <d v="2024-12-15T00:00:00"/>
    <n v="0.51666666666666672"/>
    <x v="0"/>
    <x v="0"/>
    <x v="1"/>
    <x v="1"/>
    <x v="0"/>
    <x v="0"/>
    <n v="57"/>
    <x v="2"/>
  </r>
  <r>
    <n v="1.8659782030196616E+18"/>
    <s v="FAM███lay███"/>
    <s v="FA ███ays███"/>
    <s v="Debut Harimau Malaya_x000a__x000a_Dua pemain, Jimmy Raymond, 28, dan G. Pavithran, 19, memperoleh caps pertama bersama skuad kebangsaan pada perlawanan Piala Mitsubishi Electric ASEAN 2024 bertemu Kemboja di Stadium Olimpik, Phnom Penh, semalam._x000a__x000a_#FAM #HarimauMalaya #MitsubishiElectricCup"/>
    <s v="&quot;2024-12-09T04:34:06.000Z&quot;"/>
    <s v="[&quot;https://pbs.twimg.com/media/GeVJSBGasAAZxyt.jpg&quot;]"/>
    <s v="https://x.com/FAM_Malaysia/status/1865978203019661597"/>
    <s v="null"/>
    <n v="37"/>
    <n v="24"/>
    <n v="172"/>
    <n v="27472"/>
    <s v=""/>
    <s v="[&quot;FAM&quot;,&quot;HarimauMalaya&quot;,&quot;MitsubishiElectricCup&quot;]"/>
    <n v="186451"/>
    <s v="Official Twitter of Football Association of Malaysia (FAM)"/>
    <n v="20250"/>
    <s v="https://pbs.twimg.com/profile_images/1593128135565852672/iZVtNJcL_normal.jpg"/>
    <n v="62"/>
    <b v="0"/>
    <n v="7"/>
    <n v="2"/>
    <s v="{&quot;post_id&quot;:null,&quot;profile_id&quot;:null,&quot;profile_name&quot;:null}"/>
    <s v="null"/>
    <s v="null"/>
    <s v="{&quot;data_posted&quot;:null,&quot;description&quot;:null,&quot;photos&quot;:null,&quot;post_id&quot;:null,&quot;profile_id&quot;:null,&quot;profile_name&quot;:null,&quot;url&quot;:null,&quot;videos&quot;:null}"/>
    <n v="242"/>
    <n v="8.8089691322073387E-3"/>
    <d v="2024-12-09T00:00:00"/>
    <n v="0.19034722222222222"/>
    <x v="2"/>
    <x v="9"/>
    <x v="0"/>
    <x v="0"/>
    <x v="1"/>
    <x v="0"/>
    <n v="277"/>
    <x v="2"/>
  </r>
  <r>
    <n v="1.8660867356852308E+18"/>
    <s v="kann"/>
    <s v="כאן"/>
    <s v="ניב סולטן וששון גבאי מספרים מה שאפשר על העונה החדשה _x000a__x000a_הערב #טהרן עונה 3 פרק 1 אחרי החדשות בכאן 11 ובכאן BOX_x000a_@TElmalach"/>
    <s v="&quot;2024-12-09T11:45:22.000Z&quot;"/>
    <s v="null"/>
    <s v="https://x.com/kann/status/1866086735685230833"/>
    <s v="[{&quot;biography&quot;:null,&quot;followers&quot;:null,&quot;following&quot;:null,&quot;is_verified&quot;:null,&quot;profile_id&quot;:&quot;1262803817751547910&quot;,&quot;profile_name&quot;:&quot;TimorElmalach - תימור אלמלח&quot;,&quot;url&quot;:&quot;https://x.com/TElmalach&quot;}]"/>
    <n v="3"/>
    <n v="1"/>
    <n v="21"/>
    <n v="3323"/>
    <s v=""/>
    <s v="[&quot;טהרן&quot;]"/>
    <n v="182895"/>
    <s v="אנחנו כאן ❤️"/>
    <n v="30781"/>
    <s v="https://pbs.twimg.com/profile_images/1843516623740633088/WbeaAr02_normal.jpg"/>
    <n v="559"/>
    <b v="0"/>
    <n v="3"/>
    <n v="1"/>
    <s v="{&quot;post_id&quot;:null,&quot;profile_id&quot;:null,&quot;profile_name&quot;:null}"/>
    <s v="null"/>
    <s v="[{&quot;duration&quot;:246840,&quot;video_url&quot;:&quot;https://video.twimg.com/amplify_video/1866043108330213376/vid/avc1/1280x720/wsBynKRYbncXn9Ul.mp4?tag=14&quot;}]"/>
    <s v="{&quot;data_posted&quot;:null,&quot;description&quot;:null,&quot;photos&quot;:null,&quot;post_id&quot;:null,&quot;profile_id&quot;:null,&quot;profile_name&quot;:null,&quot;url&quot;:null,&quot;videos&quot;:null}"/>
    <n v="29"/>
    <n v="8.7270538669876625E-3"/>
    <d v="2024-12-09T00:00:00"/>
    <n v="0.48983796296296295"/>
    <x v="2"/>
    <x v="16"/>
    <x v="1"/>
    <x v="1"/>
    <x v="1"/>
    <x v="0"/>
    <n v="118"/>
    <x v="2"/>
  </r>
  <r>
    <n v="1.8676290806588175E+18"/>
    <s v="Bro███ynN███"/>
    <s v="Bro███yn ███s"/>
    <s v="had to get our guys mic’d up last week for the @LongIslandNets game so we could catch all the sideline banter 😂"/>
    <s v="&quot;2024-12-13T17:54:06.000Z&quot;"/>
    <s v="null"/>
    <s v="https://x.com/BrooklynNets/status/1867629080658817438"/>
    <s v="[{&quot;biography&quot;:null,&quot;followers&quot;:null,&quot;following&quot;:null,&quot;is_verified&quot;:null,&quot;profile_id&quot;:&quot;3386051303&quot;,&quot;profile_name&quot;:&quot;Long Island Nets&quot;,&quot;url&quot;:&quot;https://x.com/LongIslandNets&quot;}]"/>
    <n v="3"/>
    <n v="7"/>
    <n v="93"/>
    <n v="12803"/>
    <s v=""/>
    <s v="null"/>
    <n v="2035097"/>
    <s v="Tweets from #NetsWorld"/>
    <n v="106867"/>
    <s v="https://pbs.twimg.com/profile_images/1811024920870277122/1wQgAUZH_normal.jpg"/>
    <n v="411"/>
    <b v="0"/>
    <n v="2"/>
    <n v="6"/>
    <s v="{&quot;post_id&quot;:null,&quot;profile_id&quot;:null,&quot;profile_name&quot;:null}"/>
    <s v="null"/>
    <s v="[{&quot;duration&quot;:79496,&quot;video_url&quot;:&quot;https://video.twimg.com/ext_tw_video/1867628288316682240/pu/vid/avc1/1280x720/uMhj2_cryxu0fMHQ.mp4?tag=12&quot;}]"/>
    <s v="{&quot;data_posted&quot;:null,&quot;description&quot;:null,&quot;photos&quot;:null,&quot;post_id&quot;:null,&quot;profile_id&quot;:null,&quot;profile_name&quot;:null,&quot;url&quot;:null,&quot;videos&quot;:null}"/>
    <n v="111"/>
    <n v="8.6698430055455744E-3"/>
    <d v="2024-12-13T00:00:00"/>
    <n v="0.7459027777777778"/>
    <x v="1"/>
    <x v="12"/>
    <x v="1"/>
    <x v="1"/>
    <x v="0"/>
    <x v="0"/>
    <n v="111"/>
    <x v="0"/>
  </r>
  <r>
    <n v="1.8682345509894922E+18"/>
    <s v="Ran███sFC███"/>
    <s v="Ran███s F███bal█████████"/>
    <s v="⏪ Gabriel Amato v Celtic_x000a__x000a_🏠 #Ibrox125"/>
    <s v="&quot;2024-12-15T10:00:01.000Z&quot;"/>
    <s v="null"/>
    <s v="https://x.com/RangersFC/status/1868234550989492280"/>
    <s v="null"/>
    <n v="14"/>
    <n v="32"/>
    <n v="372"/>
    <n v="48888"/>
    <s v=""/>
    <s v="[&quot;Ibrox125&quot;]"/>
    <n v="812163"/>
    <s v="The Home of #RangersFC 💙"/>
    <n v="110924"/>
    <s v="https://pbs.twimg.com/profile_images/1856633703734112256/PBlqGEwC_normal.jpg"/>
    <n v="322"/>
    <b v="0"/>
    <n v="3"/>
    <n v="2"/>
    <s v="{&quot;post_id&quot;:null,&quot;profile_id&quot;:null,&quot;profile_name&quot;:null}"/>
    <s v="null"/>
    <s v="[{&quot;duration&quot;:68452,&quot;video_url&quot;:&quot;https://video.twimg.com/amplify_video/1867617075734126593/vid/avc1/1280x720/YbVeVdromY4ST5Me.mp4?tag=14&quot;}]"/>
    <s v="{&quot;data_posted&quot;:null,&quot;description&quot;:null,&quot;photos&quot;:null,&quot;post_id&quot;:null,&quot;profile_id&quot;:null,&quot;profile_name&quot;:null,&quot;url&quot;:null,&quot;videos&quot;:null}"/>
    <n v="423"/>
    <n v="8.652430044182622E-3"/>
    <d v="2024-12-15T00:00:00"/>
    <n v="0.41667824074074072"/>
    <x v="0"/>
    <x v="17"/>
    <x v="1"/>
    <x v="1"/>
    <x v="1"/>
    <x v="0"/>
    <n v="37"/>
    <x v="2"/>
  </r>
  <r>
    <n v="1.8681478394294728E+18"/>
    <s v="ufc"/>
    <s v="UFC"/>
    <s v="REMAINS UNDEFEATED 👏_x000a__x000a_Daniel Marcos takes the Split Decision at #UFCTampa"/>
    <s v="&quot;2024-12-15T04:15:28.000Z&quot;"/>
    <s v="null"/>
    <s v="https://x.com/ufc/status/1868147839429472650"/>
    <s v="null"/>
    <n v="133"/>
    <n v="83"/>
    <n v="898"/>
    <n v="131529"/>
    <s v=""/>
    <s v="[&quot;UFCTampa&quot;]"/>
    <n v="12876593"/>
    <s v="#UFCTampa | Covington vs Buckley | December 14 | 10pmET | LIVE on @ESPNPlus"/>
    <n v="141401"/>
    <s v="https://pbs.twimg.com/profile_images/1835773190385328128/4fVrF1UI_normal.jpg"/>
    <n v="717"/>
    <b v="0"/>
    <n v="12"/>
    <n v="12"/>
    <s v="{&quot;post_id&quot;:null,&quot;profile_id&quot;:null,&quot;profile_name&quot;:null}"/>
    <s v="null"/>
    <s v="[{&quot;duration&quot;:37967,&quot;video_url&quot;:&quot;https://video.twimg.com/ext_tw_video/1868147774820118528/pu/vid/avc1/720x720/QmNhiuCir_VocksH.mp4?tag=12&quot;}]"/>
    <s v="{&quot;data_posted&quot;:null,&quot;description&quot;:null,&quot;photos&quot;:null,&quot;post_id&quot;:null,&quot;profile_id&quot;:null,&quot;profile_name&quot;:null,&quot;url&quot;:null,&quot;videos&quot;:null}"/>
    <n v="1138"/>
    <n v="8.652084331212128E-3"/>
    <d v="2024-12-15T00:00:00"/>
    <n v="0.1774074074074074"/>
    <x v="0"/>
    <x v="9"/>
    <x v="1"/>
    <x v="1"/>
    <x v="1"/>
    <x v="0"/>
    <n v="73"/>
    <x v="1"/>
  </r>
  <r>
    <n v="1.8684113892508754E+18"/>
    <s v="nyp███"/>
    <s v="New███rk ███t"/>
    <s v="Mayorkas blames drone uproar on recent FAA flight-rule change: ‘We know of no foreign involvement’"/>
    <s v="&quot;2024-12-15T21:42:43.000Z&quot;"/>
    <s v="[&quot;https://pbs.twimg.com/media/Ge3uQclXQAA97aU.jpg&quot;]"/>
    <s v="https://x.com/nypost/status/1868411389250875520"/>
    <s v="null"/>
    <n v="152"/>
    <n v="28"/>
    <n v="102"/>
    <n v="34559"/>
    <s v="https://trib.al/2cyczVO"/>
    <s v="null"/>
    <n v="3313886"/>
    <s v="Breaking news &amp; features from The New York Post. Follow your favorite sections: @pagesix, @nypmetro, @nypostbiz, @nypostsports, @nypfashion, @nypostopinion"/>
    <n v="706459"/>
    <s v="https://pbs.twimg.com/profile_images/966372680306868224/60wfGe9e_normal.jpg"/>
    <n v="10308"/>
    <b v="0"/>
    <n v="10"/>
    <n v="7"/>
    <s v="{&quot;post_id&quot;:null,&quot;profile_id&quot;:null,&quot;profile_name&quot;:null}"/>
    <s v="null"/>
    <s v="null"/>
    <s v="{&quot;data_posted&quot;:null,&quot;description&quot;:null,&quot;photos&quot;:null,&quot;post_id&quot;:null,&quot;profile_id&quot;:null,&quot;profile_name&quot;:null,&quot;url&quot;:null,&quot;videos&quot;:null}"/>
    <n v="299"/>
    <n v="8.6518707138516747E-3"/>
    <d v="2024-12-15T00:00:00"/>
    <n v="0.9046643518518519"/>
    <x v="0"/>
    <x v="10"/>
    <x v="0"/>
    <x v="0"/>
    <x v="0"/>
    <x v="0"/>
    <n v="98"/>
    <x v="0"/>
  </r>
  <r>
    <n v="1.8683579337232594E+18"/>
    <s v="Man███y"/>
    <s v="Man███ste███ity███"/>
    <s v="77. CITY SUB | Grealish comes on for Doku 🔄_x000a__x000a_🩵 1-0 🔴 #ManCity"/>
    <s v="&quot;2024-12-15T18:10:18.000Z&quot;"/>
    <s v="[&quot;https://pbs.twimg.com/media/Ge29ohfWgAIXTLf.jpg&quot;]"/>
    <s v="https://x.com/ManCity/status/1868357933723259329"/>
    <s v="null"/>
    <n v="59"/>
    <n v="75"/>
    <n v="668"/>
    <n v="94482"/>
    <s v=""/>
    <s v="[&quot;ManCity&quot;]"/>
    <n v="17891377"/>
    <s v="WATCH TOGETHER: 4-IN-A-ROW 🍿"/>
    <n v="168939"/>
    <s v="https://pbs.twimg.com/profile_images/1856263834400358400/RysToJDu_normal.png"/>
    <n v="47365"/>
    <b v="0"/>
    <n v="6"/>
    <n v="4"/>
    <s v="{&quot;post_id&quot;:null,&quot;profile_id&quot;:null,&quot;profile_name&quot;:null}"/>
    <s v="null"/>
    <s v="null"/>
    <s v="{&quot;data_posted&quot;:null,&quot;description&quot;:null,&quot;photos&quot;:null,&quot;post_id&quot;:null,&quot;profile_id&quot;:null,&quot;profile_name&quot;:null,&quot;url&quot;:null,&quot;videos&quot;:null}"/>
    <n v="812"/>
    <n v="8.5942295887047274E-3"/>
    <d v="2024-12-15T00:00:00"/>
    <n v="0.75715277777777779"/>
    <x v="0"/>
    <x v="8"/>
    <x v="0"/>
    <x v="0"/>
    <x v="1"/>
    <x v="0"/>
    <n v="61"/>
    <x v="1"/>
  </r>
  <r>
    <n v="1.8684150321213115E+18"/>
    <s v="nyp███"/>
    <s v="New███rk ███t"/>
    <s v="Charlamagne tha God gives reality check to people celebrating UnitedHealthcare CEO’s killing: ‘Why are you happy’"/>
    <s v="&quot;2024-12-15T21:57:11.000Z&quot;"/>
    <s v="[&quot;https://pbs.twimg.com/media/Ge3xke3XMAAk9V5.jpg&quot;]"/>
    <s v="https://x.com/nypost/status/1868415032121311531"/>
    <s v="null"/>
    <n v="30"/>
    <n v="21"/>
    <n v="149"/>
    <n v="24203"/>
    <s v="https://trib.al/0WDtwGt"/>
    <s v="null"/>
    <n v="3313886"/>
    <s v="Breaking news &amp; features from The New York Post. Follow your favorite sections: @pagesix, @nypmetro, @nypostbiz, @nypostsports, @nypfashion, @nypostopinion"/>
    <n v="706459"/>
    <s v="https://pbs.twimg.com/profile_images/966372680306868224/60wfGe9e_normal.jpg"/>
    <n v="10308"/>
    <b v="0"/>
    <n v="1"/>
    <n v="7"/>
    <s v="{&quot;post_id&quot;:null,&quot;profile_id&quot;:null,&quot;profile_name&quot;:null}"/>
    <s v="null"/>
    <s v="null"/>
    <s v="{&quot;data_posted&quot;:null,&quot;description&quot;:null,&quot;photos&quot;:null,&quot;post_id&quot;:null,&quot;profile_id&quot;:null,&quot;profile_name&quot;:null,&quot;url&quot;:null,&quot;videos&quot;:null}"/>
    <n v="208"/>
    <n v="8.5939759533942076E-3"/>
    <d v="2024-12-15T00:00:00"/>
    <n v="0.91471064814814818"/>
    <x v="0"/>
    <x v="10"/>
    <x v="0"/>
    <x v="0"/>
    <x v="0"/>
    <x v="0"/>
    <n v="113"/>
    <x v="0"/>
  </r>
  <r>
    <n v="1.8682183358901988E+18"/>
    <s v="Cov███Sho███"/>
    <s v="H I███tto███"/>
    <s v="***UPDATE***_x000a__x000a_Guide To Iran's Navy &amp;amp; IRGC's Drone Carriers, Forward Base Ships, and Covert Intelligence Ships -&amp;gt;"/>
    <s v="&quot;2024-12-15T08:55:35.000Z&quot;"/>
    <s v="[&quot;https://pbs.twimg.com/media/Ge0-QbxX0AEMTzg.jpg&quot;,&quot;https://pbs.twimg.com/media/Ge0-S2xWIAAwXQU.jpg&quot;,&quot;https://pbs.twimg.com/media/Ge0-VaDXIAABa08.jpg&quot;,&quot;https://pbs.twimg.com/media/Ge0-agdXAAADPwf.jpg&quot;]"/>
    <s v="https://x.com/CovertShores/status/1868218335890198660"/>
    <s v="null"/>
    <n v="5"/>
    <n v="46"/>
    <n v="216"/>
    <n v="37468"/>
    <s v="http://www.hisutton.com/Iran-Navy-IRGC-Forward-Base-Ships.html"/>
    <s v="[&quot;OSINT&quot;]"/>
    <n v="218510"/>
    <s v="Independent Defense Analysis, Unconventional Naval Warfare, author, submarines, #OSINT, illustrations. Mostly typos"/>
    <n v="32811"/>
    <s v="https://pbs.twimg.com/profile_images/1681257086586585088/BDYhidN1_normal.jpg"/>
    <n v="603"/>
    <b v="0"/>
    <n v="5"/>
    <n v="49"/>
    <s v="{&quot;post_id&quot;:null,&quot;profile_id&quot;:null,&quot;profile_name&quot;:null}"/>
    <s v="null"/>
    <s v="null"/>
    <s v="{&quot;data_posted&quot;:null,&quot;description&quot;:null,&quot;photos&quot;:null,&quot;post_id&quot;:null,&quot;profile_id&quot;:null,&quot;profile_name&quot;:null,&quot;url&quot;:null,&quot;videos&quot;:null}"/>
    <n v="321"/>
    <n v="8.5673107718586532E-3"/>
    <d v="2024-12-15T00:00:00"/>
    <n v="0.37193287037037037"/>
    <x v="0"/>
    <x v="6"/>
    <x v="0"/>
    <x v="0"/>
    <x v="1"/>
    <x v="0"/>
    <n v="119"/>
    <x v="2"/>
  </r>
  <r>
    <n v="1.8664940767717952E+18"/>
    <s v="kann"/>
    <s v="כאן"/>
    <s v="מחר בדו&quot;ח רולניק: מאחורי הקלעים של משפט נתניהו_x000a_@grolnik"/>
    <s v="&quot;2024-12-10T14:44:00.000Z&quot;"/>
    <s v="null"/>
    <s v="https://x.com/kann/status/1866494076771795128"/>
    <s v="[{&quot;biography&quot;:null,&quot;followers&quot;:null,&quot;following&quot;:null,&quot;is_verified&quot;:null,&quot;profile_id&quot;:&quot;241435654&quot;,&quot;profile_name&quot;:&quot;Guy Rolnik&quot;,&quot;url&quot;:&quot;https://x.com/grolnik&quot;}]"/>
    <n v="12"/>
    <n v="11"/>
    <n v="80"/>
    <n v="12734"/>
    <s v=""/>
    <s v="null"/>
    <n v="182895"/>
    <s v="אנחנו כאן ❤️"/>
    <n v="30781"/>
    <s v="https://pbs.twimg.com/profile_images/1843516623740633088/WbeaAr02_normal.jpg"/>
    <n v="559"/>
    <b v="0"/>
    <n v="1"/>
    <n v="5"/>
    <s v="{&quot;post_id&quot;:null,&quot;profile_id&quot;:null,&quot;profile_name&quot;:null}"/>
    <s v="null"/>
    <s v="[{&quot;duration&quot;:52200,&quot;video_url&quot;:&quot;https://video.twimg.com/amplify_video/1866468289431420928/vid/avc1/1280x720/Mg36p9DXTrAzhUpF.mp4?tag=14&quot;}]"/>
    <s v="{&quot;data_posted&quot;:null,&quot;description&quot;:null,&quot;photos&quot;:null,&quot;post_id&quot;:null,&quot;profile_id&quot;:null,&quot;profile_name&quot;:null,&quot;url&quot;:null,&quot;videos&quot;:null}"/>
    <n v="109"/>
    <n v="8.5597612690435053E-3"/>
    <d v="2024-12-10T00:00:00"/>
    <n v="0.61388888888888893"/>
    <x v="3"/>
    <x v="1"/>
    <x v="1"/>
    <x v="1"/>
    <x v="0"/>
    <x v="0"/>
    <n v="55"/>
    <x v="2"/>
  </r>
  <r>
    <n v="1.8681612840486589E+18"/>
    <s v="ufc"/>
    <s v="UFC"/>
    <s v="ARE YOU GUYS WATCHING THIS?! _x000a__x000a_[ #UFCTampa is LIVE on @ESPNPlus &amp;amp; ESPN2 ]"/>
    <s v="&quot;2024-12-15T05:08:53.000Z&quot;"/>
    <s v="null"/>
    <s v="https://x.com/ufc/status/1868161284048658844"/>
    <s v="[{&quot;biography&quot;:null,&quot;followers&quot;:null,&quot;following&quot;:null,&quot;is_verified&quot;:null,&quot;profile_id&quot;:&quot;1044284694387412992&quot;,&quot;profile_name&quot;:&quot;ESPN+&quot;,&quot;url&quot;:&quot;https://x.com/ESPNPlus&quot;}]"/>
    <n v="166"/>
    <n v="364"/>
    <n v="4515"/>
    <n v="621346"/>
    <s v=""/>
    <s v="[&quot;UFCTampa&quot;]"/>
    <n v="12876592"/>
    <s v="#UFCTampa | Covington vs Buckley | December 14 | 10pmET | LIVE on @ESPNPlus"/>
    <n v="141401"/>
    <s v="https://pbs.twimg.com/profile_images/1835773190385328128/4fVrF1UI_normal.jpg"/>
    <n v="717"/>
    <b v="0"/>
    <n v="59"/>
    <n v="188"/>
    <s v="{&quot;post_id&quot;:null,&quot;profile_id&quot;:null,&quot;profile_name&quot;:null}"/>
    <s v="null"/>
    <s v="[{&quot;duration&quot;:23067,&quot;video_url&quot;:&quot;https://video.twimg.com/ext_tw_video/1868161247008509952/pu/vid/avc1/720x720/f-QcwPGnRICj9R2y.mp4?tag=12&quot;}]"/>
    <s v="{&quot;data_posted&quot;:null,&quot;description&quot;:null,&quot;photos&quot;:null,&quot;post_id&quot;:null,&quot;profile_id&quot;:null,&quot;profile_name&quot;:null,&quot;url&quot;:null,&quot;videos&quot;:null}"/>
    <n v="5292"/>
    <n v="8.516993752273291E-3"/>
    <d v="2024-12-15T00:00:00"/>
    <n v="0.21450231481481483"/>
    <x v="0"/>
    <x v="22"/>
    <x v="1"/>
    <x v="1"/>
    <x v="1"/>
    <x v="0"/>
    <n v="77"/>
    <x v="1"/>
  </r>
  <r>
    <n v="1.8680862819783805E+18"/>
    <s v="Lig███A"/>
    <s v="Lig███rof███ona█████████ol"/>
    <s v="¡Paridad total en La Bombonera! _x000a__x000a_@BocaJrsOficial e @Independiente empataron 0 a 0 por la #fecha27 del #TorneoBetano 2024 🏆_x000a__x000a_📷 Prensa clubes"/>
    <s v="&quot;2024-12-15T00:10:51.000Z&quot;"/>
    <s v="[&quot;https://pbs.twimg.com/media/GezFTauXAAEB-Oo.jpg&quot;,&quot;https://pbs.twimg.com/media/GezFUdJXwAAQbye.jpg&quot;]"/>
    <s v="https://x.com/LigaAFA/status/1868086281978380621"/>
    <s v="[{&quot;biography&quot;:null,&quot;followers&quot;:null,&quot;following&quot;:null,&quot;is_verified&quot;:null,&quot;profile_id&quot;:&quot;42933426&quot;,&quot;profile_name&quot;:&quot;Boca Juniors&quot;,&quot;url&quot;:&quot;https://x.com/BocaJrsOficial&quot;},{&quot;biography&quot;:null,&quot;followers&quot;:null,&quot;following&quot;:null,&quot;is_verified&quot;:null,&quot;profile_id&quot;:&quot;188356649&quot;,&quot;profile_name&quot;:&quot;C. A. Independiente&quot;,&quot;url&quot;:&quot;https://x.com/Independiente&quot;}]"/>
    <n v="3"/>
    <n v="11"/>
    <n v="42"/>
    <n v="6816"/>
    <s v=""/>
    <s v="[&quot;fecha27&quot;,&quot;TorneoBetano&quot;]"/>
    <n v="1123810"/>
    <s v="Cuenta oficial de la Liga Profesional de Fútbol de la @AFA"/>
    <n v="34290"/>
    <s v="https://pbs.twimg.com/profile_images/1611375855892045827/5Lzl0faT_normal.jpg"/>
    <n v="63"/>
    <b v="0"/>
    <n v="1"/>
    <n v="1"/>
    <s v="{&quot;post_id&quot;:null,&quot;profile_id&quot;:null,&quot;profile_name&quot;:null}"/>
    <s v="null"/>
    <s v="null"/>
    <s v="{&quot;data_posted&quot;:null,&quot;description&quot;:null,&quot;photos&quot;:null,&quot;post_id&quot;:null,&quot;profile_id&quot;:null,&quot;profile_name&quot;:null,&quot;url&quot;:null,&quot;videos&quot;:null}"/>
    <n v="58"/>
    <n v="8.509389671361502E-3"/>
    <d v="2024-12-15T00:00:00"/>
    <n v="7.5347222222222222E-3"/>
    <x v="0"/>
    <x v="5"/>
    <x v="0"/>
    <x v="0"/>
    <x v="1"/>
    <x v="0"/>
    <n v="140"/>
    <x v="0"/>
  </r>
  <r>
    <n v="1.8683242149584448E+18"/>
    <s v="Ran███sFC███"/>
    <s v="Ran███s F███bal█████████"/>
    <s v="💪_x000a__x000a_#PremierSportsCup"/>
    <s v="&quot;2024-12-15T15:56:19.000Z&quot;"/>
    <s v="[&quot;https://pbs.twimg.com/media/Ge2e6tfWIAAbKA5.jpg&quot;]"/>
    <s v="https://x.com/RangersFC/status/1868324214958444876"/>
    <s v="null"/>
    <n v="13"/>
    <n v="18"/>
    <n v="590"/>
    <n v="74092"/>
    <s v=""/>
    <s v="[&quot;PremierSportsCup&quot;]"/>
    <n v="812163"/>
    <s v="The Home of #RangersFC 💙"/>
    <n v="110924"/>
    <s v="https://pbs.twimg.com/profile_images/1856633703734112256/PBlqGEwC_normal.jpg"/>
    <n v="322"/>
    <b v="0"/>
    <n v="1"/>
    <n v="6"/>
    <s v="{&quot;post_id&quot;:null,&quot;profile_id&quot;:null,&quot;profile_name&quot;:null}"/>
    <s v="null"/>
    <s v="null"/>
    <s v="{&quot;data_posted&quot;:null,&quot;description&quot;:null,&quot;photos&quot;:null,&quot;post_id&quot;:null,&quot;profile_id&quot;:null,&quot;profile_name&quot;:null,&quot;url&quot;:null,&quot;videos&quot;:null}"/>
    <n v="628"/>
    <n v="8.4759488203854667E-3"/>
    <d v="2024-12-15T00:00:00"/>
    <n v="0.66410879629629627"/>
    <x v="0"/>
    <x v="13"/>
    <x v="0"/>
    <x v="0"/>
    <x v="1"/>
    <x v="0"/>
    <n v="20"/>
    <x v="2"/>
  </r>
  <r>
    <n v="1.8681794929819279E+18"/>
    <s v="ufc"/>
    <s v="UFC"/>
    <s v="Due to a Doctor's Stoppage Joaquin Buckley wins by TKO._x000a__x000a_#UFCTampa"/>
    <s v="&quot;2024-12-15T06:21:14.000Z&quot;"/>
    <s v="null"/>
    <s v="https://x.com/ufc/status/1868179492981927966"/>
    <s v="null"/>
    <n v="1010"/>
    <n v="1141"/>
    <n v="20376"/>
    <n v="2811134"/>
    <s v=""/>
    <s v="[&quot;UFCTampa&quot;]"/>
    <n v="12876592"/>
    <s v="#UFCTampa | Covington vs Buckley | December 14 | 10pmET | LIVE on @ESPNPlus"/>
    <n v="141401"/>
    <s v="https://pbs.twimg.com/profile_images/1835773190385328128/4fVrF1UI_normal.jpg"/>
    <n v="717"/>
    <b v="0"/>
    <n v="435"/>
    <n v="832"/>
    <s v="{&quot;post_id&quot;:null,&quot;profile_id&quot;:null,&quot;profile_name&quot;:null}"/>
    <s v="null"/>
    <s v="[{&quot;duration&quot;:20800,&quot;video_url&quot;:&quot;https://video.twimg.com/ext_tw_video/1868179429672833024/pu/vid/avc1/720x720/1_mW4Y2kiEBT86_x.mp4?tag=12&quot;}]"/>
    <s v="{&quot;data_posted&quot;:null,&quot;description&quot;:null,&quot;photos&quot;:null,&quot;post_id&quot;:null,&quot;profile_id&quot;:null,&quot;profile_name&quot;:null,&quot;url&quot;:null,&quot;videos&quot;:null}"/>
    <n v="23794"/>
    <n v="8.4641998567126283E-3"/>
    <d v="2024-12-15T00:00:00"/>
    <n v="0.26474537037037038"/>
    <x v="0"/>
    <x v="23"/>
    <x v="1"/>
    <x v="1"/>
    <x v="1"/>
    <x v="0"/>
    <n v="66"/>
    <x v="1"/>
  </r>
  <r>
    <n v="1.8682558375438705E+18"/>
    <s v="Met███ole███"/>
    <s v="Met███ole███"/>
    <s v="➡️ O vídeo que complica Braga Netto nas investigações da PF_x000a__x000a_A Polícia Federal usou um diálogo de Braga Netto, registrado em vídeo, para reforçar a acusação de que o general teria atuado por um golpe_x000a__x000a_Leia na coluna @PauloCappelli_ :"/>
    <s v="&quot;2024-12-15T11:24:36.000Z&quot;"/>
    <s v="null"/>
    <s v="https://x.com/Metropoles/status/1868255837543870553"/>
    <s v="[{&quot;biography&quot;:null,&quot;followers&quot;:null,&quot;following&quot;:null,&quot;is_verified&quot;:null,&quot;profile_id&quot;:&quot;1092426810292342788&quot;,&quot;profile_name&quot;:&quot;Paulo Cappelli&quot;,&quot;url&quot;:&quot;https://x.com/PauloCappelli_&quot;}]"/>
    <n v="736"/>
    <n v="238"/>
    <n v="1390"/>
    <n v="298748"/>
    <s v="https://curt.link/xBHOt"/>
    <s v="null"/>
    <n v="1239617"/>
    <s v="📱 O seu portal de notícias. Tudo sobre política, saúde, justiça, comportamento, entretenimento. Confira os fatos relevantes do país e do mundo em tempo real."/>
    <n v="402839"/>
    <s v="https://pbs.twimg.com/profile_images/1642966741138415647/fHdgQUGl_normal.jpg"/>
    <n v="1644"/>
    <b v="0"/>
    <n v="64"/>
    <n v="92"/>
    <s v="{&quot;post_id&quot;:null,&quot;profile_id&quot;:null,&quot;profile_name&quot;:null}"/>
    <s v="null"/>
    <s v="[{&quot;duration&quot;:44992,&quot;video_url&quot;:&quot;https://video.twimg.com/ext_tw_video/1868255716491862016/pu/vid/avc1/720x1278/vL4lZrGA8iiYj2jd.mp4?tag=12&quot;}]"/>
    <s v="{&quot;data_posted&quot;:null,&quot;description&quot;:null,&quot;photos&quot;:null,&quot;post_id&quot;:null,&quot;profile_id&quot;:null,&quot;profile_name&quot;:null,&quot;url&quot;:null,&quot;videos&quot;:null}"/>
    <n v="2520"/>
    <n v="8.4352029134923071E-3"/>
    <d v="2024-12-15T00:00:00"/>
    <n v="0.47541666666666665"/>
    <x v="0"/>
    <x v="16"/>
    <x v="1"/>
    <x v="1"/>
    <x v="0"/>
    <x v="0"/>
    <n v="233"/>
    <x v="0"/>
  </r>
  <r>
    <n v="1.868349959931892E+18"/>
    <s v="Man███"/>
    <s v="Man███ste███nit███"/>
    <s v="▶️ Back under way for the second half. _x000a__x000a_#MUFC || #MCIMUN"/>
    <s v="&quot;2024-12-15T17:38:37.000Z&quot;"/>
    <s v="null"/>
    <s v="https://x.com/ManUtd/status/1868349959931891925"/>
    <s v="null"/>
    <n v="179"/>
    <n v="148"/>
    <n v="1277"/>
    <n v="194196"/>
    <s v="https://www.manutd.com/en/matches/matchcenter?matchId=2444625"/>
    <s v="[&quot;MUFC&quot;,&quot;MCIMUN&quot;]"/>
    <n v="38439078"/>
    <s v="’Tis the season to gift United! 🎁🎄"/>
    <n v="92455"/>
    <s v="https://pbs.twimg.com/profile_images/1856418426496880640/iIvJaO5T_normal.png"/>
    <n v="145"/>
    <b v="0"/>
    <n v="12"/>
    <n v="9"/>
    <s v="{&quot;post_id&quot;:null,&quot;profile_id&quot;:null,&quot;profile_name&quot;:null}"/>
    <s v="null"/>
    <s v="null"/>
    <s v="{&quot;data_posted&quot;:null,&quot;description&quot;:null,&quot;photos&quot;:null,&quot;post_id&quot;:null,&quot;profile_id&quot;:null,&quot;profile_name&quot;:null,&quot;url&quot;:null,&quot;videos&quot;:null}"/>
    <n v="1625"/>
    <n v="8.3678345588992561E-3"/>
    <d v="2024-12-15T00:00:00"/>
    <n v="0.73515046296296294"/>
    <x v="0"/>
    <x v="12"/>
    <x v="0"/>
    <x v="1"/>
    <x v="1"/>
    <x v="0"/>
    <n v="57"/>
    <x v="1"/>
  </r>
  <r>
    <n v="1.8682882817016712E+18"/>
    <s v="Man███yWo███"/>
    <s v="Man███ste███ity█████████"/>
    <s v="46. CITY SUB | Switch at the break 🔁_x000a__x000a_🍬 2-0 🩵 #ManCity"/>
    <s v="&quot;2024-12-15T13:33:32.000Z&quot;"/>
    <s v="[&quot;https://pbs.twimg.com/media/Ge1-FqCWAAAXLjA.jpg&quot;]"/>
    <s v="https://x.com/ManCityWomen/status/1868288281701671258"/>
    <s v="null"/>
    <n v="12"/>
    <n v="8"/>
    <n v="131"/>
    <n v="19320"/>
    <s v=""/>
    <s v="[&quot;ManCity&quot;]"/>
    <n v="240106"/>
    <s v="Official account of Manchester City Women 🩵_x000a__x000a_🏆 1x WSL_x000a_🏆 3x Women’s FA Cup_x000a_🏆 4x FA Women’s League Cup"/>
    <n v="29070"/>
    <s v="https://pbs.twimg.com/profile_images/1856262696011755520/VOcg8JqD_normal.jpg"/>
    <n v="799"/>
    <b v="0"/>
    <n v="8"/>
    <n v="2"/>
    <s v="{&quot;post_id&quot;:null,&quot;profile_id&quot;:null,&quot;profile_name&quot;:null}"/>
    <s v="null"/>
    <s v="null"/>
    <s v="{&quot;data_posted&quot;:null,&quot;description&quot;:null,&quot;photos&quot;:null,&quot;post_id&quot;:null,&quot;profile_id&quot;:null,&quot;profile_name&quot;:null,&quot;url&quot;:null,&quot;videos&quot;:null}"/>
    <n v="161"/>
    <n v="8.3333333333333332E-3"/>
    <d v="2024-12-15T00:00:00"/>
    <n v="0.56495370370370368"/>
    <x v="0"/>
    <x v="14"/>
    <x v="0"/>
    <x v="0"/>
    <x v="1"/>
    <x v="0"/>
    <n v="54"/>
    <x v="2"/>
  </r>
  <r>
    <n v="1.8659888461998984E+18"/>
    <s v="NBA"/>
    <s v="NBA"/>
    <s v="@Bucks @hornets @MiamiHEAT @nuggets @OrlandoMagic @spurs @memgrizz Steph Curry and the @warriors close on a 9-0 run to top Minnesota!_x000a__x000a_Buddy Hield: 27 PTS (7 3PM), 3 STL_x000a_Jonathan Kuminga: 20 PTS, 7 REB, 2 STL, 3 BLK"/>
    <s v="&quot;2024-12-09T05:16:23.000Z&quot;"/>
    <s v="[&quot;https://pbs.twimg.com/media/GeVSf5hXUAAsBv5.jpg&quot;]"/>
    <s v="https://x.com/NBA/status/1865988846199898252"/>
    <s v="[{&quot;biography&quot;:null,&quot;followers&quot;:null,&quot;following&quot;:null,&quot;is_verified&quot;:null,&quot;profile_id&quot;:&quot;15900167&quot;,&quot;profile_name&quot;:&quot;Milwaukee Bucks&quot;,&quot;url&quot;:&quot;https://x.com/Bucks&quot;},{&quot;biography&quot;:null,&quot;followers&quot;:null,&quot;following&quot;:null,&quot;is_verified&quot;:null,&quot;profile_id&quot;:&quot;21308488&quot;,&quot;profile_name&quot;:&quot;Charlotte Hornets&quot;,&quot;url&quot;:&quot;https://x.com/hornets&quot;},{&quot;biography&quot;:null,&quot;followers&quot;:null,&quot;following&quot;:null,&quot;is_verified&quot;:null,&quot;profile_id&quot;:&quot;11026952&quot;,&quot;profile_name&quot;:&quot;Miami HEAT&quot;,&quot;url&quot;:&quot;https://x.com/MiamiHEAT&quot;},{&quot;biography&quot;:null,&quot;followers&quot;:null,&quot;following&quot;:null,&quot;is_verified&quot;:null,&quot;profile_id&quot;:&quot;26074296&quot;,&quot;profile_name&quot;:&quot;Denver Nuggets&quot;,&quot;url&quot;:&quot;https://x.com/nuggets&quot;},{&quot;biography&quot;:null,&quot;followers&quot;:null,&quot;following&quot;:null,&quot;is_verified&quot;:null,&quot;profile_id&quot;:&quot;19537303&quot;,&quot;profile_name&quot;:&quot;Orlando Magic&quot;,&quot;url&quot;:&quot;https://x.com/OrlandoMagic&quot;},{&quot;biography&quot;:null,&quot;followers&quot;:null,&quot;following&quot;:null,&quot;is_verified&quot;:null,&quot;profile_id&quot;:&quot;18371803&quot;,&quot;profile_name&quot;:&quot;San Antonio Spurs&quot;,&quot;url&quot;:&quot;https://x.com/spurs&quot;},{&quot;biography&quot;:null,&quot;followers&quot;:null,&quot;following&quot;:null,&quot;is_verified&quot;:null,&quot;profile_id&quot;:&quot;7117962&quot;,&quot;profile_name&quot;:&quot;Memphis Grizzlies&quot;,&quot;url&quot;:&quot;https://x.com/memgrizz&quot;},{&quot;biography&quot;:null,&quot;followers&quot;:null,&quot;following&quot;:null,&quot;is_verified&quot;:null,&quot;profile_id&quot;:&quot;26270913&quot;,&quot;profile_name&quot;:&quot;Golden State Warriors&quot;,&quot;url&quot;:&quot;https://x.com/warriors&quot;}]"/>
    <n v="35"/>
    <n v="81"/>
    <n v="505"/>
    <n v="76822"/>
    <s v=""/>
    <s v="null"/>
    <n v="47706993"/>
    <s v="The #EmiratesNBACup Championship Game will take place Tuesday, 12/17 in Vegas! 🏆 8:30pm/et on ABC: Bucks/Thunder"/>
    <n v="367154"/>
    <s v="https://pbs.twimg.com/profile_images/1868174380468981760/m0FEipd2_normal.jpg"/>
    <n v="2012"/>
    <b v="0"/>
    <n v="5"/>
    <n v="10"/>
    <s v="{&quot;post_id&quot;:&quot;1865986344238870996&quot;,&quot;profile_id&quot;:&quot;19923144&quot;,&quot;profile_name&quot;:&quot;NBA&quot;}"/>
    <s v="null"/>
    <s v="null"/>
    <s v="{&quot;data_posted&quot;:null,&quot;description&quot;:null,&quot;photos&quot;:null,&quot;post_id&quot;:null,&quot;profile_id&quot;:null,&quot;profile_name&quot;:null,&quot;url&quot;:null,&quot;videos&quot;:null}"/>
    <n v="636"/>
    <n v="8.27887844627841E-3"/>
    <d v="2024-12-09T00:00:00"/>
    <n v="0.21971064814814814"/>
    <x v="2"/>
    <x v="22"/>
    <x v="0"/>
    <x v="0"/>
    <x v="0"/>
    <x v="0"/>
    <n v="215"/>
    <x v="1"/>
  </r>
  <r>
    <n v="1.8683372218261176E+18"/>
    <s v="CPFC"/>
    <s v="Cry███l P███ce ██████"/>
    <s v="Right, who gets your vote then? 🤔_x000a__x000a_#CPFC // #BHACRY"/>
    <s v="&quot;2024-12-15T16:48:00.000Z&quot;"/>
    <s v="null"/>
    <s v="https://x.com/CPFC/status/1868337221826117684"/>
    <s v="null"/>
    <n v="28"/>
    <n v="3"/>
    <n v="152"/>
    <n v="22880"/>
    <s v="https://www.cpfc.co.uk/news/first-team/vote-player-of-the-match-brighton-hove-albion-crystal-palace-premier-league-2425/"/>
    <s v="[&quot;CPFC&quot;,&quot;BHACRY&quot;]"/>
    <n v="1480966"/>
    <s v="The Pride of South London."/>
    <n v="103753"/>
    <s v="https://pbs.twimg.com/profile_images/1857393032883994624/qN-MGWEH_normal.jpg"/>
    <n v="552"/>
    <b v="0"/>
    <n v="4"/>
    <n v="2"/>
    <s v="{&quot;post_id&quot;:null,&quot;profile_id&quot;:null,&quot;profile_name&quot;:null}"/>
    <s v="null"/>
    <s v="null"/>
    <s v="{&quot;data_posted&quot;:null,&quot;description&quot;:null,&quot;photos&quot;:null,&quot;post_id&quot;:null,&quot;profile_id&quot;:null,&quot;profile_name&quot;:null,&quot;url&quot;:null,&quot;videos&quot;:null}"/>
    <n v="189"/>
    <n v="8.2604895104895111E-3"/>
    <d v="2024-12-15T00:00:00"/>
    <n v="0.7"/>
    <x v="0"/>
    <x v="15"/>
    <x v="0"/>
    <x v="1"/>
    <x v="1"/>
    <x v="0"/>
    <n v="51"/>
    <x v="0"/>
  </r>
  <r>
    <n v="1.8682726859036716E+18"/>
    <s v="Bar███ysW███"/>
    <s v="Bar███ys ███en'█████████eag███"/>
    <s v="The final day of #BarclaysWSL action in 2024 is underway!_x000a__x000a_@EvertonWomen 🆚 @ManCityWomen _x000a__x000a_Watch live on @BBCTwo"/>
    <s v="&quot;2024-12-15T12:31:33.000Z&quot;"/>
    <s v="[&quot;https://pbs.twimg.com/media/Ge1vHBeWgAAyNai.jpg&quot;]"/>
    <s v="https://x.com/BarclaysWSL/status/1868272685903671474"/>
    <s v="[{&quot;biography&quot;:null,&quot;followers&quot;:null,&quot;following&quot;:null,&quot;is_verified&quot;:null,&quot;profile_id&quot;:&quot;485857070&quot;,&quot;profile_name&quot;:&quot;Everton Women&quot;,&quot;url&quot;:&quot;https://x.com/EvertonWomen&quot;},{&quot;biography&quot;:null,&quot;followers&quot;:null,&quot;following&quot;:null,&quot;is_verified&quot;:null,&quot;profile_id&quot;:&quot;344643933&quot;,&quot;profile_name&quot;:&quot;Manchester City Women&quot;,&quot;url&quot;:&quot;https://x.com/ManCityWomen&quot;},{&quot;biography&quot;:null,&quot;followers&quot;:null,&quot;following&quot;:null,&quot;is_verified&quot;:null,&quot;profile_id&quot;:&quot;1586183960&quot;,&quot;profile_name&quot;:&quot;BBC Two&quot;,&quot;url&quot;:&quot;https://x.com/BBCTwo&quot;}]"/>
    <n v="2"/>
    <n v="7"/>
    <n v="133"/>
    <n v="17513"/>
    <s v=""/>
    <s v="[&quot;BarclaysWSL&quot;]"/>
    <n v="337839"/>
    <s v="The home of top-flight women's football in England! 🤩_x000a__x000a_Subscribe to our brand-new BWSL YouTube Channel! 📺 #BarclaysWSL"/>
    <n v="57638"/>
    <s v="https://pbs.twimg.com/profile_images/1605171595160555521/NKG9mgxv_normal.jpg"/>
    <n v="587"/>
    <b v="0"/>
    <n v="1"/>
    <n v="1"/>
    <s v="{&quot;post_id&quot;:null,&quot;profile_id&quot;:null,&quot;profile_name&quot;:null}"/>
    <s v="null"/>
    <s v="null"/>
    <s v="{&quot;data_posted&quot;:null,&quot;description&quot;:null,&quot;photos&quot;:null,&quot;post_id&quot;:null,&quot;profile_id&quot;:null,&quot;profile_name&quot;:null,&quot;url&quot;:null,&quot;videos&quot;:null}"/>
    <n v="144"/>
    <n v="8.2224633129675106E-3"/>
    <d v="2024-12-15T00:00:00"/>
    <n v="0.52190972222222221"/>
    <x v="0"/>
    <x v="0"/>
    <x v="0"/>
    <x v="0"/>
    <x v="1"/>
    <x v="0"/>
    <n v="112"/>
    <x v="2"/>
  </r>
  <r>
    <n v="1.868292157217399E+18"/>
    <s v="Ran███sFC███"/>
    <s v="Ran███s F███bal█████████"/>
    <s v="Final day at Hampden 👊_x000a__x000a_#PremierSportsCup"/>
    <s v="&quot;2024-12-15T13:48:56.000Z&quot;"/>
    <s v="null"/>
    <s v="https://x.com/RangersFC/status/1868292157217399091"/>
    <s v="null"/>
    <n v="19"/>
    <n v="47"/>
    <n v="948"/>
    <n v="127235"/>
    <s v=""/>
    <s v="[&quot;PremierSportsCup&quot;]"/>
    <n v="812163"/>
    <s v="The Home of #RangersFC 💙"/>
    <n v="110924"/>
    <s v="https://pbs.twimg.com/profile_images/1856633703734112256/PBlqGEwC_normal.jpg"/>
    <n v="322"/>
    <b v="0"/>
    <n v="3"/>
    <n v="7"/>
    <s v="{&quot;post_id&quot;:null,&quot;profile_id&quot;:null,&quot;profile_name&quot;:null}"/>
    <s v="null"/>
    <s v="[{&quot;duration&quot;:9200,&quot;video_url&quot;:&quot;https://video.twimg.com/amplify_video/1868292095200395264/vid/avc1/1080x1920/wKQ9OcaLzI_P_Qy5.mp4?tag=16&quot;}]"/>
    <s v="{&quot;data_posted&quot;:null,&quot;description&quot;:null,&quot;photos&quot;:null,&quot;post_id&quot;:null,&quot;profile_id&quot;:null,&quot;profile_name&quot;:null,&quot;url&quot;:null,&quot;videos&quot;:null}"/>
    <n v="1024"/>
    <n v="8.0480999724918453E-3"/>
    <d v="2024-12-15T00:00:00"/>
    <n v="0.57564814814814813"/>
    <x v="0"/>
    <x v="14"/>
    <x v="1"/>
    <x v="1"/>
    <x v="1"/>
    <x v="0"/>
    <n v="41"/>
    <x v="2"/>
  </r>
  <r>
    <n v="1.868314331630498E+18"/>
    <s v="Cel███FC"/>
    <s v="Cel███ Fo███all██████"/>
    <s v="All set for kick-off 👍_x000a_ _x000a_#CELRAN | #PremierSportsCup | #CelticFC🍀"/>
    <s v="&quot;2024-12-15T15:17:02.000Z&quot;"/>
    <s v="null"/>
    <s v="https://x.com/CelticFC/status/1868314331630497938"/>
    <s v="null"/>
    <n v="13"/>
    <n v="28"/>
    <n v="348"/>
    <n v="49199"/>
    <s v="https://www.celticfc.com/match"/>
    <s v="[&quot;CELRAN&quot;,&quot;PremierSportsCup&quot;,&quot;CelticFC&quot;]"/>
    <n v="984256"/>
    <s v="Glasgow Celtic - 2023/24 Double Winners! 🍀🏆 🟢 @CelticFCWomen ⚪ @CelticFCB 🎌 @CelticFCJPN 📽 @CelticTV 🛒 @CelticFCShop 🎟 @CelticFCTickets"/>
    <n v="136135"/>
    <s v="https://pbs.twimg.com/profile_images/1808866900228665344/xZAZuYBY_normal.jpg"/>
    <n v="438"/>
    <b v="0"/>
    <n v="3"/>
    <n v="2"/>
    <s v="{&quot;post_id&quot;:null,&quot;profile_id&quot;:null,&quot;profile_name&quot;:null}"/>
    <s v="null"/>
    <s v="null"/>
    <s v="{&quot;data_posted&quot;:null,&quot;description&quot;:null,&quot;photos&quot;:null,&quot;post_id&quot;:null,&quot;profile_id&quot;:null,&quot;profile_name&quot;:null,&quot;url&quot;:null,&quot;videos&quot;:null}"/>
    <n v="394"/>
    <n v="8.0082928514807212E-3"/>
    <d v="2024-12-15T00:00:00"/>
    <n v="0.6368287037037037"/>
    <x v="0"/>
    <x v="13"/>
    <x v="0"/>
    <x v="1"/>
    <x v="1"/>
    <x v="0"/>
    <n v="65"/>
    <x v="2"/>
  </r>
  <r>
    <n v="1.8683149830223383E+18"/>
    <s v="Bar███ysW███"/>
    <s v="Bar███ys ███en'█████████eag███"/>
    <s v="HT: @ArsenalWFC lead at the break!_x000a__x000a_#BarclaysWSL"/>
    <s v="&quot;2024-12-15T15:19:38.000Z&quot;"/>
    <s v="[&quot;https://pbs.twimg.com/media/Ge2WgvQW0AA0Kh7.jpg&quot;]"/>
    <s v="https://x.com/BarclaysWSL/status/1868314983022338429"/>
    <s v="[{&quot;biography&quot;:null,&quot;followers&quot;:null,&quot;following&quot;:null,&quot;is_verified&quot;:null,&quot;profile_id&quot;:&quot;256551011&quot;,&quot;profile_name&quot;:&quot;Arsenal Women&quot;,&quot;url&quot;:&quot;https://x.com/ArsenalWFC&quot;}]"/>
    <n v="3"/>
    <n v="11"/>
    <n v="79"/>
    <n v="11931"/>
    <s v=""/>
    <s v="[&quot;BarclaysWSL&quot;]"/>
    <n v="337839"/>
    <s v="The home of top-flight women's football in England! 🤩_x000a__x000a_Subscribe to our brand-new BWSL YouTube Channel! 📺 #BarclaysWSL"/>
    <n v="57638"/>
    <s v="https://pbs.twimg.com/profile_images/1605171595160555521/NKG9mgxv_normal.jpg"/>
    <n v="587"/>
    <b v="0"/>
    <n v="1"/>
    <n v="1"/>
    <s v="{&quot;post_id&quot;:&quot;1868302853598777367&quot;,&quot;profile_id&quot;:&quot;273665871&quot;,&quot;profile_name&quot;:&quot;BarclaysWSL&quot;}"/>
    <s v="null"/>
    <s v="null"/>
    <s v="{&quot;data_posted&quot;:null,&quot;description&quot;:null,&quot;photos&quot;:null,&quot;post_id&quot;:null,&quot;profile_id&quot;:null,&quot;profile_name&quot;:null,&quot;url&quot;:null,&quot;videos&quot;:null}"/>
    <n v="95"/>
    <n v="7.9624507585282032E-3"/>
    <d v="2024-12-15T00:00:00"/>
    <n v="0.63863425925925921"/>
    <x v="0"/>
    <x v="13"/>
    <x v="0"/>
    <x v="0"/>
    <x v="1"/>
    <x v="0"/>
    <n v="48"/>
    <x v="2"/>
  </r>
  <r>
    <n v="1.86810455799935E+18"/>
    <s v="CNN███sil███"/>
    <s v="CNN███asi███"/>
    <s v="União Brasil não tem mais alma e nem ideal, diz Luciano Bivar ao WW"/>
    <s v="&quot;2024-12-15T01:23:28.000Z&quot;"/>
    <s v="null"/>
    <s v="https://x.com/CNNBrasil/status/1868104557999349927"/>
    <s v="null"/>
    <n v="18"/>
    <n v="13"/>
    <n v="73"/>
    <n v="13828"/>
    <s v="https://www.cnnbrasil.com.br/politica/uniao-brasil-nao-tem-mais-alma-e-nem-ideal-diz-luciano-bivar-ao-ww/?utm_source=social&amp;utm_medium=twitter&amp;utm_campaign=politica"/>
    <s v="null"/>
    <n v="2819408"/>
    <s v="Pense bem, pense CNN._x000a_Acompanhe também pelo canal 577, app ou site. _x000a_⚽ @esportescnn_x000a_⚡️ @cnnpop_x000a_💰 @cnneconomia_x000a_💵 @nolucrocnn"/>
    <n v="286269"/>
    <s v="https://pbs.twimg.com/profile_images/1202609722257485824/NcFn6f7X_normal.jpg"/>
    <n v="4"/>
    <b v="0"/>
    <n v="4"/>
    <n v="2"/>
    <s v="{&quot;post_id&quot;:null,&quot;profile_id&quot;:null,&quot;profile_name&quot;:null}"/>
    <s v="[&quot;https://pbs.twimg.com/card_img/1866662010907181056/fIIPY6TZ?format=jpg&amp;name=orig&quot;]"/>
    <s v="null"/>
    <s v="{&quot;data_posted&quot;:null,&quot;description&quot;:null,&quot;photos&quot;:null,&quot;post_id&quot;:null,&quot;profile_id&quot;:null,&quot;profile_name&quot;:null,&quot;url&quot;:null,&quot;videos&quot;:null}"/>
    <n v="110"/>
    <n v="7.954874168354064E-3"/>
    <d v="2024-12-15T00:00:00"/>
    <n v="5.7962962962962966E-2"/>
    <x v="0"/>
    <x v="19"/>
    <x v="0"/>
    <x v="1"/>
    <x v="0"/>
    <x v="0"/>
    <n v="67"/>
    <x v="0"/>
  </r>
  <r>
    <n v="1.8649287628336133E+18"/>
    <s v="kann"/>
    <s v="כאן"/>
    <s v="איך נולד השיר &quot;איפה העוגה&quot;? משה דץ מסביר 🎂_x000a_@Kan_Tarbut"/>
    <s v="&quot;2024-12-06T07:04:00.000Z&quot;"/>
    <s v="null"/>
    <s v="https://x.com/kann/status/1864928762833613244"/>
    <s v="[{&quot;biography&quot;:null,&quot;followers&quot;:null,&quot;following&quot;:null,&quot;is_verified&quot;:null,&quot;profile_id&quot;:&quot;881732741796069377&quot;,&quot;profile_name&quot;:&quot;כאן תרבות&quot;,&quot;url&quot;:&quot;https://x.com/Kan_Tarbut&quot;}]"/>
    <n v="1"/>
    <n v="2"/>
    <n v="32"/>
    <n v="4778"/>
    <s v=""/>
    <s v="null"/>
    <n v="182895"/>
    <s v="אנחנו כאן ❤️"/>
    <n v="30781"/>
    <s v="https://pbs.twimg.com/profile_images/1843516623740633088/WbeaAr02_normal.jpg"/>
    <n v="559"/>
    <b v="0"/>
    <n v="1"/>
    <n v="2"/>
    <s v="{&quot;post_id&quot;:null,&quot;profile_id&quot;:null,&quot;profile_name&quot;:null}"/>
    <s v="null"/>
    <s v="[{&quot;duration&quot;:90127,&quot;video_url&quot;:&quot;https://video.twimg.com/amplify_video/1863576387040448513/vid/avc1/720x1280/xCOy7NzF4t5CN6hQ.mp4?tag=14&quot;}]"/>
    <s v="{&quot;data_posted&quot;:null,&quot;description&quot;:null,&quot;photos&quot;:null,&quot;post_id&quot;:null,&quot;profile_id&quot;:null,&quot;profile_name&quot;:null,&quot;url&quot;:null,&quot;videos&quot;:null}"/>
    <n v="38"/>
    <n v="7.9531184596065303E-3"/>
    <d v="2024-12-06T00:00:00"/>
    <n v="0.29444444444444445"/>
    <x v="1"/>
    <x v="20"/>
    <x v="1"/>
    <x v="1"/>
    <x v="0"/>
    <x v="0"/>
    <n v="54"/>
    <x v="2"/>
  </r>
  <r>
    <n v="1.8681892743882307E+18"/>
    <s v="ufc"/>
    <s v="UFC"/>
    <s v="Well deserved bonuses!_x000a__x000a_@Menace155 &amp;amp; @TheHanyakDJ earned themselves POTN! 💰_x000a__x000a_[ #UFCTampa | B2YB @CPIStemCells ]"/>
    <s v="&quot;2024-12-15T07:00:06.000Z&quot;"/>
    <s v="[&quot;https://pbs.twimg.com/media/Ge0jqfKWkAAXjQZ.jpg&quot;,&quot;https://pbs.twimg.com/media/Ge0jqfKXIAAd_O9.jpg&quot;]"/>
    <s v="https://x.com/ufc/status/1868189274388230551"/>
    <s v="[{&quot;biography&quot;:null,&quot;followers&quot;:null,&quot;following&quot;:null,&quot;is_verified&quot;:null,&quot;profile_id&quot;:&quot;177019934&quot;,&quot;profile_name&quot;:&quot;Michael Johnson&quot;,&quot;url&quot;:&quot;https://x.com/Menace155&quot;},{&quot;biography&quot;:null,&quot;followers&quot;:null,&quot;following&quot;:null,&quot;is_verified&quot;:null,&quot;profile_id&quot;:&quot;222632459&quot;,&quot;profile_name&quot;:&quot;Dustin Jacoby 🇺🇸&quot;,&quot;url&quot;:&quot;https://x.com/thehanyakdj&quot;},{&quot;biography&quot;:null,&quot;followers&quot;:null,&quot;following&quot;:null,&quot;is_verified&quot;:null,&quot;profile_id&quot;:&quot;1545246959811891205&quot;,&quot;profile_name&quot;:&quot;Cellular Performance Institute&quot;,&quot;url&quot;:&quot;https://x.com/CPIStemCells&quot;}]"/>
    <n v="69"/>
    <n v="85"/>
    <n v="1136"/>
    <n v="166359"/>
    <s v=""/>
    <s v="[&quot;UFCTampa&quot;]"/>
    <n v="12876592"/>
    <s v="#UFCTampa | Covington vs Buckley | December 14 | 10pmET | LIVE on @ESPNPlus"/>
    <n v="141401"/>
    <s v="https://pbs.twimg.com/profile_images/1835773190385328128/4fVrF1UI_normal.jpg"/>
    <n v="717"/>
    <b v="0"/>
    <n v="11"/>
    <n v="21"/>
    <s v="{&quot;post_id&quot;:null,&quot;profile_id&quot;:null,&quot;profile_name&quot;:null}"/>
    <s v="null"/>
    <s v="null"/>
    <s v="{&quot;data_posted&quot;:null,&quot;description&quot;:null,&quot;photos&quot;:null,&quot;post_id&quot;:null,&quot;profile_id&quot;:null,&quot;profile_name&quot;:null,&quot;url&quot;:null,&quot;videos&quot;:null}"/>
    <n v="1322"/>
    <n v="7.9466695519929791E-3"/>
    <d v="2024-12-15T00:00:00"/>
    <n v="0.29173611111111108"/>
    <x v="0"/>
    <x v="20"/>
    <x v="0"/>
    <x v="0"/>
    <x v="1"/>
    <x v="0"/>
    <n v="115"/>
    <x v="1"/>
  </r>
  <r>
    <n v="1.8682800956321754E+18"/>
    <s v="Lig███A"/>
    <s v="Lig███rof███ona█████████ol"/>
    <s v="#TorneoBetano 2024 🏆_x000a__x000a_⚽️ @ClubDefensayJus 🆚 @clubaunion _x000a_⏰ 17.00_x000a__x000a_⚽️ @caplatense 🆚 @gimnasiaoficial _x000a_⏰ 17.00_x000a__x000a_⚽️ @Velez 🆚 @CAHuracan _x000a_⏰ 19.30_x000a__x000a_⚽️ @CATalleresdecba 🆚 @Newells _x000a_⏰ 19.30"/>
    <s v="&quot;2024-12-15T13:01:00.000Z&quot;"/>
    <s v="[&quot;https://pbs.twimg.com/media/GerRJ--W8AAeNDn.jpg&quot;]"/>
    <s v="https://x.com/LigaAFA/status/1868280095632175482"/>
    <s v="[{&quot;biography&quot;:null,&quot;followers&quot;:null,&quot;following&quot;:null,&quot;is_verified&quot;:null,&quot;profile_id&quot;:&quot;345614692&quot;,&quot;profile_name&quot;:&quot;Defensa y Justicia&quot;,&quot;url&quot;:&quot;https://x.com/ClubDefensayJus&quot;},{&quot;biography&quot;:null,&quot;followers&quot;:null,&quot;following&quot;:null,&quot;is_verified&quot;:null,&quot;profile_id&quot;:&quot;201032752&quot;,&quot;profile_name&quot;:&quot;Club Atlético Unión&quot;,&quot;url&quot;:&quot;https://x.com/clubaunion&quot;},{&quot;biography&quot;:null,&quot;followers&quot;:null,&quot;following&quot;:null,&quot;is_verified&quot;:null,&quot;profile_id&quot;:&quot;118772453&quot;,&quot;profile_name&quot;:&quot;Club Atlético Platense&quot;,&quot;url&quot;:&quot;https://x.com/caplatense&quot;},{&quot;biography&quot;:null,&quot;followers&quot;:null,&quot;following&quot;:null,&quot;is_verified&quot;:null,&quot;profile_id&quot;:&quot;118056286&quot;,&quot;profile_name&quot;:&quot;Club de Gimnasia y Esgrima La Plata&quot;,&quot;url&quot;:&quot;https://x.com/gimnasiaoficial&quot;},{&quot;biography&quot;:null,&quot;followers&quot;:null,&quot;following&quot;:null,&quot;is_verified&quot;:null,&quot;profile_id&quot;:&quot;276204298&quot;,&quot;profile_name&quot;:&quot;Vélez Sarsfield&quot;,&quot;url&quot;:&quot;https://x.com/Velez&quot;},{&quot;biography&quot;:null,&quot;followers&quot;:null,&quot;following&quot;:null,&quot;is_verified&quot;:null,&quot;profile_id&quot;:&quot;274140988&quot;,&quot;profile_name&quot;:&quot;CA Huracán&quot;,&quot;url&quot;:&quot;https://x.com/CAHuracan&quot;},{&quot;biography&quot;:null,&quot;followers&quot;:null,&quot;following&quot;:null,&quot;is_verified&quot;:null,&quot;profile_id&quot;:&quot;196845049&quot;,&quot;profile_name&quot;:&quot;Club Atlético Talleres&quot;,&quot;url&quot;:&quot;https://x.com/CATalleresdecba&quot;},{&quot;biography&quot;:null,&quot;followers&quot;:null,&quot;following&quot;:null,&quot;is_verified&quot;:null,&quot;profile_id&quot;:&quot;575667065&quot;,&quot;profile_name&quot;:&quot;Newell’s Old Boys&quot;,&quot;url&quot;:&quot;https://x.com/Newells&quot;}]"/>
    <n v="2"/>
    <n v="16"/>
    <n v="45"/>
    <n v="8093"/>
    <s v=""/>
    <s v="[&quot;TorneoBetano&quot;]"/>
    <n v="1123807"/>
    <s v="Cuenta oficial de la Liga Profesional de Fútbol de la @AFA"/>
    <n v="34290"/>
    <s v="https://pbs.twimg.com/profile_images/1611375855892045827/5Lzl0faT_normal.jpg"/>
    <n v="63"/>
    <b v="0"/>
    <n v="0"/>
    <n v="1"/>
    <s v="{&quot;post_id&quot;:null,&quot;profile_id&quot;:null,&quot;profile_name&quot;:null}"/>
    <s v="null"/>
    <s v="null"/>
    <s v="{&quot;data_posted&quot;:null,&quot;description&quot;:null,&quot;photos&quot;:null,&quot;post_id&quot;:null,&quot;profile_id&quot;:null,&quot;profile_name&quot;:null,&quot;url&quot;:null,&quot;videos&quot;:null}"/>
    <n v="64"/>
    <n v="7.9080687013468424E-3"/>
    <d v="2024-12-15T00:00:00"/>
    <n v="0.54236111111111107"/>
    <x v="0"/>
    <x v="14"/>
    <x v="0"/>
    <x v="0"/>
    <x v="1"/>
    <x v="0"/>
    <n v="182"/>
    <x v="0"/>
  </r>
  <r>
    <n v="1.8681184768813304E+18"/>
    <s v="ufc"/>
    <s v="UFC"/>
    <s v="THE SNIPER GETS IT DONE IN THE FIRST ROUND 😱_x000a__x000a_@SeanWoodsonMMA adds another to the resume! #UFCTampa"/>
    <s v="&quot;2024-12-15T02:18:47.000Z&quot;"/>
    <s v="null"/>
    <s v="https://x.com/ufc/status/1868118476881330351"/>
    <s v="[{&quot;biography&quot;:null,&quot;followers&quot;:null,&quot;following&quot;:null,&quot;is_verified&quot;:null,&quot;profile_id&quot;:&quot;915290833456427009&quot;,&quot;profile_name&quot;:&quot;Sean Woodson&quot;,&quot;url&quot;:&quot;https://x.com/SeanWoodsonMMA&quot;}]"/>
    <n v="46"/>
    <n v="59"/>
    <n v="834"/>
    <n v="121128"/>
    <s v=""/>
    <s v="[&quot;UFCTampa&quot;]"/>
    <n v="12876593"/>
    <s v="#UFCTampa | Covington vs Buckley | December 14 | 10pmET | LIVE on @ESPNPlus"/>
    <n v="141401"/>
    <s v="https://pbs.twimg.com/profile_images/1835773190385328128/4fVrF1UI_normal.jpg"/>
    <n v="717"/>
    <b v="0"/>
    <n v="5"/>
    <n v="10"/>
    <s v="{&quot;post_id&quot;:null,&quot;profile_id&quot;:null,&quot;profile_name&quot;:null}"/>
    <s v="null"/>
    <s v="[{&quot;duration&quot;:24367,&quot;video_url&quot;:&quot;https://video.twimg.com/ext_tw_video/1868117729607098369/pu/vid/avc1/720x720/sxmO2f5b77GowsRM.mp4?tag=12&quot;}]"/>
    <s v="{&quot;data_posted&quot;:null,&quot;description&quot;:null,&quot;photos&quot;:null,&quot;post_id&quot;:null,&quot;profile_id&quot;:null,&quot;profile_name&quot;:null,&quot;url&quot;:null,&quot;videos&quot;:null}"/>
    <n v="954"/>
    <n v="7.8759659203487212E-3"/>
    <d v="2024-12-15T00:00:00"/>
    <n v="9.6377314814814818E-2"/>
    <x v="0"/>
    <x v="2"/>
    <x v="1"/>
    <x v="1"/>
    <x v="1"/>
    <x v="0"/>
    <n v="99"/>
    <x v="1"/>
  </r>
  <r>
    <n v="1.8682120616266348E+18"/>
    <s v="BBL"/>
    <s v="KFC███g B███ Le██████"/>
    <s v="☝️ Clarke_x000a_☝️ Harper_x000a__x000a_Jhye Richardson has 2 wickets for 1 run! #BBL14"/>
    <s v="&quot;2024-12-15T08:30:39.000Z&quot;"/>
    <s v="[&quot;https://pbs.twimg.com/media/Ge04pnbbgAABdkX.jpg&quot;]"/>
    <s v="https://x.com/BBL/status/1868212061626634719"/>
    <s v="null"/>
    <n v="4"/>
    <n v="4"/>
    <n v="66"/>
    <n v="9943"/>
    <s v=""/>
    <s v="[&quot;BBL14&quot;]"/>
    <n v="551401"/>
    <s v="🗓️ 15 Dec - 27 Jan_x000a_📲 Download the Big Bash App for #BBL14 _x000a_🎟️ Grab your tickets!"/>
    <n v="40407"/>
    <s v="https://pbs.twimg.com/profile_images/1670610412042334208/p_7jGcdv_normal.jpg"/>
    <n v="282"/>
    <b v="0"/>
    <n v="3"/>
    <n v="1"/>
    <s v="{&quot;post_id&quot;:null,&quot;profile_id&quot;:null,&quot;profile_name&quot;:null}"/>
    <s v="null"/>
    <s v="null"/>
    <s v="{&quot;data_posted&quot;:null,&quot;description&quot;:null,&quot;photos&quot;:null,&quot;post_id&quot;:null,&quot;profile_id&quot;:null,&quot;profile_name&quot;:null,&quot;url&quot;:null,&quot;videos&quot;:null}"/>
    <n v="78"/>
    <n v="7.8447148747862825E-3"/>
    <d v="2024-12-15T00:00:00"/>
    <n v="0.35461805555555553"/>
    <x v="0"/>
    <x v="6"/>
    <x v="0"/>
    <x v="0"/>
    <x v="1"/>
    <x v="0"/>
    <n v="68"/>
    <x v="2"/>
  </r>
  <r>
    <n v="1.8656977788205957E+18"/>
    <s v="kann"/>
    <s v="כאן"/>
    <s v="שלום, אויב_x000a__x000a_הערב נפרדים מנשיא סוריה בשאר אל-אסד בפרק של #אויבים הערב אחרי החדשות בכאן 11 ובכאן BOX"/>
    <s v="&quot;2024-12-08T09:59:48.000Z&quot;"/>
    <s v="null"/>
    <s v="https://x.com/kann/status/1865697778820595785"/>
    <s v="null"/>
    <n v="7"/>
    <n v="4"/>
    <n v="98"/>
    <n v="15170"/>
    <s v=""/>
    <s v="[&quot;אויבים&quot;]"/>
    <n v="182895"/>
    <s v="אנחנו כאן ❤️"/>
    <n v="30781"/>
    <s v="https://pbs.twimg.com/profile_images/1843516623740633088/WbeaAr02_normal.jpg"/>
    <n v="559"/>
    <b v="0"/>
    <n v="3"/>
    <n v="7"/>
    <s v="{&quot;post_id&quot;:null,&quot;profile_id&quot;:null,&quot;profile_name&quot;:null}"/>
    <s v="null"/>
    <s v="[{&quot;duration&quot;:129045,&quot;video_url&quot;:&quot;https://video.twimg.com/amplify_video/1865681800535719936/vid/avc1/1280x720/LxGBbQulfrla-C9N.mp4?tag=14&quot;}]"/>
    <s v="{&quot;data_posted&quot;:null,&quot;description&quot;:null,&quot;photos&quot;:null,&quot;post_id&quot;:null,&quot;profile_id&quot;:null,&quot;profile_name&quot;:null,&quot;url&quot;:null,&quot;videos&quot;:null}"/>
    <n v="119"/>
    <n v="7.8444297956493086E-3"/>
    <d v="2024-12-08T00:00:00"/>
    <n v="0.41652777777777777"/>
    <x v="0"/>
    <x v="18"/>
    <x v="1"/>
    <x v="1"/>
    <x v="1"/>
    <x v="0"/>
    <n v="98"/>
    <x v="2"/>
  </r>
  <r>
    <n v="1.8682841216693207E+18"/>
    <s v="Man███"/>
    <s v="Man███ste███nit███"/>
    <s v="Who’s in your Fantasy United team for the derby? 🔥_x000a__x000a_Claim your free Player Trading Card pack and lock in your squad before the deadline ⌛_x000a__x000a_#MUFC"/>
    <s v="&quot;2024-12-15T13:17:00.000Z&quot;"/>
    <s v="null"/>
    <s v="https://x.com/ManUtd/status/1868284121669320713"/>
    <s v="null"/>
    <n v="99"/>
    <n v="106"/>
    <n v="1124"/>
    <n v="172199"/>
    <s v="https://collectibles.manutd.com/claim/675860502b0bef4df1d60fb4"/>
    <s v="[&quot;MUFC&quot;]"/>
    <n v="38439078"/>
    <s v="’Tis the season to gift United! 🎁🎄"/>
    <n v="92455"/>
    <s v="https://pbs.twimg.com/profile_images/1856418426496880640/iIvJaO5T_normal.png"/>
    <n v="145"/>
    <b v="0"/>
    <n v="2"/>
    <n v="7"/>
    <s v="{&quot;post_id&quot;:null,&quot;profile_id&quot;:null,&quot;profile_name&quot;:null}"/>
    <s v="null"/>
    <s v="null"/>
    <s v="{&quot;data_posted&quot;:null,&quot;description&quot;:null,&quot;photos&quot;:null,&quot;post_id&quot;:null,&quot;profile_id&quot;:null,&quot;profile_name&quot;:null,&quot;url&quot;:null,&quot;videos&quot;:null}"/>
    <n v="1338"/>
    <n v="7.7700799656211707E-3"/>
    <d v="2024-12-15T00:00:00"/>
    <n v="0.55347222222222225"/>
    <x v="0"/>
    <x v="14"/>
    <x v="0"/>
    <x v="1"/>
    <x v="1"/>
    <x v="0"/>
    <n v="144"/>
    <x v="1"/>
  </r>
  <r>
    <n v="1.8682234408528571E+18"/>
    <s v="Har███uin███"/>
    <s v="Har███uin███���"/>
    <s v="🤣 @JamesR_Chisholm definitely deserved the Player of The Match for that reaction._x000a__x000a_#COYQ #HARvSTO"/>
    <s v="&quot;2024-12-15T09:15:52.000Z&quot;"/>
    <s v="null"/>
    <s v="https://x.com/Harlequins/status/1868223440852856969"/>
    <s v="[{&quot;biography&quot;:null,&quot;followers&quot;:null,&quot;following&quot;:null,&quot;is_verified&quot;:null,&quot;profile_id&quot;:&quot;1444569109&quot;,&quot;profile_name&quot;:&quot;James Chisholm&quot;,&quot;url&quot;:&quot;https://x.com/JamesR_Chisholm&quot;}]"/>
    <n v="1"/>
    <n v="3"/>
    <n v="52"/>
    <n v="7794"/>
    <s v=""/>
    <s v="[&quot;COYQ&quot;,&quot;HARvSTO&quot;]"/>
    <n v="129250"/>
    <s v="🃏 #COYQ"/>
    <n v="67189"/>
    <s v="https://pbs.twimg.com/profile_images/1856267732309692416/lO2MB40L_normal.jpg"/>
    <n v="508"/>
    <b v="0"/>
    <n v="0"/>
    <n v="4"/>
    <s v="{&quot;post_id&quot;:null,&quot;profile_id&quot;:null,&quot;profile_name&quot;:null}"/>
    <s v="null"/>
    <s v="[{&quot;duration&quot;:183376,&quot;video_url&quot;:&quot;https://video.twimg.com/amplify_video/1868066083019603968/vid/avc1/1280x720/z4jgZo5lM_PoHNUP.mp4?tag=16&quot;}]"/>
    <s v="{&quot;data_posted&quot;:null,&quot;description&quot;:null,&quot;photos&quot;:null,&quot;post_id&quot;:null,&quot;profile_id&quot;:null,&quot;profile_name&quot;:null,&quot;url&quot;:null,&quot;videos&quot;:null}"/>
    <n v="60"/>
    <n v="7.6982294072363358E-3"/>
    <d v="2024-12-15T00:00:00"/>
    <n v="0.38601851851851854"/>
    <x v="0"/>
    <x v="18"/>
    <x v="1"/>
    <x v="1"/>
    <x v="1"/>
    <x v="0"/>
    <n v="97"/>
    <x v="2"/>
  </r>
  <r>
    <n v="1.8683392356082898E+18"/>
    <s v="spfl"/>
    <s v="SPFL"/>
    <s v="A Greg Taylor goal hauls @CelticFC back on level terms in the Premier Sports Cup Final! 💪"/>
    <s v="&quot;2024-12-15T16:56:00.000Z&quot;"/>
    <s v="null"/>
    <s v="https://x.com/spfl/status/1868339235608289742"/>
    <s v="[{&quot;biography&quot;:null,&quot;followers&quot;:null,&quot;following&quot;:null,&quot;is_verified&quot;:null,&quot;profile_id&quot;:&quot;15203904&quot;,&quot;profile_name&quot;:&quot;Celtic Football Club&quot;,&quot;url&quot;:&quot;https://x.com/CelticFC&quot;}]"/>
    <n v="2"/>
    <n v="12"/>
    <n v="138"/>
    <n v="20031"/>
    <s v=""/>
    <s v="null"/>
    <n v="294711"/>
    <s v="Official Twitter/X account for the Scottish Professional Football League, sponsored by @WilliamHill."/>
    <n v="66342"/>
    <s v="https://pbs.twimg.com/profile_images/1798999022348496896/ZZU_hFqY_normal.jpg"/>
    <n v="1449"/>
    <b v="0"/>
    <n v="1"/>
    <n v="1"/>
    <s v="{&quot;post_id&quot;:null,&quot;profile_id&quot;:null,&quot;profile_name&quot;:null}"/>
    <s v="null"/>
    <s v="[{&quot;duration&quot;:50616,&quot;video_url&quot;:&quot;https://video.twimg.com/amplify_video/1868338519443210240/vid/avc1/1280x720/WZBglBE42I--Et0o.mp4?tag=16&quot;}]"/>
    <s v="{&quot;data_posted&quot;:null,&quot;description&quot;:null,&quot;photos&quot;:null,&quot;post_id&quot;:null,&quot;profile_id&quot;:null,&quot;profile_name&quot;:null,&quot;url&quot;:null,&quot;videos&quot;:null}"/>
    <n v="154"/>
    <n v="7.6880834706205383E-3"/>
    <d v="2024-12-15T00:00:00"/>
    <n v="0.7055555555555556"/>
    <x v="0"/>
    <x v="15"/>
    <x v="1"/>
    <x v="1"/>
    <x v="0"/>
    <x v="0"/>
    <n v="89"/>
    <x v="2"/>
  </r>
  <r>
    <n v="1.8683446145721754E+18"/>
    <s v="nyp███"/>
    <s v="New███rk ███t"/>
    <s v="Elon Musk, Vivek Ramaswamy point to agencies Department of Government Efficiency will trim, get ‘deleted’"/>
    <s v="&quot;2024-12-15T17:17:22.000Z&quot;"/>
    <s v="[&quot;https://pbs.twimg.com/media/Ge2xhoUWIAAW_WZ.jpg&quot;]"/>
    <s v="https://x.com/nypost/status/1868344614572175484"/>
    <s v="null"/>
    <n v="28"/>
    <n v="24"/>
    <n v="121"/>
    <n v="23567"/>
    <s v="https://trib.al/knruV60"/>
    <s v="null"/>
    <n v="3313888"/>
    <s v="Breaking news &amp; features from The New York Post. Follow your favorite sections: @pagesix, @nypmetro, @nypostbiz, @nypostsports, @nypfashion, @nypostopinion"/>
    <n v="706459"/>
    <s v="https://pbs.twimg.com/profile_images/966372680306868224/60wfGe9e_normal.jpg"/>
    <n v="10308"/>
    <b v="0"/>
    <n v="3"/>
    <n v="5"/>
    <s v="{&quot;post_id&quot;:null,&quot;profile_id&quot;:null,&quot;profile_name&quot;:null}"/>
    <s v="null"/>
    <s v="null"/>
    <s v="{&quot;data_posted&quot;:null,&quot;description&quot;:null,&quot;photos&quot;:null,&quot;post_id&quot;:null,&quot;profile_id&quot;:null,&quot;profile_name&quot;:null,&quot;url&quot;:null,&quot;videos&quot;:null}"/>
    <n v="181"/>
    <n v="7.680230831247083E-3"/>
    <d v="2024-12-15T00:00:00"/>
    <n v="0.72039351851851852"/>
    <x v="0"/>
    <x v="12"/>
    <x v="0"/>
    <x v="0"/>
    <x v="0"/>
    <x v="0"/>
    <n v="105"/>
    <x v="0"/>
  </r>
  <r>
    <n v="1.8679838134959639E+18"/>
    <s v="Bro███ynN███"/>
    <s v="Bro███yn ███s"/>
    <s v="ISO JOE 🥶_x000a__x000a_On this day in 2012, @TheJoeJohnson7 delivered the game-winner in a double overtime thriller. With @JerrySeinfeld in the building, Ian Eagle delivered an iconic line."/>
    <s v="&quot;2024-12-14T17:23:41.000Z&quot;"/>
    <s v="null"/>
    <s v="https://x.com/BrooklynNets/status/1867983813495963886"/>
    <s v="[{&quot;biography&quot;:null,&quot;followers&quot;:null,&quot;following&quot;:null,&quot;is_verified&quot;:null,&quot;profile_id&quot;:&quot;243214305&quot;,&quot;profile_name&quot;:&quot;isojoe&quot;,&quot;url&quot;:&quot;https://x.com/TheJoeJohnson7&quot;},{&quot;biography&quot;:null,&quot;followers&quot;:null,&quot;following&quot;:null,&quot;is_verified&quot;:null,&quot;profile_id&quot;:&quot;336116660&quot;,&quot;profile_name&quot;:&quot;Jerry Seinfeld&quot;,&quot;url&quot;:&quot;https://x.com/JerrySeinfeld&quot;}]"/>
    <n v="11"/>
    <n v="56"/>
    <n v="447"/>
    <n v="72301"/>
    <s v=""/>
    <s v="null"/>
    <n v="2035100"/>
    <s v="Tweets from #NetsWorld"/>
    <n v="106867"/>
    <s v="https://pbs.twimg.com/profile_images/1811024920870277122/1wQgAUZH_normal.jpg"/>
    <n v="411"/>
    <b v="0"/>
    <n v="17"/>
    <n v="23"/>
    <s v="{&quot;post_id&quot;:null,&quot;profile_id&quot;:null,&quot;profile_name&quot;:null}"/>
    <s v="null"/>
    <s v="[{&quot;duration&quot;:33834,&quot;video_url&quot;:&quot;https://video.twimg.com/ext_tw_video/1867982176311975936/pu/vid/avc1/720x900/9Ul5KwLE90kWbGZn.mp4?tag=12&quot;}]"/>
    <s v="{&quot;data_posted&quot;:null,&quot;description&quot;:null,&quot;photos&quot;:null,&quot;post_id&quot;:null,&quot;profile_id&quot;:null,&quot;profile_name&quot;:null,&quot;url&quot;:null,&quot;videos&quot;:null}"/>
    <n v="554"/>
    <n v="7.6624113082806597E-3"/>
    <d v="2024-12-14T00:00:00"/>
    <n v="0.72478009259259257"/>
    <x v="5"/>
    <x v="12"/>
    <x v="1"/>
    <x v="1"/>
    <x v="0"/>
    <x v="0"/>
    <n v="177"/>
    <x v="0"/>
  </r>
  <r>
    <n v="1.8598264724894682E+18"/>
    <s v="Nms███eRe███rch███"/>
    <s v="熊老大███ 兔友███B🐻███"/>
    <s v="#兔友迷惑行为"/>
    <s v="&quot;2024-11-22T05:09:19.000Z&quot;"/>
    <s v="[&quot;https://pbs.twimg.com/media/Gc9uT6MaAAAQWpI.jpg&quot;]"/>
    <s v="https://x.com/NmsleseResearch/status/1859826472489468258"/>
    <s v="null"/>
    <n v="241"/>
    <n v="92"/>
    <n v="2575"/>
    <n v="393764"/>
    <s v=""/>
    <s v="[&quot;兔友迷惑行为&quot;]"/>
    <n v="11185"/>
    <s v="推特兔友的迷惑行為收集處（晚安推除外）丨歡迎投稿"/>
    <n v="22677"/>
    <s v="https://pbs.twimg.com/profile_images/1866832536816795648/rAEgM1H5_normal.jpg"/>
    <n v="2557"/>
    <b v="0"/>
    <n v="8"/>
    <n v="97"/>
    <s v="{&quot;post_id&quot;:null,&quot;profile_id&quot;:null,&quot;profile_name&quot;:null}"/>
    <s v="null"/>
    <s v="null"/>
    <s v="{&quot;data_posted&quot;:null,&quot;description&quot;:null,&quot;photos&quot;:null,&quot;post_id&quot;:null,&quot;profile_id&quot;:null,&quot;profile_name&quot;:null,&quot;url&quot;:null,&quot;videos&quot;:null}"/>
    <n v="3013"/>
    <n v="7.6517914283682608E-3"/>
    <d v="2024-11-22T00:00:00"/>
    <n v="0.21480324074074075"/>
    <x v="1"/>
    <x v="22"/>
    <x v="0"/>
    <x v="0"/>
    <x v="1"/>
    <x v="0"/>
    <n v="7"/>
    <x v="3"/>
  </r>
  <r>
    <n v="1.8683581675638377E+18"/>
    <s v="nyp███"/>
    <s v="New███rk ███t"/>
    <s v="Expert fears drones are a smokescreen by a foreign power: ‘We could very well get hit’"/>
    <s v="&quot;2024-12-15T18:11:14.000Z&quot;"/>
    <s v="[&quot;https://pbs.twimg.com/media/Ge292hZXwAAJE-4.jpg&quot;]"/>
    <s v="https://x.com/nypost/status/1868358167563837618"/>
    <s v="null"/>
    <n v="140"/>
    <n v="77"/>
    <n v="220"/>
    <n v="64837"/>
    <s v="https://trib.al/6ovBmSj"/>
    <s v="null"/>
    <n v="3313888"/>
    <s v="Breaking news &amp; features from The New York Post. Follow your favorite sections: @pagesix, @nypmetro, @nypostbiz, @nypostsports, @nypfashion, @nypostopinion"/>
    <n v="706459"/>
    <s v="https://pbs.twimg.com/profile_images/966372680306868224/60wfGe9e_normal.jpg"/>
    <n v="10308"/>
    <b v="0"/>
    <n v="30"/>
    <n v="29"/>
    <s v="{&quot;post_id&quot;:null,&quot;profile_id&quot;:null,&quot;profile_name&quot;:null}"/>
    <s v="null"/>
    <s v="null"/>
    <s v="{&quot;data_posted&quot;:null,&quot;description&quot;:null,&quot;photos&quot;:null,&quot;post_id&quot;:null,&quot;profile_id&quot;:null,&quot;profile_name&quot;:null,&quot;url&quot;:null,&quot;videos&quot;:null}"/>
    <n v="496"/>
    <n v="7.6499529589586189E-3"/>
    <d v="2024-12-15T00:00:00"/>
    <n v="0.75780092592592596"/>
    <x v="0"/>
    <x v="8"/>
    <x v="0"/>
    <x v="0"/>
    <x v="0"/>
    <x v="0"/>
    <n v="86"/>
    <x v="0"/>
  </r>
  <r>
    <n v="1.8683961420833464E+18"/>
    <s v="NAS███"/>
    <s v="NAS███"/>
    <s v="Somehow, @JHNemechek kept this car out of the wall. 😅"/>
    <s v="&quot;2024-12-15T20:42:08.000Z&quot;"/>
    <s v="null"/>
    <s v="https://x.com/NASCAR/status/1868396142083346497"/>
    <s v="[{&quot;biography&quot;:null,&quot;followers&quot;:null,&quot;following&quot;:null,&quot;is_verified&quot;:null,&quot;profile_id&quot;:&quot;391453796&quot;,&quot;profile_name&quot;:&quot;John Hunter Nemechek&quot;,&quot;url&quot;:&quot;https://x.com/JHNemechek&quot;}]"/>
    <n v="15"/>
    <n v="40"/>
    <n v="390"/>
    <n v="60182"/>
    <s v=""/>
    <s v="null"/>
    <n v="3658764"/>
    <s v="JOEY LOGANO IS A THREE-TIME CUP SERIES CHAMPION!"/>
    <n v="169923"/>
    <s v="https://pbs.twimg.com/profile_images/1861050078808436736/uG9NuXnz_normal.jpg"/>
    <n v="344"/>
    <b v="0"/>
    <n v="3"/>
    <n v="12"/>
    <s v="{&quot;post_id&quot;:null,&quot;profile_id&quot;:null,&quot;profile_name&quot;:null}"/>
    <s v="null"/>
    <s v="[{&quot;duration&quot;:15209,&quot;video_url&quot;:&quot;https://video.twimg.com/amplify_video/1868396111892717568/vid/avc1/608x1080/gB1FxPD2jca-jS3t.mp4?tag=16&quot;}]"/>
    <s v="{&quot;data_posted&quot;:null,&quot;description&quot;:null,&quot;photos&quot;:null,&quot;post_id&quot;:null,&quot;profile_id&quot;:null,&quot;profile_name&quot;:null,&quot;url&quot;:null,&quot;videos&quot;:null}"/>
    <n v="460"/>
    <n v="7.6434814396331126E-3"/>
    <d v="2024-12-15T00:00:00"/>
    <n v="0.86259259259259258"/>
    <x v="0"/>
    <x v="3"/>
    <x v="1"/>
    <x v="1"/>
    <x v="0"/>
    <x v="0"/>
    <n v="53"/>
    <x v="0"/>
  </r>
  <r>
    <n v="1.8681147971638889E+18"/>
    <s v="ufc"/>
    <s v="UFC"/>
    <s v="Now 2-0 in the UFC 😮‍💨_x000a__x000a_@FelipeLimaMMA with the UD victory at #UFCTampa!"/>
    <s v="&quot;2024-12-15T02:04:10.000Z&quot;"/>
    <s v="[&quot;https://pbs.twimg.com/media/GezfjSFXUAAc0OI.jpg&quot;,&quot;https://pbs.twimg.com/media/Gezfk4jWcAEEIC8.jpg&quot;,&quot;https://pbs.twimg.com/media/GezfnSVWsAEnD7h.jpg&quot;]"/>
    <s v="https://x.com/ufc/status/1868114797163889011"/>
    <s v="[{&quot;biography&quot;:null,&quot;followers&quot;:null,&quot;following&quot;:null,&quot;is_verified&quot;:null,&quot;profile_id&quot;:&quot;1837439771326439424&quot;,&quot;profile_name&quot;:&quot;Felipe lima&quot;,&quot;url&quot;:&quot;https://x.com/felipelimamma&quot;}]"/>
    <n v="25"/>
    <n v="45"/>
    <n v="601"/>
    <n v="89304"/>
    <s v=""/>
    <s v="[&quot;UFCTampa&quot;]"/>
    <n v="12876594"/>
    <s v="#UFCTampa | Covington vs Buckley | December 14 | 10pmET | LIVE on @ESPNPlus"/>
    <n v="141401"/>
    <s v="https://pbs.twimg.com/profile_images/1835773190385328128/4fVrF1UI_normal.jpg"/>
    <n v="717"/>
    <b v="0"/>
    <n v="3"/>
    <n v="5"/>
    <s v="{&quot;post_id&quot;:null,&quot;profile_id&quot;:null,&quot;profile_name&quot;:null}"/>
    <s v="null"/>
    <s v="null"/>
    <s v="{&quot;data_posted&quot;:null,&quot;description&quot;:null,&quot;photos&quot;:null,&quot;post_id&quot;:null,&quot;profile_id&quot;:null,&quot;profile_name&quot;:null,&quot;url&quot;:null,&quot;videos&quot;:null}"/>
    <n v="679"/>
    <n v="7.6032428558631196E-3"/>
    <d v="2024-12-15T00:00:00"/>
    <n v="8.6226851851851846E-2"/>
    <x v="0"/>
    <x v="2"/>
    <x v="0"/>
    <x v="0"/>
    <x v="1"/>
    <x v="0"/>
    <n v="72"/>
    <x v="1"/>
  </r>
  <r>
    <n v="1.8683110420292037E+18"/>
    <s v="Cel███FC"/>
    <s v="Cel███ Fo███all██████"/>
    <s v="📺 @CelticTV caught up with Brendan Rodgers ahead of #CELRAN _x000a_ _x000a_#PremierSportsCup | #CelticFC🍀"/>
    <s v="&quot;2024-12-15T15:03:58.000Z&quot;"/>
    <s v="null"/>
    <s v="https://x.com/CelticFC/status/1868311042029203602"/>
    <s v="[{&quot;biography&quot;:null,&quot;followers&quot;:null,&quot;following&quot;:null,&quot;is_verified&quot;:null,&quot;profile_id&quot;:&quot;1900034311&quot;,&quot;profile_name&quot;:&quot;Celtic TV&quot;,&quot;url&quot;:&quot;https://x.com/CelticTV&quot;}]"/>
    <n v="10"/>
    <n v="28"/>
    <n v="303"/>
    <n v="45920"/>
    <s v=""/>
    <s v="[&quot;CELRAN&quot;,&quot;PremierSportsCup&quot;,&quot;CelticFC&quot;]"/>
    <n v="984255"/>
    <s v="Glasgow Celtic - 2023/24 Double Winners! 🍀🏆 🟢 @CelticFCWomen ⚪ @CelticFCB 🎌 @CelticFCJPN 📽 @CelticTV 🛒 @CelticFCShop 🎟 @CelticFCTickets"/>
    <n v="136135"/>
    <s v="https://pbs.twimg.com/profile_images/1808866900228665344/xZAZuYBY_normal.jpg"/>
    <n v="438"/>
    <b v="0"/>
    <n v="0"/>
    <n v="6"/>
    <s v="{&quot;post_id&quot;:null,&quot;profile_id&quot;:null,&quot;profile_name&quot;:null}"/>
    <s v="null"/>
    <s v="[{&quot;duration&quot;:176280,&quot;video_url&quot;:&quot;https://video.twimg.com/amplify_video/1868310459662663681/vid/avc1/720x720/hDSnv4H5cIF_kiiL.mp4?tag=14&quot;}]"/>
    <s v="{&quot;data_posted&quot;:null,&quot;description&quot;:null,&quot;photos&quot;:null,&quot;post_id&quot;:null,&quot;profile_id&quot;:null,&quot;profile_name&quot;:null,&quot;url&quot;:null,&quot;videos&quot;:null}"/>
    <n v="347"/>
    <n v="7.5566202090592335E-3"/>
    <d v="2024-12-15T00:00:00"/>
    <n v="0.62775462962962958"/>
    <x v="0"/>
    <x v="13"/>
    <x v="1"/>
    <x v="1"/>
    <x v="1"/>
    <x v="0"/>
    <n v="93"/>
    <x v="2"/>
  </r>
  <r>
    <n v="1.8684008915118861E+18"/>
    <s v="ufc"/>
    <s v="UFC"/>
    <s v="He still has POP at 41 💥 _x000a__x000a_ONE MORE FOR @CubSwanson? 👀 #UFCTampa"/>
    <s v="&quot;2024-12-15T21:01:00.000Z&quot;"/>
    <s v="[&quot;https://pbs.twimg.com/media/Ge0qGy1WYAAscJs.jpg&quot;,&quot;https://pbs.twimg.com/media/Ge0pu9BWcAAerNf.jpg&quot;,&quot;https://pbs.twimg.com/media/Ge0pwxIX0AAVgLg.jpg&quot;,&quot;https://pbs.twimg.com/media/Ge0py07X0AARsrl.jpg&quot;]"/>
    <s v="https://x.com/ufc/status/1868400891511886126"/>
    <s v="[{&quot;biography&quot;:null,&quot;followers&quot;:null,&quot;following&quot;:null,&quot;is_verified&quot;:null,&quot;profile_id&quot;:&quot;30506859&quot;,&quot;profile_name&quot;:&quot;Cub Swanson&quot;,&quot;url&quot;:&quot;https://x.com/CubSwanson&quot;}]"/>
    <n v="37"/>
    <n v="46"/>
    <n v="629"/>
    <n v="96025"/>
    <s v=""/>
    <s v="[&quot;UFCTampa&quot;]"/>
    <n v="12876593"/>
    <s v="#UFCTampa | Covington vs Buckley | December 14 | 10pmET | LIVE on @ESPNPlus"/>
    <n v="141401"/>
    <s v="https://pbs.twimg.com/profile_images/1835773190385328128/4fVrF1UI_normal.jpg"/>
    <n v="717"/>
    <b v="0"/>
    <n v="3"/>
    <n v="10"/>
    <s v="{&quot;post_id&quot;:null,&quot;profile_id&quot;:null,&quot;profile_name&quot;:null}"/>
    <s v="null"/>
    <s v="null"/>
    <s v="{&quot;data_posted&quot;:null,&quot;description&quot;:null,&quot;photos&quot;:null,&quot;post_id&quot;:null,&quot;profile_id&quot;:null,&quot;profile_name&quot;:null,&quot;url&quot;:null,&quot;videos&quot;:null}"/>
    <n v="725"/>
    <n v="7.5501171569903672E-3"/>
    <d v="2024-12-15T00:00:00"/>
    <n v="0.87569444444444444"/>
    <x v="0"/>
    <x v="10"/>
    <x v="0"/>
    <x v="0"/>
    <x v="1"/>
    <x v="0"/>
    <n v="64"/>
    <x v="1"/>
  </r>
  <r>
    <n v="1.8681107558678449E+18"/>
    <s v="CNN███sil███"/>
    <s v="CNN███asi███"/>
    <s v="Entenda o que é prisão preventiva e veja os próximos passos do caso Braga Netto"/>
    <s v="&quot;2024-12-15T01:48:06.000Z&quot;"/>
    <s v="null"/>
    <s v="https://x.com/CNNBrasil/status/1868110755867844967"/>
    <s v="null"/>
    <n v="24"/>
    <n v="7"/>
    <n v="55"/>
    <n v="12053"/>
    <s v="https://www.cnnbrasil.com.br/politica/entenda-o-que-e-prisao-preventiva-e-veja-os-proximos-passos-do-caso-braga-netto/?utm_source=social&amp;utm_medium=twitter&amp;utm_campaign=politica"/>
    <s v="null"/>
    <n v="2819408"/>
    <s v="Pense bem, pense CNN._x000a_Acompanhe também pelo canal 577, app ou site. _x000a_⚽ @esportescnn_x000a_⚡️ @cnnpop_x000a_💰 @cnneconomia_x000a_💵 @nolucrocnn"/>
    <n v="286269"/>
    <s v="https://pbs.twimg.com/profile_images/1202609722257485824/NcFn6f7X_normal.jpg"/>
    <n v="4"/>
    <b v="0"/>
    <n v="4"/>
    <n v="1"/>
    <s v="{&quot;post_id&quot;:null,&quot;profile_id&quot;:null,&quot;profile_name&quot;:null}"/>
    <s v="[&quot;https://pbs.twimg.com/card_img/1868110757495287808/kzEv6b_G?format=jpg&amp;name=orig&quot;]"/>
    <s v="null"/>
    <s v="{&quot;data_posted&quot;:null,&quot;description&quot;:null,&quot;photos&quot;:null,&quot;post_id&quot;:null,&quot;profile_id&quot;:null,&quot;profile_name&quot;:null,&quot;url&quot;:null,&quot;videos&quot;:null}"/>
    <n v="91"/>
    <n v="7.5499875549655685E-3"/>
    <d v="2024-12-15T00:00:00"/>
    <n v="7.5069444444444439E-2"/>
    <x v="0"/>
    <x v="19"/>
    <x v="0"/>
    <x v="1"/>
    <x v="0"/>
    <x v="0"/>
    <n v="79"/>
    <x v="0"/>
  </r>
  <r>
    <n v="1.8681298798640622E+18"/>
    <s v="nyp███"/>
    <s v="New███rk ███t"/>
    <s v="Hooligans terrorize motorists, target car with baby on board in chaotic Florida street takeover"/>
    <s v="&quot;2024-12-15T03:04:06.000Z&quot;"/>
    <s v="[&quot;https://pbs.twimg.com/media/GezuOdiXgAEJC26.jpg&quot;]"/>
    <s v="https://x.com/nypost/status/1868129879864062233"/>
    <s v="null"/>
    <n v="78"/>
    <n v="64"/>
    <n v="161"/>
    <n v="42416"/>
    <s v="https://trib.al/gUxWaod"/>
    <s v="null"/>
    <n v="3313894"/>
    <s v="Breaking news &amp; features from The New York Post. Follow your favorite sections: @pagesix, @nypmetro, @nypostbiz, @nypostsports, @nypfashion, @nypostopinion"/>
    <n v="706459"/>
    <s v="https://pbs.twimg.com/profile_images/966372680306868224/60wfGe9e_normal.jpg"/>
    <n v="10308"/>
    <b v="0"/>
    <n v="6"/>
    <n v="11"/>
    <s v="{&quot;post_id&quot;:null,&quot;profile_id&quot;:null,&quot;profile_name&quot;:null}"/>
    <s v="null"/>
    <s v="null"/>
    <s v="{&quot;data_posted&quot;:null,&quot;description&quot;:null,&quot;photos&quot;:null,&quot;post_id&quot;:null,&quot;profile_id&quot;:null,&quot;profile_name&quot;:null,&quot;url&quot;:null,&quot;videos&quot;:null}"/>
    <n v="320"/>
    <n v="7.5443228970199921E-3"/>
    <d v="2024-12-15T00:00:00"/>
    <n v="0.12784722222222222"/>
    <x v="0"/>
    <x v="21"/>
    <x v="0"/>
    <x v="0"/>
    <x v="0"/>
    <x v="0"/>
    <n v="95"/>
    <x v="0"/>
  </r>
  <r>
    <n v="1.840692814465643E+18"/>
    <s v="GFW███g"/>
    <s v="墙国蛙███���"/>
    <s v="去你妈的国庆！_x000a_去你妈的习近平！_x000a__x000a_#中指革命"/>
    <s v="&quot;2024-09-30T09:59:00.000Z&quot;"/>
    <s v="[&quot;https://pbs.twimg.com/media/GYt0J1CW0AAu6jd.jpg&quot;]"/>
    <s v="https://x.com/GFWfrog/status/1840692814465642929"/>
    <s v="null"/>
    <n v="1164"/>
    <n v="380"/>
    <n v="5868"/>
    <n v="1014510"/>
    <s v=""/>
    <s v="[&quot;中指革命&quot;]"/>
    <n v="223937"/>
    <s v="学而时习之，墙国404_x000a__x000a_欢迎私信投稿，视频投稿素材请发邮件: gfwfrog@gmail.com 或Telegram私信机器人@laohu_bot 投稿 万人Telegram群：https://t.co/BbAyHfnObj_x000a__x000a_Telegram频道：https://t.co/Evu48wmwfT_x000a__x000a_#世界上最安全的国家"/>
    <n v="9047"/>
    <s v="https://pbs.twimg.com/profile_images/1866669545345150976/Lrzp5POA_normal.jpg"/>
    <n v="1457"/>
    <b v="0"/>
    <n v="47"/>
    <n v="137"/>
    <s v="{&quot;post_id&quot;:null,&quot;profile_id&quot;:null,&quot;profile_name&quot;:null}"/>
    <s v="null"/>
    <s v="null"/>
    <s v="{&quot;data_posted&quot;:null,&quot;description&quot;:null,&quot;photos&quot;:null,&quot;post_id&quot;:null,&quot;profile_id&quot;:null,&quot;profile_name&quot;:null,&quot;url&quot;:null,&quot;videos&quot;:null}"/>
    <n v="7596"/>
    <n v="7.4873584291924181E-3"/>
    <d v="2024-09-30T00:00:00"/>
    <n v="0.41597222222222224"/>
    <x v="2"/>
    <x v="18"/>
    <x v="0"/>
    <x v="0"/>
    <x v="1"/>
    <x v="0"/>
    <n v="23"/>
    <x v="2"/>
  </r>
  <r>
    <n v="1.8022365766234732E+18"/>
    <s v="xin███dia███a"/>
    <s v="新闻调查"/>
    <s v="中共调动所有资源正全网封杀这个视频！_x000a_网友配上了英文让这个视频全球疯传！"/>
    <s v="&quot;2024-06-16T07:07:38.000Z&quot;"/>
    <s v="[&quot;https://pbs.twimg.com/media/GQLUeEiagAAHvw1.jpg&quot;,&quot;https://pbs.twimg.com/media/GQLUeEjaoAAVQXU.jpg&quot;]"/>
    <s v="https://x.com/xinwendiaocha/status/1802236576623473129"/>
    <s v="null"/>
    <n v="362"/>
    <n v="1672"/>
    <n v="6803"/>
    <n v="1390919"/>
    <s v=""/>
    <s v="null"/>
    <n v="549800"/>
    <s v="追踪新闻，调查真相！ 投稿、商务合作邮箱：charles811203@gmail.com 蓝天号：https://t.co/jAbho9ANSf"/>
    <n v="47749"/>
    <s v="https://pbs.twimg.com/profile_images/1347827975383760896/6aV1UyGk_normal.jpg"/>
    <n v="62"/>
    <b v="0"/>
    <n v="82"/>
    <n v="1484"/>
    <s v="{&quot;post_id&quot;:null,&quot;profile_id&quot;:null,&quot;profile_name&quot;:null}"/>
    <s v="null"/>
    <s v="[{&quot;duration&quot;:279868,&quot;video_url&quot;:&quot;https://video.twimg.com/amplify_video/1802236414001811456/vid/avc1/480x944/jfZv60hb7MbRTfE1.mp4?tag=16&quot;}]"/>
    <s v="{&quot;data_posted&quot;:null,&quot;description&quot;:null,&quot;photos&quot;:null,&quot;post_id&quot;:null,&quot;profile_id&quot;:null,&quot;profile_name&quot;:null,&quot;url&quot;:null,&quot;videos&quot;:null}"/>
    <n v="10403"/>
    <n v="7.4792277623643077E-3"/>
    <d v="2024-06-16T00:00:00"/>
    <n v="0.29696759259259259"/>
    <x v="0"/>
    <x v="20"/>
    <x v="1"/>
    <x v="0"/>
    <x v="0"/>
    <x v="0"/>
    <n v="36"/>
    <x v="2"/>
  </r>
  <r>
    <n v="1.8684016093546701E+18"/>
    <s v="TNT███rts███"/>
    <s v="TNT███ort███R"/>
    <s v="SHOW DOS SPURS! 🐓🔥 O Tottenham AMASSOU o Southampton, fora de casa, pela #PremierLeague! Mais uma grande atuação de Maddison! 👏"/>
    <s v="&quot;2024-12-15T21:03:51.000Z&quot;"/>
    <s v="[&quot;https://pbs.twimg.com/media/Ge3lWlSWcAApiM8.jpg&quot;]"/>
    <s v="https://x.com/TNTSportsBR/status/1868401609354670201"/>
    <s v="null"/>
    <n v="4"/>
    <n v="5"/>
    <n v="105"/>
    <n v="15796"/>
    <s v=""/>
    <s v="[&quot;PremierLeague&quot;]"/>
    <n v="8293200"/>
    <s v="⚽️ É muito mais Champions na Max, com TODOS os jogos ao vivo!_x000a_👇🏻Assine e assista clicando no link👇🏻"/>
    <n v="456734"/>
    <s v="https://pbs.twimg.com/profile_images/1807013047975768065/8sm_IGpw_normal.jpg"/>
    <n v="859"/>
    <b v="0"/>
    <n v="1"/>
    <n v="3"/>
    <s v="{&quot;post_id&quot;:null,&quot;profile_id&quot;:null,&quot;profile_name&quot;:null}"/>
    <s v="null"/>
    <s v="null"/>
    <s v="{&quot;data_posted&quot;:null,&quot;description&quot;:null,&quot;photos&quot;:null,&quot;post_id&quot;:null,&quot;profile_id&quot;:null,&quot;profile_name&quot;:null,&quot;url&quot;:null,&quot;videos&quot;:null}"/>
    <n v="118"/>
    <n v="7.4702456318055206E-3"/>
    <d v="2024-12-15T00:00:00"/>
    <n v="0.87767361111111108"/>
    <x v="0"/>
    <x v="10"/>
    <x v="0"/>
    <x v="0"/>
    <x v="1"/>
    <x v="0"/>
    <n v="127"/>
    <x v="0"/>
  </r>
  <r>
    <n v="1.8683301650525719E+18"/>
    <s v="spfl"/>
    <s v="SPFL"/>
    <s v="It's advantage @RangersFC in the Premier Sports Cup Final! 🏆_x000a__x000a_Nedim Bajrami with another huge goal at Hampden Park."/>
    <s v="&quot;2024-12-15T16:19:57.000Z&quot;"/>
    <s v="null"/>
    <s v="https://x.com/spfl/status/1868330165052571936"/>
    <s v="[{&quot;biography&quot;:null,&quot;followers&quot;:null,&quot;following&quot;:null,&quot;is_verified&quot;:null,&quot;profile_id&quot;:&quot;351838853&quot;,&quot;profile_name&quot;:&quot;Rangers Football Club&quot;,&quot;url&quot;:&quot;https://x.com/RangersFC&quot;}]"/>
    <n v="6"/>
    <n v="17"/>
    <n v="366"/>
    <n v="53463"/>
    <s v=""/>
    <s v="null"/>
    <n v="294711"/>
    <s v="Official Twitter/X account for the Scottish Professional Football League, sponsored by @WilliamHill."/>
    <n v="66342"/>
    <s v="https://pbs.twimg.com/profile_images/1798999022348496896/ZZU_hFqY_normal.jpg"/>
    <n v="1449"/>
    <b v="0"/>
    <n v="6"/>
    <n v="4"/>
    <s v="{&quot;post_id&quot;:null,&quot;profile_id&quot;:null,&quot;profile_name&quot;:null}"/>
    <s v="null"/>
    <s v="[{&quot;duration&quot;:83056,&quot;video_url&quot;:&quot;https://video.twimg.com/amplify_video/1868329832691445760/vid/avc1/1280x720/SISQ5IfLcc8w5nVQ.mp4?tag=16&quot;}]"/>
    <s v="{&quot;data_posted&quot;:null,&quot;description&quot;:null,&quot;photos&quot;:null,&quot;post_id&quot;:null,&quot;profile_id&quot;:null,&quot;profile_name&quot;:null,&quot;url&quot;:null,&quot;videos&quot;:null}"/>
    <n v="399"/>
    <n v="7.4631053251781607E-3"/>
    <d v="2024-12-15T00:00:00"/>
    <n v="0.68052083333333335"/>
    <x v="0"/>
    <x v="15"/>
    <x v="1"/>
    <x v="1"/>
    <x v="0"/>
    <x v="0"/>
    <n v="115"/>
    <x v="2"/>
  </r>
  <r>
    <n v="1.8680990717407196E+18"/>
    <s v="CNN███sil███"/>
    <s v="CNN███asi███"/>
    <s v="Asilados em embaixada na Venezuela dizem que bandeira do Brasil os protege, mas pedem urgência a Lula"/>
    <s v="&quot;2024-12-15T01:01:40.000Z&quot;"/>
    <s v="null"/>
    <s v="https://x.com/CNNBrasil/status/1868099071740719611"/>
    <s v="null"/>
    <n v="4"/>
    <n v="7"/>
    <n v="73"/>
    <n v="11543"/>
    <s v="https://www.cnnbrasil.com.br/internacional/asilados-em-embaixada-na-venezuela-dizem-que-bandeira-do-brasil-os-protege-mas-pedem-urgencia-a-lula/?utm_source=social&amp;utm_medium=twitter&amp;utm_campaign=internacional"/>
    <s v="null"/>
    <n v="2819408"/>
    <s v="Pense bem, pense CNN._x000a_Acompanhe também pelo canal 577, app ou site. _x000a_⚽ @esportescnn_x000a_⚡️ @cnnpop_x000a_💰 @cnneconomia_x000a_💵 @nolucrocnn"/>
    <n v="286269"/>
    <s v="https://pbs.twimg.com/profile_images/1202609722257485824/NcFn6f7X_normal.jpg"/>
    <n v="4"/>
    <b v="0"/>
    <n v="1"/>
    <n v="1"/>
    <s v="{&quot;post_id&quot;:null,&quot;profile_id&quot;:null,&quot;profile_name&quot;:null}"/>
    <s v="[&quot;https://pbs.twimg.com/card_img/1865588535882919937/-er8MmuU?format=jpg&amp;name=orig&quot;]"/>
    <s v="null"/>
    <s v="{&quot;data_posted&quot;:null,&quot;description&quot;:null,&quot;photos&quot;:null,&quot;post_id&quot;:null,&quot;profile_id&quot;:null,&quot;profile_name&quot;:null,&quot;url&quot;:null,&quot;videos&quot;:null}"/>
    <n v="86"/>
    <n v="7.4504028415489911E-3"/>
    <d v="2024-12-15T00:00:00"/>
    <n v="4.2824074074074077E-2"/>
    <x v="0"/>
    <x v="19"/>
    <x v="0"/>
    <x v="1"/>
    <x v="0"/>
    <x v="0"/>
    <n v="101"/>
    <x v="0"/>
  </r>
  <r>
    <n v="1.8683138217960699E+18"/>
    <s v="Man███y"/>
    <s v="Man███ste███ity███"/>
    <s v="In the blue corner for #MCIMNU 🩵_x000a__x000a_XI | Ederson, Walker (C), Dias, Gvardiol, Gundogan, De Bruyne, Bernardo, Nunes, Foden, Doku, Haaland_x000a__x000a_SUBS | Ortega Moreno, Stones, Kovacic, Grealish, Savinho, Simpson-Pusey, Mubama, O'Reilly, McAtee_x000a__x000a_#ManCity | @etihad"/>
    <s v="&quot;2024-12-15T15:15:01.000Z&quot;"/>
    <s v="[&quot;https://pbs.twimg.com/media/Ge2RXW8XgAAsdIq.jpg&quot;]"/>
    <s v="https://x.com/ManCity/status/1868313821796069772"/>
    <s v="[{&quot;biography&quot;:null,&quot;followers&quot;:null,&quot;following&quot;:null,&quot;is_verified&quot;:null,&quot;profile_id&quot;:&quot;45621423&quot;,&quot;profile_name&quot;:&quot;Etihad Airways&quot;,&quot;url&quot;:&quot;https://x.com/etihad&quot;}]"/>
    <n v="568"/>
    <n v="1242"/>
    <n v="5863"/>
    <n v="1241664"/>
    <s v=""/>
    <s v="[&quot;MCIMNU&quot;,&quot;ManCity&quot;]"/>
    <n v="17891377"/>
    <s v="WATCH TOGETHER: 4-IN-A-ROW 🍿"/>
    <n v="168939"/>
    <s v="https://pbs.twimg.com/profile_images/1856263834400358400/RysToJDu_normal.png"/>
    <n v="47365"/>
    <b v="0"/>
    <n v="1381"/>
    <n v="63"/>
    <s v="{&quot;post_id&quot;:null,&quot;profile_id&quot;:null,&quot;profile_name&quot;:null}"/>
    <s v="null"/>
    <s v="null"/>
    <s v="{&quot;data_posted&quot;:null,&quot;description&quot;:null,&quot;photos&quot;:null,&quot;post_id&quot;:null,&quot;profile_id&quot;:null,&quot;profile_name&quot;:null,&quot;url&quot;:null,&quot;videos&quot;:null}"/>
    <n v="9117"/>
    <n v="7.3425661048399571E-3"/>
    <d v="2024-12-15T00:00:00"/>
    <n v="0.63542824074074078"/>
    <x v="0"/>
    <x v="13"/>
    <x v="0"/>
    <x v="0"/>
    <x v="1"/>
    <x v="0"/>
    <n v="253"/>
    <x v="1"/>
  </r>
  <r>
    <n v="1.8682971446348759E+18"/>
    <s v="Nor███rnI███and███"/>
    <s v="Nor███rn ███lan███"/>
    <s v="All six of our @FIFAWorldCup qualifiers will have a 7:45pm kick-off ⚽️ #FIFAWorldCup _x000a__x000a_Away venues and ticket details will be announced in due course 🏟️🎟️ #GAWA"/>
    <s v="&quot;2024-12-15T14:08:45.000Z&quot;"/>
    <s v="null"/>
    <s v="https://x.com/NorthernIreland/status/1868297144634875962"/>
    <s v="[{&quot;biography&quot;:null,&quot;followers&quot;:null,&quot;following&quot;:null,&quot;is_verified&quot;:null,&quot;profile_id&quot;:&quot;138372303&quot;,&quot;profile_name&quot;:&quot;FIFA World Cup&quot;,&quot;url&quot;:&quot;https://x.com/FIFAWorldCup&quot;}]"/>
    <n v="3"/>
    <n v="1"/>
    <n v="25"/>
    <n v="4691"/>
    <s v="https://www.irishfa.com/news/2024/december/northern-ireland-to-begin-world-cup-qualifiers-with-two-away-fixtures"/>
    <s v="[&quot;FIFAWorldCup&quot;,&quot;GAWA&quot;]"/>
    <n v="115805"/>
    <s v="Home of the Green and White Army 🟢⚪️ #GAWA"/>
    <n v="20240"/>
    <s v="https://pbs.twimg.com/profile_images/1836159722757541888/AJX9QrXy_normal.jpg"/>
    <n v="332"/>
    <b v="0"/>
    <n v="1"/>
    <n v="4"/>
    <s v="{&quot;post_id&quot;:null,&quot;profile_id&quot;:null,&quot;profile_name&quot;:null}"/>
    <s v="[&quot;https://pbs.twimg.com/card_img/1868295699613290496/nsj2JIml?format=png&amp;name=orig&quot;]"/>
    <s v="null"/>
    <s v="{&quot;data_posted&quot;:null,&quot;description&quot;:null,&quot;photos&quot;:null,&quot;post_id&quot;:null,&quot;profile_id&quot;:null,&quot;profile_name&quot;:null,&quot;url&quot;:null,&quot;videos&quot;:null}"/>
    <n v="34"/>
    <n v="7.2479215519079092E-3"/>
    <d v="2024-12-15T00:00:00"/>
    <n v="0.58940972222222221"/>
    <x v="0"/>
    <x v="1"/>
    <x v="0"/>
    <x v="1"/>
    <x v="1"/>
    <x v="0"/>
    <n v="160"/>
    <x v="2"/>
  </r>
  <r>
    <n v="1.8682818138039378E+18"/>
    <s v="CPFC"/>
    <s v="Cry███l P███ce ██████"/>
    <s v="Ebs 👊_x000a__x000a_#CPFC // #BHACRY"/>
    <s v="&quot;2024-12-15T13:07:50.000Z&quot;"/>
    <s v="[&quot;https://pbs.twimg.com/media/Ge13YXdWUAAPXUE.jpg&quot;]"/>
    <s v="https://x.com/CPFC/status/1868281813803937896"/>
    <s v="null"/>
    <n v="6"/>
    <n v="5"/>
    <n v="285"/>
    <n v="41445"/>
    <s v=""/>
    <s v="[&quot;CPFC&quot;,&quot;BHACRY&quot;]"/>
    <n v="1480966"/>
    <s v="The Pride of South London."/>
    <n v="103753"/>
    <s v="https://pbs.twimg.com/profile_images/1857393032883994624/qN-MGWEH_normal.jpg"/>
    <n v="552"/>
    <b v="0"/>
    <n v="1"/>
    <n v="1"/>
    <s v="{&quot;post_id&quot;:null,&quot;profile_id&quot;:null,&quot;profile_name&quot;:null}"/>
    <s v="null"/>
    <s v="null"/>
    <s v="{&quot;data_posted&quot;:null,&quot;description&quot;:null,&quot;photos&quot;:null,&quot;post_id&quot;:null,&quot;profile_id&quot;:null,&quot;profile_name&quot;:null,&quot;url&quot;:null,&quot;videos&quot;:null}"/>
    <n v="298"/>
    <n v="7.1902521413922064E-3"/>
    <d v="2024-12-15T00:00:00"/>
    <n v="0.54710648148148144"/>
    <x v="0"/>
    <x v="14"/>
    <x v="0"/>
    <x v="0"/>
    <x v="1"/>
    <x v="0"/>
    <n v="23"/>
    <x v="0"/>
  </r>
  <r>
    <n v="1.8681471880411346E+18"/>
    <s v="WWE"/>
    <s v="WWE"/>
    <s v="EXCLUSIVE: After narrowly losing to Undisputed WWE Champion Cody Rhodes, Kevin Owens brutalizes The American Nightmare with a Piledriver just moments after Saturday Night's Main Event goes off the air._x000a__x000a_#SNME"/>
    <s v="&quot;2024-12-15T04:12:52.000Z&quot;"/>
    <s v="null"/>
    <s v="https://x.com/WWE/status/1868147188041134537"/>
    <s v="null"/>
    <n v="770"/>
    <n v="3082"/>
    <n v="23298"/>
    <n v="4223579"/>
    <s v=""/>
    <s v="[&quot;SNME&quot;]"/>
    <n v="14375937"/>
    <s v="WWE Raw | Mondays at 8/7c on USA Network _x000a_WWE NXT | Tuesdays at 8/7c on The CW _x000a_WWE SmackDown | Fridays at 8/7c on USA Network"/>
    <n v="346973"/>
    <s v="https://pbs.twimg.com/profile_images/1383079031805972485/3sWoMX-R_normal.jpg"/>
    <n v="392"/>
    <b v="0"/>
    <n v="562"/>
    <n v="2606"/>
    <s v="{&quot;post_id&quot;:null,&quot;profile_id&quot;:null,&quot;profile_name&quot;:null}"/>
    <s v="null"/>
    <s v="[{&quot;duration&quot;:317000,&quot;video_url&quot;:&quot;https://video.twimg.com/amplify_video/1868147034852585472/vid/avc1/1920x1080/xOyeAmRAFOAiJSyu.mp4?tag=16&quot;}]"/>
    <s v="{&quot;data_posted&quot;:null,&quot;description&quot;:null,&quot;photos&quot;:null,&quot;post_id&quot;:null,&quot;profile_id&quot;:null,&quot;profile_name&quot;:null,&quot;url&quot;:null,&quot;videos&quot;:null}"/>
    <n v="30318"/>
    <n v="7.1782722662462337E-3"/>
    <d v="2024-12-15T00:00:00"/>
    <n v="0.17560185185185184"/>
    <x v="0"/>
    <x v="9"/>
    <x v="1"/>
    <x v="1"/>
    <x v="1"/>
    <x v="0"/>
    <n v="208"/>
    <x v="1"/>
  </r>
  <r>
    <n v="1.8681188395585454E+18"/>
    <s v="ufc"/>
    <s v="UFC"/>
    <s v="&quot;Rank me and run me my 50!&quot; 💰_x000a__x000a_@SeanWoodsonMMA makes it four in a row at #UFCTampa_x000a__x000a_[ LIVE NOW on @ESPNPlus PPV ]"/>
    <s v="&quot;2024-12-15T02:20:13.000Z&quot;"/>
    <s v="null"/>
    <s v="https://x.com/ufc/status/1868118839558545483"/>
    <s v="[{&quot;biography&quot;:null,&quot;followers&quot;:null,&quot;following&quot;:null,&quot;is_verified&quot;:null,&quot;profile_id&quot;:&quot;915290833456427009&quot;,&quot;profile_name&quot;:&quot;Sean Woodson&quot;,&quot;url&quot;:&quot;https://x.com/SeanWoodsonMMA&quot;},{&quot;biography&quot;:null,&quot;followers&quot;:null,&quot;following&quot;:null,&quot;is_verified&quot;:null,&quot;profile_id&quot;:&quot;1044284694387412992&quot;,&quot;profile_name&quot;:&quot;ESPN+&quot;,&quot;url&quot;:&quot;https://x.com/ESPNPlus&quot;}]"/>
    <n v="49"/>
    <n v="53"/>
    <n v="534"/>
    <n v="90926"/>
    <s v=""/>
    <s v="[&quot;UFCTampa&quot;]"/>
    <n v="12876593"/>
    <s v="#UFCTampa | Covington vs Buckley | December 14 | 10pmET | LIVE on @ESPNPlus"/>
    <n v="141401"/>
    <s v="https://pbs.twimg.com/profile_images/1835773190385328128/4fVrF1UI_normal.jpg"/>
    <n v="717"/>
    <b v="0"/>
    <n v="4"/>
    <n v="10"/>
    <s v="{&quot;post_id&quot;:null,&quot;profile_id&quot;:null,&quot;profile_name&quot;:null}"/>
    <s v="null"/>
    <s v="[{&quot;duration&quot;:15167,&quot;video_url&quot;:&quot;https://video.twimg.com/ext_tw_video/1868118644992946176/pu/vid/avc1/720x720/OVp31xllul33x4fg.mp4?tag=12&quot;}]"/>
    <s v="{&quot;data_posted&quot;:null,&quot;description&quot;:null,&quot;photos&quot;:null,&quot;post_id&quot;:null,&quot;profile_id&quot;:null,&quot;profile_name&quot;:null,&quot;url&quot;:null,&quot;videos&quot;:null}"/>
    <n v="650"/>
    <n v="7.1486703473153997E-3"/>
    <d v="2024-12-15T00:00:00"/>
    <n v="9.7372685185185187E-2"/>
    <x v="0"/>
    <x v="2"/>
    <x v="1"/>
    <x v="1"/>
    <x v="1"/>
    <x v="0"/>
    <n v="113"/>
    <x v="1"/>
  </r>
  <r>
    <n v="1.8682286307213069E+18"/>
    <s v="CNN███sil███"/>
    <s v="CNN███asi███"/>
    <s v="PM do Rio de Janeiro muda de uniforme a partir de segunda-feira (16); confira"/>
    <s v="&quot;2024-12-15T09:36:30.000Z&quot;"/>
    <s v="null"/>
    <s v="https://x.com/CNNBrasil/status/1868228630721306824"/>
    <s v="null"/>
    <n v="32"/>
    <n v="8"/>
    <n v="56"/>
    <n v="14114"/>
    <s v="https://cnnbr.app/short/c1772840069/"/>
    <s v="null"/>
    <n v="2819409"/>
    <s v="Pense bem, pense CNN._x000a_Acompanhe também pelo canal 577, app ou site. _x000a_⚽ @esportescnn_x000a_⚡️ @cnnpop_x000a_💰 @cnneconomia_x000a_💵 @nolucrocnn"/>
    <n v="286269"/>
    <s v="https://pbs.twimg.com/profile_images/1202609722257485824/NcFn6f7X_normal.jpg"/>
    <n v="4"/>
    <b v="0"/>
    <n v="3"/>
    <n v="1"/>
    <s v="{&quot;post_id&quot;:null,&quot;profile_id&quot;:null,&quot;profile_name&quot;:null}"/>
    <s v="[&quot;https://pbs.twimg.com/card_img/1868228592963817473/nsrp1iRN?format=jpg&amp;name=orig&quot;]"/>
    <s v="null"/>
    <s v="{&quot;data_posted&quot;:null,&quot;description&quot;:null,&quot;photos&quot;:null,&quot;post_id&quot;:null,&quot;profile_id&quot;:null,&quot;profile_name&quot;:null,&quot;url&quot;:null,&quot;videos&quot;:null}"/>
    <n v="100"/>
    <n v="7.0851636672807144E-3"/>
    <d v="2024-12-15T00:00:00"/>
    <n v="0.40034722222222224"/>
    <x v="0"/>
    <x v="18"/>
    <x v="0"/>
    <x v="1"/>
    <x v="0"/>
    <x v="0"/>
    <n v="77"/>
    <x v="0"/>
  </r>
  <r>
    <n v="1.8681743936939461E+18"/>
    <s v="ufc"/>
    <s v="UFC"/>
    <s v="A TRIO YOU DIDN'T KNOW YOU NEEDED 🤩_x000a__x000a_An epic walk out for @ColbyCovMMA!_x000a__x000a_#UFCTampa | @HulkHogan | @ChaelSonnen | @WWE"/>
    <s v="&quot;2024-12-15T06:00:59.000Z&quot;"/>
    <s v="null"/>
    <s v="https://x.com/ufc/status/1868174393693945987"/>
    <s v="[{&quot;biography&quot;:null,&quot;followers&quot;:null,&quot;following&quot;:null,&quot;is_verified&quot;:null,&quot;profile_id&quot;:&quot;442456291&quot;,&quot;profile_name&quot;:&quot;Colby Covington&quot;,&quot;url&quot;:&quot;https://x.com/ColbyCovMMA&quot;},{&quot;biography&quot;:null,&quot;followers&quot;:null,&quot;following&quot;:null,&quot;is_verified&quot;:null,&quot;profile_id&quot;:&quot;179932936&quot;,&quot;profile_name&quot;:&quot;Hulk Hogan&quot;,&quot;url&quot;:&quot;https://x.com/HulkHogan&quot;},{&quot;biography&quot;:null,&quot;followers&quot;:null,&quot;following&quot;:null,&quot;is_verified&quot;:null,&quot;profile_id&quot;:&quot;28951400&quot;,&quot;profile_name&quot;:&quot;Chael Sonnen&quot;,&quot;url&quot;:&quot;https://x.com/ChaelSonnen&quot;},{&quot;biography&quot;:null,&quot;followers&quot;:null,&quot;following&quot;:null,&quot;is_verified&quot;:null,&quot;profile_id&quot;:&quot;7517222&quot;,&quot;profile_name&quot;:&quot;WWE&quot;,&quot;url&quot;:&quot;https://x.com/WWE&quot;}]"/>
    <n v="665"/>
    <n v="374"/>
    <n v="4237"/>
    <n v="803807"/>
    <s v=""/>
    <s v="[&quot;UFCTampa&quot;]"/>
    <n v="12876593"/>
    <s v="#UFCTampa | Covington vs Buckley | December 14 | 10pmET | LIVE on @ESPNPlus"/>
    <n v="141401"/>
    <s v="https://pbs.twimg.com/profile_images/1835773190385328128/4fVrF1UI_normal.jpg"/>
    <n v="717"/>
    <b v="0"/>
    <n v="173"/>
    <n v="226"/>
    <s v="{&quot;post_id&quot;:null,&quot;profile_id&quot;:null,&quot;profile_name&quot;:null}"/>
    <s v="null"/>
    <s v="[{&quot;duration&quot;:37366,&quot;video_url&quot;:&quot;https://video.twimg.com/ext_tw_video/1868174204014563328/pu/vid/avc1/720x720/qFpGKdxsxSJV3c32.mp4?tag=12&quot;}]"/>
    <s v="{&quot;data_posted&quot;:null,&quot;description&quot;:null,&quot;photos&quot;:null,&quot;post_id&quot;:null,&quot;profile_id&quot;:null,&quot;profile_name&quot;:null,&quot;url&quot;:null,&quot;videos&quot;:null}"/>
    <n v="5675"/>
    <n v="7.0601524992939847E-3"/>
    <d v="2024-12-15T00:00:00"/>
    <n v="0.25068287037037035"/>
    <x v="0"/>
    <x v="23"/>
    <x v="1"/>
    <x v="1"/>
    <x v="1"/>
    <x v="0"/>
    <n v="117"/>
    <x v="1"/>
  </r>
  <r>
    <n v="1.8681146128072297E+18"/>
    <s v="nyp███"/>
    <s v="New███rk ███t"/>
    <s v="Travis Hunter wins Heisman Trophy as rare two-way star"/>
    <s v="&quot;2024-12-15T02:03:26.000Z&quot;"/>
    <s v="[&quot;https://pbs.twimg.com/media/GezgVyiWsAAjlFj.jpg&quot;]"/>
    <s v="https://x.com/nypost/status/1868114612807229736"/>
    <s v="null"/>
    <n v="41"/>
    <n v="18"/>
    <n v="221"/>
    <n v="41266"/>
    <s v="https://trib.al/e9GsCZx"/>
    <s v="null"/>
    <n v="3313894"/>
    <s v="Breaking news &amp; features from The New York Post. Follow your favorite sections: @pagesix, @nypmetro, @nypostbiz, @nypostsports, @nypfashion, @nypostopinion"/>
    <n v="706459"/>
    <s v="https://pbs.twimg.com/profile_images/966372680306868224/60wfGe9e_normal.jpg"/>
    <n v="10308"/>
    <b v="0"/>
    <n v="8"/>
    <n v="2"/>
    <s v="{&quot;post_id&quot;:null,&quot;profile_id&quot;:null,&quot;profile_name&quot;:null}"/>
    <s v="null"/>
    <s v="null"/>
    <s v="{&quot;data_posted&quot;:null,&quot;description&quot;:null,&quot;photos&quot;:null,&quot;post_id&quot;:null,&quot;profile_id&quot;:null,&quot;profile_name&quot;:null,&quot;url&quot;:null,&quot;videos&quot;:null}"/>
    <n v="290"/>
    <n v="7.0275771821838801E-3"/>
    <d v="2024-12-15T00:00:00"/>
    <n v="8.5717592592592595E-2"/>
    <x v="0"/>
    <x v="2"/>
    <x v="0"/>
    <x v="0"/>
    <x v="0"/>
    <x v="0"/>
    <n v="54"/>
    <x v="0"/>
  </r>
  <r>
    <n v="1.8681711140372933E+18"/>
    <s v="nyp███"/>
    <s v="New███rk ███t"/>
    <s v="Ex-CIA staffer offers ‘unsettling’ theory behind drones as feds dismiss concerns as ‘overreaction’"/>
    <s v="&quot;2024-12-15T05:47:57.000Z&quot;"/>
    <s v="[&quot;https://pbs.twimg.com/media/Ge0Tuj2XYAAj3Jr.jpg&quot;]"/>
    <s v="https://x.com/nypost/status/1868171114037293324"/>
    <s v="null"/>
    <n v="56"/>
    <n v="44"/>
    <n v="171"/>
    <n v="43305"/>
    <s v="https://trib.al/3t8qXIr"/>
    <s v="null"/>
    <n v="3313891"/>
    <s v="Breaking news &amp; features from The New York Post. Follow your favorite sections: @pagesix, @nypmetro, @nypostbiz, @nypostsports, @nypfashion, @nypostopinion"/>
    <n v="706459"/>
    <s v="https://pbs.twimg.com/profile_images/966372680306868224/60wfGe9e_normal.jpg"/>
    <n v="10308"/>
    <b v="0"/>
    <n v="13"/>
    <n v="20"/>
    <s v="{&quot;post_id&quot;:null,&quot;profile_id&quot;:null,&quot;profile_name&quot;:null}"/>
    <s v="null"/>
    <s v="null"/>
    <s v="{&quot;data_posted&quot;:null,&quot;description&quot;:null,&quot;photos&quot;:null,&quot;post_id&quot;:null,&quot;profile_id&quot;:null,&quot;profile_name&quot;:null,&quot;url&quot;:null,&quot;videos&quot;:null}"/>
    <n v="304"/>
    <n v="7.0199745987761224E-3"/>
    <d v="2024-12-15T00:00:00"/>
    <n v="0.24163194444444444"/>
    <x v="0"/>
    <x v="22"/>
    <x v="0"/>
    <x v="0"/>
    <x v="0"/>
    <x v="0"/>
    <n v="98"/>
    <x v="0"/>
  </r>
  <r>
    <n v="1.8681080905679752E+18"/>
    <s v="nyp███"/>
    <s v="New███rk ███t"/>
    <s v="NJ Sen. Andy Kim goes on drone hunt with police and reveals what he saw after ‘deeper analysis’"/>
    <s v="&quot;2024-12-15T01:37:31.000Z&quot;"/>
    <s v="[&quot;https://pbs.twimg.com/media/GezaaKhWoAENP6b.jpg&quot;]"/>
    <s v="https://x.com/nypost/status/1868108090567975072"/>
    <s v="null"/>
    <n v="63"/>
    <n v="55"/>
    <n v="232"/>
    <n v="54458"/>
    <s v="https://trib.al/3B2JZFH"/>
    <s v="null"/>
    <n v="3313894"/>
    <s v="Breaking news &amp; features from The New York Post. Follow your favorite sections: @pagesix, @nypmetro, @nypostbiz, @nypostsports, @nypfashion, @nypostopinion"/>
    <n v="706459"/>
    <s v="https://pbs.twimg.com/profile_images/966372680306868224/60wfGe9e_normal.jpg"/>
    <n v="10308"/>
    <b v="0"/>
    <n v="11"/>
    <n v="19"/>
    <s v="{&quot;post_id&quot;:null,&quot;profile_id&quot;:null,&quot;profile_name&quot;:null}"/>
    <s v="null"/>
    <s v="null"/>
    <s v="{&quot;data_posted&quot;:null,&quot;description&quot;:null,&quot;photos&quot;:null,&quot;post_id&quot;:null,&quot;profile_id&quot;:null,&quot;profile_name&quot;:null,&quot;url&quot;:null,&quot;videos&quot;:null}"/>
    <n v="380"/>
    <n v="6.9778544933710379E-3"/>
    <d v="2024-12-15T00:00:00"/>
    <n v="6.7719907407407409E-2"/>
    <x v="0"/>
    <x v="19"/>
    <x v="0"/>
    <x v="0"/>
    <x v="0"/>
    <x v="0"/>
    <n v="95"/>
    <x v="0"/>
  </r>
  <r>
    <n v="1.866386184286462E+18"/>
    <s v="kann"/>
    <s v="כאן"/>
    <s v="תמר רביניאן, מאחורייך: כמאל פנחסי, נולד באיראן והיום הוא דובר צה&quot;ל לתקשורת הפרסית_x000a__x000a_#דוקותיים @itay_itayasher"/>
    <s v="&quot;2024-12-10T07:35:16.000Z&quot;"/>
    <s v="null"/>
    <s v="https://x.com/kann/status/1866386184286462013"/>
    <s v="[{&quot;biography&quot;:null,&quot;followers&quot;:null,&quot;following&quot;:null,&quot;is_verified&quot;:null,&quot;profile_id&quot;:&quot;1160129100&quot;,&quot;profile_name&quot;:&quot;Itay Asher&quot;,&quot;url&quot;:&quot;https://x.com/itay_itayasher&quot;}]"/>
    <n v="1"/>
    <n v="5"/>
    <n v="81"/>
    <n v="13804"/>
    <s v=""/>
    <s v="[&quot;דוקותיים&quot;]"/>
    <n v="182895"/>
    <s v="אנחנו כאן ❤️"/>
    <n v="30781"/>
    <s v="https://pbs.twimg.com/profile_images/1843516623740633088/WbeaAr02_normal.jpg"/>
    <n v="559"/>
    <b v="0"/>
    <n v="1"/>
    <n v="7"/>
    <s v="{&quot;post_id&quot;:null,&quot;profile_id&quot;:null,&quot;profile_name&quot;:null}"/>
    <s v="null"/>
    <s v="[{&quot;duration&quot;:287600,&quot;video_url&quot;:&quot;https://video.twimg.com/amplify_video/1866383846406553600/vid/avc1/1280x720/Iu7XzpFnLIxz6A6R.mp4?tag=14&quot;}]"/>
    <s v="{&quot;data_posted&quot;:null,&quot;description&quot;:null,&quot;photos&quot;:null,&quot;post_id&quot;:null,&quot;profile_id&quot;:null,&quot;profile_name&quot;:null,&quot;url&quot;:null,&quot;videos&quot;:null}"/>
    <n v="95"/>
    <n v="6.8820631700956241E-3"/>
    <d v="2024-12-10T00:00:00"/>
    <n v="0.31615740740740739"/>
    <x v="3"/>
    <x v="20"/>
    <x v="1"/>
    <x v="1"/>
    <x v="1"/>
    <x v="0"/>
    <n v="108"/>
    <x v="2"/>
  </r>
  <r>
    <n v="1.8682993762311007E+18"/>
    <s v="Ran███sFC███"/>
    <s v="Ran███s F███bal█████████"/>
    <s v="🆕 Today’s #RangersFC team to face Celtic._x000a__x000a_🗒️ Full Team News:"/>
    <s v="&quot;2024-12-15T14:17:37.000Z&quot;"/>
    <s v="[&quot;https://pbs.twimg.com/media/Ge2IVlWXIAATypn.jpg&quot;]"/>
    <s v="https://x.com/RangersFC/status/1868299376231100628"/>
    <s v="null"/>
    <n v="242"/>
    <n v="304"/>
    <n v="2369"/>
    <n v="461048"/>
    <s v="https://rng.rs/3ZCC75p"/>
    <s v="[&quot;RangersFC&quot;]"/>
    <n v="812163"/>
    <s v="The Home of #RangersFC 💙"/>
    <n v="110924"/>
    <s v="https://pbs.twimg.com/profile_images/1856633703734112256/PBlqGEwC_normal.jpg"/>
    <n v="322"/>
    <b v="0"/>
    <n v="217"/>
    <n v="17"/>
    <s v="{&quot;post_id&quot;:null,&quot;profile_id&quot;:null,&quot;profile_name&quot;:null}"/>
    <s v="null"/>
    <s v="null"/>
    <s v="{&quot;data_posted&quot;:null,&quot;description&quot;:null,&quot;photos&quot;:null,&quot;post_id&quot;:null,&quot;profile_id&quot;:null,&quot;profile_name&quot;:null,&quot;url&quot;:null,&quot;videos&quot;:null}"/>
    <n v="3149"/>
    <n v="6.8300914438409882E-3"/>
    <d v="2024-12-15T00:00:00"/>
    <n v="0.59556712962962965"/>
    <x v="0"/>
    <x v="1"/>
    <x v="0"/>
    <x v="0"/>
    <x v="1"/>
    <x v="0"/>
    <n v="61"/>
    <x v="2"/>
  </r>
  <r>
    <n v="1.8681288564792361E+18"/>
    <s v="Met███ole███"/>
    <s v="Met███ole███"/>
    <s v="➡️ Influencer e doutor em funk pela USP é ameaçado de morte por mensagens_x000a__x000a_O professor de música clássica Thiago de Souza compartilhou em suas redes que recebeu mensagens com ameaças de morte pelo WhatsApp_x000a__x000a_Leia:"/>
    <s v="&quot;2024-12-15T03:00:02.000Z&quot;"/>
    <s v="[&quot;https://pbs.twimg.com/media/GeySweXWkAA4tOo.png&quot;]"/>
    <s v="https://x.com/Metropoles/status/1868128856479236193"/>
    <s v="null"/>
    <n v="82"/>
    <n v="9"/>
    <n v="55"/>
    <n v="24001"/>
    <s v="https://curt.link/wkmvZ"/>
    <s v="null"/>
    <n v="1239622"/>
    <s v="📱 O seu portal de notícias. Tudo sobre política, saúde, justiça, comportamento, entretenimento. Confira os fatos relevantes do país e do mundo em tempo real."/>
    <n v="402839"/>
    <s v="https://pbs.twimg.com/profile_images/1642966741138415647/fHdgQUGl_normal.jpg"/>
    <n v="1643"/>
    <b v="0"/>
    <n v="12"/>
    <n v="5"/>
    <s v="{&quot;post_id&quot;:null,&quot;profile_id&quot;:null,&quot;profile_name&quot;:null}"/>
    <s v="null"/>
    <s v="null"/>
    <s v="{&quot;data_posted&quot;:null,&quot;description&quot;:null,&quot;photos&quot;:null,&quot;post_id&quot;:null,&quot;profile_id&quot;:null,&quot;profile_name&quot;:null,&quot;url&quot;:null,&quot;videos&quot;:null}"/>
    <n v="163"/>
    <n v="6.7913836923461524E-3"/>
    <d v="2024-12-15T00:00:00"/>
    <n v="0.12502314814814816"/>
    <x v="0"/>
    <x v="21"/>
    <x v="0"/>
    <x v="0"/>
    <x v="0"/>
    <x v="0"/>
    <n v="212"/>
    <x v="0"/>
  </r>
  <r>
    <n v="1.8683024939327944E+18"/>
    <s v="Cel███FC"/>
    <s v="Cel███ Fo███all██████"/>
    <s v="🚌👋 Final Focused _x000a_ _x000a_#CELRAN | #PremierSportsCup | #CelticFC🍀"/>
    <s v="&quot;2024-12-15T14:30:00.000Z&quot;"/>
    <s v="null"/>
    <s v="https://x.com/CelticFC/status/1868302493932794313"/>
    <s v="null"/>
    <n v="7"/>
    <n v="28"/>
    <n v="385"/>
    <n v="62770"/>
    <s v="https://www.celticfc.com/match"/>
    <s v="[&quot;CELRAN&quot;,&quot;PremierSportsCup&quot;,&quot;CelticFC&quot;]"/>
    <n v="984256"/>
    <s v="Glasgow Celtic - 2023/24 Double Winners! 🍀🏆 🟢 @CelticFCWomen ⚪ @CelticFCB 🎌 @CelticFCJPN 📽 @CelticTV 🛒 @CelticFCShop 🎟 @CelticFCTickets"/>
    <n v="136135"/>
    <s v="https://pbs.twimg.com/profile_images/1808866900228665344/xZAZuYBY_normal.jpg"/>
    <n v="438"/>
    <b v="0"/>
    <n v="2"/>
    <n v="1"/>
    <s v="{&quot;post_id&quot;:null,&quot;profile_id&quot;:null,&quot;profile_name&quot;:null}"/>
    <s v="null"/>
    <s v="null"/>
    <s v="{&quot;data_posted&quot;:null,&quot;description&quot;:null,&quot;photos&quot;:null,&quot;post_id&quot;:null,&quot;profile_id&quot;:null,&quot;profile_name&quot;:null,&quot;url&quot;:null,&quot;videos&quot;:null}"/>
    <n v="423"/>
    <n v="6.7388880038234825E-3"/>
    <d v="2024-12-15T00:00:00"/>
    <n v="0.60416666666666663"/>
    <x v="0"/>
    <x v="1"/>
    <x v="0"/>
    <x v="1"/>
    <x v="1"/>
    <x v="0"/>
    <n v="60"/>
    <x v="2"/>
  </r>
  <r>
    <n v="1.7391214696099474E+18"/>
    <s v="Nms███eRe███rch███"/>
    <s v="熊老大███ 兔友███B🐻███"/>
    <s v="#兔友迷惑行为"/>
    <s v="&quot;2023-12-25T03:10:44.000Z&quot;"/>
    <s v="[&quot;https://pbs.twimg.com/media/GCKZwCPa8AAMXsj.jpg&quot;]"/>
    <s v="https://x.com/NmsleseResearch/status/1739121469609947376"/>
    <s v="null"/>
    <n v="139"/>
    <n v="22"/>
    <n v="686"/>
    <n v="130102"/>
    <s v=""/>
    <s v="[&quot;兔友迷惑行为&quot;]"/>
    <n v="11185"/>
    <s v="推特兔友的迷惑行為收集處（晚安推除外）丨歡迎投稿"/>
    <n v="22677"/>
    <s v="https://pbs.twimg.com/profile_images/1866832536816795648/rAEgM1H5_normal.jpg"/>
    <n v="2557"/>
    <b v="0"/>
    <n v="6"/>
    <n v="21"/>
    <s v="{&quot;post_id&quot;:null,&quot;profile_id&quot;:null,&quot;profile_name&quot;:null}"/>
    <s v="null"/>
    <s v="null"/>
    <s v="{&quot;data_posted&quot;:null,&quot;description&quot;:null,&quot;photos&quot;:null,&quot;post_id&quot;:null,&quot;profile_id&quot;:null,&quot;profile_name&quot;:null,&quot;url&quot;:null,&quot;videos&quot;:null}"/>
    <n v="874"/>
    <n v="6.7178060291156168E-3"/>
    <d v="2023-12-25T00:00:00"/>
    <n v="0.13245370370370371"/>
    <x v="2"/>
    <x v="21"/>
    <x v="0"/>
    <x v="0"/>
    <x v="1"/>
    <x v="0"/>
    <n v="7"/>
    <x v="3"/>
  </r>
  <r>
    <n v="1.8682954689223311E+18"/>
    <s v="Spu███ffi███l"/>
    <s v="Tot███ham███tsp███"/>
    <s v="Countdown to #SOUTOT! ⏳_x000a__x000a_Where will you be tuning in from? 🌍⤵️"/>
    <s v="&quot;2024-12-15T14:02:05.000Z&quot;"/>
    <s v="[&quot;https://pbs.twimg.com/media/Ge2Ez6_W8AAxtoK.jpg&quot;]"/>
    <s v="https://x.com/SpursOfficial/status/1868295468922331238"/>
    <s v="null"/>
    <n v="136"/>
    <n v="56"/>
    <n v="1029"/>
    <n v="188766"/>
    <s v=""/>
    <s v="[&quot;SOUTOT&quot;]"/>
    <n v="8885747"/>
    <s v="COYS 🤍"/>
    <n v="115852"/>
    <s v="https://pbs.twimg.com/profile_images/1864976047902498816/FUkKarj7_normal.jpg"/>
    <n v="469"/>
    <b v="0"/>
    <n v="40"/>
    <n v="2"/>
    <s v="{&quot;post_id&quot;:null,&quot;profile_id&quot;:null,&quot;profile_name&quot;:null}"/>
    <s v="null"/>
    <s v="null"/>
    <s v="{&quot;data_posted&quot;:null,&quot;description&quot;:null,&quot;photos&quot;:null,&quot;post_id&quot;:null,&quot;profile_id&quot;:null,&quot;profile_name&quot;:null,&quot;url&quot;:null,&quot;videos&quot;:null}"/>
    <n v="1263"/>
    <n v="6.6908235593274214E-3"/>
    <d v="2024-12-15T00:00:00"/>
    <n v="0.58478009259259256"/>
    <x v="0"/>
    <x v="1"/>
    <x v="0"/>
    <x v="0"/>
    <x v="1"/>
    <x v="0"/>
    <n v="62"/>
    <x v="0"/>
  </r>
  <r>
    <n v="1.8681005238635397E+18"/>
    <s v="ufc"/>
    <s v="UFC"/>
    <s v="Back in the win column 🙌_x000a__x000a_@DaveyGrantMMA takes home the UD at #UFCTampa! _x000a__x000a_[ Live NOW on @ESPNPlus ]"/>
    <s v="&quot;2024-12-15T01:07:27.000Z&quot;"/>
    <s v="[&quot;https://pbs.twimg.com/media/GezTJZGXsAAkiOt.jpg&quot;,&quot;https://pbs.twimg.com/media/GezTMbJW4AAdUf4.jpg&quot;,&quot;https://pbs.twimg.com/media/GezTPSjXcAA8JLq.jpg&quot;]"/>
    <s v="https://x.com/ufc/status/1868100523863539776"/>
    <s v="[{&quot;biography&quot;:null,&quot;followers&quot;:null,&quot;following&quot;:null,&quot;is_verified&quot;:null,&quot;profile_id&quot;:&quot;355646323&quot;,&quot;profile_name&quot;:&quot;Davey Grant&quot;,&quot;url&quot;:&quot;https://x.com/DaveyGrantMMA&quot;},{&quot;biography&quot;:null,&quot;followers&quot;:null,&quot;following&quot;:null,&quot;is_verified&quot;:null,&quot;profile_id&quot;:&quot;1044284694387412992&quot;,&quot;profile_name&quot;:&quot;ESPN+&quot;,&quot;url&quot;:&quot;https://x.com/ESPNPlus&quot;}]"/>
    <n v="51"/>
    <n v="44"/>
    <n v="537"/>
    <n v="96438"/>
    <s v=""/>
    <s v="[&quot;UFCTampa&quot;]"/>
    <n v="12876593"/>
    <s v="#UFCTampa | Covington vs Buckley | December 14 | 10pmET | LIVE on @ESPNPlus"/>
    <n v="141401"/>
    <s v="https://pbs.twimg.com/profile_images/1835773190385328128/4fVrF1UI_normal.jpg"/>
    <n v="717"/>
    <b v="0"/>
    <n v="9"/>
    <n v="4"/>
    <s v="{&quot;post_id&quot;:null,&quot;profile_id&quot;:null,&quot;profile_name&quot;:null}"/>
    <s v="null"/>
    <s v="null"/>
    <s v="{&quot;data_posted&quot;:null,&quot;description&quot;:null,&quot;photos&quot;:null,&quot;post_id&quot;:null,&quot;profile_id&quot;:null,&quot;profile_name&quot;:null,&quot;url&quot;:null,&quot;videos&quot;:null}"/>
    <n v="645"/>
    <n v="6.6882349281403592E-3"/>
    <d v="2024-12-15T00:00:00"/>
    <n v="4.6840277777777779E-2"/>
    <x v="0"/>
    <x v="19"/>
    <x v="0"/>
    <x v="0"/>
    <x v="1"/>
    <x v="0"/>
    <n v="100"/>
    <x v="1"/>
  </r>
  <r>
    <n v="1.8682472539844201E+18"/>
    <s v="The███nom███"/>
    <s v="The███ono███t"/>
    <s v="Adults have grown less literate over the past decade, new data suggest. One researcher speculates that many are getting much less practice than they used to at reading long and complex texts. _x000a__x000a_Blame TikTok, perhaps"/>
    <s v="&quot;2024-12-15T10:50:30.000Z&quot;"/>
    <s v="null"/>
    <s v="https://x.com/TheEconomist/status/1868247253984420075"/>
    <s v="null"/>
    <n v="31"/>
    <n v="109"/>
    <n v="229"/>
    <n v="61827"/>
    <s v="https://econ.st/3ZsecWq"/>
    <s v="null"/>
    <n v="27122998"/>
    <s v="News and analysis with a global perspective. We’re here to help you understand the world around you. Subscribe here: https://t.co/RpUQAAnhog"/>
    <n v="402760"/>
    <s v="https://pbs.twimg.com/profile_images/1847280770743750656/0DkLNOPG_normal.jpg"/>
    <n v="155"/>
    <b v="0"/>
    <n v="15"/>
    <n v="29"/>
    <s v="{&quot;post_id&quot;:null,&quot;profile_id&quot;:null,&quot;profile_name&quot;:null}"/>
    <s v="[&quot;https://pbs.twimg.com/card_img/1866432231738114048/weCuzij3?format=jpg&amp;name=orig&quot;]"/>
    <s v="null"/>
    <s v="{&quot;data_posted&quot;:null,&quot;description&quot;:null,&quot;photos&quot;:null,&quot;post_id&quot;:null,&quot;profile_id&quot;:null,&quot;profile_name&quot;:null,&quot;url&quot;:null,&quot;videos&quot;:null}"/>
    <n v="413"/>
    <n v="6.6799294806476131E-3"/>
    <d v="2024-12-15T00:00:00"/>
    <n v="0.45173611111111112"/>
    <x v="0"/>
    <x v="17"/>
    <x v="0"/>
    <x v="1"/>
    <x v="0"/>
    <x v="0"/>
    <n v="215"/>
    <x v="1"/>
  </r>
  <r>
    <n v="1.8682404977953139E+18"/>
    <s v="Jam███ts"/>
    <s v="Hea███of ███lot█████████"/>
    <s v="🇱🇻 𝗠𝗔𝗧𝗖𝗛𝗗𝗔𝗬 🇱🇻_x000a__x000a_🆚 @KilmarnockFC _x000a_🏟 The BBSP Stadium Rugby Park_x000a_🕰 3pm_x000a_🎟 Direct from Kilmarnock ➡️"/>
    <s v="&quot;2024-12-15T10:23:39.000Z&quot;"/>
    <s v="null"/>
    <s v="https://x.com/JamTarts/status/1868240497795313802"/>
    <s v="[{&quot;biography&quot;:null,&quot;followers&quot;:null,&quot;following&quot;:null,&quot;is_verified&quot;:null,&quot;profile_id&quot;:&quot;701239488&quot;,&quot;profile_name&quot;:&quot;Kilmarnock FC&quot;,&quot;url&quot;:&quot;https://x.com/KilmarnockFC&quot;}]"/>
    <n v="2"/>
    <n v="14"/>
    <n v="117"/>
    <n v="20102"/>
    <s v="http://tinyurl.com/ye2y3dhu"/>
    <s v="null"/>
    <n v="123662"/>
    <s v="Heart of Midlothian Football Club | The largest fan-owned club in the UK"/>
    <n v="77019"/>
    <s v="https://pbs.twimg.com/profile_images/1745736371044556800/XULrqvXN_normal.jpg"/>
    <n v="188"/>
    <b v="0"/>
    <n v="0"/>
    <n v="1"/>
    <s v="{&quot;post_id&quot;:null,&quot;profile_id&quot;:null,&quot;profile_name&quot;:null}"/>
    <s v="null"/>
    <s v="[{&quot;duration&quot;:19400,&quot;video_url&quot;:&quot;https://video.twimg.com/amplify_video/1868240266949165056/vid/avc1/720x720/EPRhk7nkEIH-1cN0.mp4?tag=14&quot;}]"/>
    <s v="{&quot;data_posted&quot;:null,&quot;description&quot;:null,&quot;photos&quot;:null,&quot;post_id&quot;:null,&quot;profile_id&quot;:null,&quot;profile_name&quot;:null,&quot;url&quot;:null,&quot;videos&quot;:null}"/>
    <n v="134"/>
    <n v="6.6660033827479854E-3"/>
    <d v="2024-12-15T00:00:00"/>
    <n v="0.43309027777777775"/>
    <x v="0"/>
    <x v="17"/>
    <x v="1"/>
    <x v="1"/>
    <x v="0"/>
    <x v="0"/>
    <n v="96"/>
    <x v="2"/>
  </r>
  <r>
    <n v="1.8681581752681969E+18"/>
    <s v="ufc"/>
    <s v="UFC"/>
    <s v="Couple of @MLB stars have made their way to #UFCTampa 🤩"/>
    <s v="&quot;2024-12-15T04:56:32.000Z&quot;"/>
    <s v="[&quot;https://pbs.twimg.com/media/Ge0HvutXoAAgQCZ.jpg&quot;,&quot;https://pbs.twimg.com/media/Ge0Hw2TXsAA1hiA.jpg&quot;,&quot;https://pbs.twimg.com/media/Ge0HyEjWQAAG4zh.jpg&quot;,&quot;https://pbs.twimg.com/media/Ge0HzJ5WAAAZdD_.jpg&quot;]"/>
    <s v="https://x.com/ufc/status/1868158175268196822"/>
    <s v="[{&quot;biography&quot;:null,&quot;followers&quot;:null,&quot;following&quot;:null,&quot;is_verified&quot;:null,&quot;profile_id&quot;:&quot;18479513&quot;,&quot;profile_name&quot;:&quot;MLB&quot;,&quot;url&quot;:&quot;https://x.com/MLB&quot;}]"/>
    <n v="76"/>
    <n v="127"/>
    <n v="2816"/>
    <n v="473759"/>
    <s v=""/>
    <s v="[&quot;UFCTampa&quot;]"/>
    <n v="12876593"/>
    <s v="#UFCTampa | Covington vs Buckley | December 14 | 10pmET | LIVE on @ESPNPlus"/>
    <n v="141401"/>
    <s v="https://pbs.twimg.com/profile_images/1835773190385328128/4fVrF1UI_normal.jpg"/>
    <n v="717"/>
    <b v="0"/>
    <n v="52"/>
    <n v="78"/>
    <s v="{&quot;post_id&quot;:null,&quot;profile_id&quot;:null,&quot;profile_name&quot;:null}"/>
    <s v="null"/>
    <s v="null"/>
    <s v="{&quot;data_posted&quot;:null,&quot;description&quot;:null,&quot;photos&quot;:null,&quot;post_id&quot;:null,&quot;profile_id&quot;:null,&quot;profile_name&quot;:null,&quot;url&quot;:null,&quot;videos&quot;:null}"/>
    <n v="3149"/>
    <n v="6.6468394267971687E-3"/>
    <d v="2024-12-15T00:00:00"/>
    <n v="0.20592592592592593"/>
    <x v="0"/>
    <x v="9"/>
    <x v="0"/>
    <x v="0"/>
    <x v="1"/>
    <x v="0"/>
    <n v="55"/>
    <x v="1"/>
  </r>
  <r>
    <n v="1.8682760685469041E+18"/>
    <s v="CPFC"/>
    <s v="Cry███l P███ce ██████"/>
    <s v="Your Palace in black this afternoon 🖤_x000a__x000a_#CPFC // #BHACRY"/>
    <s v="&quot;2024-12-15T12:45:00.000Z&quot;"/>
    <s v="null"/>
    <s v="https://x.com/CPFC/status/1868276068546904081"/>
    <s v="null"/>
    <n v="58"/>
    <n v="168"/>
    <n v="928"/>
    <n v="187460"/>
    <s v="https://www.cpfc.co.uk/news/first-team/team-news-brighton-hove-albion-crystal-palace-premier-league-2425"/>
    <s v="[&quot;CPFC&quot;,&quot;BHACRY&quot;]"/>
    <n v="1480966"/>
    <s v="The Pride of South London."/>
    <n v="103753"/>
    <s v="https://pbs.twimg.com/profile_images/1857393032883994624/qN-MGWEH_normal.jpg"/>
    <n v="552"/>
    <b v="0"/>
    <n v="81"/>
    <n v="9"/>
    <s v="{&quot;post_id&quot;:null,&quot;profile_id&quot;:null,&quot;profile_name&quot;:null}"/>
    <s v="null"/>
    <s v="null"/>
    <s v="{&quot;data_posted&quot;:null,&quot;description&quot;:null,&quot;photos&quot;:null,&quot;post_id&quot;:null,&quot;profile_id&quot;:null,&quot;profile_name&quot;:null,&quot;url&quot;:null,&quot;videos&quot;:null}"/>
    <n v="1244"/>
    <n v="6.636082364237704E-3"/>
    <d v="2024-12-15T00:00:00"/>
    <n v="0.53125"/>
    <x v="0"/>
    <x v="0"/>
    <x v="0"/>
    <x v="1"/>
    <x v="1"/>
    <x v="0"/>
    <n v="55"/>
    <x v="0"/>
  </r>
  <r>
    <n v="1.8683029138497009E+18"/>
    <s v="nyp███"/>
    <s v="New███rk ███t"/>
    <s v="Face tattoo maniac sentenced to 100 years for shootings that killed 1, wounded others in Nevada, Arizona"/>
    <s v="&quot;2024-12-15T14:31:40.000Z&quot;"/>
    <s v="[&quot;https://pbs.twimg.com/media/Ge2LmVEXUAAgOAV.jpg&quot;]"/>
    <s v="https://x.com/nypost/status/1868302913849700762"/>
    <s v="null"/>
    <n v="62"/>
    <n v="23"/>
    <n v="135"/>
    <n v="36022"/>
    <s v="https://trib.al/rOCZmu8"/>
    <s v="null"/>
    <n v="3314171"/>
    <s v="Breaking news &amp; features from The New York Post. Follow your favorite sections: @pagesix, @nypmetro, @nypostbiz, @nypostsports, @nypfashion, @nypostopinion"/>
    <n v="706459"/>
    <s v="https://pbs.twimg.com/profile_images/966372680306868224/60wfGe9e_normal.jpg"/>
    <n v="10308"/>
    <b v="0"/>
    <n v="17"/>
    <n v="2"/>
    <s v="{&quot;post_id&quot;:null,&quot;profile_id&quot;:null,&quot;profile_name&quot;:null}"/>
    <s v="null"/>
    <s v="null"/>
    <s v="{&quot;data_posted&quot;:null,&quot;description&quot;:null,&quot;photos&quot;:null,&quot;post_id&quot;:null,&quot;profile_id&quot;:null,&quot;profile_name&quot;:null,&quot;url&quot;:null,&quot;videos&quot;:null}"/>
    <n v="239"/>
    <n v="6.6348342679473657E-3"/>
    <d v="2024-12-15T00:00:00"/>
    <n v="0.60532407407407407"/>
    <x v="0"/>
    <x v="1"/>
    <x v="0"/>
    <x v="0"/>
    <x v="0"/>
    <x v="0"/>
    <n v="104"/>
    <x v="0"/>
  </r>
  <r>
    <n v="1.8684000203509681E+18"/>
    <s v="ESP███asi███"/>
    <s v="ESP███ras███"/>
    <s v="'Sabia que seria uma temporada difícil, mas não tanto'_x000a__x000a_Guardiola admite que não sabe como fazer City reagir_x000a__x000a_▶️"/>
    <s v="&quot;2024-12-15T20:57:32.000Z&quot;"/>
    <s v="null"/>
    <s v="https://x.com/ESPNBrasil/status/1868400020350967952"/>
    <s v="null"/>
    <n v="1"/>
    <n v="1"/>
    <n v="48"/>
    <n v="7864"/>
    <s v="https://bit.ly/4fseJO8"/>
    <s v="[&quot;PremierLeagueNaESPN&quot;,&quot;FutebolNaESPN&quot;]"/>
    <n v="3768943"/>
    <s v="ESPN: o melhor do esporte você assiste aqui!"/>
    <n v="897934"/>
    <s v="https://pbs.twimg.com/profile_images/1224436194152345608/dCEm_D7K_normal.jpg"/>
    <n v="28"/>
    <b v="0"/>
    <n v="0"/>
    <n v="1"/>
    <s v="{&quot;post_id&quot;:null,&quot;profile_id&quot;:null,&quot;profile_name&quot;:null}"/>
    <s v="[&quot;https://pbs.twimg.com/card_img/1868399886112002048/rXH93B7x?format=jpg&amp;name=orig&quot;]"/>
    <s v="null"/>
    <s v="{&quot;data_posted&quot;:null,&quot;description&quot;:null,&quot;photos&quot;:null,&quot;post_id&quot;:null,&quot;profile_id&quot;:null,&quot;profile_name&quot;:null,&quot;url&quot;:null,&quot;videos&quot;:null}"/>
    <n v="51"/>
    <n v="6.4852492370295013E-3"/>
    <d v="2024-12-15T00:00:00"/>
    <n v="0.87328703703703703"/>
    <x v="0"/>
    <x v="3"/>
    <x v="0"/>
    <x v="1"/>
    <x v="1"/>
    <x v="0"/>
    <n v="112"/>
    <x v="0"/>
  </r>
  <r>
    <n v="1.8681134975084874E+18"/>
    <s v="The███"/>
    <s v="The███L"/>
    <s v="LIVE NOW!_x000a__x000a_🏒@SeattleTbirds (11-18-2-1) at @pdxwinterhawks (16-12-2-0)_x000a__x000a_📺 |"/>
    <s v="&quot;2024-12-15T01:59:00.000Z&quot;"/>
    <s v="[&quot;https://pbs.twimg.com/media/GevogYSWoAA__sS.jpg&quot;]"/>
    <s v="https://x.com/TheWHL/status/1868113497508487540"/>
    <s v="[{&quot;biography&quot;:null,&quot;followers&quot;:null,&quot;following&quot;:null,&quot;is_verified&quot;:null,&quot;profile_id&quot;:&quot;35886480&quot;,&quot;profile_name&quot;:&quot;Seattle Thunderbirds&quot;,&quot;url&quot;:&quot;https://x.com/SeattleTbirds&quot;},{&quot;biography&quot;:null,&quot;followers&quot;:null,&quot;following&quot;:null,&quot;is_verified&quot;:null,&quot;profile_id&quot;:&quot;34053784&quot;,&quot;profile_name&quot;:&quot;Portland Winterhawks&quot;,&quot;url&quot;:&quot;https://x.com/pdxwinterhawks&quot;}]"/>
    <n v="1"/>
    <n v="1"/>
    <n v="13"/>
    <n v="2629"/>
    <s v="http://watch.chl.ca/whl_chl"/>
    <s v="null"/>
    <n v="113399"/>
    <s v="22 Clubs: 🇨🇦 16 &amp; 🇺🇸 6_x000a__x000a_🏒 Since 1966"/>
    <n v="86636"/>
    <s v="https://pbs.twimg.com/profile_images/1867253849104560131/iJbhdc3w_normal.jpg"/>
    <n v="247"/>
    <b v="0"/>
    <n v="1"/>
    <n v="1"/>
    <s v="{&quot;post_id&quot;:null,&quot;profile_id&quot;:null,&quot;profile_name&quot;:null}"/>
    <s v="null"/>
    <s v="null"/>
    <s v="{&quot;data_posted&quot;:null,&quot;description&quot;:null,&quot;photos&quot;:null,&quot;post_id&quot;:null,&quot;profile_id&quot;:null,&quot;profile_name&quot;:null,&quot;url&quot;:null,&quot;videos&quot;:null}"/>
    <n v="17"/>
    <n v="6.4663370102700643E-3"/>
    <d v="2024-12-15T00:00:00"/>
    <n v="8.2638888888888887E-2"/>
    <x v="0"/>
    <x v="19"/>
    <x v="0"/>
    <x v="0"/>
    <x v="0"/>
    <x v="0"/>
    <n v="74"/>
    <x v="2"/>
  </r>
  <r>
    <n v="1.8683153548687283E+18"/>
    <s v="CPFC"/>
    <s v="Cry███l P███ce ██████"/>
    <s v="Double change for Palace 🔁_x000a__x000a_#CPFC // #BHACRY"/>
    <s v="&quot;2024-12-15T15:21:06.000Z&quot;"/>
    <s v="[&quot;https://pbs.twimg.com/media/Ge2WzuzXAAAE1Wi.jpg&quot;,&quot;https://pbs.twimg.com/media/Ge2WzuzXsAA-4cg.jpg&quot;]"/>
    <s v="https://x.com/CPFC/status/1868315354868728292"/>
    <s v="null"/>
    <n v="35"/>
    <n v="15"/>
    <n v="147"/>
    <n v="34641"/>
    <s v=""/>
    <s v="[&quot;CPFC&quot;,&quot;BHACRY&quot;]"/>
    <n v="1480966"/>
    <s v="The Pride of South London."/>
    <n v="103753"/>
    <s v="https://pbs.twimg.com/profile_images/1857393032883994624/qN-MGWEH_normal.jpg"/>
    <n v="552"/>
    <b v="0"/>
    <n v="25"/>
    <n v="2"/>
    <s v="{&quot;post_id&quot;:null,&quot;profile_id&quot;:null,&quot;profile_name&quot;:null}"/>
    <s v="null"/>
    <s v="null"/>
    <s v="{&quot;data_posted&quot;:null,&quot;description&quot;:null,&quot;photos&quot;:null,&quot;post_id&quot;:null,&quot;profile_id&quot;:null,&quot;profile_name&quot;:null,&quot;url&quot;:null,&quot;videos&quot;:null}"/>
    <n v="224"/>
    <n v="6.4663260298490231E-3"/>
    <d v="2024-12-15T00:00:00"/>
    <n v="0.63965277777777774"/>
    <x v="0"/>
    <x v="13"/>
    <x v="0"/>
    <x v="0"/>
    <x v="1"/>
    <x v="0"/>
    <n v="44"/>
    <x v="0"/>
  </r>
  <r>
    <n v="1.8683519003676058E+18"/>
    <s v="Spu███ffi███l"/>
    <s v="Tot███ham███tsp███"/>
    <s v="Your Spurs side in Southampton 🙌_x000a__x000a_🔢 @krakenfx"/>
    <s v="&quot;2024-12-15T17:46:20.000Z&quot;"/>
    <s v="[&quot;https://pbs.twimg.com/media/Ge24IqKWUAE5pox.jpg&quot;]"/>
    <s v="https://x.com/SpursOfficial/status/1868351900367605819"/>
    <s v="[{&quot;biography&quot;:null,&quot;followers&quot;:null,&quot;following&quot;:null,&quot;is_verified&quot;:null,&quot;profile_id&quot;:&quot;1399148563&quot;,&quot;profile_name&quot;:&quot;Kraken Exchange&quot;,&quot;url&quot;:&quot;https://x.com/krakenfx&quot;}]"/>
    <n v="533"/>
    <n v="660"/>
    <n v="5291"/>
    <n v="1185862"/>
    <s v=""/>
    <s v="null"/>
    <n v="8885747"/>
    <s v="COYS 🤍"/>
    <n v="115852"/>
    <s v="https://pbs.twimg.com/profile_images/1864976047902498816/FUkKarj7_normal.jpg"/>
    <n v="469"/>
    <b v="0"/>
    <n v="1106"/>
    <n v="66"/>
    <s v="{&quot;post_id&quot;:null,&quot;profile_id&quot;:null,&quot;profile_name&quot;:null}"/>
    <s v="null"/>
    <s v="null"/>
    <s v="{&quot;data_posted&quot;:null,&quot;description&quot;:null,&quot;photos&quot;:null,&quot;post_id&quot;:null,&quot;profile_id&quot;:null,&quot;profile_name&quot;:null,&quot;url&quot;:null,&quot;videos&quot;:null}"/>
    <n v="7656"/>
    <n v="6.4560631844177482E-3"/>
    <d v="2024-12-15T00:00:00"/>
    <n v="0.74050925925925926"/>
    <x v="0"/>
    <x v="12"/>
    <x v="0"/>
    <x v="0"/>
    <x v="0"/>
    <x v="0"/>
    <n v="45"/>
    <x v="0"/>
  </r>
  <r>
    <n v="1.8683444661148303E+18"/>
    <s v="nyp███"/>
    <s v="New███rk ███t"/>
    <s v="NJ senator says feds are too ‘fearful’ of public reaction to tell the truth about mysterious drones"/>
    <s v="&quot;2024-12-15T17:16:47.000Z&quot;"/>
    <s v="[&quot;https://pbs.twimg.com/media/Ge2xZA6XUAA-X5I.jpg&quot;]"/>
    <s v="https://x.com/nypost/status/1868344466114830396"/>
    <s v="null"/>
    <n v="34"/>
    <n v="25"/>
    <n v="82"/>
    <n v="24694"/>
    <s v="https://trib.al/eMUVtHk"/>
    <s v="null"/>
    <n v="3313888"/>
    <s v="Breaking news &amp; features from The New York Post. Follow your favorite sections: @pagesix, @nypmetro, @nypostbiz, @nypostsports, @nypfashion, @nypostopinion"/>
    <n v="706459"/>
    <s v="https://pbs.twimg.com/profile_images/966372680306868224/60wfGe9e_normal.jpg"/>
    <n v="10308"/>
    <b v="0"/>
    <n v="4"/>
    <n v="13"/>
    <s v="{&quot;post_id&quot;:null,&quot;profile_id&quot;:null,&quot;profile_name&quot;:null}"/>
    <s v="null"/>
    <s v="null"/>
    <s v="{&quot;data_posted&quot;:null,&quot;description&quot;:null,&quot;photos&quot;:null,&quot;post_id&quot;:null,&quot;profile_id&quot;:null,&quot;profile_name&quot;:null,&quot;url&quot;:null,&quot;videos&quot;:null}"/>
    <n v="158"/>
    <n v="6.3983153802543132E-3"/>
    <d v="2024-12-15T00:00:00"/>
    <n v="0.71998842592592593"/>
    <x v="0"/>
    <x v="12"/>
    <x v="0"/>
    <x v="0"/>
    <x v="0"/>
    <x v="0"/>
    <n v="99"/>
    <x v="0"/>
  </r>
  <r>
    <n v="1.8680882642313833E+18"/>
    <s v="ufc"/>
    <s v="UFC"/>
    <s v="These two are wasting NO time!💥_x000a__x000a_[ #UFCTampa is LIVE on @ESPNPlus ]"/>
    <s v="&quot;2024-12-15T00:18:44.000Z&quot;"/>
    <s v="null"/>
    <s v="https://x.com/ufc/status/1868088264231383411"/>
    <s v="[{&quot;biography&quot;:null,&quot;followers&quot;:null,&quot;following&quot;:null,&quot;is_verified&quot;:null,&quot;profile_id&quot;:&quot;1044284694387412992&quot;,&quot;profile_name&quot;:&quot;ESPN+&quot;,&quot;url&quot;:&quot;https://x.com/ESPNPlus&quot;}]"/>
    <n v="42"/>
    <n v="46"/>
    <n v="511"/>
    <n v="95846"/>
    <s v=""/>
    <s v="[&quot;UFCTampa&quot;]"/>
    <n v="12876593"/>
    <s v="#UFCTampa | Covington vs Buckley | December 14 | 10pmET | LIVE on @ESPNPlus"/>
    <n v="141401"/>
    <s v="https://pbs.twimg.com/profile_images/1835773190385328128/4fVrF1UI_normal.jpg"/>
    <n v="717"/>
    <b v="0"/>
    <n v="5"/>
    <n v="9"/>
    <s v="{&quot;post_id&quot;:null,&quot;profile_id&quot;:null,&quot;profile_name&quot;:null}"/>
    <s v="null"/>
    <s v="[{&quot;duration&quot;:18500,&quot;video_url&quot;:&quot;https://video.twimg.com/ext_tw_video/1868087938090700800/pu/vid/avc1/720x720/9IQ0jcvOz3mdI1xf.mp4?tag=12&quot;}]"/>
    <s v="{&quot;data_posted&quot;:null,&quot;description&quot;:null,&quot;photos&quot;:null,&quot;post_id&quot;:null,&quot;profile_id&quot;:null,&quot;profile_name&quot;:null,&quot;url&quot;:null,&quot;videos&quot;:null}"/>
    <n v="613"/>
    <n v="6.3956763975544098E-3"/>
    <d v="2024-12-15T00:00:00"/>
    <n v="1.3009259259259259E-2"/>
    <x v="0"/>
    <x v="5"/>
    <x v="1"/>
    <x v="1"/>
    <x v="1"/>
    <x v="0"/>
    <n v="67"/>
    <x v="1"/>
  </r>
  <r>
    <n v="1.8684580742030956E+18"/>
    <s v="ESP███asi███"/>
    <s v="ESP███ras███"/>
    <s v="🚨🚨🚨_x000a__x000a_Botafogo já vê Artur Jorge fora; veja como técnico causou desconforto em viagem para o Rio _x000a__x000a_▶️"/>
    <s v="&quot;2024-12-16T00:48:13.000Z&quot;"/>
    <s v="null"/>
    <s v="https://x.com/ESPNBrasil/status/1868458074203095475"/>
    <s v="null"/>
    <n v="82"/>
    <n v="79"/>
    <n v="1076"/>
    <n v="234965"/>
    <s v="https://bit.ly/3BuHE65"/>
    <s v="[&quot;FutebolNaESPN&quot;]"/>
    <n v="3768943"/>
    <s v="ESPN: o melhor do esporte você assiste aqui!"/>
    <n v="897934"/>
    <s v="https://pbs.twimg.com/profile_images/1224436194152345608/dCEm_D7K_normal.jpg"/>
    <n v="28"/>
    <b v="0"/>
    <n v="200"/>
    <n v="61"/>
    <s v="{&quot;post_id&quot;:null,&quot;profile_id&quot;:null,&quot;profile_name&quot;:null}"/>
    <s v="[&quot;https://pbs.twimg.com/card_img/1868457603635765248/_C1qPIiv?format=jpg&amp;name=orig&quot;]"/>
    <s v="null"/>
    <s v="{&quot;data_posted&quot;:null,&quot;description&quot;:null,&quot;photos&quot;:null,&quot;post_id&quot;:null,&quot;profile_id&quot;:null,&quot;profile_name&quot;:null,&quot;url&quot;:null,&quot;videos&quot;:null}"/>
    <n v="1498"/>
    <n v="6.3754176153895262E-3"/>
    <d v="2024-12-16T00:00:00"/>
    <n v="3.3483796296296296E-2"/>
    <x v="2"/>
    <x v="5"/>
    <x v="0"/>
    <x v="1"/>
    <x v="1"/>
    <x v="0"/>
    <n v="100"/>
    <x v="0"/>
  </r>
  <r>
    <n v="1.8683628844990551E+18"/>
    <s v="nyp███"/>
    <s v="New███rk ███t"/>
    <s v="YouTube singer arrested in Iran after performing online concert while not wearing hijab"/>
    <s v="&quot;2024-12-15T18:29:58.000Z&quot;"/>
    <s v="[&quot;https://pbs.twimg.com/media/Ge3CJGxWIAASBvK.jpg&quot;]"/>
    <s v="https://x.com/nypost/status/1868362884499055046"/>
    <s v="null"/>
    <n v="51"/>
    <n v="19"/>
    <n v="69"/>
    <n v="23409"/>
    <s v="https://trib.al/pBQWpeP"/>
    <s v="null"/>
    <n v="3313888"/>
    <s v="Breaking news &amp; features from The New York Post. Follow your favorite sections: @pagesix, @nypmetro, @nypostbiz, @nypostsports, @nypfashion, @nypostopinion"/>
    <n v="706459"/>
    <s v="https://pbs.twimg.com/profile_images/966372680306868224/60wfGe9e_normal.jpg"/>
    <n v="10308"/>
    <b v="0"/>
    <n v="4"/>
    <n v="6"/>
    <s v="{&quot;post_id&quot;:null,&quot;profile_id&quot;:null,&quot;profile_name&quot;:null}"/>
    <s v="null"/>
    <s v="null"/>
    <s v="{&quot;data_posted&quot;:null,&quot;description&quot;:null,&quot;photos&quot;:null,&quot;post_id&quot;:null,&quot;profile_id&quot;:null,&quot;profile_name&quot;:null,&quot;url&quot;:null,&quot;videos&quot;:null}"/>
    <n v="149"/>
    <n v="6.3650732624204367E-3"/>
    <d v="2024-12-15T00:00:00"/>
    <n v="0.77081018518518518"/>
    <x v="0"/>
    <x v="8"/>
    <x v="0"/>
    <x v="0"/>
    <x v="0"/>
    <x v="0"/>
    <n v="87"/>
    <x v="0"/>
  </r>
  <r>
    <n v="1.8681564767678505E+18"/>
    <s v="nyp███"/>
    <s v="New███rk ███t"/>
    <s v="Car decked out in Christmas lights pulled over by cops as they warn against showy stunt"/>
    <s v="&quot;2024-12-15T04:49:47.000Z&quot;"/>
    <s v="[&quot;https://pbs.twimg.com/media/Ge0GalGXEAAk3sR.jpg&quot;]"/>
    <s v="https://x.com/nypost/status/1868156476767850624"/>
    <s v="null"/>
    <n v="62"/>
    <n v="30"/>
    <n v="138"/>
    <n v="40923"/>
    <s v="https://trib.al/Na1ET8B"/>
    <s v="null"/>
    <n v="3313892"/>
    <s v="Breaking news &amp; features from The New York Post. Follow your favorite sections: @pagesix, @nypmetro, @nypostbiz, @nypostsports, @nypfashion, @nypostopinion"/>
    <n v="706459"/>
    <s v="https://pbs.twimg.com/profile_images/966372680306868224/60wfGe9e_normal.jpg"/>
    <n v="10308"/>
    <b v="0"/>
    <n v="10"/>
    <n v="18"/>
    <s v="{&quot;post_id&quot;:null,&quot;profile_id&quot;:null,&quot;profile_name&quot;:null}"/>
    <s v="null"/>
    <s v="null"/>
    <s v="{&quot;data_posted&quot;:null,&quot;description&quot;:null,&quot;photos&quot;:null,&quot;post_id&quot;:null,&quot;profile_id&quot;:null,&quot;profile_name&quot;:null,&quot;url&quot;:null,&quot;videos&quot;:null}"/>
    <n v="258"/>
    <n v="6.304523128802874E-3"/>
    <d v="2024-12-15T00:00:00"/>
    <n v="0.20123842592592592"/>
    <x v="0"/>
    <x v="9"/>
    <x v="0"/>
    <x v="0"/>
    <x v="0"/>
    <x v="0"/>
    <n v="87"/>
    <x v="0"/>
  </r>
  <r>
    <n v="1.8683023049667628E+18"/>
    <s v="nyp███"/>
    <s v="New███rk ███t"/>
    <s v="Quentin Tarantino compares ‘Yellowstone’ to ‘a soap opera’ with no ‘payoff’"/>
    <s v="&quot;2024-12-15T14:29:15.000Z&quot;"/>
    <s v="[&quot;https://pbs.twimg.com/media/Ge2LC5pX0AA5O3t.jpg&quot;]"/>
    <s v="https://x.com/nypost/status/1868302304966762777"/>
    <s v="null"/>
    <n v="54"/>
    <n v="7"/>
    <n v="181"/>
    <n v="40073"/>
    <s v="https://trib.al/GjndqyE"/>
    <s v="null"/>
    <n v="3313888"/>
    <s v="Breaking news &amp; features from The New York Post. Follow your favorite sections: @pagesix, @nypmetro, @nypostbiz, @nypostsports, @nypfashion, @nypostopinion"/>
    <n v="706459"/>
    <s v="https://pbs.twimg.com/profile_images/966372680306868224/60wfGe9e_normal.jpg"/>
    <n v="10308"/>
    <b v="0"/>
    <n v="3"/>
    <n v="7"/>
    <s v="{&quot;post_id&quot;:null,&quot;profile_id&quot;:null,&quot;profile_name&quot;:null}"/>
    <s v="null"/>
    <s v="null"/>
    <s v="{&quot;data_posted&quot;:null,&quot;description&quot;:null,&quot;photos&quot;:null,&quot;post_id&quot;:null,&quot;profile_id&quot;:null,&quot;profile_name&quot;:null,&quot;url&quot;:null,&quot;videos&quot;:null}"/>
    <n v="252"/>
    <n v="6.2885234447133979E-3"/>
    <d v="2024-12-15T00:00:00"/>
    <n v="0.60364583333333333"/>
    <x v="0"/>
    <x v="1"/>
    <x v="0"/>
    <x v="0"/>
    <x v="0"/>
    <x v="0"/>
    <n v="75"/>
    <x v="0"/>
  </r>
  <r>
    <n v="1.8683569530568788E+18"/>
    <s v="nyp███"/>
    <s v="New███rk ███t"/>
    <s v="Three women found dead in home in grisly Ohio mystery"/>
    <s v="&quot;2024-12-15T18:06:24.000Z&quot;"/>
    <s v="[&quot;https://pbs.twimg.com/media/Ge28v1YWYAA1b5v.jpg&quot;]"/>
    <s v="https://x.com/nypost/status/1868356953056878762"/>
    <s v="null"/>
    <n v="25"/>
    <n v="36"/>
    <n v="91"/>
    <n v="26600"/>
    <s v="https://trib.al/342b3VC"/>
    <s v="null"/>
    <n v="3313887"/>
    <s v="Breaking news &amp; features from The New York Post. Follow your favorite sections: @pagesix, @nypmetro, @nypostbiz, @nypostsports, @nypfashion, @nypostopinion"/>
    <n v="706459"/>
    <s v="https://pbs.twimg.com/profile_images/966372680306868224/60wfGe9e_normal.jpg"/>
    <n v="10308"/>
    <b v="0"/>
    <n v="6"/>
    <n v="9"/>
    <s v="{&quot;post_id&quot;:null,&quot;profile_id&quot;:null,&quot;profile_name&quot;:null}"/>
    <s v="null"/>
    <s v="null"/>
    <s v="{&quot;data_posted&quot;:null,&quot;description&quot;:null,&quot;photos&quot;:null,&quot;post_id&quot;:null,&quot;profile_id&quot;:null,&quot;profile_name&quot;:null,&quot;url&quot;:null,&quot;videos&quot;:null}"/>
    <n v="167"/>
    <n v="6.2781954887218046E-3"/>
    <d v="2024-12-15T00:00:00"/>
    <n v="0.75444444444444447"/>
    <x v="0"/>
    <x v="8"/>
    <x v="0"/>
    <x v="0"/>
    <x v="0"/>
    <x v="0"/>
    <n v="53"/>
    <x v="0"/>
  </r>
  <r>
    <n v="1.8675085111163415E+18"/>
    <s v="kann"/>
    <s v="כאן"/>
    <s v="שי שטרן פגש את מנדי וביתאן כדי להבין האם ההפרדה בין גברים לנשים משתלטת על ישראל_x000a__x000a_#ערב_עם_שי_שטרן, הערב אחרי החדשות בכאן 11 ובכאן BOX @mendy_gruzman @Eli_Bitan"/>
    <s v="&quot;2024-12-13T09:55:00.000Z&quot;"/>
    <s v="null"/>
    <s v="https://x.com/kann/status/1867508511116341567"/>
    <s v="[{&quot;biography&quot;:null,&quot;followers&quot;:null,&quot;following&quot;:null,&quot;is_verified&quot;:null,&quot;profile_id&quot;:&quot;746098178&quot;,&quot;profile_name&quot;:&quot;מענדי גרוזמן&quot;,&quot;url&quot;:&quot;https://x.com/mendy_gruzman&quot;},{&quot;biography&quot;:null,&quot;followers&quot;:null,&quot;following&quot;:null,&quot;is_verified&quot;:null,&quot;profile_id&quot;:&quot;2646424753&quot;,&quot;profile_name&quot;:&quot;אלי ביתאן&quot;,&quot;url&quot;:&quot;https://x.com/Eli_Bitan&quot;}]"/>
    <n v="2"/>
    <n v="4"/>
    <n v="18"/>
    <n v="4309"/>
    <s v=""/>
    <s v="[&quot;ערב_עם_שי_שטרן&quot;]"/>
    <n v="182895"/>
    <s v="אנחנו כאן ❤️"/>
    <n v="30781"/>
    <s v="https://pbs.twimg.com/profile_images/1843516623740633088/WbeaAr02_normal.jpg"/>
    <n v="559"/>
    <b v="0"/>
    <n v="2"/>
    <n v="1"/>
    <s v="{&quot;post_id&quot;:null,&quot;profile_id&quot;:null,&quot;profile_name&quot;:null}"/>
    <s v="null"/>
    <s v="[{&quot;duration&quot;:271760,&quot;video_url&quot;:&quot;https://video.twimg.com/amplify_video/1867221019519328256/vid/avc1/1280x720/jXOkfCSt5djjx3Xn.mp4?tag=14&quot;}]"/>
    <s v="{&quot;data_posted&quot;:null,&quot;description&quot;:null,&quot;photos&quot;:null,&quot;post_id&quot;:null,&quot;profile_id&quot;:null,&quot;profile_name&quot;:null,&quot;url&quot;:null,&quot;videos&quot;:null}"/>
    <n v="27"/>
    <n v="6.2659549779531211E-3"/>
    <d v="2024-12-13T00:00:00"/>
    <n v="0.41319444444444442"/>
    <x v="1"/>
    <x v="18"/>
    <x v="1"/>
    <x v="1"/>
    <x v="1"/>
    <x v="0"/>
    <n v="158"/>
    <x v="2"/>
  </r>
  <r>
    <n v="1.8680971584879782E+18"/>
    <s v="ufc"/>
    <s v="UFC"/>
    <s v="BIG MOMENT FROM TAVERAS 😱_x000a__x000a_[ Watch #UFCTampa NOW on @ESPNPlus ]"/>
    <s v="&quot;2024-12-15T00:54:04.000Z&quot;"/>
    <s v="null"/>
    <s v="https://x.com/ufc/status/1868097158487978365"/>
    <s v="[{&quot;biography&quot;:null,&quot;followers&quot;:null,&quot;following&quot;:null,&quot;is_verified&quot;:null,&quot;profile_id&quot;:&quot;1044284694387412992&quot;,&quot;profile_name&quot;:&quot;ESPN+&quot;,&quot;url&quot;:&quot;https://x.com/ESPNPlus&quot;}]"/>
    <n v="73"/>
    <n v="44"/>
    <n v="779"/>
    <n v="149461"/>
    <s v=""/>
    <s v="[&quot;UFCTampa&quot;]"/>
    <n v="12876593"/>
    <s v="#UFCTampa | Covington vs Buckley | December 14 | 10pmET | LIVE on @ESPNPlus"/>
    <n v="141401"/>
    <s v="https://pbs.twimg.com/profile_images/1835773190385328128/4fVrF1UI_normal.jpg"/>
    <n v="717"/>
    <b v="0"/>
    <n v="11"/>
    <n v="17"/>
    <s v="{&quot;post_id&quot;:null,&quot;profile_id&quot;:null,&quot;profile_name&quot;:null}"/>
    <s v="null"/>
    <s v="[{&quot;duration&quot;:7433,&quot;video_url&quot;:&quot;https://video.twimg.com/amplify_video/1868096746577952768/vid/avc1/720x720/cDGZy_V7dn6RUvfQ.mp4?tag=14&quot;}]"/>
    <s v="{&quot;data_posted&quot;:null,&quot;description&quot;:null,&quot;photos&quot;:null,&quot;post_id&quot;:null,&quot;profile_id&quot;:null,&quot;profile_name&quot;:null,&quot;url&quot;:null,&quot;videos&quot;:null}"/>
    <n v="924"/>
    <n v="6.1822147583650584E-3"/>
    <d v="2024-12-15T00:00:00"/>
    <n v="3.7546296296296293E-2"/>
    <x v="0"/>
    <x v="5"/>
    <x v="1"/>
    <x v="1"/>
    <x v="1"/>
    <x v="0"/>
    <n v="63"/>
    <x v="1"/>
  </r>
  <r>
    <n v="1.8682647533256338E+18"/>
    <s v="F1"/>
    <s v="For███a 1███"/>
    <s v="You've got 24 hours left to have your say on the best race of the season - click to vote now! 🗳️_x000a__x000a_#F1"/>
    <s v="&quot;2024-12-15T12:00:02.000Z&quot;"/>
    <s v="null"/>
    <s v="https://x.com/F1/status/1868264753325633917"/>
    <s v="null"/>
    <n v="346"/>
    <n v="105"/>
    <n v="1908"/>
    <n v="405653"/>
    <s v="https://f1.com/VOTE_BestRace2024"/>
    <s v="[&quot;F1&quot;]"/>
    <n v="10795896"/>
    <s v="The home of risk takers, late brakers and history makers 💫"/>
    <n v="95508"/>
    <s v="https://pbs.twimg.com/profile_images/1612433922733887489/7f5XFklA_normal.jpg"/>
    <n v="98"/>
    <b v="0"/>
    <n v="98"/>
    <n v="48"/>
    <s v="{&quot;post_id&quot;:null,&quot;profile_id&quot;:null,&quot;profile_name&quot;:null}"/>
    <s v="null"/>
    <s v="null"/>
    <s v="{&quot;data_posted&quot;:null,&quot;description&quot;:null,&quot;photos&quot;:null,&quot;post_id&quot;:null,&quot;profile_id&quot;:null,&quot;profile_name&quot;:null,&quot;url&quot;:null,&quot;videos&quot;:null}"/>
    <n v="2505"/>
    <n v="6.1752285820639808E-3"/>
    <d v="2024-12-15T00:00:00"/>
    <n v="0.50002314814814819"/>
    <x v="0"/>
    <x v="0"/>
    <x v="0"/>
    <x v="1"/>
    <x v="1"/>
    <x v="0"/>
    <n v="101"/>
    <x v="1"/>
  </r>
  <r>
    <n v="1.8680879945083049E+18"/>
    <s v="nyp███"/>
    <s v="New███rk ███t"/>
    <s v="Inside the new beachfront Drone Command Center monitoring New Jersey’s skies"/>
    <s v="&quot;2024-12-15T00:17:39.000Z&quot;"/>
    <s v="[&quot;https://pbs.twimg.com/media/GezIIYIWsAAJ416.jpg&quot;]"/>
    <s v="https://x.com/nypost/status/1868087994508304821"/>
    <s v="null"/>
    <n v="30"/>
    <n v="35"/>
    <n v="132"/>
    <n v="34451"/>
    <s v="https://trib.al/lpiuepx"/>
    <s v="null"/>
    <n v="3313898"/>
    <s v="Breaking news &amp; features from The New York Post. Follow your favorite sections: @pagesix, @nypmetro, @nypostbiz, @nypostsports, @nypfashion, @nypostopinion"/>
    <n v="706459"/>
    <s v="https://pbs.twimg.com/profile_images/966372680306868224/60wfGe9e_normal.jpg"/>
    <n v="10308"/>
    <b v="0"/>
    <n v="6"/>
    <n v="9"/>
    <s v="{&quot;post_id&quot;:null,&quot;profile_id&quot;:null,&quot;profile_name&quot;:null}"/>
    <s v="null"/>
    <s v="null"/>
    <s v="{&quot;data_posted&quot;:null,&quot;description&quot;:null,&quot;photos&quot;:null,&quot;post_id&quot;:null,&quot;profile_id&quot;:null,&quot;profile_name&quot;:null,&quot;url&quot;:null,&quot;videos&quot;:null}"/>
    <n v="212"/>
    <n v="6.1536675277930972E-3"/>
    <d v="2024-12-15T00:00:00"/>
    <n v="1.2256944444444445E-2"/>
    <x v="0"/>
    <x v="5"/>
    <x v="0"/>
    <x v="0"/>
    <x v="0"/>
    <x v="0"/>
    <n v="76"/>
    <x v="0"/>
  </r>
  <r>
    <n v="1.8683817685978854E+18"/>
    <s v="LPGA"/>
    <s v="LPGA"/>
    <s v="Vibing with it 👊_x000a__x000a_@Patty_MPT knocks in birdie, fist pumps and takes the solo lead to -25"/>
    <s v="&quot;2024-12-15T19:45:01.000Z&quot;"/>
    <s v="null"/>
    <s v="https://x.com/LPGA/status/1868381768597885370"/>
    <s v="[{&quot;biography&quot;:null,&quot;followers&quot;:null,&quot;following&quot;:null,&quot;is_verified&quot;:null,&quot;profile_id&quot;:&quot;224218244&quot;,&quot;profile_name&quot;:&quot;Patty Tavatanakit&quot;,&quot;url&quot;:&quot;https://x.com/Patty_MPT&quot;}]"/>
    <n v="1"/>
    <n v="2"/>
    <n v="37"/>
    <n v="6845"/>
    <s v=""/>
    <s v="null"/>
    <n v="341169"/>
    <s v="The LPGA is the world’s leading professional golf organization for women with Tour &amp; Teaching membership representing more than 50 different countries."/>
    <n v="82161"/>
    <s v="https://pbs.twimg.com/profile_images/1665698199661600769/nxoC7o2Q_normal.jpg"/>
    <n v="1186"/>
    <b v="0"/>
    <n v="1"/>
    <n v="1"/>
    <s v="{&quot;post_id&quot;:null,&quot;profile_id&quot;:null,&quot;profile_name&quot;:null}"/>
    <s v="null"/>
    <s v="[{&quot;duration&quot;:10944,&quot;video_url&quot;:&quot;https://video.twimg.com/amplify_video/1868381754303668224/vid/avc1/720x720/kWzJrnO1SNvC6XCO.mp4?tag=16&quot;}]"/>
    <s v="{&quot;data_posted&quot;:null,&quot;description&quot;:null,&quot;photos&quot;:null,&quot;post_id&quot;:null,&quot;profile_id&quot;:null,&quot;profile_name&quot;:null,&quot;url&quot;:null,&quot;videos&quot;:null}"/>
    <n v="42"/>
    <n v="6.1358655953250548E-3"/>
    <d v="2024-12-15T00:00:00"/>
    <n v="0.82292824074074078"/>
    <x v="0"/>
    <x v="4"/>
    <x v="1"/>
    <x v="1"/>
    <x v="0"/>
    <x v="0"/>
    <n v="88"/>
    <x v="2"/>
  </r>
  <r>
    <n v="1.8681069849665088E+18"/>
    <s v="ufc"/>
    <s v="UFC"/>
    <s v="FOUR straight for @FearTheMAVERICK 😮‍💨_x000a__x000a_#UFCTampa"/>
    <s v="&quot;2024-12-15T01:33:07.000Z&quot;"/>
    <s v="null"/>
    <s v="https://x.com/ufc/status/1868106984966508816"/>
    <s v="[{&quot;biography&quot;:null,&quot;followers&quot;:null,&quot;following&quot;:null,&quot;is_verified&quot;:null,&quot;profile_id&quot;:&quot;1314612088493535234&quot;,&quot;profile_name&quot;:&quot;Miranda Maverick&quot;,&quot;url&quot;:&quot;https://x.com/FearTheMAVERICK&quot;}]"/>
    <n v="75"/>
    <n v="46"/>
    <n v="663"/>
    <n v="133350"/>
    <s v=""/>
    <s v="[&quot;UFCTampa&quot;]"/>
    <n v="12876593"/>
    <s v="#UFCTampa | Covington vs Buckley | December 14 | 10pmET | LIVE on @ESPNPlus"/>
    <n v="141401"/>
    <s v="https://pbs.twimg.com/profile_images/1835773190385328128/4fVrF1UI_normal.jpg"/>
    <n v="717"/>
    <b v="0"/>
    <n v="9"/>
    <n v="25"/>
    <s v="{&quot;post_id&quot;:null,&quot;profile_id&quot;:null,&quot;profile_name&quot;:null}"/>
    <s v="null"/>
    <s v="null"/>
    <s v="{&quot;data_posted&quot;:null,&quot;description&quot;:null,&quot;photos&quot;:null,&quot;post_id&quot;:null,&quot;profile_id&quot;:null,&quot;profile_name&quot;:null,&quot;url&quot;:null,&quot;videos&quot;:null}"/>
    <n v="818"/>
    <n v="6.1342332208473944E-3"/>
    <d v="2024-12-15T00:00:00"/>
    <n v="6.4664351851851848E-2"/>
    <x v="0"/>
    <x v="19"/>
    <x v="0"/>
    <x v="1"/>
    <x v="1"/>
    <x v="0"/>
    <n v="49"/>
    <x v="1"/>
  </r>
  <r>
    <n v="1.8681897888615713E+18"/>
    <s v="ufc"/>
    <s v="UFC"/>
    <s v="And that's a WRAP for 2024 🎉_x000a__x000a_#UFCTampa"/>
    <s v="&quot;2024-12-15T07:02:09.000Z&quot;"/>
    <s v="null"/>
    <s v="https://x.com/ufc/status/1868189788861571429"/>
    <s v="null"/>
    <n v="63"/>
    <n v="51"/>
    <n v="726"/>
    <n v="145764"/>
    <s v=""/>
    <s v="[&quot;UFCTampa&quot;]"/>
    <n v="12876593"/>
    <s v="#UFCTampa | Covington vs Buckley | December 14 | 10pmET | LIVE on @ESPNPlus"/>
    <n v="141401"/>
    <s v="https://pbs.twimg.com/profile_images/1835773190385328128/4fVrF1UI_normal.jpg"/>
    <n v="717"/>
    <b v="0"/>
    <n v="3"/>
    <n v="30"/>
    <s v="{&quot;post_id&quot;:null,&quot;profile_id&quot;:null,&quot;profile_name&quot;:null}"/>
    <s v="null"/>
    <s v="[{&quot;duration&quot;:86200,&quot;video_url&quot;:&quot;https://video.twimg.com/ext_tw_video/1868189659357966336/pu/vid/avc1/608x1080/005uCf6WcWeCkFEM.mp4?tag=12&quot;}]"/>
    <s v="{&quot;data_posted&quot;:null,&quot;description&quot;:null,&quot;photos&quot;:null,&quot;post_id&quot;:null,&quot;profile_id&quot;:null,&quot;profile_name&quot;:null,&quot;url&quot;:null,&quot;videos&quot;:null}"/>
    <n v="873"/>
    <n v="5.9891331192887132E-3"/>
    <d v="2024-12-15T00:00:00"/>
    <n v="0.2931597222222222"/>
    <x v="0"/>
    <x v="20"/>
    <x v="1"/>
    <x v="1"/>
    <x v="1"/>
    <x v="0"/>
    <n v="39"/>
    <x v="1"/>
  </r>
  <r>
    <n v="1.8680865095529434E+18"/>
    <s v="ufc"/>
    <s v="UFC"/>
    <s v="Here's what you can expect to watch on tonight's main card! 💥_x000a__x000a_[ #UFCTampa is LIVE on @ESPNPlus &amp;amp; ESPN2 | 10pmET ]"/>
    <s v="&quot;2024-12-15T00:11:45.000Z&quot;"/>
    <s v="[&quot;https://pbs.twimg.com/media/GezGp-HWkAApz3u.jpg&quot;]"/>
    <s v="https://x.com/ufc/status/1868086509552943317"/>
    <s v="[{&quot;biography&quot;:null,&quot;followers&quot;:null,&quot;following&quot;:null,&quot;is_verified&quot;:null,&quot;profile_id&quot;:&quot;1044284694387412992&quot;,&quot;profile_name&quot;:&quot;ESPN+&quot;,&quot;url&quot;:&quot;https://x.com/ESPNPlus&quot;}]"/>
    <n v="24"/>
    <n v="49"/>
    <n v="511"/>
    <n v="100046"/>
    <s v=""/>
    <s v="[&quot;UFCTampa&quot;]"/>
    <n v="12876592"/>
    <s v="#UFCTampa | Covington vs Buckley | December 14 | 10pmET | LIVE on @ESPNPlus"/>
    <n v="141401"/>
    <s v="https://pbs.twimg.com/profile_images/1835773190385328128/4fVrF1UI_normal.jpg"/>
    <n v="717"/>
    <b v="0"/>
    <n v="2"/>
    <n v="13"/>
    <s v="{&quot;post_id&quot;:null,&quot;profile_id&quot;:null,&quot;profile_name&quot;:null}"/>
    <s v="null"/>
    <s v="null"/>
    <s v="{&quot;data_posted&quot;:null,&quot;description&quot;:null,&quot;photos&quot;:null,&quot;post_id&quot;:null,&quot;profile_id&quot;:null,&quot;profile_name&quot;:null,&quot;url&quot;:null,&quot;videos&quot;:null}"/>
    <n v="599"/>
    <n v="5.9872458669012257E-3"/>
    <d v="2024-12-15T00:00:00"/>
    <n v="8.1597222222222227E-3"/>
    <x v="0"/>
    <x v="5"/>
    <x v="0"/>
    <x v="0"/>
    <x v="1"/>
    <x v="0"/>
    <n v="118"/>
    <x v="1"/>
  </r>
  <r>
    <n v="1.8681103262914276E+18"/>
    <s v="nyp███"/>
    <s v="New███rk ███t"/>
    <s v="Bill Belichick receives roaring ovation during North Carolina basketball game"/>
    <s v="&quot;2024-12-15T01:46:24.000Z&quot;"/>
    <s v="[&quot;https://pbs.twimg.com/media/GezccSiWAAAgX5Q.jpg&quot;]"/>
    <s v="https://x.com/nypost/status/1868110326291427583"/>
    <s v="null"/>
    <n v="20"/>
    <n v="9"/>
    <n v="165"/>
    <n v="33076"/>
    <s v="https://trib.al/PUygBLP"/>
    <s v="null"/>
    <n v="3313894"/>
    <s v="Breaking news &amp; features from The New York Post. Follow your favorite sections: @pagesix, @nypmetro, @nypostbiz, @nypostsports, @nypfashion, @nypostopinion"/>
    <n v="706459"/>
    <s v="https://pbs.twimg.com/profile_images/966372680306868224/60wfGe9e_normal.jpg"/>
    <n v="10308"/>
    <b v="0"/>
    <n v="1"/>
    <n v="2"/>
    <s v="{&quot;post_id&quot;:null,&quot;profile_id&quot;:null,&quot;profile_name&quot;:null}"/>
    <s v="null"/>
    <s v="null"/>
    <s v="{&quot;data_posted&quot;:null,&quot;description&quot;:null,&quot;photos&quot;:null,&quot;post_id&quot;:null,&quot;profile_id&quot;:null,&quot;profile_name&quot;:null,&quot;url&quot;:null,&quot;videos&quot;:null}"/>
    <n v="197"/>
    <n v="5.9559801668883786E-3"/>
    <d v="2024-12-15T00:00:00"/>
    <n v="7.3888888888888893E-2"/>
    <x v="0"/>
    <x v="19"/>
    <x v="0"/>
    <x v="0"/>
    <x v="0"/>
    <x v="0"/>
    <n v="77"/>
    <x v="0"/>
  </r>
  <r>
    <n v="1.8683670695713385E+18"/>
    <s v="ESP███asi███"/>
    <s v="ESP███ras███"/>
    <s v="GOL BRASILEIRO EM LALIGA 🇧🇷🔥 _x000a__x000a_Vitor Roque dá linda cabeçada e abre o placar para o Betis contra o Villarreal; VEJA_x000a__x000a_#LaLigaNaESPN #FutebolNaEspn"/>
    <s v="&quot;2024-12-15T18:46:36.000Z&quot;"/>
    <s v="null"/>
    <s v="https://x.com/ESPNBrasil/status/1868367069571338481"/>
    <s v="null"/>
    <n v="1"/>
    <n v="1"/>
    <n v="52"/>
    <n v="9266"/>
    <s v="https://buff.ly/4ggFTsb"/>
    <s v="[&quot;LaLigaNaESPN&quot;,&quot;FutebolNaEspn&quot;]"/>
    <n v="3768943"/>
    <s v="ESPN: o melhor do esporte você assiste aqui!"/>
    <n v="897934"/>
    <s v="https://pbs.twimg.com/profile_images/1224436194152345608/dCEm_D7K_normal.jpg"/>
    <n v="28"/>
    <b v="0"/>
    <n v="0"/>
    <n v="1"/>
    <s v="{&quot;post_id&quot;:null,&quot;profile_id&quot;:null,&quot;profile_name&quot;:null}"/>
    <s v="[&quot;https://pbs.twimg.com/card_img/1868367070422806528/1yTig0OW?format=jpg&amp;name=orig&quot;]"/>
    <s v="null"/>
    <s v="{&quot;data_posted&quot;:null,&quot;description&quot;:null,&quot;photos&quot;:null,&quot;post_id&quot;:null,&quot;profile_id&quot;:null,&quot;profile_name&quot;:null,&quot;url&quot;:null,&quot;videos&quot;:null}"/>
    <n v="55"/>
    <n v="5.9356788258148069E-3"/>
    <d v="2024-12-15T00:00:00"/>
    <n v="0.78236111111111106"/>
    <x v="0"/>
    <x v="8"/>
    <x v="0"/>
    <x v="1"/>
    <x v="1"/>
    <x v="0"/>
    <n v="145"/>
    <x v="0"/>
  </r>
  <r>
    <n v="1.8683867457940813E+18"/>
    <s v="Bre███ord███"/>
    <s v="Bre███ord███"/>
    <s v="Still very much in this!_x000a__x000a_Let's go, lads 🐝_x000a__x000a_🔵 1-0 🐝 _x000a_#CHEBRE | #BrentfordFC"/>
    <s v="&quot;2024-12-15T20:04:47.000Z&quot;"/>
    <s v="null"/>
    <s v="https://x.com/BrentfordFC/status/1868386745794081216"/>
    <s v="null"/>
    <n v="7"/>
    <n v="2"/>
    <n v="43"/>
    <n v="9128"/>
    <s v="https://www.brentfordfc.com/en/match/chelsea-vs-brentford-english-premier-league-2024-12-15"/>
    <s v="[&quot;CHEBRE&quot;,&quot;BrentfordFC&quot;]"/>
    <n v="376786"/>
    <s v="Chelsea away ⏳"/>
    <n v="106893"/>
    <s v="https://pbs.twimg.com/profile_images/1863925545009852417/pH2T1Sz8_normal.jpg"/>
    <n v="415"/>
    <b v="0"/>
    <n v="1"/>
    <n v="1"/>
    <s v="{&quot;post_id&quot;:null,&quot;profile_id&quot;:null,&quot;profile_name&quot;:null}"/>
    <s v="null"/>
    <s v="null"/>
    <s v="{&quot;data_posted&quot;:null,&quot;description&quot;:null,&quot;photos&quot;:null,&quot;post_id&quot;:null,&quot;profile_id&quot;:null,&quot;profile_name&quot;:null,&quot;url&quot;:null,&quot;videos&quot;:null}"/>
    <n v="54"/>
    <n v="5.9158632778264679E-3"/>
    <d v="2024-12-15T00:00:00"/>
    <n v="0.83665509259259263"/>
    <x v="0"/>
    <x v="3"/>
    <x v="0"/>
    <x v="1"/>
    <x v="1"/>
    <x v="0"/>
    <n v="75"/>
    <x v="2"/>
  </r>
  <r>
    <n v="1.8684439402252168E+18"/>
    <s v="Met███ole███"/>
    <s v="Met███ole███"/>
    <s v="➡️ “Só acordei no dia seguinte”, diz Lula após cirurgias de emergência_x000a__x000a_Presidente recebeu alta médica neste domingo (15/12). Ele sofreu um hemorragia intracraniana e passou por dois procedimentos cirúrgicos_x000a__x000a_Leia:"/>
    <s v="&quot;2024-12-15T23:52:04.000Z&quot;"/>
    <s v="[&quot;https://pbs.twimg.com/media/Ge4L1-zXQAAhS-U.png&quot;]"/>
    <s v="https://x.com/Metropoles/status/1868443940225216655"/>
    <s v="null"/>
    <n v="9"/>
    <n v="3"/>
    <n v="16"/>
    <n v="5079"/>
    <s v="https://curt.link/KgVRh"/>
    <s v="null"/>
    <n v="1239616"/>
    <s v="📱 O seu portal de notícias. Tudo sobre política, saúde, justiça, comportamento, entretenimento. Confira os fatos relevantes do país e do mundo em tempo real."/>
    <n v="402839"/>
    <s v="https://pbs.twimg.com/profile_images/1642966741138415647/fHdgQUGl_normal.jpg"/>
    <n v="1644"/>
    <b v="0"/>
    <n v="1"/>
    <n v="1"/>
    <s v="{&quot;post_id&quot;:null,&quot;profile_id&quot;:null,&quot;profile_name&quot;:null}"/>
    <s v="null"/>
    <s v="null"/>
    <s v="{&quot;data_posted&quot;:null,&quot;description&quot;:null,&quot;photos&quot;:null,&quot;post_id&quot;:null,&quot;profile_id&quot;:null,&quot;profile_name&quot;:null,&quot;url&quot;:null,&quot;videos&quot;:null}"/>
    <n v="30"/>
    <n v="5.9066745422327229E-3"/>
    <d v="2024-12-15T00:00:00"/>
    <n v="0.99449074074074073"/>
    <x v="0"/>
    <x v="7"/>
    <x v="0"/>
    <x v="0"/>
    <x v="0"/>
    <x v="0"/>
    <n v="214"/>
    <x v="0"/>
  </r>
  <r>
    <n v="1.8681785949434312E+18"/>
    <s v="nyp███"/>
    <s v="New███rk ███t"/>
    <s v="UK cop who filmed solo sex act at work while in uniform is banned from force"/>
    <s v="&quot;2024-12-15T06:17:40.000Z&quot;"/>
    <s v="[&quot;https://pbs.twimg.com/media/Ge0aiCGXwAAYk3W.jpg&quot;]"/>
    <s v="https://x.com/nypost/status/1868178594943431110"/>
    <s v="null"/>
    <n v="55"/>
    <n v="22"/>
    <n v="98"/>
    <n v="30417"/>
    <s v="https://trib.al/BO8CYj4"/>
    <s v="null"/>
    <n v="3313891"/>
    <s v="Breaking news &amp; features from The New York Post. Follow your favorite sections: @pagesix, @nypmetro, @nypostbiz, @nypostsports, @nypfashion, @nypostopinion"/>
    <n v="706459"/>
    <s v="https://pbs.twimg.com/profile_images/966372680306868224/60wfGe9e_normal.jpg"/>
    <n v="10308"/>
    <b v="0"/>
    <n v="1"/>
    <n v="3"/>
    <s v="{&quot;post_id&quot;:null,&quot;profile_id&quot;:null,&quot;profile_name&quot;:null}"/>
    <s v="null"/>
    <s v="null"/>
    <s v="{&quot;data_posted&quot;:null,&quot;description&quot;:null,&quot;photos&quot;:null,&quot;post_id&quot;:null,&quot;profile_id&quot;:null,&quot;profile_name&quot;:null,&quot;url&quot;:null,&quot;videos&quot;:null}"/>
    <n v="179"/>
    <n v="5.8848670151559982E-3"/>
    <d v="2024-12-15T00:00:00"/>
    <n v="0.26226851851851851"/>
    <x v="0"/>
    <x v="23"/>
    <x v="0"/>
    <x v="0"/>
    <x v="0"/>
    <x v="0"/>
    <n v="76"/>
    <x v="0"/>
  </r>
  <r>
    <n v="1.8681091486821338E+18"/>
    <s v="ufc"/>
    <s v="UFC"/>
    <s v="Lots of action in the #UFCTampa prelims! _x000a__x000a_[ LIVE NOW on @ESPNPlus ]"/>
    <s v="&quot;2024-12-15T01:41:43.000Z&quot;"/>
    <s v="null"/>
    <s v="https://x.com/ufc/status/1868109148682133853"/>
    <s v="[{&quot;biography&quot;:null,&quot;followers&quot;:null,&quot;following&quot;:null,&quot;is_verified&quot;:null,&quot;profile_id&quot;:&quot;1044284694387412992&quot;,&quot;profile_name&quot;:&quot;ESPN+&quot;,&quot;url&quot;:&quot;https://x.com/ESPNPlus&quot;}]"/>
    <n v="51"/>
    <n v="33"/>
    <n v="430"/>
    <n v="90617"/>
    <s v=""/>
    <s v="[&quot;UFCTampa&quot;]"/>
    <n v="12876593"/>
    <s v="#UFCTampa | Covington vs Buckley | December 14 | 10pmET | LIVE on @ESPNPlus"/>
    <n v="141401"/>
    <s v="https://pbs.twimg.com/profile_images/1835773190385328128/4fVrF1UI_normal.jpg"/>
    <n v="717"/>
    <b v="0"/>
    <n v="3"/>
    <n v="14"/>
    <s v="{&quot;post_id&quot;:null,&quot;profile_id&quot;:null,&quot;profile_name&quot;:null}"/>
    <s v="null"/>
    <s v="[{&quot;duration&quot;:21434,&quot;video_url&quot;:&quot;https://video.twimg.com/ext_tw_video/1868109090804690945/pu/vid/avc1/720x720/wWqNbEtjZ0h-OMRP.mp4?tag=12&quot;}]"/>
    <s v="{&quot;data_posted&quot;:null,&quot;description&quot;:null,&quot;photos&quot;:null,&quot;post_id&quot;:null,&quot;profile_id&quot;:null,&quot;profile_name&quot;:null,&quot;url&quot;:null,&quot;videos&quot;:null}"/>
    <n v="531"/>
    <n v="5.8598276261628609E-3"/>
    <d v="2024-12-15T00:00:00"/>
    <n v="7.0636574074074074E-2"/>
    <x v="0"/>
    <x v="19"/>
    <x v="1"/>
    <x v="1"/>
    <x v="1"/>
    <x v="0"/>
    <n v="68"/>
    <x v="1"/>
  </r>
  <r>
    <n v="1.8665164747324214E+18"/>
    <s v="kann"/>
    <s v="כאן"/>
    <s v="מישהי פעם ניגשה לאלי חביב @Eli_Haviv_ אחרי הופעה וסיפרה לו שהיא עובדת בספארי. לא תאמינו מה קרה אחר כך:_x000a__x000a_הערב #מועדון_סטנדאפ אחרי קופה ראשית בכאן 11 ובכאן BOX"/>
    <s v="&quot;2024-12-10T16:13:00.000Z&quot;"/>
    <s v="null"/>
    <s v="https://x.com/kann/status/1866516474732421445"/>
    <s v="[{&quot;biography&quot;:null,&quot;followers&quot;:null,&quot;following&quot;:null,&quot;is_verified&quot;:null,&quot;profile_id&quot;:&quot;4650477676&quot;,&quot;profile_name&quot;:&quot;Eli Haviv&quot;,&quot;url&quot;:&quot;https://x.com/Eli_Haviv_&quot;}]"/>
    <n v="0"/>
    <n v="1"/>
    <n v="23"/>
    <n v="4642"/>
    <s v=""/>
    <s v="[&quot;מועדון_סטנדאפ&quot;]"/>
    <n v="182895"/>
    <s v="אנחנו כאן ❤️"/>
    <n v="30781"/>
    <s v="https://pbs.twimg.com/profile_images/1843516623740633088/WbeaAr02_normal.jpg"/>
    <n v="559"/>
    <b v="0"/>
    <n v="2"/>
    <n v="1"/>
    <s v="{&quot;post_id&quot;:null,&quot;profile_id&quot;:null,&quot;profile_name&quot;:null}"/>
    <s v="null"/>
    <s v="[{&quot;duration&quot;:57680,&quot;video_url&quot;:&quot;https://video.twimg.com/amplify_video/1866486426969223168/vid/avc1/720x1280/ruN5XNDWRC6KnlOH.mp4?tag=14&quot;}]"/>
    <s v="{&quot;data_posted&quot;:null,&quot;description&quot;:null,&quot;photos&quot;:null,&quot;post_id&quot;:null,&quot;profile_id&quot;:null,&quot;profile_name&quot;:null,&quot;url&quot;:null,&quot;videos&quot;:null}"/>
    <n v="27"/>
    <n v="5.8164584230934943E-3"/>
    <d v="2024-12-10T00:00:00"/>
    <n v="0.67569444444444449"/>
    <x v="3"/>
    <x v="15"/>
    <x v="1"/>
    <x v="1"/>
    <x v="1"/>
    <x v="0"/>
    <n v="157"/>
    <x v="2"/>
  </r>
  <r>
    <n v="1.8683703567357422E+18"/>
    <s v="Bre███ord███"/>
    <s v="Bre███ord███"/>
    <s v="Sunday night at Stamford Bridge 👊_x000a__x000a_COME ON YOU BEES! COME ON BRENTFORD 🙌_x000a__x000a_🔵 0-0 🐝 _x000a_#CHEBRE | #BrentfordFC"/>
    <s v="&quot;2024-12-15T18:59:40.000Z&quot;"/>
    <s v="null"/>
    <s v="https://x.com/BrentfordFC/status/1868370356735742234"/>
    <s v="null"/>
    <n v="5"/>
    <n v="6"/>
    <n v="68"/>
    <n v="14279"/>
    <s v="https://www.brentfordfc.com/en/match/chelsea-vs-brentford-english-premier-league-2024-12-15"/>
    <s v="[&quot;CHEBRE&quot;,&quot;BrentfordFC&quot;]"/>
    <n v="376786"/>
    <s v="Chelsea away ⏳"/>
    <n v="106893"/>
    <s v="https://pbs.twimg.com/profile_images/1863925545009852417/pH2T1Sz8_normal.jpg"/>
    <n v="415"/>
    <b v="0"/>
    <n v="3"/>
    <n v="1"/>
    <s v="{&quot;post_id&quot;:null,&quot;profile_id&quot;:null,&quot;profile_name&quot;:null}"/>
    <s v="null"/>
    <s v="null"/>
    <s v="{&quot;data_posted&quot;:null,&quot;description&quot;:null,&quot;photos&quot;:null,&quot;post_id&quot;:null,&quot;profile_id&quot;:null,&quot;profile_name&quot;:null,&quot;url&quot;:null,&quot;videos&quot;:null}"/>
    <n v="83"/>
    <n v="5.812731984032495E-3"/>
    <d v="2024-12-15T00:00:00"/>
    <n v="0.79143518518518519"/>
    <x v="0"/>
    <x v="8"/>
    <x v="0"/>
    <x v="1"/>
    <x v="1"/>
    <x v="0"/>
    <n v="105"/>
    <x v="2"/>
  </r>
  <r>
    <n v="1.8655592445792379E+18"/>
    <s v="Bro███ynN███"/>
    <s v="Bro███yn ███s"/>
    <s v=".@doefinney_10 is an elite combo of dancing and shooting 😂"/>
    <s v="&quot;2024-12-08T00:49:18.000Z&quot;"/>
    <s v="null"/>
    <s v="https://x.com/BrooklynNets/status/1865559244579237964"/>
    <s v="[{&quot;biography&quot;:null,&quot;followers&quot;:null,&quot;following&quot;:null,&quot;is_verified&quot;:null,&quot;profile_id&quot;:&quot;3613501949&quot;,&quot;profile_name&quot;:&quot;Dorian Finney-Smith&quot;,&quot;url&quot;:&quot;https://x.com/doefinney_10&quot;}]"/>
    <n v="3"/>
    <n v="11"/>
    <n v="110"/>
    <n v="23239"/>
    <s v=""/>
    <s v="null"/>
    <n v="2035100"/>
    <s v="Tweets from #NetsWorld"/>
    <n v="106867"/>
    <s v="https://pbs.twimg.com/profile_images/1811024920870277122/1wQgAUZH_normal.jpg"/>
    <n v="411"/>
    <b v="0"/>
    <n v="7"/>
    <n v="3"/>
    <s v="{&quot;post_id&quot;:null,&quot;profile_id&quot;:null,&quot;profile_name&quot;:null}"/>
    <s v="null"/>
    <s v="[{&quot;duration&quot;:28153,&quot;video_url&quot;:&quot;https://video.twimg.com/amplify_video/1865559150844907520/vid/avc1/1080x1080/gBw47v8wISyTEVt_.mp4?tag=16&quot;}]"/>
    <s v="{&quot;data_posted&quot;:&quot;2009-01-02T13:56:08.000Z&quot;,&quot;description&quot;:&quot;the vibes are very good with these two https://t.co/KkvF7hAm4f&quot;,&quot;photos&quot;:[&quot;https://pbs.twimg.com/media/GePDLGsXsAAuE1O.jpg&quot;,&quot;https://pbs.twimg.com/media/GePDLlIWwAAxHcY.jpg&quot;],&quot;post_id&quot;:&quot;1865550740153872770&quot;,&quot;profile_id&quot;:&quot;BrooklynNets&quot;,&quot;profile_name&quot;:&quot;Brooklyn Nets&quot;,&quot;url&quot;:&quot;https://x.com/BrooklynNets/status/1865550740153872770&quot;,&quot;videos&quot;:null}"/>
    <n v="134"/>
    <n v="5.7661689401437236E-3"/>
    <d v="2024-12-08T00:00:00"/>
    <n v="3.4236111111111113E-2"/>
    <x v="0"/>
    <x v="5"/>
    <x v="1"/>
    <x v="1"/>
    <x v="0"/>
    <x v="0"/>
    <n v="58"/>
    <x v="0"/>
  </r>
  <r>
    <n v="1.8672291453627354E+18"/>
    <s v="Bro███ynN███"/>
    <s v="Bro███yn ███s"/>
    <s v="Clax out here putting in work on both sides of the court 💪_x000a__x000a_Catch more of his impact in a brand new episode of The Backcourt, presented by @Ticketmaster, with @sarahkustok &amp;amp; @LucasKaplan_ →"/>
    <s v="&quot;2024-12-12T15:24:54.000Z&quot;"/>
    <s v="null"/>
    <s v="https://x.com/BrooklynNets/status/1867229145362735481"/>
    <s v="[{&quot;biography&quot;:null,&quot;followers&quot;:null,&quot;following&quot;:null,&quot;is_verified&quot;:null,&quot;profile_id&quot;:&quot;27743648&quot;,&quot;profile_name&quot;:&quot;Ticketmaster&quot;,&quot;url&quot;:&quot;https://x.com/Ticketmaster&quot;},{&quot;biography&quot;:null,&quot;followers&quot;:null,&quot;following&quot;:null,&quot;is_verified&quot;:null,&quot;profile_id&quot;:&quot;621457277&quot;,&quot;profile_name&quot;:&quot;sarah kustok&quot;,&quot;url&quot;:&quot;https://x.com/sarahkustok&quot;},{&quot;biography&quot;:null,&quot;followers&quot;:null,&quot;following&quot;:null,&quot;is_verified&quot;:null,&quot;profile_id&quot;:&quot;1337160704902696961&quot;,&quot;profile_name&quot;:&quot;Lucas Kaplan&quot;,&quot;url&quot;:&quot;https://x.com/LucasKaplan_&quot;}]"/>
    <n v="6"/>
    <n v="9"/>
    <n v="65"/>
    <n v="14056"/>
    <s v="https://bit.ly/3VyEIMH"/>
    <s v="null"/>
    <n v="2035100"/>
    <s v="Tweets from #NetsWorld"/>
    <n v="106867"/>
    <s v="https://pbs.twimg.com/profile_images/1811024920870277122/1wQgAUZH_normal.jpg"/>
    <n v="411"/>
    <b v="0"/>
    <n v="1"/>
    <n v="0"/>
    <s v="{&quot;post_id&quot;:null,&quot;profile_id&quot;:null,&quot;profile_name&quot;:null}"/>
    <s v="null"/>
    <s v="[{&quot;duration&quot;:38413,&quot;video_url&quot;:&quot;https://video.twimg.com/ext_tw_video/1867219053862920192/pu/vid/avc1/720x720/rWbID0pku64Yi07c.mp4?tag=12&quot;}]"/>
    <s v="{&quot;data_posted&quot;:null,&quot;description&quot;:null,&quot;photos&quot;:null,&quot;post_id&quot;:null,&quot;profile_id&quot;:null,&quot;profile_name&quot;:null,&quot;url&quot;:null,&quot;videos&quot;:null}"/>
    <n v="81"/>
    <n v="5.7626636311895272E-3"/>
    <d v="2024-12-12T00:00:00"/>
    <n v="0.64229166666666671"/>
    <x v="6"/>
    <x v="13"/>
    <x v="1"/>
    <x v="1"/>
    <x v="0"/>
    <x v="0"/>
    <n v="193"/>
    <x v="0"/>
  </r>
  <r>
    <n v="1.862883847685182E+18"/>
    <s v="LUO███NGZ███"/>
    <s v="罗翔"/>
    <s v="揭开退役体操女冠军吴柳芳的面纱，你会发现在中国不能做好人，否则中共会让你吃不了兜着走！_x000a_这吴柳芳咋越扒越正啊?_x000a_运动生涯拿了15枚金牌，16枚银牌。结果在比赛中受伤，差点把脖子扭断了，在赛场上直接就被抬出去了，最后不得不退役。_x000a_19年去杭州的培训机构当老师，结果被老板拖欠工资，差点没饭吃。后来去嘉兴的体校，说是有编制，结果没拿到编制，别人倒是先拿到编制了。于是又回到杭州，搞直播。结果就碰到管晨辰这事了然后网络就扒她。结果不扒还好，一扒就发现，原来她在浙江被老板拖欠工资的那几年，她每周还去做公益。具体来说，是长达2年的时间内，每月都去照顾自闭症，唐氏综合症的孩子。你去看她带这些孩子的视频，就会发现她带这些自闭症、唐氏综合征的孩子时，一直都是充满笑我想，有孩子的家长都能意识到这是什么概念。别说自闭症和唐氏综合征的孩子了。_x000a_即便是教正常的孩子做作业，十个家长里，最少有九个都笑不出来。后来吴柳芳缟个直播吧，结果聊到自己贫困的家一边憋完眼泪，然后继续回来被平台封禁后，不能跳舞了，只能眼含泪水的说：实在是太不好意思拿大家的礼。_x000a_她被平台封禁后，直播说自己内心很强大。其实强大个屁啊，直播间里，她眼泪水都在打转了，说话都不利索了好吗?_x000a_这女孩就是明明已经扛不住了，还非要顶着，自己骗自己能扛过去。_x000a_所以这个事吧，最开始我是真把她当擦边主擦看后来网络刚开始扒她，我就发现这人不容易啊。继续扒她，我就发现这人太可怜了，再扒她，我发现这人简直就是女菩萨啊。_x000a_你们可以看看，凭吴柳芳的姿色，随便找个中共当官的养着，她会过得很舒服，她为什么没有同流合污？这就是她过得很难得原因！_x000a_评论区续……"/>
    <s v="&quot;2024-11-30T15:38:14.000Z&quot;"/>
    <s v="[&quot;https://pbs.twimg.com/media/GdpJRuNWIAAGsif.jpg&quot;]"/>
    <s v="https://x.com/LUOXIANGZY/status/1862883847685181919"/>
    <s v="null"/>
    <n v="238"/>
    <n v="706"/>
    <n v="3642"/>
    <n v="919818"/>
    <s v=""/>
    <s v="null"/>
    <n v="303062"/>
    <s v="爆料邮箱：hshen606@gmail.com， WhatsApp：+1 9298239824。专门爆料各种不平之事！此账号为唯一账号！（免费向国内民运人士提供西班牙非盈利居留办理教程，仅限Whatsapp联系提供帮助资料）！"/>
    <n v="24240"/>
    <s v="https://pbs.twimg.com/profile_images/1633516700682395652/gQ_OmRVr_normal.jpg"/>
    <n v="8053"/>
    <b v="0"/>
    <n v="36"/>
    <n v="657"/>
    <s v="{&quot;post_id&quot;:null,&quot;profile_id&quot;:null,&quot;profile_name&quot;:null}"/>
    <s v="null"/>
    <s v="[{&quot;duration&quot;:270216,&quot;video_url&quot;:&quot;https://video.twimg.com/amplify_video/1862883308025049088/vid/avc1/720x926/Zy3xazAK6skQz020.mp4?tag=16&quot;},{&quot;duration&quot;:34301,&quot;video_url&quot;:&quot;https://video.twimg.com/amplify_video/1862883308058599424/vid/avc1/720x1250/ttUG8jfp6YwzO8Zp.mp4?tag=16&quot;},{&quot;duration&quot;:16011,&quot;video_url&quot;:&quot;https://video.twimg.com/amplify_video/1862883308150878209/vid/avc1/720x1256/ndH2QBTqjXGpVO3m.mp4?tag=16&quot;}]"/>
    <s v="{&quot;data_posted&quot;:null,&quot;description&quot;:null,&quot;photos&quot;:null,&quot;post_id&quot;:null,&quot;profile_id&quot;:null,&quot;profile_name&quot;:null,&quot;url&quot;:null,&quot;videos&quot;:null}"/>
    <n v="5279"/>
    <n v="5.7391788375526463E-3"/>
    <d v="2024-11-30T00:00:00"/>
    <n v="0.65155092592592589"/>
    <x v="5"/>
    <x v="13"/>
    <x v="1"/>
    <x v="0"/>
    <x v="0"/>
    <x v="0"/>
    <n v="691"/>
    <x v="2"/>
  </r>
  <r>
    <n v="1.8683427308769531E+18"/>
    <s v="Man███y"/>
    <s v="Man███ste███ity███"/>
    <s v="36. @JoskoGvardiol4 nods home a @KevinDeBruyne cross to give us the lead!! 💪_x000a__x000a_🩵 1-0 🔴 #ManCity"/>
    <s v="&quot;2024-12-15T17:09:53.000Z&quot;"/>
    <s v="null"/>
    <s v="https://x.com/ManCity/status/1868342730876952995"/>
    <s v="[{&quot;biography&quot;:null,&quot;followers&quot;:null,&quot;following&quot;:null,&quot;is_verified&quot;:null,&quot;profile_id&quot;:&quot;1635297619609288705&quot;,&quot;profile_name&quot;:&quot;Joško Gvardiol&quot;,&quot;url&quot;:&quot;https://x.com/JoskoGvardiol4&quot;},{&quot;biography&quot;:null,&quot;followers&quot;:null,&quot;following&quot;:null,&quot;is_verified&quot;:null,&quot;profile_id&quot;:&quot;728592182&quot;,&quot;profile_name&quot;:&quot;Kevin De Bruyne&quot;,&quot;url&quot;:&quot;https://x.com/KevinDeBruyne&quot;}]"/>
    <n v="92"/>
    <n v="154"/>
    <n v="1264"/>
    <n v="269617"/>
    <s v=""/>
    <s v="[&quot;ManCity&quot;]"/>
    <n v="17891381"/>
    <s v="WATCH TOGETHER: 4-IN-A-ROW 🍿"/>
    <n v="168939"/>
    <s v="https://pbs.twimg.com/profile_images/1856263834400358400/RysToJDu_normal.png"/>
    <n v="47365"/>
    <b v="0"/>
    <n v="10"/>
    <n v="8"/>
    <s v="{&quot;post_id&quot;:null,&quot;profile_id&quot;:null,&quot;profile_name&quot;:null}"/>
    <s v="null"/>
    <s v="null"/>
    <s v="{&quot;data_posted&quot;:&quot;2008-04-28T19:28:08.000Z&quot;,&quot;description&quot;:&quot;JOSKOOOOOOO!!!!!!!!!\n\n🩵 1-0 🔴 #ManCity https://t.co/6w4UfKXkBy&quot;,&quot;photos&quot;:null,&quot;post_id&quot;:&quot;1868342222061707402&quot;,&quot;profile_id&quot;:&quot;ManCity&quot;,&quot;profile_name&quot;:&quot;Manchester City&quot;,&quot;url&quot;:&quot;https://x.com/ManCity/status/1868342222061707402&quot;,&quot;videos&quot;:[{&quot;duration&quot;:5040,&quot;url&quot;:&quot;https://video.twimg.com/ext_tw_video/1868342168823218176/pu/vid/avc1/720x900/KAzchqqho_Pj7I-5.mp4?tag=12&quot;}]}"/>
    <n v="1528"/>
    <n v="5.6672984270279697E-3"/>
    <d v="2024-12-15T00:00:00"/>
    <n v="0.7151967592592593"/>
    <x v="0"/>
    <x v="12"/>
    <x v="0"/>
    <x v="1"/>
    <x v="1"/>
    <x v="0"/>
    <n v="94"/>
    <x v="1"/>
  </r>
  <r>
    <n v="1.8683306751177239E+18"/>
    <s v="Cel███FC"/>
    <s v="Cel███ Fo███all██████"/>
    <s v="Behind at the break._x000a__x000a_#CELRAN | #PremierSportsCup | #CelticFC🍀"/>
    <s v="&quot;2024-12-15T16:21:59.000Z&quot;"/>
    <s v="[&quot;https://pbs.twimg.com/media/Ge2k1TWWUAAGWM7.jpg&quot;]"/>
    <s v="https://x.com/CelticFC/status/1868330675117723819"/>
    <s v="null"/>
    <n v="370"/>
    <n v="23"/>
    <n v="268"/>
    <n v="122457"/>
    <s v=""/>
    <s v="[&quot;CELRAN&quot;,&quot;PremierSportsCup&quot;,&quot;CelticFC&quot;]"/>
    <n v="984256"/>
    <s v="Glasgow Celtic - 2023/24 Double Winners! 🍀🏆 🟢 @CelticFCWomen ⚪ @CelticFCB 🎌 @CelticFCJPN 📽 @CelticTV 🛒 @CelticFCShop 🎟 @CelticFCTickets"/>
    <n v="136135"/>
    <s v="https://pbs.twimg.com/profile_images/1808866900228665344/xZAZuYBY_normal.jpg"/>
    <n v="438"/>
    <b v="0"/>
    <n v="26"/>
    <n v="3"/>
    <s v="{&quot;post_id&quot;:null,&quot;profile_id&quot;:null,&quot;profile_name&quot;:null}"/>
    <s v="null"/>
    <s v="null"/>
    <s v="{&quot;data_posted&quot;:null,&quot;description&quot;:null,&quot;photos&quot;:null,&quot;post_id&quot;:null,&quot;profile_id&quot;:null,&quot;profile_name&quot;:null,&quot;url&quot;:null,&quot;videos&quot;:null}"/>
    <n v="690"/>
    <n v="5.6346309316739757E-3"/>
    <d v="2024-12-15T00:00:00"/>
    <n v="0.68193287037037043"/>
    <x v="0"/>
    <x v="15"/>
    <x v="0"/>
    <x v="0"/>
    <x v="1"/>
    <x v="0"/>
    <n v="62"/>
    <x v="2"/>
  </r>
  <r>
    <n v="1.8683628915958008E+18"/>
    <s v="Met███ole███"/>
    <s v="Met███ole███"/>
    <s v="➡️ Como sobreviver ao endividamento nas festas de fim de ano_x000a__x000a_Cerca de 77% das famílias estão endividadas. Segundo pesquisa, o resultado ocorre devido à alta no uso do crédito para compras de fim de ano_x000a__x000a_Leia:"/>
    <s v="&quot;2024-12-15T18:30:00.000Z&quot;"/>
    <s v="[&quot;https://pbs.twimg.com/media/Ge1kxTOXMAAhl08.png&quot;]"/>
    <s v="https://x.com/Metropoles/status/1868362891595800881"/>
    <s v="null"/>
    <n v="9"/>
    <n v="4"/>
    <n v="11"/>
    <n v="4809"/>
    <s v="https://curt.link/edwhs"/>
    <s v="null"/>
    <n v="1239617"/>
    <s v="📱 O seu portal de notícias. Tudo sobre política, saúde, justiça, comportamento, entretenimento. Confira os fatos relevantes do país e do mundo em tempo real."/>
    <n v="402839"/>
    <s v="https://pbs.twimg.com/profile_images/1642966741138415647/fHdgQUGl_normal.jpg"/>
    <n v="1644"/>
    <b v="0"/>
    <n v="2"/>
    <n v="1"/>
    <s v="{&quot;post_id&quot;:null,&quot;profile_id&quot;:null,&quot;profile_name&quot;:null}"/>
    <s v="null"/>
    <s v="null"/>
    <s v="{&quot;data_posted&quot;:null,&quot;description&quot;:null,&quot;photos&quot;:null,&quot;post_id&quot;:null,&quot;profile_id&quot;:null,&quot;profile_name&quot;:null,&quot;url&quot;:null,&quot;videos&quot;:null}"/>
    <n v="27"/>
    <n v="5.6144728633811605E-3"/>
    <d v="2024-12-15T00:00:00"/>
    <n v="0.77083333333333337"/>
    <x v="0"/>
    <x v="8"/>
    <x v="0"/>
    <x v="0"/>
    <x v="0"/>
    <x v="0"/>
    <n v="209"/>
    <x v="0"/>
  </r>
  <r>
    <n v="1.8681396634097132E+18"/>
    <s v="ufc"/>
    <s v="UFC"/>
    <s v="DEBUT DUBS 🙌_x000a__x000a_Navajo Stirling comes out on top tonight! #UFCTampa"/>
    <s v="&quot;2024-12-15T03:42:58.000Z&quot;"/>
    <s v="null"/>
    <s v="https://x.com/ufc/status/1868139663409713199"/>
    <s v="null"/>
    <n v="74"/>
    <n v="52"/>
    <n v="477"/>
    <n v="111424"/>
    <s v=""/>
    <s v="[&quot;UFCTampa&quot;]"/>
    <n v="12876593"/>
    <s v="#UFCTampa | Covington vs Buckley | December 14 | 10pmET | LIVE on @ESPNPlus"/>
    <n v="141401"/>
    <s v="https://pbs.twimg.com/profile_images/1835773190385328128/4fVrF1UI_normal.jpg"/>
    <n v="717"/>
    <b v="0"/>
    <n v="12"/>
    <n v="10"/>
    <s v="{&quot;post_id&quot;:null,&quot;profile_id&quot;:null,&quot;profile_name&quot;:null}"/>
    <s v="null"/>
    <s v="[{&quot;duration&quot;:27667,&quot;video_url&quot;:&quot;https://video.twimg.com/ext_tw_video/1868139398530838528/pu/vid/avc1/720x720/GvS2snWs1a_laiOj.mp4?tag=12&quot;}]"/>
    <s v="{&quot;data_posted&quot;:null,&quot;description&quot;:null,&quot;photos&quot;:null,&quot;post_id&quot;:null,&quot;profile_id&quot;:null,&quot;profile_name&quot;:null,&quot;url&quot;:null,&quot;videos&quot;:null}"/>
    <n v="625"/>
    <n v="5.609204480183802E-3"/>
    <d v="2024-12-15T00:00:00"/>
    <n v="0.15483796296296296"/>
    <x v="0"/>
    <x v="21"/>
    <x v="1"/>
    <x v="1"/>
    <x v="1"/>
    <x v="0"/>
    <n v="65"/>
    <x v="1"/>
  </r>
  <r>
    <n v="1.8684825477110825E+18"/>
    <s v="CNN███sil███"/>
    <s v="CNN███asi███"/>
    <s v="Durante o WW deste domingo (15), o filósofo e escritor Denis Lerrer Rosenfield afirmou que o Partido dos Trabalhadores (PT), do presidente Luiz Inácio Lula da Silva, precisa dialogar com a sociedade em geral para ser competitivo nas eleições presidenciais de 2026. #WWEspecial"/>
    <s v="&quot;2024-12-16T02:25:28.000Z&quot;"/>
    <s v="null"/>
    <s v="https://x.com/CNNBrasil/status/1868482547711082614"/>
    <s v="null"/>
    <n v="5"/>
    <n v="1"/>
    <n v="19"/>
    <n v="4825"/>
    <s v=""/>
    <s v="[&quot;WWEspecial&quot;]"/>
    <n v="2819405"/>
    <s v="Pense bem, pense CNN._x000a_Acompanhe também pelo canal 577, app ou site. _x000a_⚽ @esportescnn_x000a_⚡️ @cnnpop_x000a_💰 @cnneconomia_x000a_💵 @nolucrocnn"/>
    <n v="286268"/>
    <s v="https://pbs.twimg.com/profile_images/1202609722257485824/NcFn6f7X_normal.jpg"/>
    <n v="4"/>
    <b v="0"/>
    <n v="1"/>
    <n v="1"/>
    <s v="{&quot;post_id&quot;:null,&quot;profile_id&quot;:null,&quot;profile_name&quot;:null}"/>
    <s v="null"/>
    <s v="[{&quot;duration&quot;:150900,&quot;video_url&quot;:&quot;https://video.twimg.com/amplify_video/1868482396514922496/vid/avc1/1920x1080/5lASk4JvPtjLdqwh.mp4?tag=16&quot;}]"/>
    <s v="{&quot;data_posted&quot;:null,&quot;description&quot;:null,&quot;photos&quot;:null,&quot;post_id&quot;:null,&quot;profile_id&quot;:null,&quot;profile_name&quot;:null,&quot;url&quot;:null,&quot;videos&quot;:null}"/>
    <n v="27"/>
    <n v="5.5958549222797924E-3"/>
    <d v="2024-12-16T00:00:00"/>
    <n v="0.10101851851851852"/>
    <x v="2"/>
    <x v="2"/>
    <x v="1"/>
    <x v="1"/>
    <x v="1"/>
    <x v="0"/>
    <n v="276"/>
    <x v="0"/>
  </r>
  <r>
    <n v="1.8683203492400952E+18"/>
    <s v="CNN███sil███"/>
    <s v="CNN███asi███"/>
    <s v="Golpe da falsa garota de programa fez mais de 30 vítimas no RJ; entenda o caso"/>
    <s v="&quot;2024-12-15T15:40:57.000Z&quot;"/>
    <s v="null"/>
    <s v="https://x.com/CNNBrasil/status/1868320349240095231"/>
    <s v="null"/>
    <n v="32"/>
    <n v="8"/>
    <n v="55"/>
    <n v="17704"/>
    <s v="https://www.cnnbrasil.com.br/nacional/sudeste/rj/golpe-da-falsa-garota-de-programa-fez-mais-de-30-vitimas-no-rj-entenda-o-caso/?utm_source=social&amp;utm_medium=twitter&amp;utm_campaign=rio-de-janeiro"/>
    <s v="null"/>
    <n v="2819409"/>
    <s v="Pense bem, pense CNN._x000a_Acompanhe também pelo canal 577, app ou site. _x000a_⚽ @esportescnn_x000a_⚡️ @cnnpop_x000a_💰 @cnneconomia_x000a_💵 @nolucrocnn"/>
    <n v="286269"/>
    <s v="https://pbs.twimg.com/profile_images/1202609722257485824/NcFn6f7X_normal.jpg"/>
    <n v="4"/>
    <b v="0"/>
    <n v="2"/>
    <n v="2"/>
    <s v="{&quot;post_id&quot;:null,&quot;profile_id&quot;:null,&quot;profile_name&quot;:null}"/>
    <s v="[&quot;https://pbs.twimg.com/card_img/1868320350863278082/r-6Cj1ro?format=jpg&amp;name=orig&quot;]"/>
    <s v="null"/>
    <s v="{&quot;data_posted&quot;:null,&quot;description&quot;:null,&quot;photos&quot;:null,&quot;post_id&quot;:null,&quot;profile_id&quot;:null,&quot;profile_name&quot;:null,&quot;url&quot;:null,&quot;videos&quot;:null}"/>
    <n v="99"/>
    <n v="5.5919566199728876E-3"/>
    <d v="2024-12-15T00:00:00"/>
    <n v="0.6534375"/>
    <x v="0"/>
    <x v="13"/>
    <x v="0"/>
    <x v="1"/>
    <x v="0"/>
    <x v="0"/>
    <n v="78"/>
    <x v="0"/>
  </r>
  <r>
    <n v="1.8683228346755689E+18"/>
    <s v="nyp███"/>
    <s v="New███rk ███t"/>
    <s v="Candace Owens named ‘Antisemite of the Year’ by StopAntisemitism: ‘Poisonous hater’"/>
    <s v="&quot;2024-12-15T15:50:50.000Z&quot;"/>
    <s v="[&quot;https://pbs.twimg.com/media/Ge2dt4jXQAAxSmz.jpg&quot;]"/>
    <s v="https://x.com/nypost/status/1868322834675568863"/>
    <s v="null"/>
    <n v="2705"/>
    <n v="814"/>
    <n v="9651"/>
    <n v="2555996"/>
    <s v="https://trib.al/3nQQoOy"/>
    <s v="null"/>
    <n v="3313889"/>
    <s v="Breaking news &amp; features from The New York Post. Follow your favorite sections: @pagesix, @nypmetro, @nypostbiz, @nypostsports, @nypfashion, @nypostopinion"/>
    <n v="706459"/>
    <s v="https://pbs.twimg.com/profile_images/966372680306868224/60wfGe9e_normal.jpg"/>
    <n v="10308"/>
    <b v="0"/>
    <n v="602"/>
    <n v="466"/>
    <s v="{&quot;post_id&quot;:null,&quot;profile_id&quot;:null,&quot;profile_name&quot;:null}"/>
    <s v="null"/>
    <s v="null"/>
    <s v="{&quot;data_posted&quot;:null,&quot;description&quot;:null,&quot;photos&quot;:null,&quot;post_id&quot;:null,&quot;profile_id&quot;:null,&quot;profile_name&quot;:null,&quot;url&quot;:null,&quot;videos&quot;:null}"/>
    <n v="14238"/>
    <n v="5.5704312526310687E-3"/>
    <d v="2024-12-15T00:00:00"/>
    <n v="0.66030092592592593"/>
    <x v="0"/>
    <x v="13"/>
    <x v="0"/>
    <x v="0"/>
    <x v="0"/>
    <x v="0"/>
    <n v="83"/>
    <x v="0"/>
  </r>
  <r>
    <n v="1.8684048105437473E+18"/>
    <s v="nyp███"/>
    <s v="New███rk ███t"/>
    <s v="NY pol issues challenge to White House over ‘unsettling’ drone mystery: ‘Completely unacceptable"/>
    <s v="&quot;2024-12-15T21:16:34.000Z&quot;"/>
    <s v="[&quot;https://pbs.twimg.com/media/Ge3oRgAWUAAgnW2.jpg&quot;]"/>
    <s v="https://x.com/nypost/status/1868404810543747264"/>
    <s v="null"/>
    <n v="27"/>
    <n v="18"/>
    <n v="87"/>
    <n v="25268"/>
    <s v="https://trib.al/he4sTnA"/>
    <s v="null"/>
    <n v="3313886"/>
    <s v="Breaking news &amp; features from The New York Post. Follow your favorite sections: @pagesix, @nypmetro, @nypostbiz, @nypostsports, @nypfashion, @nypostopinion"/>
    <n v="706459"/>
    <s v="https://pbs.twimg.com/profile_images/966372680306868224/60wfGe9e_normal.jpg"/>
    <n v="10308"/>
    <b v="0"/>
    <n v="2"/>
    <n v="6"/>
    <s v="{&quot;post_id&quot;:null,&quot;profile_id&quot;:null,&quot;profile_name&quot;:null}"/>
    <s v="null"/>
    <s v="null"/>
    <s v="{&quot;data_posted&quot;:null,&quot;description&quot;:null,&quot;photos&quot;:null,&quot;post_id&quot;:null,&quot;profile_id&quot;:null,&quot;profile_name&quot;:null,&quot;url&quot;:null,&quot;videos&quot;:null}"/>
    <n v="140"/>
    <n v="5.5406047174291597E-3"/>
    <d v="2024-12-15T00:00:00"/>
    <n v="0.88650462962962961"/>
    <x v="0"/>
    <x v="10"/>
    <x v="0"/>
    <x v="0"/>
    <x v="0"/>
    <x v="0"/>
    <n v="96"/>
    <x v="0"/>
  </r>
  <r>
    <n v="1.868245869784642E+18"/>
    <s v="Ran███sFC███"/>
    <s v="Ran███s F███bal█████████"/>
    <s v="🎙️ Connor Barron sat down with @RangersTV ahead of today's Premier Sports Cup Final._x000a__x000a_📺 Full Interview:"/>
    <s v="&quot;2024-12-15T10:45:00.000Z&quot;"/>
    <s v="null"/>
    <s v="https://x.com/RangersFC/status/1868245869784641974"/>
    <s v="[{&quot;biography&quot;:null,&quot;followers&quot;:null,&quot;following&quot;:null,&quot;is_verified&quot;:null,&quot;profile_id&quot;:&quot;479505559&quot;,&quot;profile_name&quot;:&quot;RangersTV&quot;,&quot;url&quot;:&quot;https://x.com/RangersTV&quot;}]"/>
    <n v="11"/>
    <n v="12"/>
    <n v="220"/>
    <n v="44534"/>
    <s v="http://rng.rs/3Vz7BZ5"/>
    <s v="null"/>
    <n v="812163"/>
    <s v="The Home of #RangersFC 💙"/>
    <n v="110924"/>
    <s v="https://pbs.twimg.com/profile_images/1856633703734112256/PBlqGEwC_normal.jpg"/>
    <n v="322"/>
    <b v="0"/>
    <n v="0"/>
    <n v="3"/>
    <s v="{&quot;post_id&quot;:null,&quot;profile_id&quot;:null,&quot;profile_name&quot;:null}"/>
    <s v="null"/>
    <s v="[{&quot;duration&quot;:51734,&quot;video_url&quot;:&quot;https://video.twimg.com/amplify_video/1867627965636374528/vid/avc1/1280x720/3FIQ3m9YRpcGOTks.mp4?tag=14&quot;}]"/>
    <s v="{&quot;data_posted&quot;:null,&quot;description&quot;:null,&quot;photos&quot;:null,&quot;post_id&quot;:null,&quot;profile_id&quot;:null,&quot;profile_name&quot;:null,&quot;url&quot;:null,&quot;videos&quot;:null}"/>
    <n v="246"/>
    <n v="5.5238694031526474E-3"/>
    <d v="2024-12-15T00:00:00"/>
    <n v="0.44791666666666669"/>
    <x v="0"/>
    <x v="17"/>
    <x v="1"/>
    <x v="1"/>
    <x v="0"/>
    <x v="0"/>
    <n v="103"/>
    <x v="2"/>
  </r>
  <r>
    <n v="1.866996926811382E+18"/>
    <s v="Bro███ynN███"/>
    <s v="Bro███yn ███s"/>
    <s v="Only @mrvincecarter15 would be smiling mid-air while pulling off a ridiculous 360 layup._x000a__x000a_The legend himself takes us through some of his most unforgettable moments for our new series, Nets Rewind →"/>
    <s v="&quot;2024-12-12T00:02:09.000Z&quot;"/>
    <s v="null"/>
    <s v="https://x.com/BrooklynNets/status/1866996926811381950"/>
    <s v="[{&quot;biography&quot;:null,&quot;followers&quot;:null,&quot;following&quot;:null,&quot;is_verified&quot;:null,&quot;profile_id&quot;:&quot;162869667&quot;,&quot;profile_name&quot;:&quot;Vince Carter&quot;,&quot;url&quot;:&quot;https://x.com/mrvincecarter15&quot;}]"/>
    <n v="3"/>
    <n v="34"/>
    <n v="150"/>
    <n v="35683"/>
    <s v="https://youtu.be/umGlcJWK5PY"/>
    <s v="null"/>
    <n v="2035100"/>
    <s v="Tweets from #NetsWorld"/>
    <n v="106867"/>
    <s v="https://pbs.twimg.com/profile_images/1811024920870277122/1wQgAUZH_normal.jpg"/>
    <n v="411"/>
    <b v="0"/>
    <n v="1"/>
    <n v="8"/>
    <s v="{&quot;post_id&quot;:null,&quot;profile_id&quot;:null,&quot;profile_name&quot;:null}"/>
    <s v="null"/>
    <s v="[{&quot;duration&quot;:119744,&quot;video_url&quot;:&quot;https://video.twimg.com/amplify_video/1866995464215670784/vid/avc1/720x720/pOW5tvvJNScCj1J6.mp4?tag=14&quot;}]"/>
    <s v="{&quot;data_posted&quot;:null,&quot;description&quot;:null,&quot;photos&quot;:null,&quot;post_id&quot;:null,&quot;profile_id&quot;:null,&quot;profile_name&quot;:null,&quot;url&quot;:null,&quot;videos&quot;:null}"/>
    <n v="196"/>
    <n v="5.492811703051873E-3"/>
    <d v="2024-12-12T00:00:00"/>
    <n v="1.4930555555555556E-3"/>
    <x v="6"/>
    <x v="5"/>
    <x v="1"/>
    <x v="1"/>
    <x v="0"/>
    <x v="0"/>
    <n v="198"/>
    <x v="0"/>
  </r>
  <r>
    <n v="1.8682916953951194E+18"/>
    <s v="nyp███"/>
    <s v="New███rk ███t"/>
    <s v="Jerry Springer documentary exposes ‘jaw-dropping’ secrets behind TV show that ‘ruined’ American culture"/>
    <s v="&quot;2024-12-15T13:47:06.000Z&quot;"/>
    <s v="[&quot;https://pbs.twimg.com/media/Ge2BZHeWoAAdGVU.jpg&quot;]"/>
    <s v="https://x.com/nypost/status/1868291695395119339"/>
    <s v="null"/>
    <n v="38"/>
    <n v="26"/>
    <n v="106"/>
    <n v="33206"/>
    <s v="https://trib.al/5mJaNRw"/>
    <s v="null"/>
    <n v="3313889"/>
    <s v="Breaking news &amp; features from The New York Post. Follow your favorite sections: @pagesix, @nypmetro, @nypostbiz, @nypostsports, @nypfashion, @nypostopinion"/>
    <n v="706459"/>
    <s v="https://pbs.twimg.com/profile_images/966372680306868224/60wfGe9e_normal.jpg"/>
    <n v="10308"/>
    <b v="0"/>
    <n v="4"/>
    <n v="8"/>
    <s v="{&quot;post_id&quot;:null,&quot;profile_id&quot;:null,&quot;profile_name&quot;:null}"/>
    <s v="null"/>
    <s v="null"/>
    <s v="{&quot;data_posted&quot;:null,&quot;description&quot;:null,&quot;photos&quot;:null,&quot;post_id&quot;:null,&quot;profile_id&quot;:null,&quot;profile_name&quot;:null,&quot;url&quot;:null,&quot;videos&quot;:null}"/>
    <n v="182"/>
    <n v="5.4809371800277062E-3"/>
    <d v="2024-12-15T00:00:00"/>
    <n v="0.57437499999999997"/>
    <x v="0"/>
    <x v="14"/>
    <x v="0"/>
    <x v="0"/>
    <x v="0"/>
    <x v="0"/>
    <n v="103"/>
    <x v="0"/>
  </r>
  <r>
    <n v="1.8678734160591916E+18"/>
    <s v="kann"/>
    <s v="כאן"/>
    <s v="בפודקאסט &quot;תחושת בטן&quot; של מתן חכימי הועלתה אפשרות שניקוטין לא כזה ממכר בהשוואה לחומרים אחרים. אז הנה עובדה שאינה תחושת בטן - זה פייק_x000a__x000a_מהצד השני @guyzo"/>
    <s v="&quot;2024-12-14T10:05:00.000Z&quot;"/>
    <s v="null"/>
    <s v="https://x.com/kann/status/1867873416059191510"/>
    <s v="[{&quot;biography&quot;:null,&quot;followers&quot;:null,&quot;following&quot;:null,&quot;is_verified&quot;:null,&quot;profile_id&quot;:&quot;6899022&quot;,&quot;profile_name&quot;:&quot;Guy Zohar&quot;,&quot;url&quot;:&quot;https://x.com/guyzo&quot;}]"/>
    <n v="7"/>
    <n v="6"/>
    <n v="115"/>
    <n v="25767"/>
    <s v=""/>
    <s v="null"/>
    <n v="182895"/>
    <s v="אנחנו כאן ❤️"/>
    <n v="30781"/>
    <s v="https://pbs.twimg.com/profile_images/1843516623740633088/WbeaAr02_normal.jpg"/>
    <n v="559"/>
    <b v="0"/>
    <n v="3"/>
    <n v="10"/>
    <s v="{&quot;post_id&quot;:null,&quot;profile_id&quot;:null,&quot;profile_name&quot;:null}"/>
    <s v="null"/>
    <s v="[{&quot;duration&quot;:164200,&quot;video_url&quot;:&quot;https://video.twimg.com/amplify_video/1867216930941140992/vid/avc1/1280x720/DhjG2d_DHjizju8A.mp4?tag=14&quot;}]"/>
    <s v="{&quot;data_posted&quot;:null,&quot;description&quot;:null,&quot;photos&quot;:null,&quot;post_id&quot;:null,&quot;profile_id&quot;:null,&quot;profile_name&quot;:null,&quot;url&quot;:null,&quot;videos&quot;:null}"/>
    <n v="141"/>
    <n v="5.4721154965653744E-3"/>
    <d v="2024-12-14T00:00:00"/>
    <n v="0.4201388888888889"/>
    <x v="5"/>
    <x v="17"/>
    <x v="1"/>
    <x v="1"/>
    <x v="0"/>
    <x v="0"/>
    <n v="148"/>
    <x v="2"/>
  </r>
  <r>
    <n v="1.8683934194224543E+18"/>
    <s v="ESP███asi███"/>
    <s v="ESP███ras███"/>
    <s v="'Não vejo mais aquela escrotidão de corrupção'_x000a__x000a_Romário aprova ideia de Ronaldo ser presidente da CBF, mas defende Ednaldo_x000a__x000a_👉"/>
    <s v="&quot;2024-12-15T20:31:18.000Z&quot;"/>
    <s v="null"/>
    <s v="https://x.com/ESPNBrasil/status/1868393419422454203"/>
    <s v="null"/>
    <n v="4"/>
    <n v="2"/>
    <n v="42"/>
    <n v="9174"/>
    <s v="https://bit.ly/3VFex78"/>
    <s v="[&quot;FutebolNaESPN&quot;]"/>
    <n v="3768943"/>
    <s v="ESPN: o melhor do esporte você assiste aqui!"/>
    <n v="897934"/>
    <s v="https://pbs.twimg.com/profile_images/1224436194152345608/dCEm_D7K_normal.jpg"/>
    <n v="28"/>
    <b v="0"/>
    <n v="1"/>
    <n v="1"/>
    <s v="{&quot;post_id&quot;:null,&quot;profile_id&quot;:null,&quot;profile_name&quot;:null}"/>
    <s v="[&quot;https://pbs.twimg.com/card_img/1868393275142340609/h1Gu7T2V?format=jpg&amp;name=orig&quot;]"/>
    <s v="null"/>
    <s v="{&quot;data_posted&quot;:null,&quot;description&quot;:null,&quot;photos&quot;:null,&quot;post_id&quot;:null,&quot;profile_id&quot;:null,&quot;profile_name&quot;:null,&quot;url&quot;:null,&quot;videos&quot;:null}"/>
    <n v="50"/>
    <n v="5.4501853063004145E-3"/>
    <d v="2024-12-15T00:00:00"/>
    <n v="0.85506944444444444"/>
    <x v="0"/>
    <x v="3"/>
    <x v="0"/>
    <x v="1"/>
    <x v="1"/>
    <x v="0"/>
    <n v="125"/>
    <x v="0"/>
  </r>
  <r>
    <n v="1.861417375922561E+18"/>
    <s v="xu9███583███"/>
    <s v="雪柔"/>
    <s v="众多的知名国际媒体见证并记录了 #六四 大屠杀，BBC 就是其中一家，它拍下了6月3日深夜到6月4日上午天安门广场及附近最惨烈的一幕。_x000a_ 枪声，尖叫声，呼救声，哀号声不绝于耳。 场面血腥，慎入。"/>
    <s v="&quot;2024-11-26T14:31:00.000Z&quot;"/>
    <s v="null"/>
    <s v="https://x.com/xu96175836/status/1861417375922561069"/>
    <s v="null"/>
    <n v="163"/>
    <n v="740"/>
    <n v="4085"/>
    <n v="1190863"/>
    <s v=""/>
    <s v="[&quot;六四&quot;]"/>
    <n v="76661"/>
    <s v="一个人的各种品性之中，德行是第一位的。_x000a_优良的品性是真正的财富，而衬显这品性的是良好的教养。"/>
    <n v="7251"/>
    <s v="https://pbs.twimg.com/profile_images/1690669189856444417/1SYUbSmR_normal.jpg"/>
    <n v="1497"/>
    <b v="0"/>
    <n v="18"/>
    <n v="1457"/>
    <s v="{&quot;post_id&quot;:null,&quot;profile_id&quot;:null,&quot;profile_name&quot;:null}"/>
    <s v="null"/>
    <s v="[{&quot;duration&quot;:138855,&quot;video_url&quot;:&quot;https://video.twimg.com/ext_tw_video/1859862014480519168/pu/vid/avc1/1102x720/5Cf8q876VIlwq8Lj.mp4?tag=12&quot;}]"/>
    <s v="{&quot;data_posted&quot;:null,&quot;description&quot;:null,&quot;photos&quot;:null,&quot;post_id&quot;:null,&quot;profile_id&quot;:null,&quot;profile_name&quot;:null,&quot;url&quot;:null,&quot;videos&quot;:null}"/>
    <n v="6463"/>
    <n v="5.4271566082748392E-3"/>
    <d v="2024-11-26T00:00:00"/>
    <n v="0.60486111111111107"/>
    <x v="3"/>
    <x v="1"/>
    <x v="1"/>
    <x v="1"/>
    <x v="1"/>
    <x v="0"/>
    <n v="97"/>
    <x v="3"/>
  </r>
  <r>
    <n v="1.7406919784704822E+18"/>
    <s v="Nms███eBo███"/>
    <s v="兔友迷███Bot███"/>
    <s v="#兔友迷惑行为"/>
    <s v="&quot;2023-12-29T11:11:22.000Z&quot;"/>
    <s v="[&quot;https://pbs.twimg.com/media/GCguITBagAAi7Nl.jpg&quot;]"/>
    <s v="https://x.com/NmsleseBot/status/1740691978470482141"/>
    <s v="null"/>
    <n v="137"/>
    <n v="77"/>
    <n v="1645"/>
    <n v="355493"/>
    <s v=""/>
    <s v="[&quot;兔友迷惑行为&quot;]"/>
    <n v="151269"/>
    <s v="💙"/>
    <n v="3349"/>
    <s v="https://pbs.twimg.com/profile_images/1807444023583588352/OVE2HnVV_normal.jpg"/>
    <n v="187"/>
    <b v="0"/>
    <n v="14"/>
    <n v="47"/>
    <s v="{&quot;post_id&quot;:null,&quot;profile_id&quot;:null,&quot;profile_name&quot;:null}"/>
    <s v="null"/>
    <s v="null"/>
    <s v="{&quot;data_posted&quot;:null,&quot;description&quot;:null,&quot;photos&quot;:null,&quot;post_id&quot;:null,&quot;profile_id&quot;:null,&quot;profile_name&quot;:null,&quot;url&quot;:null,&quot;videos&quot;:null}"/>
    <n v="1920"/>
    <n v="5.4009502296810345E-3"/>
    <d v="2023-12-29T00:00:00"/>
    <n v="0.46622685185185186"/>
    <x v="1"/>
    <x v="16"/>
    <x v="0"/>
    <x v="0"/>
    <x v="1"/>
    <x v="0"/>
    <n v="7"/>
    <x v="2"/>
  </r>
  <r>
    <n v="1.8683572379843466E+18"/>
    <s v="CNN███sil███"/>
    <s v="CNN███asi███"/>
    <s v="Redação Fuvest 2025: tema é &quot;as relações sociais por meio da solidariedade&quot;"/>
    <s v="&quot;2024-12-15T18:07:32.000Z&quot;"/>
    <s v="null"/>
    <s v="https://x.com/CNNBrasil/status/1868357237984346622"/>
    <s v="null"/>
    <n v="1"/>
    <n v="2"/>
    <n v="42"/>
    <n v="12068"/>
    <s v="https://www.cnnbrasil.com.br/educacao/redacao-fuvest-2025-tema-e-as-relacoes-sociais-por-meio-da-solidariedade/?utm_source=social&amp;utm_medium=twitter&amp;utm_campaign=educacao"/>
    <s v="null"/>
    <n v="2819406"/>
    <s v="Pense bem, pense CNN._x000a_Acompanhe também pelo canal 577, app ou site. _x000a_⚽ @esportescnn_x000a_⚡️ @cnnpop_x000a_💰 @cnneconomia_x000a_💵 @nolucrocnn"/>
    <n v="286269"/>
    <s v="https://pbs.twimg.com/profile_images/1202609722257485824/NcFn6f7X_normal.jpg"/>
    <n v="4"/>
    <b v="0"/>
    <n v="18"/>
    <n v="2"/>
    <s v="{&quot;post_id&quot;:null,&quot;profile_id&quot;:null,&quot;profile_name&quot;:null}"/>
    <s v="[&quot;https://pbs.twimg.com/card_img/1866491015579742208/0YiPF-9D?format=jpg&amp;name=orig&quot;]"/>
    <s v="null"/>
    <s v="{&quot;data_posted&quot;:null,&quot;description&quot;:null,&quot;photos&quot;:null,&quot;post_id&quot;:null,&quot;profile_id&quot;:null,&quot;profile_name&quot;:null,&quot;url&quot;:null,&quot;videos&quot;:null}"/>
    <n v="65"/>
    <n v="5.3861451773284724E-3"/>
    <d v="2024-12-15T00:00:00"/>
    <n v="0.75523148148148145"/>
    <x v="0"/>
    <x v="8"/>
    <x v="0"/>
    <x v="1"/>
    <x v="0"/>
    <x v="0"/>
    <n v="75"/>
    <x v="0"/>
  </r>
  <r>
    <n v="1.8683479540602063E+18"/>
    <s v="Ran███sFC███"/>
    <s v="Ran███s F███bal█████████"/>
    <s v="FULL-TIME: Rangers 3-3 Celtic | #PremierSportsCup_x000a__x000a_We go to Extra-Time at Hampden."/>
    <s v="&quot;2024-12-15T17:30:39.000Z&quot;"/>
    <s v="[&quot;https://pbs.twimg.com/media/Ge2y5kCWoAAImnx.jpg&quot;]"/>
    <s v="https://x.com/RangersFC/status/1868347954060206304"/>
    <s v="null"/>
    <n v="77"/>
    <n v="73"/>
    <n v="962"/>
    <n v="211887"/>
    <s v=""/>
    <s v="[&quot;PremierSportsCup&quot;]"/>
    <n v="812163"/>
    <s v="The Home of #RangersFC 💙"/>
    <n v="110924"/>
    <s v="https://pbs.twimg.com/profile_images/1856633703734112256/PBlqGEwC_normal.jpg"/>
    <n v="322"/>
    <b v="0"/>
    <n v="23"/>
    <n v="6"/>
    <s v="{&quot;post_id&quot;:null,&quot;profile_id&quot;:null,&quot;profile_name&quot;:null}"/>
    <s v="null"/>
    <s v="null"/>
    <s v="{&quot;data_posted&quot;:null,&quot;description&quot;:null,&quot;photos&quot;:null,&quot;post_id&quot;:null,&quot;profile_id&quot;:null,&quot;profile_name&quot;:null,&quot;url&quot;:null,&quot;videos&quot;:null}"/>
    <n v="1141"/>
    <n v="5.384945749385286E-3"/>
    <d v="2024-12-15T00:00:00"/>
    <n v="0.72961805555555559"/>
    <x v="0"/>
    <x v="12"/>
    <x v="0"/>
    <x v="0"/>
    <x v="1"/>
    <x v="0"/>
    <n v="82"/>
    <x v="2"/>
  </r>
  <r>
    <n v="1.868401245876085E+18"/>
    <s v="Glo███ews███"/>
    <s v="Glo███ews███"/>
    <s v="O #EspecialDeDomingo está no ar._x000a__x000a_➡ Assista à #GloboNews:"/>
    <s v="&quot;2024-12-15T21:02:24.000Z&quot;"/>
    <s v="null"/>
    <s v="https://x.com/GloboNews/status/1868401245876085034"/>
    <s v="null"/>
    <n v="8"/>
    <n v="2"/>
    <n v="32"/>
    <n v="8239"/>
    <s v="http://glo.bo/39WjXAu"/>
    <s v="[&quot;EspecialDeDomingo&quot;,&quot;GloboNews&quot;]"/>
    <n v="5771760"/>
    <s v="Nunca desliga"/>
    <n v="222223"/>
    <s v="https://pbs.twimg.com/profile_images/1559102712435933185/mYnEVnNs_normal.jpg"/>
    <n v="122"/>
    <b v="0"/>
    <n v="1"/>
    <n v="1"/>
    <s v="{&quot;post_id&quot;:null,&quot;profile_id&quot;:null,&quot;profile_name&quot;:null}"/>
    <s v="null"/>
    <s v="[{&quot;duration&quot;:70467,&quot;video_url&quot;:&quot;https://video.twimg.com/amplify_video/1868401155937574912/vid/avc1/1920x1080/_ijsMhcQlUdXoCVs.mp4?tag=16&quot;}]"/>
    <s v="{&quot;data_posted&quot;:null,&quot;description&quot;:null,&quot;photos&quot;:null,&quot;post_id&quot;:null,&quot;profile_id&quot;:null,&quot;profile_name&quot;:null,&quot;url&quot;:null,&quot;videos&quot;:null}"/>
    <n v="44"/>
    <n v="5.3404539385847796E-3"/>
    <d v="2024-12-15T00:00:00"/>
    <n v="0.87666666666666671"/>
    <x v="0"/>
    <x v="10"/>
    <x v="1"/>
    <x v="1"/>
    <x v="1"/>
    <x v="0"/>
    <n v="57"/>
    <x v="0"/>
  </r>
  <r>
    <n v="1.8683123183727124E+18"/>
    <s v="nyp███"/>
    <s v="New███rk ███t"/>
    <s v="Family living on sailboat plan to spend minimalist Christmas at sea with fresh fish, seashell gifts"/>
    <s v="&quot;2024-12-15T15:09:02.000Z&quot;"/>
    <s v="[&quot;https://pbs.twimg.com/media/Ge2UJuwX0AAz1cR.jpg&quot;]"/>
    <s v="https://x.com/nypost/status/1868312318372712553"/>
    <s v="null"/>
    <n v="49"/>
    <n v="11"/>
    <n v="112"/>
    <n v="33900"/>
    <s v="https://trib.al/l0G3z0t"/>
    <s v="null"/>
    <n v="3313889"/>
    <s v="Breaking news &amp; features from The New York Post. Follow your favorite sections: @pagesix, @nypmetro, @nypostbiz, @nypostsports, @nypfashion, @nypostopinion"/>
    <n v="706459"/>
    <s v="https://pbs.twimg.com/profile_images/966372680306868224/60wfGe9e_normal.jpg"/>
    <n v="10308"/>
    <b v="0"/>
    <n v="5"/>
    <n v="3"/>
    <s v="{&quot;post_id&quot;:null,&quot;profile_id&quot;:null,&quot;profile_name&quot;:null}"/>
    <s v="null"/>
    <s v="null"/>
    <s v="{&quot;data_posted&quot;:null,&quot;description&quot;:null,&quot;photos&quot;:null,&quot;post_id&quot;:null,&quot;profile_id&quot;:null,&quot;profile_name&quot;:null,&quot;url&quot;:null,&quot;videos&quot;:null}"/>
    <n v="180"/>
    <n v="5.3097345132743362E-3"/>
    <d v="2024-12-15T00:00:00"/>
    <n v="0.63127314814814817"/>
    <x v="0"/>
    <x v="13"/>
    <x v="0"/>
    <x v="0"/>
    <x v="0"/>
    <x v="0"/>
    <n v="99"/>
    <x v="0"/>
  </r>
  <r>
    <n v="1.8681676344133391E+18"/>
    <s v="ufc"/>
    <s v="UFC"/>
    <s v="This co-main has been ACTION PACKED since the start 👊_x000a__x000a_[ Tune in NOW on @ESPNPlus &amp;amp; ESPN2 ]"/>
    <s v="&quot;2024-12-15T05:34:07.000Z&quot;"/>
    <s v="null"/>
    <s v="https://x.com/ufc/status/1868167634413339114"/>
    <s v="[{&quot;biography&quot;:null,&quot;followers&quot;:null,&quot;following&quot;:null,&quot;is_verified&quot;:null,&quot;profile_id&quot;:&quot;1044284694387412992&quot;,&quot;profile_name&quot;:&quot;ESPN+&quot;,&quot;url&quot;:&quot;https://x.com/ESPNPlus&quot;}]"/>
    <n v="58"/>
    <n v="54"/>
    <n v="1012"/>
    <n v="218038"/>
    <s v=""/>
    <s v="null"/>
    <n v="12876593"/>
    <s v="#UFCTampa | Covington vs Buckley | December 14 | 10pmET | LIVE on @ESPNPlus"/>
    <n v="141401"/>
    <s v="https://pbs.twimg.com/profile_images/1835773190385328128/4fVrF1UI_normal.jpg"/>
    <n v="717"/>
    <b v="0"/>
    <n v="4"/>
    <n v="29"/>
    <s v="{&quot;post_id&quot;:null,&quot;profile_id&quot;:null,&quot;profile_name&quot;:null}"/>
    <s v="null"/>
    <s v="[{&quot;duration&quot;:20034,&quot;video_url&quot;:&quot;https://video.twimg.com/amplify_video/1868167345450909696/vid/avc1/720x720/w9-8Tx6GgpmvTywF.mp4?tag=14&quot;}]"/>
    <s v="{&quot;data_posted&quot;:null,&quot;description&quot;:null,&quot;photos&quot;:null,&quot;post_id&quot;:null,&quot;profile_id&quot;:null,&quot;profile_name&quot;:null,&quot;url&quot;:null,&quot;videos&quot;:null}"/>
    <n v="1157"/>
    <n v="5.3064144782102203E-3"/>
    <d v="2024-12-15T00:00:00"/>
    <n v="0.23202546296296298"/>
    <x v="0"/>
    <x v="22"/>
    <x v="1"/>
    <x v="1"/>
    <x v="0"/>
    <x v="0"/>
    <n v="95"/>
    <x v="1"/>
  </r>
  <r>
    <n v="1.8683392594022241E+18"/>
    <s v="nyp███"/>
    <s v="New███rk ███t"/>
    <s v="Sydney Sweeney calls out body shamers by exposing cruel comments, posting workout montage"/>
    <s v="&quot;2024-12-15T16:56:06.000Z&quot;"/>
    <s v="[&quot;https://pbs.twimg.com/media/Ge2sp8cWEAAuFUy.jpg&quot;]"/>
    <s v="https://x.com/nypost/status/1868339259402224029"/>
    <s v="null"/>
    <n v="48"/>
    <n v="8"/>
    <n v="129"/>
    <n v="37326"/>
    <s v="https://trib.al/fLk9hrZ"/>
    <s v="null"/>
    <n v="3313888"/>
    <s v="Breaking news &amp; features from The New York Post. Follow your favorite sections: @pagesix, @nypmetro, @nypostbiz, @nypostsports, @nypfashion, @nypostopinion"/>
    <n v="706459"/>
    <s v="https://pbs.twimg.com/profile_images/966372680306868224/60wfGe9e_normal.jpg"/>
    <n v="10308"/>
    <b v="0"/>
    <n v="3"/>
    <n v="10"/>
    <s v="{&quot;post_id&quot;:null,&quot;profile_id&quot;:null,&quot;profile_name&quot;:null}"/>
    <s v="null"/>
    <s v="null"/>
    <s v="{&quot;data_posted&quot;:null,&quot;description&quot;:null,&quot;photos&quot;:null,&quot;post_id&quot;:null,&quot;profile_id&quot;:null,&quot;profile_name&quot;:null,&quot;url&quot;:null,&quot;videos&quot;:null}"/>
    <n v="198"/>
    <n v="5.30461340620479E-3"/>
    <d v="2024-12-15T00:00:00"/>
    <n v="0.70562499999999995"/>
    <x v="0"/>
    <x v="15"/>
    <x v="0"/>
    <x v="0"/>
    <x v="0"/>
    <x v="0"/>
    <n v="89"/>
    <x v="0"/>
  </r>
  <r>
    <n v="1.8682950783994312E+18"/>
    <s v="Bar███ysW███"/>
    <s v="Bar███ys ███en'█████████eag███"/>
    <s v="KO: Two games get underway across the country. _x000a__x000a_Both games are LIVE on YouTube:"/>
    <s v="&quot;2024-12-15T14:00:32.000Z&quot;"/>
    <s v="[&quot;https://pbs.twimg.com/media/Ge2DecgXsAANlYQ.jpg&quot;]"/>
    <s v="https://x.com/BarclaysWSL/status/1868295078399431121"/>
    <s v="null"/>
    <n v="3"/>
    <n v="5"/>
    <n v="87"/>
    <n v="18192"/>
    <s v="https://www.youtube.com/@BarclaysWSL"/>
    <s v="[&quot;BarclaysWSL&quot;]"/>
    <n v="337839"/>
    <s v="The home of top-flight women's football in England! 🤩_x000a__x000a_Subscribe to our brand-new BWSL YouTube Channel! 📺 #BarclaysWSL"/>
    <n v="57638"/>
    <s v="https://pbs.twimg.com/profile_images/1605171595160555521/NKG9mgxv_normal.jpg"/>
    <n v="587"/>
    <b v="0"/>
    <n v="0"/>
    <n v="1"/>
    <s v="{&quot;post_id&quot;:null,&quot;profile_id&quot;:null,&quot;profile_name&quot;:null}"/>
    <s v="null"/>
    <s v="null"/>
    <s v="{&quot;data_posted&quot;:null,&quot;description&quot;:null,&quot;photos&quot;:null,&quot;post_id&quot;:null,&quot;profile_id&quot;:null,&quot;profile_name&quot;:null,&quot;url&quot;:null,&quot;videos&quot;:null}"/>
    <n v="96"/>
    <n v="5.2770448548812663E-3"/>
    <d v="2024-12-15T00:00:00"/>
    <n v="0.58370370370370372"/>
    <x v="0"/>
    <x v="1"/>
    <x v="0"/>
    <x v="0"/>
    <x v="1"/>
    <x v="0"/>
    <n v="80"/>
    <x v="2"/>
  </r>
  <r>
    <n v="1.8683202881754404E+18"/>
    <s v="Ast███art███1"/>
    <s v="Ast███Mar███ Ar█████████eam███"/>
    <s v="In a first-of-its-kind event for an #F1 team, Aston Martin Aramco welcomed singer-songwriter @AndrewCushin to the AMRTC to perform a special set for team members to mark the official launch of our new 'The Soundcheck' initiative._x000a__x000a_Click below to find out more."/>
    <s v="&quot;2024-12-15T15:40:43.000Z&quot;"/>
    <s v="null"/>
    <s v="https://x.com/AstonMartinF1/status/1868320288175440281"/>
    <s v="[{&quot;biography&quot;:null,&quot;followers&quot;:null,&quot;following&quot;:null,&quot;is_verified&quot;:null,&quot;profile_id&quot;:&quot;1178325651096506369&quot;,&quot;profile_name&quot;:&quot;Andrew Cushin&quot;,&quot;url&quot;:&quot;https://x.com/AndrewCushin&quot;}]"/>
    <n v="7"/>
    <n v="10"/>
    <n v="149"/>
    <n v="31995"/>
    <s v="https://www.astonmartinf1.com/en-GB/news/feature/launching-the-soundcheck-at-amr-technology-campus-with-andrew-cushin"/>
    <s v="[&quot;F1&quot;]"/>
    <n v="2354194"/>
    <s v="Updates from the Aston Martin Aramco Formula One® Team."/>
    <n v="72197"/>
    <s v="https://pbs.twimg.com/profile_images/1572246279064887308/vgRs_Gnn_normal.jpg"/>
    <n v="789"/>
    <b v="0"/>
    <n v="0"/>
    <n v="2"/>
    <s v="{&quot;post_id&quot;:null,&quot;profile_id&quot;:null,&quot;profile_name&quot;:null}"/>
    <s v="null"/>
    <s v="null"/>
    <s v="{&quot;data_posted&quot;:null,&quot;description&quot;:null,&quot;photos&quot;:null,&quot;post_id&quot;:null,&quot;profile_id&quot;:null,&quot;profile_name&quot;:null,&quot;url&quot;:null,&quot;videos&quot;:null}"/>
    <n v="168"/>
    <n v="5.2508204406938588E-3"/>
    <d v="2024-12-15T00:00:00"/>
    <n v="0.65327546296296302"/>
    <x v="0"/>
    <x v="13"/>
    <x v="0"/>
    <x v="1"/>
    <x v="1"/>
    <x v="0"/>
    <n v="260"/>
    <x v="0"/>
  </r>
  <r>
    <n v="1.8683288281473027E+18"/>
    <s v="spfl"/>
    <s v="SPFL"/>
    <s v="41' | 0⃣-1⃣ #CELRAN_x000a__x000a_GOAL RANGERS! Nedim Bajrami has the holders in front!_x000a__x000a_🏆 #PremierSportsCup"/>
    <s v="&quot;2024-12-15T16:14:39.000Z&quot;"/>
    <s v="null"/>
    <s v="https://x.com/spfl/status/1868328828147302665"/>
    <s v="null"/>
    <n v="2"/>
    <n v="1"/>
    <n v="57"/>
    <n v="11880"/>
    <s v=""/>
    <s v="[&quot;CELRAN&quot;,&quot;PremierSportsCup&quot;]"/>
    <n v="294711"/>
    <s v="Official Twitter/X account for the Scottish Professional Football League, sponsored by @WilliamHill."/>
    <n v="66342"/>
    <s v="https://pbs.twimg.com/profile_images/1798999022348496896/ZZU_hFqY_normal.jpg"/>
    <n v="1449"/>
    <b v="0"/>
    <n v="1"/>
    <n v="1"/>
    <s v="{&quot;post_id&quot;:null,&quot;profile_id&quot;:null,&quot;profile_name&quot;:null}"/>
    <s v="null"/>
    <s v="[{&quot;duration&quot;:10000,&quot;video_url&quot;:&quot;https://video.twimg.com/amplify_video/1868294310975692800/vid/avc1/1080x1080/etFFbWAprfE809AT.mp4?tag=16&quot;}]"/>
    <s v="{&quot;data_posted&quot;:null,&quot;description&quot;:null,&quot;photos&quot;:null,&quot;post_id&quot;:null,&quot;profile_id&quot;:null,&quot;profile_name&quot;:null,&quot;url&quot;:null,&quot;videos&quot;:null}"/>
    <n v="62"/>
    <n v="5.2188552188552192E-3"/>
    <d v="2024-12-15T00:00:00"/>
    <n v="0.67684027777777778"/>
    <x v="0"/>
    <x v="15"/>
    <x v="1"/>
    <x v="1"/>
    <x v="1"/>
    <x v="0"/>
    <n v="95"/>
    <x v="2"/>
  </r>
  <r>
    <n v="1.8681461672314719E+18"/>
    <s v="ufc"/>
    <s v="UFC"/>
    <s v="They're making every minute count! 😲_x000a__x000a_Tune in to @ESPNPlus &amp;amp; ESPN2 NOW to watch #UFCTampa!"/>
    <s v="&quot;2024-12-15T04:08:49.000Z&quot;"/>
    <s v="null"/>
    <s v="https://x.com/ufc/status/1868146167231471811"/>
    <s v="[{&quot;biography&quot;:null,&quot;followers&quot;:null,&quot;following&quot;:null,&quot;is_verified&quot;:null,&quot;profile_id&quot;:&quot;1044284694387412992&quot;,&quot;profile_name&quot;:&quot;ESPN+&quot;,&quot;url&quot;:&quot;https://x.com/ESPNPlus&quot;}]"/>
    <n v="63"/>
    <n v="37"/>
    <n v="475"/>
    <n v="112514"/>
    <s v=""/>
    <s v="[&quot;UFCTampa&quot;]"/>
    <n v="12876593"/>
    <s v="#UFCTampa | Covington vs Buckley | December 14 | 10pmET | LIVE on @ESPNPlus"/>
    <n v="141401"/>
    <s v="https://pbs.twimg.com/profile_images/1835773190385328128/4fVrF1UI_normal.jpg"/>
    <n v="717"/>
    <b v="0"/>
    <n v="3"/>
    <n v="8"/>
    <s v="{&quot;post_id&quot;:null,&quot;profile_id&quot;:null,&quot;profile_name&quot;:null}"/>
    <s v="null"/>
    <s v="[{&quot;duration&quot;:32766,&quot;video_url&quot;:&quot;https://video.twimg.com/amplify_video/1868145907687976960/vid/avc1/720x720/Az1dajtE5LaqcpLF.mp4?tag=14&quot;}]"/>
    <s v="{&quot;data_posted&quot;:null,&quot;description&quot;:null,&quot;photos&quot;:null,&quot;post_id&quot;:null,&quot;profile_id&quot;:null,&quot;profile_name&quot;:null,&quot;url&quot;:null,&quot;videos&quot;:null}"/>
    <n v="586"/>
    <n v="5.2082407522619405E-3"/>
    <d v="2024-12-15T00:00:00"/>
    <n v="0.17278935185185185"/>
    <x v="0"/>
    <x v="9"/>
    <x v="1"/>
    <x v="1"/>
    <x v="1"/>
    <x v="0"/>
    <n v="94"/>
    <x v="1"/>
  </r>
  <r>
    <n v="1.8681018162250061E+18"/>
    <s v="Dim███r"/>
    <s v="DIM███R"/>
    <s v="¡Gol de @ClubLlanerosFC! 💥 Omar Duarte abre el marcador para el 'Equipo de la Media Colombia' 🐴_x000a__x000a_LLA 1 (1) - 0 (1) UNI 🏆_x000a__x000a_#LaPasiónDeMillones"/>
    <s v="&quot;2024-12-15T01:12:35.000Z&quot;"/>
    <s v="[&quot;https://pbs.twimg.com/media/GezUsCYWMAAXh5B.jpg&quot;]"/>
    <s v="https://x.com/Dimayor/status/1868101816225005968"/>
    <s v="[{&quot;biography&quot;:null,&quot;followers&quot;:null,&quot;following&quot;:null,&quot;is_verified&quot;:null,&quot;profile_id&quot;:&quot;724675838&quot;,&quot;profile_name&quot;:&quot;𝗟𝗹𝗮𝗻𝗲𝗿𝗼𝘀 𝗙𝘂́𝘁𝗯𝗼𝗹 𝗖𝗹𝘂𝗯 🐴&quot;,&quot;url&quot;:&quot;https://x.com/ClubLlanerosFC&quot;}]"/>
    <n v="12"/>
    <n v="3"/>
    <n v="46"/>
    <n v="12100"/>
    <s v=""/>
    <s v="[&quot;LaPasiónDeMillones&quot;]"/>
    <n v="1511302"/>
    <s v="Cuenta oficial de la División Mayor del Fútbol Colombiano - 𝐃𝐈𝐌𝐀𝐘𝐎𝐑 || LigaBetPlay🏆LigaFemeninaBetPlay🏆 TorneoBetPlay🏆 CopaBetPlay🏆 || 𝟐𝟎𝟐𝟒 ||"/>
    <n v="56647"/>
    <s v="https://pbs.twimg.com/profile_images/1741738883782500353/WefLAabU_normal.jpg"/>
    <n v="80"/>
    <b v="0"/>
    <n v="2"/>
    <n v="0"/>
    <s v="{&quot;post_id&quot;:null,&quot;profile_id&quot;:null,&quot;profile_name&quot;:null}"/>
    <s v="null"/>
    <s v="null"/>
    <s v="{&quot;data_posted&quot;:null,&quot;description&quot;:null,&quot;photos&quot;:null,&quot;post_id&quot;:null,&quot;profile_id&quot;:null,&quot;profile_name&quot;:null,&quot;url&quot;:null,&quot;videos&quot;:null}"/>
    <n v="63"/>
    <n v="5.2066115702479338E-3"/>
    <d v="2024-12-15T00:00:00"/>
    <n v="5.0405092592592592E-2"/>
    <x v="0"/>
    <x v="19"/>
    <x v="0"/>
    <x v="0"/>
    <x v="1"/>
    <x v="0"/>
    <n v="141"/>
    <x v="0"/>
  </r>
  <r>
    <n v="1.8683481079327462E+18"/>
    <s v="Cel███FC"/>
    <s v="Cel███ Fo███all██████"/>
    <s v="FT: Celtic 3-3 Rangers._x000a__x000a_We're headed to extra-time._x000a__x000a_#CELRAN | #PremierSportsCup | #CelticFC🍀"/>
    <s v="&quot;2024-12-15T17:31:15.000Z&quot;"/>
    <s v="null"/>
    <s v="https://x.com/CelticFC/status/1868348107932746207"/>
    <s v="null"/>
    <n v="105"/>
    <n v="36"/>
    <n v="244"/>
    <n v="79221"/>
    <s v="https://www.celticfc.com/match"/>
    <s v="[&quot;CELRAN&quot;,&quot;PremierSportsCup&quot;,&quot;CelticFC&quot;]"/>
    <n v="984257"/>
    <s v="Glasgow Celtic - 2023/24 Double Winners! 🍀🏆 🟢 @CelticFCWomen ⚪ @CelticFCB 🎌 @CelticFCJPN 📽 @CelticTV 🛒 @CelticFCShop 🎟 @CelticFCTickets"/>
    <n v="136135"/>
    <s v="https://pbs.twimg.com/profile_images/1808866900228665344/xZAZuYBY_normal.jpg"/>
    <n v="438"/>
    <b v="0"/>
    <n v="25"/>
    <n v="2"/>
    <s v="{&quot;post_id&quot;:null,&quot;profile_id&quot;:null,&quot;profile_name&quot;:null}"/>
    <s v="null"/>
    <s v="null"/>
    <s v="{&quot;data_posted&quot;:null,&quot;description&quot;:null,&quot;photos&quot;:null,&quot;post_id&quot;:null,&quot;profile_id&quot;:null,&quot;profile_name&quot;:null,&quot;url&quot;:null,&quot;videos&quot;:null}"/>
    <n v="412"/>
    <n v="5.200641244114566E-3"/>
    <d v="2024-12-15T00:00:00"/>
    <n v="0.73003472222222221"/>
    <x v="0"/>
    <x v="12"/>
    <x v="0"/>
    <x v="1"/>
    <x v="1"/>
    <x v="0"/>
    <n v="94"/>
    <x v="2"/>
  </r>
  <r>
    <n v="1.8683529576636339E+18"/>
    <s v="Ran███sFC███"/>
    <s v="Ran███s F███bal█████████"/>
    <s v="ET | HALF-TIME: Rangers 3-3 Celtic | #PremierSportsCup  _x000a__x000a_All level after the first-half of ET."/>
    <s v="&quot;2024-12-15T17:50:32.000Z&quot;"/>
    <s v="[&quot;https://pbs.twimg.com/media/Ge24yGdWAAA5bJ4.jpg&quot;]"/>
    <s v="https://x.com/RangersFC/status/1868352957663633837"/>
    <s v="null"/>
    <n v="21"/>
    <n v="35"/>
    <n v="350"/>
    <n v="79089"/>
    <s v=""/>
    <s v="[&quot;PremierSportsCup&quot;]"/>
    <n v="812163"/>
    <s v="The Home of #RangersFC 💙"/>
    <n v="110924"/>
    <s v="https://pbs.twimg.com/profile_images/1856633703734112256/PBlqGEwC_normal.jpg"/>
    <n v="322"/>
    <b v="0"/>
    <n v="2"/>
    <n v="2"/>
    <s v="{&quot;post_id&quot;:null,&quot;profile_id&quot;:null,&quot;profile_name&quot;:null}"/>
    <s v="null"/>
    <s v="null"/>
    <s v="{&quot;data_posted&quot;:null,&quot;description&quot;:null,&quot;photos&quot;:null,&quot;post_id&quot;:null,&quot;profile_id&quot;:null,&quot;profile_name&quot;:null,&quot;url&quot;:null,&quot;videos&quot;:null}"/>
    <n v="410"/>
    <n v="5.184033177812338E-3"/>
    <d v="2024-12-15T00:00:00"/>
    <n v="0.74342592592592593"/>
    <x v="0"/>
    <x v="12"/>
    <x v="0"/>
    <x v="0"/>
    <x v="1"/>
    <x v="0"/>
    <n v="95"/>
    <x v="2"/>
  </r>
  <r>
    <n v="1.868419513928258E+18"/>
    <s v="Met███ole███"/>
    <s v="Met███ole███"/>
    <s v="➡️ Esperma de salmão no rosto: entenda tratamento de Virginia Fonseca_x000a__x000a_O esperma de salmão vem sendo muito utilizado em clínicas de estética para promover o rejuvenescimento da pele_x000a__x000a_Leia:"/>
    <s v="&quot;2024-12-15T22:15:00.000Z&quot;"/>
    <s v="[&quot;https://pbs.twimg.com/media/Ge2Zu7KW8AAaVhH.png&quot;]"/>
    <s v="https://x.com/Metropoles/status/1868419513928257985"/>
    <s v="null"/>
    <n v="95"/>
    <n v="9"/>
    <n v="92"/>
    <n v="47716"/>
    <s v="https://curt.link/QBIKq"/>
    <s v="null"/>
    <n v="1239616"/>
    <s v="📱 O seu portal de notícias. Tudo sobre política, saúde, justiça, comportamento, entretenimento. Confira os fatos relevantes do país e do mundo em tempo real."/>
    <n v="402839"/>
    <s v="https://pbs.twimg.com/profile_images/1642966741138415647/fHdgQUGl_normal.jpg"/>
    <n v="1644"/>
    <b v="0"/>
    <n v="36"/>
    <n v="15"/>
    <s v="{&quot;post_id&quot;:null,&quot;profile_id&quot;:null,&quot;profile_name&quot;:null}"/>
    <s v="null"/>
    <s v="null"/>
    <s v="{&quot;data_posted&quot;:null,&quot;description&quot;:null,&quot;photos&quot;:null,&quot;post_id&quot;:null,&quot;profile_id&quot;:null,&quot;profile_name&quot;:null,&quot;url&quot;:null,&quot;videos&quot;:null}"/>
    <n v="247"/>
    <n v="5.1764607259619415E-3"/>
    <d v="2024-12-15T00:00:00"/>
    <n v="0.92708333333333337"/>
    <x v="0"/>
    <x v="11"/>
    <x v="0"/>
    <x v="0"/>
    <x v="0"/>
    <x v="0"/>
    <n v="188"/>
    <x v="0"/>
  </r>
  <r>
    <n v="1.8659635698854625E+18"/>
    <s v="Dim███r"/>
    <s v="DIM███R"/>
    <s v="¡𝗟𝗶𝘀𝘁𝗼𝘀 𝗹𝗼𝘀 𝗳𝗶𝗻𝗮𝗹𝗶𝘀𝘁𝗮𝘀! ¿𝗤𝘂𝗶𝗲́𝗻 𝘀𝗲𝗿𝗮́ 𝗲𝗹 𝗰𝗮𝗺𝗽𝗲𝗼́𝗻 𝗱𝗲𝗹 𝘀𝗲𝗴𝘂𝗻𝗱𝗼 𝘀𝗲𝗺𝗲𝘀𝘁𝗿𝗲? 🤩👏_x000a__x000a_📸 Revive los mejores momentos de la Fecha 6 de la #LigaBetPlayDIMAYOR II-2024 en nuestra #GaleríaEspecial_x000a__x000a_#LaPasiónDeMillones"/>
    <s v="&quot;2024-12-09T03:35:57.000Z&quot;"/>
    <s v="[&quot;https://pbs.twimg.com/media/GeU7-bzXgAAracO.jpg&quot;,&quot;https://pbs.twimg.com/media/GeU7-iAXcAAJvMh.jpg&quot;,&quot;https://pbs.twimg.com/media/GeU7-fzWsAAPoEY.jpg&quot;,&quot;https://pbs.twimg.com/media/GeU7-k5WsAAR32n.jpg&quot;]"/>
    <s v="https://x.com/Dimayor/status/1865963569885462646"/>
    <s v="null"/>
    <n v="6"/>
    <n v="4"/>
    <n v="26"/>
    <n v="7347"/>
    <s v=""/>
    <s v="[&quot;LigaBetPlayDIMAYOR&quot;,&quot;GaleríaEspecial&quot;,&quot;LaPasiónDeMillones&quot;]"/>
    <n v="1511252"/>
    <s v="Cuenta oficial de la División Mayor del Fútbol Colombiano - 𝐃𝐈𝐌𝐀𝐘𝐎𝐑 || LigaBetPlay🏆LigaFemeninaBetPlay🏆 TorneoBetPlay🏆 CopaBetPlay🏆 || 𝟐𝟎𝟐𝟒 ||"/>
    <n v="56647"/>
    <s v="https://pbs.twimg.com/profile_images/1741738883782500353/WefLAabU_normal.jpg"/>
    <n v="80"/>
    <b v="0"/>
    <n v="1"/>
    <n v="1"/>
    <s v="{&quot;post_id&quot;:null,&quot;profile_id&quot;:null,&quot;profile_name&quot;:null}"/>
    <s v="null"/>
    <s v="null"/>
    <s v="{&quot;data_posted&quot;:null,&quot;description&quot;:null,&quot;photos&quot;:null,&quot;post_id&quot;:null,&quot;profile_id&quot;:null,&quot;profile_name&quot;:null,&quot;url&quot;:null,&quot;videos&quot;:null}"/>
    <n v="38"/>
    <n v="5.1721791207295495E-3"/>
    <d v="2024-12-09T00:00:00"/>
    <n v="0.14996527777777777"/>
    <x v="2"/>
    <x v="21"/>
    <x v="0"/>
    <x v="0"/>
    <x v="1"/>
    <x v="0"/>
    <n v="202"/>
    <x v="0"/>
  </r>
  <r>
    <n v="1.8683790958824325E+18"/>
    <s v="Ran███sFC███"/>
    <s v="Ran███s F███bal█████████"/>
    <s v="🎙️ Philippe Clement spoke to @RangersTV following today's Premier Sports Cup Final at Hampden."/>
    <s v="&quot;2024-12-15T19:34:23.000Z&quot;"/>
    <s v="null"/>
    <s v="https://x.com/RangersFC/status/1868379095882432546"/>
    <s v="[{&quot;biography&quot;:null,&quot;followers&quot;:null,&quot;following&quot;:null,&quot;is_verified&quot;:null,&quot;profile_id&quot;:&quot;479505559&quot;,&quot;profile_name&quot;:&quot;RangersTV&quot;,&quot;url&quot;:&quot;https://x.com/RangersTV&quot;}]"/>
    <n v="118"/>
    <n v="23"/>
    <n v="354"/>
    <n v="103066"/>
    <s v=""/>
    <s v="null"/>
    <n v="812163"/>
    <s v="The Home of #RangersFC 💙"/>
    <n v="110924"/>
    <s v="https://pbs.twimg.com/profile_images/1856633703734112256/PBlqGEwC_normal.jpg"/>
    <n v="322"/>
    <b v="0"/>
    <n v="8"/>
    <n v="30"/>
    <s v="{&quot;post_id&quot;:null,&quot;profile_id&quot;:null,&quot;profile_name&quot;:null}"/>
    <s v="null"/>
    <s v="[{&quot;duration&quot;:274413,&quot;video_url&quot;:&quot;https://video.twimg.com/amplify_video/1868378607271243776/vid/avc1/1280x720/xb5oPYltlsbh3ALC.mp4?tag=14&quot;}]"/>
    <s v="{&quot;data_posted&quot;:null,&quot;description&quot;:null,&quot;photos&quot;:null,&quot;post_id&quot;:null,&quot;profile_id&quot;:null,&quot;profile_name&quot;:null,&quot;url&quot;:null,&quot;videos&quot;:null}"/>
    <n v="533"/>
    <n v="5.1714435410319601E-3"/>
    <d v="2024-12-15T00:00:00"/>
    <n v="0.81554398148148144"/>
    <x v="0"/>
    <x v="4"/>
    <x v="1"/>
    <x v="1"/>
    <x v="0"/>
    <x v="0"/>
    <n v="94"/>
    <x v="2"/>
  </r>
  <r>
    <n v="1.8684047701651909E+18"/>
    <s v="atp███r"/>
    <s v="ATP███ur"/>
    <s v="The groups are set 🔵 🔴_x000a__x000a_#NextGenATPFinals"/>
    <s v="&quot;2024-12-15T21:16:25.000Z&quot;"/>
    <s v="null"/>
    <s v="https://x.com/atptour/status/1868404770165191028"/>
    <s v="null"/>
    <n v="6"/>
    <n v="28"/>
    <n v="99"/>
    <n v="28114"/>
    <s v="https://www.nextgenatpfinals.com/en/news/next-gen-atp-finals-presented-by-pif-2024-draw-sunday"/>
    <s v="[&quot;NextGenATPFinals&quot;]"/>
    <n v="1894097"/>
    <s v="#ThisIsTennis 🎾"/>
    <n v="78436"/>
    <s v="https://pbs.twimg.com/profile_images/1509532021172834312/Znkd3a2Y_normal.jpg"/>
    <n v="676"/>
    <b v="0"/>
    <n v="9"/>
    <n v="3"/>
    <s v="{&quot;post_id&quot;:null,&quot;profile_id&quot;:null,&quot;profile_name&quot;:null}"/>
    <s v="null"/>
    <s v="null"/>
    <s v="{&quot;data_posted&quot;:null,&quot;description&quot;:null,&quot;photos&quot;:null,&quot;post_id&quot;:null,&quot;profile_id&quot;:null,&quot;profile_name&quot;:null,&quot;url&quot;:null,&quot;videos&quot;:null}"/>
    <n v="145"/>
    <n v="5.1575727395603618E-3"/>
    <d v="2024-12-15T00:00:00"/>
    <n v="0.88640046296296293"/>
    <x v="0"/>
    <x v="10"/>
    <x v="0"/>
    <x v="1"/>
    <x v="1"/>
    <x v="0"/>
    <n v="41"/>
    <x v="0"/>
  </r>
  <r>
    <n v="1.8683791410299085E+18"/>
    <s v="Ran███sFC███"/>
    <s v="Ran███s F███bal█████████"/>
    <s v="🎙️ James Tavernier spoke to @RangersTV after today’s match."/>
    <s v="&quot;2024-12-15T19:34:34.000Z&quot;"/>
    <s v="null"/>
    <s v="https://x.com/RangersFC/status/1868379141029908586"/>
    <s v="[{&quot;biography&quot;:null,&quot;followers&quot;:null,&quot;following&quot;:null,&quot;is_verified&quot;:null,&quot;profile_id&quot;:&quot;479505559&quot;,&quot;profile_name&quot;:&quot;RangersTV&quot;,&quot;url&quot;:&quot;https://x.com/RangersTV&quot;}]"/>
    <n v="166"/>
    <n v="25"/>
    <n v="498"/>
    <n v="148304"/>
    <s v=""/>
    <s v="null"/>
    <n v="812161"/>
    <s v="The Home of #RangersFC 💙"/>
    <n v="110924"/>
    <s v="https://pbs.twimg.com/profile_images/1856633703734112256/PBlqGEwC_normal.jpg"/>
    <n v="322"/>
    <b v="0"/>
    <n v="26"/>
    <n v="49"/>
    <s v="{&quot;post_id&quot;:null,&quot;profile_id&quot;:null,&quot;profile_name&quot;:null}"/>
    <s v="null"/>
    <s v="[{&quot;duration&quot;:103700,&quot;video_url&quot;:&quot;https://video.twimg.com/amplify_video/1868375121355812865/vid/avc1/1280x720/xbtpuOg61NY1N3Pe.mp4?tag=14&quot;}]"/>
    <s v="{&quot;data_posted&quot;:null,&quot;description&quot;:null,&quot;photos&quot;:null,&quot;post_id&quot;:null,&quot;profile_id&quot;:null,&quot;profile_name&quot;:null,&quot;url&quot;:null,&quot;videos&quot;:null}"/>
    <n v="764"/>
    <n v="5.1515805372747865E-3"/>
    <d v="2024-12-15T00:00:00"/>
    <n v="0.81567129629629631"/>
    <x v="0"/>
    <x v="4"/>
    <x v="1"/>
    <x v="1"/>
    <x v="0"/>
    <x v="0"/>
    <n v="59"/>
    <x v="2"/>
  </r>
  <r>
    <n v="1.8683240423877061E+18"/>
    <s v="nyp███"/>
    <s v="New███rk ███t"/>
    <s v="Scientists warn against ‘unthinkable’ deep sea mining plans that will ‘destroy’ ocean: ‘No recovery’"/>
    <s v="&quot;2024-12-15T15:55:38.000Z&quot;"/>
    <s v="[&quot;https://pbs.twimg.com/media/Ge2e0NcXwAAR5kM.jpg&quot;]"/>
    <s v="https://x.com/nypost/status/1868324042387706017"/>
    <s v="null"/>
    <n v="37"/>
    <n v="17"/>
    <n v="53"/>
    <n v="23180"/>
    <s v="https://trib.al/JdjzbeK"/>
    <s v="null"/>
    <n v="3313888"/>
    <s v="Breaking news &amp; features from The New York Post. Follow your favorite sections: @pagesix, @nypmetro, @nypostbiz, @nypostsports, @nypfashion, @nypostopinion"/>
    <n v="706459"/>
    <s v="https://pbs.twimg.com/profile_images/966372680306868224/60wfGe9e_normal.jpg"/>
    <n v="10308"/>
    <b v="0"/>
    <n v="4"/>
    <n v="8"/>
    <s v="{&quot;post_id&quot;:null,&quot;profile_id&quot;:null,&quot;profile_name&quot;:null}"/>
    <s v="null"/>
    <s v="null"/>
    <s v="{&quot;data_posted&quot;:null,&quot;description&quot;:null,&quot;photos&quot;:null,&quot;post_id&quot;:null,&quot;profile_id&quot;:null,&quot;profile_name&quot;:null,&quot;url&quot;:null,&quot;videos&quot;:null}"/>
    <n v="119"/>
    <n v="5.1337359792924938E-3"/>
    <d v="2024-12-15T00:00:00"/>
    <n v="0.66363425925925923"/>
    <x v="0"/>
    <x v="13"/>
    <x v="0"/>
    <x v="0"/>
    <x v="0"/>
    <x v="0"/>
    <n v="100"/>
    <x v="0"/>
  </r>
  <r>
    <n v="1.8684293757643082E+18"/>
    <s v="nyp███"/>
    <s v="New███rk ███t"/>
    <s v="Homeland Security chief Mayorkas blames drone uproar on recent FAA flight-rule change"/>
    <s v="&quot;2024-12-15T22:54:11.000Z&quot;"/>
    <s v="[&quot;https://pbs.twimg.com/media/Ge3-naNXwAA9nF2.jpg&quot;]"/>
    <s v="https://x.com/nypost/status/1868429375764308329"/>
    <s v="null"/>
    <n v="70"/>
    <n v="17"/>
    <n v="60"/>
    <n v="31869"/>
    <s v="https://trib.al/AZdP8k6"/>
    <s v="null"/>
    <n v="3313886"/>
    <s v="Breaking news &amp; features from The New York Post. Follow your favorite sections: @pagesix, @nypmetro, @nypostbiz, @nypostsports, @nypfashion, @nypostopinion"/>
    <n v="706459"/>
    <s v="https://pbs.twimg.com/profile_images/966372680306868224/60wfGe9e_normal.jpg"/>
    <n v="10308"/>
    <b v="0"/>
    <n v="9"/>
    <n v="7"/>
    <s v="{&quot;post_id&quot;:null,&quot;profile_id&quot;:null,&quot;profile_name&quot;:null}"/>
    <s v="null"/>
    <s v="null"/>
    <s v="{&quot;data_posted&quot;:null,&quot;description&quot;:null,&quot;photos&quot;:null,&quot;post_id&quot;:null,&quot;profile_id&quot;:null,&quot;profile_name&quot;:null,&quot;url&quot;:null,&quot;videos&quot;:null}"/>
    <n v="163"/>
    <n v="5.1146882550440866E-3"/>
    <d v="2024-12-15T00:00:00"/>
    <n v="0.95429398148148148"/>
    <x v="0"/>
    <x v="11"/>
    <x v="0"/>
    <x v="0"/>
    <x v="0"/>
    <x v="0"/>
    <n v="85"/>
    <x v="0"/>
  </r>
  <r>
    <n v="1.8684375331613289E+18"/>
    <s v="nyp███"/>
    <s v="New███rk ███t"/>
    <s v="Doggone it: NY pet shops banned from selling pooches, cats, rabbits starting Sunday — prompting major price cuts"/>
    <s v="&quot;2024-12-15T23:26:36.000Z&quot;"/>
    <s v="[&quot;https://pbs.twimg.com/media/Ge4GCNsXEAAbXFL.jpg&quot;]"/>
    <s v="https://x.com/nypost/status/1868437533161328872"/>
    <s v="null"/>
    <n v="38"/>
    <n v="22"/>
    <n v="107"/>
    <n v="35101"/>
    <s v="https://trib.al/QT9c6IA"/>
    <s v="null"/>
    <n v="3313887"/>
    <s v="Breaking news &amp; features from The New York Post. Follow your favorite sections: @pagesix, @nypmetro, @nypostbiz, @nypostsports, @nypfashion, @nypostopinion"/>
    <n v="706459"/>
    <s v="https://pbs.twimg.com/profile_images/966372680306868224/60wfGe9e_normal.jpg"/>
    <n v="10308"/>
    <b v="0"/>
    <n v="5"/>
    <n v="7"/>
    <s v="{&quot;post_id&quot;:null,&quot;profile_id&quot;:null,&quot;profile_name&quot;:null}"/>
    <s v="null"/>
    <s v="null"/>
    <s v="{&quot;data_posted&quot;:null,&quot;description&quot;:null,&quot;photos&quot;:null,&quot;post_id&quot;:null,&quot;profile_id&quot;:null,&quot;profile_name&quot;:null,&quot;url&quot;:null,&quot;videos&quot;:null}"/>
    <n v="179"/>
    <n v="5.0995698128258457E-3"/>
    <d v="2024-12-15T00:00:00"/>
    <n v="0.97680555555555559"/>
    <x v="0"/>
    <x v="7"/>
    <x v="0"/>
    <x v="0"/>
    <x v="0"/>
    <x v="0"/>
    <n v="112"/>
    <x v="0"/>
  </r>
  <r>
    <n v="1.8683971838855665E+18"/>
    <s v="Bre███ord███"/>
    <s v="Bre███ord███"/>
    <s v="ONE BACK!!_x000a__x000a_🔵 2- 1 🐝_x000a_#CHEBRE | @london_pride"/>
    <s v="&quot;2024-12-15T20:46:16.000Z&quot;"/>
    <s v="null"/>
    <s v="https://x.com/BrentfordFC/status/1868397183885566431"/>
    <s v="[{&quot;biography&quot;:null,&quot;followers&quot;:null,&quot;following&quot;:null,&quot;is_verified&quot;:null,&quot;profile_id&quot;:&quot;185606577&quot;,&quot;profile_name&quot;:&quot;Fuller's London Pride&quot;,&quot;url&quot;:&quot;https://x.com/London_Pride&quot;}]"/>
    <n v="12"/>
    <n v="17"/>
    <n v="141"/>
    <n v="35552"/>
    <s v=""/>
    <s v="[&quot;CHEBRE&quot;]"/>
    <n v="376785"/>
    <s v="Chelsea away ⏳"/>
    <n v="106893"/>
    <s v="https://pbs.twimg.com/profile_images/1863925545009852417/pH2T1Sz8_normal.jpg"/>
    <n v="415"/>
    <b v="0"/>
    <n v="8"/>
    <n v="3"/>
    <s v="{&quot;post_id&quot;:null,&quot;profile_id&quot;:null,&quot;profile_name&quot;:null}"/>
    <s v="null"/>
    <s v="[{&quot;duration&quot;:9045,&quot;video_url&quot;:&quot;https://video.twimg.com/ext_tw_video/1868397164944109568/pu/vid/avc1/720x720/4WK6CErIfYZduMQt.mp4?tag=12&quot;}]"/>
    <s v="{&quot;data_posted&quot;:null,&quot;description&quot;:null,&quot;photos&quot;:null,&quot;post_id&quot;:null,&quot;profile_id&quot;:null,&quot;profile_name&quot;:null,&quot;url&quot;:null,&quot;videos&quot;:null}"/>
    <n v="181"/>
    <n v="5.0911341134113408E-3"/>
    <d v="2024-12-15T00:00:00"/>
    <n v="0.86546296296296299"/>
    <x v="0"/>
    <x v="3"/>
    <x v="1"/>
    <x v="1"/>
    <x v="1"/>
    <x v="0"/>
    <n v="44"/>
    <x v="2"/>
  </r>
  <r>
    <n v="1.8681700236066038E+18"/>
    <s v="ufc"/>
    <s v="UFC"/>
    <s v="CUB SWANSON TURNS BACK THE CLOCK 😱_x000a__x000a_@CubSwanson | #UFCTampa"/>
    <s v="&quot;2024-12-15T05:43:37.000Z&quot;"/>
    <s v="null"/>
    <s v="https://x.com/ufc/status/1868170023606603808"/>
    <s v="[{&quot;biography&quot;:null,&quot;followers&quot;:null,&quot;following&quot;:null,&quot;is_verified&quot;:null,&quot;profile_id&quot;:&quot;30506859&quot;,&quot;profile_name&quot;:&quot;Cub Swanson&quot;,&quot;url&quot;:&quot;https://x.com/CubSwanson&quot;}]"/>
    <n v="200"/>
    <n v="376"/>
    <n v="3922"/>
    <n v="924297"/>
    <s v=""/>
    <s v="[&quot;UFCTampa&quot;]"/>
    <n v="12876593"/>
    <s v="#UFCTampa | Covington vs Buckley | December 14 | 10pmET | LIVE on @ESPNPlus"/>
    <n v="141401"/>
    <s v="https://pbs.twimg.com/profile_images/1835773190385328128/4fVrF1UI_normal.jpg"/>
    <n v="717"/>
    <b v="0"/>
    <n v="82"/>
    <n v="72"/>
    <s v="{&quot;post_id&quot;:null,&quot;profile_id&quot;:null,&quot;profile_name&quot;:null}"/>
    <s v="null"/>
    <s v="[{&quot;duration&quot;:20933,&quot;video_url&quot;:&quot;https://video.twimg.com/ext_tw_video/1868169807536775169/pu/vid/avc1/720x720/wHkdTUt1Zs6QA2iV.mp4?tag=12&quot;}]"/>
    <s v="{&quot;data_posted&quot;:null,&quot;description&quot;:null,&quot;photos&quot;:null,&quot;post_id&quot;:null,&quot;profile_id&quot;:null,&quot;profile_name&quot;:null,&quot;url&quot;:null,&quot;videos&quot;:null}"/>
    <n v="4652"/>
    <n v="5.0330142800420214E-3"/>
    <d v="2024-12-15T00:00:00"/>
    <n v="0.23862268518518517"/>
    <x v="0"/>
    <x v="22"/>
    <x v="1"/>
    <x v="1"/>
    <x v="1"/>
    <x v="0"/>
    <n v="59"/>
    <x v="1"/>
  </r>
  <r>
    <n v="1.8683092753841935E+18"/>
    <s v="eng███dcr███et"/>
    <s v="Eng███d C███ket███"/>
    <s v="All out for 395 on Day 1 🏏_x000a__x000a_Follow live in our match centre 👉"/>
    <s v="&quot;2024-12-15T14:56:57.000Z&quot;"/>
    <s v="[&quot;https://pbs.twimg.com/media/Ge2RS5hW4AAEOaM.jpg&quot;]"/>
    <s v="https://x.com/englandcricket/status/1868309275384193427"/>
    <s v="null"/>
    <n v="8"/>
    <n v="5"/>
    <n v="107"/>
    <n v="24346"/>
    <s v="http://ms.spr.ly/6016oTbjg"/>
    <s v="[&quot;EnglandCricket&quot;]"/>
    <n v="1676505"/>
    <s v="We Are England Cricket. The official home of all of the England Cricket teams on X."/>
    <n v="35438"/>
    <s v="https://pbs.twimg.com/profile_images/1653776479488991237/nRuCAWCI_normal.jpg"/>
    <n v="175"/>
    <b v="0"/>
    <n v="0"/>
    <n v="2"/>
    <s v="{&quot;post_id&quot;:null,&quot;profile_id&quot;:null,&quot;profile_name&quot;:null}"/>
    <s v="null"/>
    <s v="null"/>
    <s v="{&quot;data_posted&quot;:null,&quot;description&quot;:null,&quot;photos&quot;:null,&quot;post_id&quot;:null,&quot;profile_id&quot;:null,&quot;profile_name&quot;:null,&quot;url&quot;:null,&quot;videos&quot;:null}"/>
    <n v="122"/>
    <n v="5.0110901174730965E-3"/>
    <d v="2024-12-15T00:00:00"/>
    <n v="0.62288194444444445"/>
    <x v="0"/>
    <x v="1"/>
    <x v="0"/>
    <x v="0"/>
    <x v="1"/>
    <x v="0"/>
    <n v="61"/>
    <x v="0"/>
  </r>
  <r>
    <n v="1.8683646913171704E+18"/>
    <s v="ESP███asi███"/>
    <s v="ESP███ras███"/>
    <s v="QUE JOGO!_x000a__x000a_Manchester United aplica virada incrível pra cima do City, vence clássico na Premier League e joga rival na crise_x000a__x000a_➡️"/>
    <s v="&quot;2024-12-15T18:37:09.000Z&quot;"/>
    <s v="null"/>
    <s v="https://x.com/ESPNBrasil/status/1868364691317170434"/>
    <s v="null"/>
    <n v="3"/>
    <n v="1"/>
    <n v="36"/>
    <n v="8202"/>
    <s v="https://buff.ly/3P1gvus"/>
    <s v="[&quot;FutebolNaESPN&quot;,&quot;PremierLeagueNaESPN&quot;]"/>
    <n v="3768943"/>
    <s v="ESPN: o melhor do esporte você assiste aqui!"/>
    <n v="897934"/>
    <s v="https://pbs.twimg.com/profile_images/1224436194152345608/dCEm_D7K_normal.jpg"/>
    <n v="28"/>
    <b v="0"/>
    <n v="0"/>
    <n v="1"/>
    <s v="{&quot;post_id&quot;:null,&quot;profile_id&quot;:null,&quot;profile_name&quot;:null}"/>
    <s v="[&quot;https://pbs.twimg.com/card_img/1868364691900104704/LcfFXyYG?format=jpg&amp;name=orig&quot;]"/>
    <s v="null"/>
    <s v="{&quot;data_posted&quot;:null,&quot;description&quot;:null,&quot;photos&quot;:null,&quot;post_id&quot;:null,&quot;profile_id&quot;:null,&quot;profile_name&quot;:null,&quot;url&quot;:null,&quot;videos&quot;:null}"/>
    <n v="41"/>
    <n v="4.9987807851743478E-3"/>
    <d v="2024-12-15T00:00:00"/>
    <n v="0.77579861111111115"/>
    <x v="0"/>
    <x v="8"/>
    <x v="0"/>
    <x v="1"/>
    <x v="1"/>
    <x v="0"/>
    <n v="128"/>
    <x v="0"/>
  </r>
  <r>
    <n v="1.8683191998162537E+18"/>
    <s v="CNN███sil███"/>
    <s v="CNN███asi███"/>
    <s v="Vídeo: mulher tenta atropelar esposa gestante de seu amante MT"/>
    <s v="&quot;2024-12-15T15:36:23.000Z&quot;"/>
    <s v="null"/>
    <s v="https://x.com/CNNBrasil/status/1868319199816253753"/>
    <s v="null"/>
    <n v="2"/>
    <n v="3"/>
    <n v="29"/>
    <n v="7219"/>
    <s v="https://www.cnnbrasil.com.br/nacional/centro-oeste/go/video-mulher-tenta-atropelar-esposa-gestante-de-seu-amante-mt/?utm_source=social&amp;utm_medium=twitter&amp;utm_campaign=goias"/>
    <s v="null"/>
    <n v="2819408"/>
    <s v="Pense bem, pense CNN._x000a_Acompanhe também pelo canal 577, app ou site. _x000a_⚽ @esportescnn_x000a_⚡️ @cnnpop_x000a_💰 @cnneconomia_x000a_💵 @nolucrocnn"/>
    <n v="286269"/>
    <s v="https://pbs.twimg.com/profile_images/1202609722257485824/NcFn6f7X_normal.jpg"/>
    <n v="4"/>
    <b v="0"/>
    <n v="1"/>
    <n v="1"/>
    <s v="{&quot;post_id&quot;:null,&quot;profile_id&quot;:null,&quot;profile_name&quot;:null}"/>
    <s v="[&quot;https://pbs.twimg.com/card_img/1868319201334562817/JHs2jt0M?format=png&amp;name=orig&quot;]"/>
    <s v="null"/>
    <s v="{&quot;data_posted&quot;:null,&quot;description&quot;:null,&quot;photos&quot;:null,&quot;post_id&quot;:null,&quot;profile_id&quot;:null,&quot;profile_name&quot;:null,&quot;url&quot;:null,&quot;videos&quot;:null}"/>
    <n v="36"/>
    <n v="4.9868402825876158E-3"/>
    <d v="2024-12-15T00:00:00"/>
    <n v="0.65026620370370369"/>
    <x v="0"/>
    <x v="13"/>
    <x v="0"/>
    <x v="1"/>
    <x v="0"/>
    <x v="0"/>
    <n v="62"/>
    <x v="0"/>
  </r>
  <r>
    <n v="1.8681208753812152E+18"/>
    <s v="CNN███sil███"/>
    <s v="CNN███asi███"/>
    <s v="Ao Sinais Vitais, apresentado pelo Dr. Kalil, o pneumologista do Incor André Nathan falou sobre a importância no exercício físico e a limpeza do ambiente dos pacientes com asma para a prevenção da doença. #CNNSinaisVitais"/>
    <s v="&quot;2024-12-15T02:28:19.000Z&quot;"/>
    <s v="null"/>
    <s v="https://x.com/CNNBrasil/status/1868120875381215253"/>
    <s v="null"/>
    <n v="8"/>
    <n v="8"/>
    <n v="53"/>
    <n v="15149"/>
    <s v=""/>
    <s v="[&quot;CNNSinaisVitais&quot;]"/>
    <n v="2819409"/>
    <s v="Pense bem, pense CNN._x000a_Acompanhe também pelo canal 577, app ou site. _x000a_⚽ @esportescnn_x000a_⚡️ @cnnpop_x000a_💰 @cnneconomia_x000a_💵 @nolucrocnn"/>
    <n v="286269"/>
    <s v="https://pbs.twimg.com/profile_images/1202609722257485824/NcFn6f7X_normal.jpg"/>
    <n v="4"/>
    <b v="0"/>
    <n v="3"/>
    <n v="3"/>
    <s v="{&quot;post_id&quot;:null,&quot;profile_id&quot;:null,&quot;profile_name&quot;:null}"/>
    <s v="null"/>
    <s v="[{&quot;duration&quot;:105167,&quot;video_url&quot;:&quot;https://video.twimg.com/amplify_video/1868120752609804288/vid/avc1/1920x1080/EdPTczDfGW7qip09.mp4?tag=16&quot;}]"/>
    <s v="{&quot;data_posted&quot;:null,&quot;description&quot;:null,&quot;photos&quot;:null,&quot;post_id&quot;:null,&quot;profile_id&quot;:null,&quot;profile_name&quot;:null,&quot;url&quot;:null,&quot;videos&quot;:null}"/>
    <n v="75"/>
    <n v="4.9508218364248463E-3"/>
    <d v="2024-12-15T00:00:00"/>
    <n v="0.10299768518518519"/>
    <x v="0"/>
    <x v="2"/>
    <x v="1"/>
    <x v="1"/>
    <x v="1"/>
    <x v="0"/>
    <n v="221"/>
    <x v="0"/>
  </r>
  <r>
    <n v="1.8669591462576169E+18"/>
    <s v="Jac███uel███"/>
    <s v="Jac███nue███(CT█████████y O█████████"/>
    <s v="NEW BROOKLYN BUZZ! (@Nick_Fay_)_x000a__x000a_Diving into the trade rumours around Cam Johnson, Dennis Schroder and Dorian Finney-Smith._x000a__x000a_How important is it that all three are traded? _x000a__x000a_Apple:"/>
    <s v="&quot;2024-12-11T21:32:01.000Z&quot;"/>
    <s v="[&quot;https://pbs.twimg.com/media/GejFccDaUAAvgA5.jpg&quot;]"/>
    <s v="https://x.com/JacManuell/status/1866959146257616927"/>
    <s v="[{&quot;biography&quot;:null,&quot;followers&quot;:null,&quot;following&quot;:null,&quot;is_verified&quot;:null,&quot;profile_id&quot;:&quot;263819336&quot;,&quot;profile_name&quot;:&quot;Nick Fay&quot;,&quot;url&quot;:&quot;https://x.com/Nick_Fay_&quot;}]"/>
    <n v="2"/>
    <n v="6"/>
    <n v="7"/>
    <n v="3453"/>
    <s v="https://podcasts.apple.com/au/podcast/brooklyn-buzz-a-brooklyn-nets-podcast/id1298103854?i=1000679959865"/>
    <s v="null"/>
    <n v="4838"/>
    <s v="Podcaster, writer and video analyst. Co-host of the Brooklyn Buzz. I like stats. @bluewirepods"/>
    <n v="41996"/>
    <s v="https://pbs.twimg.com/profile_images/1670955757402226688/r2kFfGDo_normal.jpg"/>
    <n v="1231"/>
    <b v="0"/>
    <n v="2"/>
    <n v="0"/>
    <s v="{&quot;post_id&quot;:null,&quot;profile_id&quot;:null,&quot;profile_name&quot;:null}"/>
    <s v="null"/>
    <s v="null"/>
    <s v="{&quot;data_posted&quot;:null,&quot;description&quot;:null,&quot;photos&quot;:null,&quot;post_id&quot;:null,&quot;profile_id&quot;:null,&quot;profile_name&quot;:null,&quot;url&quot;:null,&quot;videos&quot;:null}"/>
    <n v="17"/>
    <n v="4.9232551404575732E-3"/>
    <d v="2024-12-11T00:00:00"/>
    <n v="0.89723379629629629"/>
    <x v="4"/>
    <x v="10"/>
    <x v="0"/>
    <x v="0"/>
    <x v="0"/>
    <x v="0"/>
    <n v="180"/>
    <x v="3"/>
  </r>
  <r>
    <n v="1.8174560598183734E+18"/>
    <s v="Tru███edi███3"/>
    <s v="真相傳媒"/>
    <s v="连警察👮‍♀️都来抖音举报了_x000a_提问：为什么现在很多人宁愿选择在网上实名举报也不愿意直接报警？_x000a_网友回复：因为公安局长自己都在互联网上发帖求救。"/>
    <s v="&quot;2024-07-28T07:04:26.000Z&quot;"/>
    <s v="[&quot;https://pbs.twimg.com/media/GTjmn-qbQAAbGSZ.jpg&quot;]"/>
    <s v="https://x.com/TruthMedia123/status/1817456059818373296"/>
    <s v="null"/>
    <n v="149"/>
    <n v="448"/>
    <n v="1509"/>
    <n v="505266"/>
    <s v=""/>
    <s v="null"/>
    <n v="234568"/>
    <s v="傳播真相，匡扶正義良知，回歸中華傳統。 世間總有公道。歡迎投稿爆料！如果推文有錯誤歡迎指正。通過本號私信發送即可。"/>
    <n v="102643"/>
    <s v="https://pbs.twimg.com/profile_images/1618727520500850692/SdW0o-cV_normal.jpg"/>
    <n v="5173"/>
    <b v="0"/>
    <n v="27"/>
    <n v="314"/>
    <s v="{&quot;post_id&quot;:null,&quot;profile_id&quot;:null,&quot;profile_name&quot;:null}"/>
    <s v="null"/>
    <s v="[{&quot;duration&quot;:112066,&quot;video_url&quot;:&quot;https://video.twimg.com/ext_tw_video/1817455622339825664/pu/vid/avc1/464x848/dJJ5lFeQdWMnK79p.mp4?tag=12&quot;},{&quot;duration&quot;:122466,&quot;video_url&quot;:&quot;https://video.twimg.com/ext_tw_video/1817455622293684224/pu/vid/avc1/464x848/oCoSm_qGQ4fbd46l.mp4?tag=12&quot;},{&quot;duration&quot;:153966,&quot;video_url&quot;:&quot;https://video.twimg.com/ext_tw_video/1817455622289547264/pu/vid/avc1/464x848/R1sA4WlPxHJSSRLi.mp4?tag=12&quot;}]"/>
    <s v="{&quot;data_posted&quot;:null,&quot;description&quot;:null,&quot;photos&quot;:null,&quot;post_id&quot;:null,&quot;profile_id&quot;:null,&quot;profile_name&quot;:null,&quot;url&quot;:null,&quot;videos&quot;:null}"/>
    <n v="2447"/>
    <n v="4.8429935914943816E-3"/>
    <d v="2024-07-28T00:00:00"/>
    <n v="0.29474537037037035"/>
    <x v="0"/>
    <x v="20"/>
    <x v="1"/>
    <x v="0"/>
    <x v="0"/>
    <x v="0"/>
    <n v="71"/>
    <x v="2"/>
  </r>
  <r>
    <n v="1.8683474772856381E+18"/>
    <s v="Eur███agu███"/>
    <s v="Tur███h A███ine█████████gue███"/>
    <s v="The new form team of the league 👀 _x000a__x000a_@OlimpiaMI1936 keep climbing up the standings and getting tough Ws 🔥_x000a__x000a_#EveryGameMatters"/>
    <s v="&quot;2024-12-15T17:28:45.000Z&quot;"/>
    <s v="[&quot;https://pbs.twimg.com/media/Ge20IHOXcAA_Dwg.jpg&quot;]"/>
    <s v="https://x.com/EuroLeague/status/1868347477285638213"/>
    <s v="[{&quot;biography&quot;:null,&quot;followers&quot;:null,&quot;following&quot;:null,&quot;is_verified&quot;:null,&quot;profile_id&quot;:&quot;267111941&quot;,&quot;profile_name&quot;:&quot;Olimpia Milano&quot;,&quot;url&quot;:&quot;https://x.com/OlimpiaMI1936&quot;}]"/>
    <n v="1"/>
    <n v="2"/>
    <n v="79"/>
    <n v="17145"/>
    <s v=""/>
    <s v="[&quot;EveryGameMatters&quot;]"/>
    <n v="668750"/>
    <s v="The official X account of the Turkish Airlines EuroLeague🏀"/>
    <n v="76510"/>
    <s v="https://pbs.twimg.com/profile_images/1793167534889308160/aE2Qsevu_normal.jpg"/>
    <n v="860"/>
    <b v="0"/>
    <n v="1"/>
    <n v="0"/>
    <s v="{&quot;post_id&quot;:null,&quot;profile_id&quot;:null,&quot;profile_name&quot;:null}"/>
    <s v="null"/>
    <s v="null"/>
    <s v="{&quot;data_posted&quot;:null,&quot;description&quot;:null,&quot;photos&quot;:null,&quot;post_id&quot;:null,&quot;profile_id&quot;:null,&quot;profile_name&quot;:null,&quot;url&quot;:null,&quot;videos&quot;:null}"/>
    <n v="83"/>
    <n v="4.8410615339749196E-3"/>
    <d v="2024-12-15T00:00:00"/>
    <n v="0.72829861111111116"/>
    <x v="0"/>
    <x v="12"/>
    <x v="0"/>
    <x v="0"/>
    <x v="1"/>
    <x v="0"/>
    <n v="123"/>
    <x v="2"/>
  </r>
  <r>
    <n v="1.8683173504259443E+18"/>
    <s v="Cha███ons███"/>
    <s v="Inv███ec ███mpi█████████"/>
    <s v="What a finish at Stadio Monigo 🤯_x000a__x000a_Instant highlights of @BenettonRugby's last-minute win ➡️"/>
    <s v="&quot;2024-12-15T15:29:02.000Z&quot;"/>
    <s v="null"/>
    <s v="https://x.com/ChampionsCup/status/1868317350425944236"/>
    <s v="[{&quot;biography&quot;:null,&quot;followers&quot;:null,&quot;following&quot;:null,&quot;is_verified&quot;:null,&quot;profile_id&quot;:&quot;164704175&quot;,&quot;profile_name&quot;:&quot;Benetton Rugby 🦁&quot;,&quot;url&quot;:&quot;https://x.com/BenettonRugby&quot;}]"/>
    <n v="1"/>
    <n v="1"/>
    <n v="29"/>
    <n v="6828"/>
    <s v="https://www.youtube.com/watch?v=vBknm04-yuk"/>
    <s v="[&quot;InvestecChampionsCup&quot;]"/>
    <n v="156682"/>
    <s v="Welcome to the official account in English for the #InvestecChampionsCup. Follow @ChampionsCup_FR for French language, and @ChallengeCup_ for more updates"/>
    <n v="35682"/>
    <s v="https://pbs.twimg.com/profile_images/1697181182796935168/vcSAuYKk_normal.jpg"/>
    <n v="1430"/>
    <b v="0"/>
    <n v="0"/>
    <n v="2"/>
    <s v="{&quot;post_id&quot;:null,&quot;profile_id&quot;:null,&quot;profile_name&quot;:null}"/>
    <s v="null"/>
    <s v="[{&quot;duration&quot;:22640,&quot;video_url&quot;:&quot;https://video.twimg.com/amplify_video/1868317320247971840/vid/avc1/1280x720/Pfmy_QqYgFtSj2t3.mp4?tag=16&quot;}]"/>
    <s v="{&quot;data_posted&quot;:null,&quot;description&quot;:null,&quot;photos&quot;:null,&quot;post_id&quot;:null,&quot;profile_id&quot;:null,&quot;profile_name&quot;:null,&quot;url&quot;:null,&quot;videos&quot;:null}"/>
    <n v="33"/>
    <n v="4.8330404217926184E-3"/>
    <d v="2024-12-15T00:00:00"/>
    <n v="0.64516203703703701"/>
    <x v="0"/>
    <x v="13"/>
    <x v="1"/>
    <x v="1"/>
    <x v="1"/>
    <x v="0"/>
    <n v="91"/>
    <x v="2"/>
  </r>
  <r>
    <n v="1.8683605126830003E+18"/>
    <s v="nyp███"/>
    <s v="New███rk ███t"/>
    <s v="Taylor Swift appears to skip Travis Kelce’s Chiefs game vs. Browns in his native Ohio"/>
    <s v="&quot;2024-12-15T18:20:33.000Z&quot;"/>
    <s v="[&quot;https://pbs.twimg.com/media/Ge2_--LXYAARMjR.jpg&quot;]"/>
    <s v="https://x.com/nypost/status/1868360512683000305"/>
    <s v="null"/>
    <n v="181"/>
    <n v="11"/>
    <n v="146"/>
    <n v="74093"/>
    <s v="https://trib.al/axoRgb5"/>
    <s v="null"/>
    <n v="3313887"/>
    <s v="Breaking news &amp; features from The New York Post. Follow your favorite sections: @pagesix, @nypmetro, @nypostbiz, @nypostsports, @nypfashion, @nypostopinion"/>
    <n v="706459"/>
    <s v="https://pbs.twimg.com/profile_images/966372680306868224/60wfGe9e_normal.jpg"/>
    <n v="10308"/>
    <b v="0"/>
    <n v="17"/>
    <n v="3"/>
    <s v="{&quot;post_id&quot;:null,&quot;profile_id&quot;:null,&quot;profile_name&quot;:null}"/>
    <s v="null"/>
    <s v="null"/>
    <s v="{&quot;data_posted&quot;:null,&quot;description&quot;:null,&quot;photos&quot;:null,&quot;post_id&quot;:null,&quot;profile_id&quot;:null,&quot;profile_name&quot;:null,&quot;url&quot;:null,&quot;videos&quot;:null}"/>
    <n v="358"/>
    <n v="4.831765483918859E-3"/>
    <d v="2024-12-15T00:00:00"/>
    <n v="0.76427083333333334"/>
    <x v="0"/>
    <x v="8"/>
    <x v="0"/>
    <x v="0"/>
    <x v="0"/>
    <x v="0"/>
    <n v="85"/>
    <x v="0"/>
  </r>
  <r>
    <n v="1.8682685192567196E+18"/>
    <s v="Met███ole███"/>
    <s v="Met███ole███"/>
    <s v="➡️ Concurso dos Correios com 3,5 mil vagas é neste domingo; saiba tudo_x000a__x000a_Aplicação das provas para mais de 1 milhão de candidatos ocorre neste domingo (15/12) em cidades de todo o país_x000a__x000a_Leia:"/>
    <s v="&quot;2024-12-15T12:15:00.000Z&quot;"/>
    <s v="[&quot;https://pbs.twimg.com/media/Ge1nPd1XEAEMaDB.png&quot;]"/>
    <s v="https://x.com/Metropoles/status/1868268519256719543"/>
    <s v="null"/>
    <n v="7"/>
    <n v="3"/>
    <n v="21"/>
    <n v="7251"/>
    <s v="https://curt.link/GaKfL"/>
    <s v="null"/>
    <n v="1239617"/>
    <s v="📱 O seu portal de notícias. Tudo sobre política, saúde, justiça, comportamento, entretenimento. Confira os fatos relevantes do país e do mundo em tempo real."/>
    <n v="402839"/>
    <s v="https://pbs.twimg.com/profile_images/1642966741138415647/fHdgQUGl_normal.jpg"/>
    <n v="1644"/>
    <b v="0"/>
    <n v="2"/>
    <n v="2"/>
    <s v="{&quot;post_id&quot;:null,&quot;profile_id&quot;:null,&quot;profile_name&quot;:null}"/>
    <s v="null"/>
    <s v="null"/>
    <s v="{&quot;data_posted&quot;:null,&quot;description&quot;:null,&quot;photos&quot;:null,&quot;post_id&quot;:null,&quot;profile_id&quot;:null,&quot;profile_name&quot;:null,&quot;url&quot;:null,&quot;videos&quot;:null}"/>
    <n v="35"/>
    <n v="4.8269204247689971E-3"/>
    <d v="2024-12-15T00:00:00"/>
    <n v="0.51041666666666663"/>
    <x v="0"/>
    <x v="0"/>
    <x v="0"/>
    <x v="0"/>
    <x v="0"/>
    <x v="0"/>
    <n v="190"/>
    <x v="0"/>
  </r>
  <r>
    <n v="1.8683795065218092E+18"/>
    <s v="Cha███ons███"/>
    <s v="Inv███ec ███mpi█████████"/>
    <s v="🔴 @StadeToulousain_x000a_🟡 @StadeRochelais_x000a_😇 @SaintsRugby_x000a_⚫️ @RCTofficiel_x000a__x000a_All sit at the top of the pool standings after two weekends 😮‍💨_x000a__x000a_Catch up on all the #InvestecChampionsCup action ⬇️"/>
    <s v="&quot;2024-12-15T19:36:01.000Z&quot;"/>
    <s v="null"/>
    <s v="https://x.com/ChampionsCup/status/1868379506521809094"/>
    <s v="[{&quot;biography&quot;:null,&quot;followers&quot;:null,&quot;following&quot;:null,&quot;is_verified&quot;:null,&quot;profile_id&quot;:&quot;267228287&quot;,&quot;profile_name&quot;:&quot;Stade Toulousain&quot;,&quot;url&quot;:&quot;https://x.com/StadeToulousain&quot;},{&quot;biography&quot;:null,&quot;followers&quot;:null,&quot;following&quot;:null,&quot;is_verified&quot;:null,&quot;profile_id&quot;:&quot;203017287&quot;,&quot;profile_name&quot;:&quot;Stade Rochelais&quot;,&quot;url&quot;:&quot;https://x.com/staderochelais&quot;},{&quot;biography&quot;:null,&quot;followers&quot;:null,&quot;following&quot;:null,&quot;is_verified&quot;:null,&quot;profile_id&quot;:&quot;24868133&quot;,&quot;profile_name&quot;:&quot;Northampton Saints 😇&quot;,&quot;url&quot;:&quot;https://x.com/SaintsRugby&quot;},{&quot;biography&quot;:null,&quot;followers&quot;:null,&quot;following&quot;:null,&quot;is_verified&quot;:null,&quot;profile_id&quot;:&quot;377915688&quot;,&quot;profile_name&quot;:&quot;RCT - RC Toulon&quot;,&quot;url&quot;:&quot;https://x.com/RCTofficiel&quot;}]"/>
    <n v="1"/>
    <n v="9"/>
    <n v="42"/>
    <n v="11043"/>
    <s v="https://youtube.com/playlist?list=PLPvhV-spCrYgA33aFzfwx9yokn3ineJ0m&amp;si=RXoEk9S6qN0LiINg"/>
    <s v="[&quot;InvestecChampionsCup&quot;]"/>
    <n v="156681"/>
    <s v="Welcome to the official account in English for the #InvestecChampionsCup. Follow @ChampionsCup_FR for French language, and @ChallengeCup_ for more updates"/>
    <n v="35682"/>
    <s v="https://pbs.twimg.com/profile_images/1697181182796935168/vcSAuYKk_normal.jpg"/>
    <n v="1430"/>
    <b v="0"/>
    <n v="1"/>
    <n v="0"/>
    <s v="{&quot;post_id&quot;:null,&quot;profile_id&quot;:null,&quot;profile_name&quot;:null}"/>
    <s v="null"/>
    <s v="null"/>
    <s v="{&quot;data_posted&quot;:null,&quot;description&quot;:null,&quot;photos&quot;:null,&quot;post_id&quot;:null,&quot;profile_id&quot;:null,&quot;profile_name&quot;:null,&quot;url&quot;:null,&quot;videos&quot;:null}"/>
    <n v="53"/>
    <n v="4.799420447342208E-3"/>
    <d v="2024-12-15T00:00:00"/>
    <n v="0.81667824074074069"/>
    <x v="0"/>
    <x v="4"/>
    <x v="0"/>
    <x v="1"/>
    <x v="1"/>
    <x v="0"/>
    <n v="185"/>
    <x v="2"/>
  </r>
  <r>
    <n v="1.865986344238871E+18"/>
    <s v="NBA"/>
    <s v="NBA"/>
    <s v="@Bucks @hornets @MiamiHEAT @nuggets @OrlandoMagic @spurs Jaren Jackson Jr. does it on both ends as the @memgrizz win for the 9th time in 10 games!_x000a__x000a_Santi Aldama: 19 PTS, 5 AST, 3 BLK_x000a_Jay Huff: 17 PTS_x000a_Scotty Pippen Jr.: 14 PTS, 12 AST"/>
    <s v="&quot;2024-12-09T05:06:27.000Z&quot;"/>
    <s v="[&quot;https://pbs.twimg.com/media/GeVPoUVWUAAPvT9.jpg&quot;]"/>
    <s v="https://x.com/NBA/status/1865986344238870996"/>
    <s v="[{&quot;biography&quot;:null,&quot;followers&quot;:null,&quot;following&quot;:null,&quot;is_verified&quot;:null,&quot;profile_id&quot;:&quot;15900167&quot;,&quot;profile_name&quot;:&quot;Milwaukee Bucks&quot;,&quot;url&quot;:&quot;https://x.com/Bucks&quot;},{&quot;biography&quot;:null,&quot;followers&quot;:null,&quot;following&quot;:null,&quot;is_verified&quot;:null,&quot;profile_id&quot;:&quot;21308488&quot;,&quot;profile_name&quot;:&quot;Charlotte Hornets&quot;,&quot;url&quot;:&quot;https://x.com/hornets&quot;},{&quot;biography&quot;:null,&quot;followers&quot;:null,&quot;following&quot;:null,&quot;is_verified&quot;:null,&quot;profile_id&quot;:&quot;11026952&quot;,&quot;profile_name&quot;:&quot;Miami HEAT&quot;,&quot;url&quot;:&quot;https://x.com/MiamiHEAT&quot;},{&quot;biography&quot;:null,&quot;followers&quot;:null,&quot;following&quot;:null,&quot;is_verified&quot;:null,&quot;profile_id&quot;:&quot;26074296&quot;,&quot;profile_name&quot;:&quot;Denver Nuggets&quot;,&quot;url&quot;:&quot;https://x.com/nuggets&quot;},{&quot;biography&quot;:null,&quot;followers&quot;:null,&quot;following&quot;:null,&quot;is_verified&quot;:null,&quot;profile_id&quot;:&quot;19537303&quot;,&quot;profile_name&quot;:&quot;Orlando Magic&quot;,&quot;url&quot;:&quot;https://x.com/OrlandoMagic&quot;},{&quot;biography&quot;:null,&quot;followers&quot;:null,&quot;following&quot;:null,&quot;is_verified&quot;:null,&quot;profile_id&quot;:&quot;18371803&quot;,&quot;profile_name&quot;:&quot;San Antonio Spurs&quot;,&quot;url&quot;:&quot;https://x.com/spurs&quot;},{&quot;biography&quot;:null,&quot;followers&quot;:null,&quot;following&quot;:null,&quot;is_verified&quot;:null,&quot;profile_id&quot;:&quot;7117962&quot;,&quot;profile_name&quot;:&quot;Memphis Grizzlies&quot;,&quot;url&quot;:&quot;https://x.com/memgrizz&quot;}]"/>
    <n v="25"/>
    <n v="47"/>
    <n v="206"/>
    <n v="60111"/>
    <s v=""/>
    <s v="null"/>
    <n v="47706829"/>
    <s v="The #EmiratesNBACup Championship Game will take place Tuesday, 12/17 in Vegas! 🏆 8:30pm/et on ABC: Bucks/Thunder"/>
    <n v="367152"/>
    <s v="https://pbs.twimg.com/profile_images/1868174380468981760/m0FEipd2_normal.jpg"/>
    <n v="2012"/>
    <b v="0"/>
    <n v="5"/>
    <n v="5"/>
    <s v="{&quot;post_id&quot;:&quot;1865985070282018904&quot;,&quot;profile_id&quot;:&quot;19923144&quot;,&quot;profile_name&quot;:&quot;NBA&quot;}"/>
    <s v="null"/>
    <s v="null"/>
    <s v="{&quot;data_posted&quot;:null,&quot;description&quot;:null,&quot;photos&quot;:null,&quot;post_id&quot;:null,&quot;profile_id&quot;:null,&quot;profile_name&quot;:null,&quot;url&quot;:null,&quot;videos&quot;:null}"/>
    <n v="288"/>
    <n v="4.7911363976643213E-3"/>
    <d v="2024-12-09T00:00:00"/>
    <n v="0.21281249999999999"/>
    <x v="2"/>
    <x v="22"/>
    <x v="0"/>
    <x v="0"/>
    <x v="0"/>
    <x v="0"/>
    <n v="233"/>
    <x v="1"/>
  </r>
  <r>
    <n v="1.8681005993985065E+18"/>
    <s v="ufc"/>
    <s v="UFC"/>
    <s v="Flyweights looking to extend their win streaks 👊_x000a__x000a_@FearTheMAVERICK vs Jamey-Lyn Horth_x000a__x000a_[ #UFCTampa is LIVE on @ESPNPlus ]"/>
    <s v="&quot;2024-12-15T01:07:45.000Z&quot;"/>
    <s v="null"/>
    <s v="https://x.com/ufc/status/1868100599398506501"/>
    <s v="[{&quot;biography&quot;:null,&quot;followers&quot;:null,&quot;following&quot;:null,&quot;is_verified&quot;:null,&quot;profile_id&quot;:&quot;1314612088493535234&quot;,&quot;profile_name&quot;:&quot;Miranda Maverick&quot;,&quot;url&quot;:&quot;https://x.com/FearTheMAVERICK&quot;},{&quot;biography&quot;:null,&quot;followers&quot;:null,&quot;following&quot;:null,&quot;is_verified&quot;:null,&quot;profile_id&quot;:&quot;1044284694387412992&quot;,&quot;profile_name&quot;:&quot;ESPN+&quot;,&quot;url&quot;:&quot;https://x.com/ESPNPlus&quot;}]"/>
    <n v="45"/>
    <n v="27"/>
    <n v="369"/>
    <n v="101714"/>
    <s v=""/>
    <s v="[&quot;UFCTampa&quot;]"/>
    <n v="12876593"/>
    <s v="#UFCTampa | Covington vs Buckley | December 14 | 10pmET | LIVE on @ESPNPlus"/>
    <n v="141401"/>
    <s v="https://pbs.twimg.com/profile_images/1835773190385328128/4fVrF1UI_normal.jpg"/>
    <n v="717"/>
    <b v="0"/>
    <n v="8"/>
    <n v="34"/>
    <s v="{&quot;post_id&quot;:null,&quot;profile_id&quot;:null,&quot;profile_name&quot;:null}"/>
    <s v="null"/>
    <s v="[{&quot;duration&quot;:5472,&quot;video_url&quot;:&quot;https://video.twimg.com/ext_tw_video/1868068042862723072/pu/vid/avc1/718x720/WTt6OJFv1qJl7wbl.mp4?tag=12&quot;}]"/>
    <s v="{&quot;data_posted&quot;:null,&quot;description&quot;:null,&quot;photos&quot;:null,&quot;post_id&quot;:null,&quot;profile_id&quot;:null,&quot;profile_name&quot;:null,&quot;url&quot;:null,&quot;videos&quot;:null}"/>
    <n v="483"/>
    <n v="4.7486088444068661E-3"/>
    <d v="2024-12-15T00:00:00"/>
    <n v="4.704861111111111E-2"/>
    <x v="0"/>
    <x v="19"/>
    <x v="1"/>
    <x v="1"/>
    <x v="1"/>
    <x v="0"/>
    <n v="121"/>
    <x v="1"/>
  </r>
  <r>
    <n v="1.8682375105659292E+18"/>
    <s v="nyp███"/>
    <s v="New███rk ███t"/>
    <s v="Storms across US bring heavy snow in NY, dangerous ice and a tornado in California"/>
    <s v="&quot;2024-12-15T10:11:47.000Z&quot;"/>
    <s v="[&quot;https://pbs.twimg.com/media/Ge1QHZFXcAETy8r.jpg&quot;]"/>
    <s v="https://x.com/nypost/status/1868237510565929190"/>
    <s v="null"/>
    <n v="21"/>
    <n v="20"/>
    <n v="67"/>
    <n v="23955"/>
    <s v="https://trib.al/UrLJjhe"/>
    <s v="null"/>
    <n v="3313891"/>
    <s v="Breaking news &amp; features from The New York Post. Follow your favorite sections: @pagesix, @nypmetro, @nypostbiz, @nypostsports, @nypfashion, @nypostopinion"/>
    <n v="706459"/>
    <s v="https://pbs.twimg.com/profile_images/966372680306868224/60wfGe9e_normal.jpg"/>
    <n v="10308"/>
    <b v="0"/>
    <n v="1"/>
    <n v="4"/>
    <s v="{&quot;post_id&quot;:null,&quot;profile_id&quot;:null,&quot;profile_name&quot;:null}"/>
    <s v="null"/>
    <s v="null"/>
    <s v="{&quot;data_posted&quot;:null,&quot;description&quot;:null,&quot;photos&quot;:null,&quot;post_id&quot;:null,&quot;profile_id&quot;:null,&quot;profile_name&quot;:null,&quot;url&quot;:null,&quot;videos&quot;:null}"/>
    <n v="113"/>
    <n v="4.717178042162388E-3"/>
    <d v="2024-12-15T00:00:00"/>
    <n v="0.42484953703703704"/>
    <x v="0"/>
    <x v="17"/>
    <x v="0"/>
    <x v="0"/>
    <x v="0"/>
    <x v="0"/>
    <n v="82"/>
    <x v="0"/>
  </r>
  <r>
    <n v="1.8682118958841981E+18"/>
    <s v="Eve███n"/>
    <s v="Eve███n"/>
    <s v="The kit staff might not be happy 😅 but the lads had some early Christmas gifts for the travelling Blues after your magnificent support yesterday 💙_x000a__x000a_#ARSEVE"/>
    <s v="&quot;2024-12-15T08:30:00.000Z&quot;"/>
    <s v="null"/>
    <s v="https://x.com/Everton/status/1868211895884198139"/>
    <s v="null"/>
    <n v="34"/>
    <n v="73"/>
    <n v="2844"/>
    <n v="636324"/>
    <s v=""/>
    <s v="[&quot;ARSEVE&quot;]"/>
    <n v="3035293"/>
    <s v="1878 NSNO @EvertonWomen ⚽️ | @EFC_fanservices 💬 | @EvertonStadium 🏟 | @EITC 💙 | @EvertonAcademy 🎓 | @EvertonInUSA 🇺🇸 | @EvertonESP 🇪🇸 | @Everton_PT 🇵🇹"/>
    <n v="109936"/>
    <s v="https://pbs.twimg.com/profile_images/1856265205484752896/2rVJ3MLq_normal.jpg"/>
    <n v="244"/>
    <b v="0"/>
    <n v="8"/>
    <n v="32"/>
    <s v="{&quot;post_id&quot;:null,&quot;profile_id&quot;:null,&quot;profile_name&quot;:null}"/>
    <s v="null"/>
    <s v="[{&quot;duration&quot;:34865,&quot;video_url&quot;:&quot;https://video.twimg.com/amplify_video/1868035414864343040/vid/avc1/1080x1920/IhY6uI56VW5SUI5p.mp4?tag=16&quot;}]"/>
    <s v="{&quot;data_posted&quot;:null,&quot;description&quot;:null,&quot;photos&quot;:null,&quot;post_id&quot;:null,&quot;profile_id&quot;:null,&quot;profile_name&quot;:null,&quot;url&quot;:null,&quot;videos&quot;:null}"/>
    <n v="2991"/>
    <n v="4.7004356271333472E-3"/>
    <d v="2024-12-15T00:00:00"/>
    <n v="0.35416666666666669"/>
    <x v="0"/>
    <x v="6"/>
    <x v="1"/>
    <x v="1"/>
    <x v="1"/>
    <x v="0"/>
    <n v="155"/>
    <x v="0"/>
  </r>
  <r>
    <n v="1.8654008736624973E+18"/>
    <s v="kann"/>
    <s v="כאן"/>
    <s v="הרסת למישהו את החיים? עמרי אסנהיים @AssenOmri עונה בכנות_x000a__x000a_הערב #פגישה עם רוני קובן @ronikuban אחרי החדשות בכאן 11 ובכאן BOX"/>
    <s v="&quot;2024-12-07T14:20:00.000Z&quot;"/>
    <s v="null"/>
    <s v="https://x.com/kann/status/1865400873662497202"/>
    <s v="[{&quot;biography&quot;:null,&quot;followers&quot;:null,&quot;following&quot;:null,&quot;is_verified&quot;:null,&quot;profile_id&quot;:&quot;3016460737&quot;,&quot;profile_name&quot;:&quot;עמרי אסנהיים&quot;,&quot;url&quot;:&quot;https://x.com/AssenOmri&quot;},{&quot;biography&quot;:null,&quot;followers&quot;:null,&quot;following&quot;:null,&quot;is_verified&quot;:null,&quot;profile_id&quot;:&quot;310423509&quot;,&quot;profile_name&quot;:&quot;roni kuban רוני קובן&quot;,&quot;url&quot;:&quot;https://x.com/ronikuban&quot;}]"/>
    <n v="3"/>
    <n v="1"/>
    <n v="15"/>
    <n v="4689"/>
    <s v=""/>
    <s v="[&quot;פגישה&quot;]"/>
    <n v="182895"/>
    <s v="אנחנו כאן ❤️"/>
    <n v="30781"/>
    <s v="https://pbs.twimg.com/profile_images/1843516623740633088/WbeaAr02_normal.jpg"/>
    <n v="559"/>
    <b v="0"/>
    <n v="1"/>
    <n v="2"/>
    <s v="{&quot;post_id&quot;:null,&quot;profile_id&quot;:null,&quot;profile_name&quot;:null}"/>
    <s v="null"/>
    <s v="[{&quot;duration&quot;:66833,&quot;video_url&quot;:&quot;https://video.twimg.com/amplify_video/1864618188954025984/vid/avc1/848x464/EHE8rBC0TctSj6zu.mp4?tag=14&quot;}]"/>
    <s v="{&quot;data_posted&quot;:null,&quot;description&quot;:null,&quot;photos&quot;:null,&quot;post_id&quot;:null,&quot;profile_id&quot;:null,&quot;profile_name&quot;:null,&quot;url&quot;:null,&quot;videos&quot;:null}"/>
    <n v="22"/>
    <n v="4.6918319471102579E-3"/>
    <d v="2024-12-07T00:00:00"/>
    <n v="0.59722222222222221"/>
    <x v="5"/>
    <x v="1"/>
    <x v="1"/>
    <x v="1"/>
    <x v="1"/>
    <x v="0"/>
    <n v="123"/>
    <x v="2"/>
  </r>
  <r>
    <n v="1.8682192074495104E+18"/>
    <s v="kbe███cho███"/>
    <s v="K. ███rsc███ V.███"/>
    <s v="Get your ᴍᴀᴛᴄʜᴡᴏʀɴꜱʜɪʀᴛ via"/>
    <s v="&quot;2024-12-15T08:59:03.000Z&quot;"/>
    <s v="[&quot;https://pbs.twimg.com/media/Ge0_d6BW8AAwh9u.jpg&quot;,&quot;https://pbs.twimg.com/media/Ge0_d6CXwAAoehp.jpg&quot;]"/>
    <s v="https://x.com/kbeerschotva/status/1868219207449510309"/>
    <s v="null"/>
    <n v="5"/>
    <n v="5"/>
    <n v="40"/>
    <n v="12256"/>
    <s v="https://www.matchwornshirt.com/nl/category/beerschot"/>
    <s v="[&quot;WeAre13&quot;]"/>
    <n v="29878"/>
    <s v="Official Account of K. Beerschot V.A. | 7x Belgian Champions 🏅 | 3x Cup winners 🏆 | Jupiler Pro League Club | #WeAre13"/>
    <n v="16686"/>
    <s v="https://pbs.twimg.com/profile_images/1717553656789114880/qiraDp9S_normal.jpg"/>
    <n v="81"/>
    <b v="0"/>
    <n v="4"/>
    <n v="3"/>
    <s v="{&quot;post_id&quot;:null,&quot;profile_id&quot;:null,&quot;profile_name&quot;:null}"/>
    <s v="null"/>
    <s v="null"/>
    <s v="{&quot;data_posted&quot;:null,&quot;description&quot;:null,&quot;photos&quot;:null,&quot;post_id&quot;:null,&quot;profile_id&quot;:null,&quot;profile_name&quot;:null,&quot;url&quot;:null,&quot;videos&quot;:null}"/>
    <n v="57"/>
    <n v="4.6507832898172322E-3"/>
    <d v="2024-12-15T00:00:00"/>
    <n v="0.37434027777777779"/>
    <x v="0"/>
    <x v="6"/>
    <x v="0"/>
    <x v="0"/>
    <x v="1"/>
    <x v="0"/>
    <n v="27"/>
    <x v="3"/>
  </r>
  <r>
    <n v="1.8683442879575946E+18"/>
    <s v="nyp███"/>
    <s v="New███rk ███t"/>
    <s v="Stop the in-Santa-ty! Army of 50 inflatable Santas take over town"/>
    <s v="&quot;2024-12-15T17:16:05.000Z&quot;"/>
    <s v="null"/>
    <s v="https://x.com/nypost/status/1868344287957594505"/>
    <s v="null"/>
    <n v="23"/>
    <n v="24"/>
    <n v="116"/>
    <n v="39986"/>
    <s v="https://trib.al/cHmEAa0"/>
    <s v="null"/>
    <n v="3313888"/>
    <s v="Breaking news &amp; features from The New York Post. Follow your favorite sections: @pagesix, @nypmetro, @nypostbiz, @nypostsports, @nypfashion, @nypostopinion"/>
    <n v="706459"/>
    <s v="https://pbs.twimg.com/profile_images/966372680306868224/60wfGe9e_normal.jpg"/>
    <n v="10308"/>
    <b v="0"/>
    <n v="8"/>
    <n v="14"/>
    <s v="{&quot;post_id&quot;:null,&quot;profile_id&quot;:null,&quot;profile_name&quot;:null}"/>
    <s v="null"/>
    <s v="[{&quot;duration&quot;:60060,&quot;video_url&quot;:&quot;https://video.twimg.com/amplify_video/1867284991022899200/vid/avc1/1080x1920/12sikuFSlzkYM8GM.mp4?tag=16&quot;}]"/>
    <s v="{&quot;data_posted&quot;:null,&quot;description&quot;:null,&quot;photos&quot;:null,&quot;post_id&quot;:null,&quot;profile_id&quot;:null,&quot;profile_name&quot;:null,&quot;url&quot;:null,&quot;videos&quot;:null}"/>
    <n v="185"/>
    <n v="4.626619316760866E-3"/>
    <d v="2024-12-15T00:00:00"/>
    <n v="0.71950231481481486"/>
    <x v="0"/>
    <x v="12"/>
    <x v="1"/>
    <x v="1"/>
    <x v="0"/>
    <x v="0"/>
    <n v="65"/>
    <x v="0"/>
  </r>
  <r>
    <n v="1.868318768738304E+18"/>
    <s v="nyp███"/>
    <s v="New███rk ███t"/>
    <s v="Billie Eilish gets hit in the face by a necklace while performing at Arizona concert"/>
    <s v="&quot;2024-12-15T15:34:40.000Z&quot;"/>
    <s v="[&quot;https://pbs.twimg.com/media/Ge2aBNPWcAA0ChZ.jpg&quot;]"/>
    <s v="https://x.com/nypost/status/1868318768738304042"/>
    <s v="null"/>
    <n v="64"/>
    <n v="8"/>
    <n v="79"/>
    <n v="35323"/>
    <s v="https://trib.al/EH1HCjo"/>
    <s v="null"/>
    <n v="3313889"/>
    <s v="Breaking news &amp; features from The New York Post. Follow your favorite sections: @pagesix, @nypmetro, @nypostbiz, @nypostsports, @nypfashion, @nypostopinion"/>
    <n v="706459"/>
    <s v="https://pbs.twimg.com/profile_images/966372680306868224/60wfGe9e_normal.jpg"/>
    <n v="10308"/>
    <b v="0"/>
    <n v="7"/>
    <n v="5"/>
    <s v="{&quot;post_id&quot;:null,&quot;profile_id&quot;:null,&quot;profile_name&quot;:null}"/>
    <s v="null"/>
    <s v="null"/>
    <s v="{&quot;data_posted&quot;:null,&quot;description&quot;:null,&quot;photos&quot;:null,&quot;post_id&quot;:null,&quot;profile_id&quot;:null,&quot;profile_name&quot;:null,&quot;url&quot;:null,&quot;videos&quot;:null}"/>
    <n v="163"/>
    <n v="4.6145570874501036E-3"/>
    <d v="2024-12-15T00:00:00"/>
    <n v="0.64907407407407403"/>
    <x v="0"/>
    <x v="13"/>
    <x v="0"/>
    <x v="0"/>
    <x v="0"/>
    <x v="0"/>
    <n v="84"/>
    <x v="0"/>
  </r>
  <r>
    <n v="1.868084396655264E+18"/>
    <s v="nyp███"/>
    <s v="New███rk ███t"/>
    <s v="Navy upsets No. 22 Army with dominant win thanks to huge day from Blake Horvath"/>
    <s v="&quot;2024-12-15T00:03:22.000Z&quot;"/>
    <s v="[&quot;https://pbs.twimg.com/media/GezE2-PWkAAK-gg.jpg&quot;]"/>
    <s v="https://x.com/nypost/status/1868084396655263960"/>
    <s v="null"/>
    <n v="19"/>
    <n v="9"/>
    <n v="94"/>
    <n v="26899"/>
    <s v="https://trib.al/VSVSJY9"/>
    <s v="null"/>
    <n v="3313898"/>
    <s v="Breaking news &amp; features from The New York Post. Follow your favorite sections: @pagesix, @nypmetro, @nypostbiz, @nypostsports, @nypfashion, @nypostopinion"/>
    <n v="706459"/>
    <s v="https://pbs.twimg.com/profile_images/966372680306868224/60wfGe9e_normal.jpg"/>
    <n v="10308"/>
    <b v="0"/>
    <n v="1"/>
    <n v="1"/>
    <s v="{&quot;post_id&quot;:null,&quot;profile_id&quot;:null,&quot;profile_name&quot;:null}"/>
    <s v="null"/>
    <s v="null"/>
    <s v="{&quot;data_posted&quot;:null,&quot;description&quot;:null,&quot;photos&quot;:null,&quot;post_id&quot;:null,&quot;profile_id&quot;:null,&quot;profile_name&quot;:null,&quot;url&quot;:null,&quot;videos&quot;:null}"/>
    <n v="124"/>
    <n v="4.6098367969069484E-3"/>
    <d v="2024-12-15T00:00:00"/>
    <n v="2.3379629629629631E-3"/>
    <x v="0"/>
    <x v="5"/>
    <x v="0"/>
    <x v="0"/>
    <x v="0"/>
    <x v="0"/>
    <n v="79"/>
    <x v="0"/>
  </r>
  <r>
    <n v="1.8684015870829773E+18"/>
    <s v="PGA███R"/>
    <s v="PGA███UR"/>
    <s v="Dream team 🏆_x000a__x000a_@KnappTime_LTD and Patty Tavatanakit win the @GTInvitational!"/>
    <s v="&quot;2024-12-15T21:03:46.000Z&quot;"/>
    <s v="[&quot;https://pbs.twimg.com/media/Ge3lQg3XQAAcAQ8.jpg&quot;]"/>
    <s v="https://x.com/PGATOUR/status/1868401587082977397"/>
    <s v="[{&quot;biography&quot;:null,&quot;followers&quot;:null,&quot;following&quot;:null,&quot;is_verified&quot;:null,&quot;profile_id&quot;:&quot;357364051&quot;,&quot;profile_name&quot;:&quot;Jake Knapp&quot;,&quot;url&quot;:&quot;https://x.com/knapptime_LTD&quot;},{&quot;biography&quot;:null,&quot;followers&quot;:null,&quot;following&quot;:null,&quot;is_verified&quot;:null,&quot;profile_id&quot;:&quot;612661873&quot;,&quot;profile_name&quot;:&quot;Grant Thornton Invitational&quot;,&quot;url&quot;:&quot;https://x.com/gtinvitational&quot;}]"/>
    <n v="6"/>
    <n v="41"/>
    <n v="306"/>
    <n v="77236"/>
    <s v=""/>
    <s v="null"/>
    <n v="2999631"/>
    <s v="🏌️‍♂️ @KornFerryTour | 🏌️ @ChampionsTour | 📝 @PGATOURComms | 🖥 @PGATOURLIVE | 🎓 @PGATOURU | 🌎 @PGATOURAmericas | 🇪🇸 @PGATOUREsp"/>
    <n v="183050"/>
    <s v="https://pbs.twimg.com/profile_images/1749466889376473090/4nPDWTqB_normal.jpg"/>
    <n v="920"/>
    <b v="0"/>
    <n v="1"/>
    <n v="1"/>
    <s v="{&quot;post_id&quot;:null,&quot;profile_id&quot;:null,&quot;profile_name&quot;:null}"/>
    <s v="null"/>
    <s v="null"/>
    <s v="{&quot;data_posted&quot;:null,&quot;description&quot;:null,&quot;photos&quot;:null,&quot;post_id&quot;:null,&quot;profile_id&quot;:null,&quot;profile_name&quot;:null,&quot;url&quot;:null,&quot;videos&quot;:null}"/>
    <n v="355"/>
    <n v="4.5963022424776014E-3"/>
    <d v="2024-12-15T00:00:00"/>
    <n v="0.87761574074074078"/>
    <x v="0"/>
    <x v="10"/>
    <x v="0"/>
    <x v="0"/>
    <x v="0"/>
    <x v="0"/>
    <n v="75"/>
    <x v="0"/>
  </r>
  <r>
    <n v="1.8682782919013663E+18"/>
    <s v="Cel███FC"/>
    <s v="Cel███ Fo███all██████"/>
    <s v="🏆 Celtic take on Rangers this Sunday (December 15) in the Premier Sports Cup Final, and you can watch all the action live, with kick-off at 3:30pm._x000a__x000a_Watch the game LIVE on @PremSportsTV! 📺_x000a__x000a_Full info below ⤵_x000a__x000a_#CELRAN | #PremierSportsCup | #CelticFC🍀"/>
    <s v="&quot;2024-12-15T12:53:50.000Z&quot;"/>
    <s v="null"/>
    <s v="https://x.com/CelticFC/status/1868278291901366345"/>
    <s v="[{&quot;biography&quot;:null,&quot;followers&quot;:null,&quot;following&quot;:null,&quot;is_verified&quot;:null,&quot;profile_id&quot;:&quot;159582357&quot;,&quot;profile_name&quot;:&quot;Premier Sports&quot;,&quot;url&quot;:&quot;https://x.com/PremSportsTV&quot;}]"/>
    <n v="17"/>
    <n v="28"/>
    <n v="256"/>
    <n v="66427"/>
    <s v="https://www.celticfc.com/news/2024/december/13/watch-the-celtic-v-rangers-league-cup-final-on-premier-sports-/"/>
    <s v="[&quot;CELRAN&quot;,&quot;PremierSportsCup&quot;,&quot;CelticFC&quot;]"/>
    <n v="984256"/>
    <s v="Glasgow Celtic - 2023/24 Double Winners! 🍀🏆 🟢 @CelticFCWomen ⚪ @CelticFCB 🎌 @CelticFCJPN 📽 @CelticTV 🛒 @CelticFCShop 🎟 @CelticFCTickets"/>
    <n v="136135"/>
    <s v="https://pbs.twimg.com/profile_images/1808866900228665344/xZAZuYBY_normal.jpg"/>
    <n v="438"/>
    <b v="0"/>
    <n v="2"/>
    <n v="2"/>
    <s v="{&quot;post_id&quot;:null,&quot;profile_id&quot;:null,&quot;profile_name&quot;:null}"/>
    <s v="null"/>
    <s v="null"/>
    <s v="{&quot;data_posted&quot;:null,&quot;description&quot;:null,&quot;photos&quot;:null,&quot;post_id&quot;:null,&quot;profile_id&quot;:null,&quot;profile_name&quot;:null,&quot;url&quot;:null,&quot;videos&quot;:null}"/>
    <n v="305"/>
    <n v="4.5915064657443506E-3"/>
    <d v="2024-12-15T00:00:00"/>
    <n v="0.53738425925925926"/>
    <x v="0"/>
    <x v="0"/>
    <x v="0"/>
    <x v="1"/>
    <x v="1"/>
    <x v="0"/>
    <n v="249"/>
    <x v="2"/>
  </r>
  <r>
    <n v="1.8659913774665728E+18"/>
    <s v="NBA"/>
    <s v="NBA"/>
    <s v="@Bucks @hornets @MiamiHEAT @nuggets @OrlandoMagic @spurs @memgrizz @warriors Kevin Huerter leads a balanced attack as the @SacramentoKings roll at home!_x000a__x000a_De'Aaron Fox: 21 PTS, 9 AST_x000a_Domantas Sabonis: 19 PTS, 12 REB, 6 AST_x000a_DeMar DeRozan: 18 PTS, 4 AST_x000a_Doug McDermott: 18 PTS (6-7 3PM)_x000a_Malik Monk: 16 PTS"/>
    <s v="&quot;2024-12-09T05:26:27.000Z&quot;"/>
    <s v="[&quot;https://pbs.twimg.com/media/GeVUM-DWEAA6fjf.jpg&quot;]"/>
    <s v="https://x.com/NBA/status/1865991377466572874"/>
    <s v="[{&quot;biography&quot;:null,&quot;followers&quot;:null,&quot;following&quot;:null,&quot;is_verified&quot;:null,&quot;profile_id&quot;:&quot;15900167&quot;,&quot;profile_name&quot;:&quot;Milwaukee Bucks&quot;,&quot;url&quot;:&quot;https://x.com/Bucks&quot;},{&quot;biography&quot;:null,&quot;followers&quot;:null,&quot;following&quot;:null,&quot;is_verified&quot;:null,&quot;profile_id&quot;:&quot;21308488&quot;,&quot;profile_name&quot;:&quot;Charlotte Hornets&quot;,&quot;url&quot;:&quot;https://x.com/hornets&quot;},{&quot;biography&quot;:null,&quot;followers&quot;:null,&quot;following&quot;:null,&quot;is_verified&quot;:null,&quot;profile_id&quot;:&quot;11026952&quot;,&quot;profile_name&quot;:&quot;Miami HEAT&quot;,&quot;url&quot;:&quot;https://x.com/MiamiHEAT&quot;},{&quot;biography&quot;:null,&quot;followers&quot;:null,&quot;following&quot;:null,&quot;is_verified&quot;:null,&quot;profile_id&quot;:&quot;26074296&quot;,&quot;profile_name&quot;:&quot;Denver Nuggets&quot;,&quot;url&quot;:&quot;https://x.com/nuggets&quot;},{&quot;biography&quot;:null,&quot;followers&quot;:null,&quot;following&quot;:null,&quot;is_verified&quot;:null,&quot;profile_id&quot;:&quot;19537303&quot;,&quot;profile_name&quot;:&quot;Orlando Magic&quot;,&quot;url&quot;:&quot;https://x.com/OrlandoMagic&quot;},{&quot;biography&quot;:null,&quot;followers&quot;:null,&quot;following&quot;:null,&quot;is_verified&quot;:null,&quot;profile_id&quot;:&quot;18371803&quot;,&quot;profile_name&quot;:&quot;San Antonio Spurs&quot;,&quot;url&quot;:&quot;https://x.com/spurs&quot;},{&quot;biography&quot;:null,&quot;followers&quot;:null,&quot;following&quot;:null,&quot;is_verified&quot;:null,&quot;profile_id&quot;:&quot;7117962&quot;,&quot;profile_name&quot;:&quot;Memphis Grizzlies&quot;,&quot;url&quot;:&quot;https://x.com/memgrizz&quot;},{&quot;biography&quot;:null,&quot;followers&quot;:null,&quot;following&quot;:null,&quot;is_verified&quot;:null,&quot;profile_id&quot;:&quot;26270913&quot;,&quot;profile_name&quot;:&quot;Golden State Warriors&quot;,&quot;url&quot;:&quot;https://x.com/warriors&quot;},{&quot;biography&quot;:null,&quot;followers&quot;:null,&quot;following&quot;:null,&quot;is_verified&quot;:null,&quot;profile_id&quot;:&quot;667563&quot;,&quot;profile_name&quot;:&quot;Sacramento Kings&quot;,&quot;url&quot;:&quot;https://x.com/SacramentoKings&quot;}]"/>
    <n v="17"/>
    <n v="43"/>
    <n v="202"/>
    <n v="58633"/>
    <s v=""/>
    <s v="null"/>
    <n v="47707216"/>
    <s v="The #EmiratesNBACup Championship Game will take place Tuesday, 12/17 in Vegas! 🏆 8:30pm/et on ABC: Bucks/Thunder"/>
    <n v="367154"/>
    <s v="https://pbs.twimg.com/profile_images/1868174380468981760/m0FEipd2_normal.jpg"/>
    <n v="2012"/>
    <b v="0"/>
    <n v="2"/>
    <n v="5"/>
    <s v="{&quot;post_id&quot;:&quot;1865988846199898252&quot;,&quot;profile_id&quot;:&quot;19923144&quot;,&quot;profile_name&quot;:&quot;NBA&quot;}"/>
    <s v="null"/>
    <s v="null"/>
    <s v="{&quot;data_posted&quot;:null,&quot;description&quot;:null,&quot;photos&quot;:null,&quot;post_id&quot;:null,&quot;profile_id&quot;:null,&quot;profile_name&quot;:null,&quot;url&quot;:null,&quot;videos&quot;:null}"/>
    <n v="269"/>
    <n v="4.5878600787952178E-3"/>
    <d v="2024-12-09T00:00:00"/>
    <n v="0.22670138888888888"/>
    <x v="2"/>
    <x v="22"/>
    <x v="0"/>
    <x v="0"/>
    <x v="0"/>
    <x v="0"/>
    <n v="302"/>
    <x v="1"/>
  </r>
  <r>
    <n v="1.8684309293891054E+18"/>
    <s v="bil███ard███"/>
    <s v="bil███ard███"/>
    <s v="Taylor Swift’s Birthday Gift to Fans: A Quiet Release of These Behind-the-Scenes Videos"/>
    <s v="&quot;2024-12-15T23:00:21.000Z&quot;"/>
    <s v="null"/>
    <s v="https://x.com/billboard/status/1868430929389105388"/>
    <s v="null"/>
    <n v="3"/>
    <n v="7"/>
    <n v="51"/>
    <n v="14229"/>
    <s v="https://www.billboard.com/music/pop/taylor-swift-birthday-35-behind-the-scenes-videos-eras-archive-1235857085/?utm_campaign=trueanthem&amp;utm_medium=social&amp;utm_source=twitter"/>
    <s v="null"/>
    <n v="14257907"/>
    <s v="@billboardcharts • @billboardhiphop • @billboardlatin • @billboardfamily • @billboardpro • @shopbillboard • @billboarddance • @billboardpride"/>
    <n v="357584"/>
    <s v="https://pbs.twimg.com/profile_images/1696577202496966657/FhNkxqHF_normal.jpg"/>
    <n v="3784"/>
    <b v="0"/>
    <n v="1"/>
    <n v="3"/>
    <s v="{&quot;post_id&quot;:null,&quot;profile_id&quot;:null,&quot;profile_name&quot;:null}"/>
    <s v="[&quot;https://pbs.twimg.com/card_img/1868023434690625537/BTGXSVLl?format=jpg&amp;name=orig&quot;]"/>
    <s v="null"/>
    <s v="{&quot;data_posted&quot;:null,&quot;description&quot;:null,&quot;photos&quot;:null,&quot;post_id&quot;:null,&quot;profile_id&quot;:null,&quot;profile_name&quot;:null,&quot;url&quot;:null,&quot;videos&quot;:null}"/>
    <n v="65"/>
    <n v="4.5681354979267693E-3"/>
    <d v="2024-12-15T00:00:00"/>
    <n v="0.95857638888888885"/>
    <x v="0"/>
    <x v="7"/>
    <x v="0"/>
    <x v="1"/>
    <x v="0"/>
    <x v="0"/>
    <n v="87"/>
    <x v="1"/>
  </r>
  <r>
    <n v="1.8684286074518001E+18"/>
    <s v="Glo███ews███"/>
    <s v="Glo███ews███"/>
    <s v="Com o fim da ditadura Assad, muitos sírios consideram voltar para casa. 12 milhões fugiram desde o início da guerra civil, há 13 anos. Países europeus estão revendo políticas de refúgio a sírios._x000a__x000a_➡ Assista à #GloboNews:"/>
    <s v="&quot;2024-12-15T22:51:08.000Z&quot;"/>
    <s v="null"/>
    <s v="https://x.com/GloboNews/status/1868428607451799983"/>
    <s v="null"/>
    <n v="2"/>
    <n v="1"/>
    <n v="33"/>
    <n v="8369"/>
    <s v="http://glo.bo/39WjXAu"/>
    <s v="[&quot;GloboNews&quot;,&quot;GloboNewsInternacional&quot;]"/>
    <n v="5771758"/>
    <s v="Nunca desliga"/>
    <n v="222223"/>
    <s v="https://pbs.twimg.com/profile_images/1559102712435933185/mYnEVnNs_normal.jpg"/>
    <n v="122"/>
    <b v="0"/>
    <n v="1"/>
    <n v="1"/>
    <s v="{&quot;post_id&quot;:null,&quot;profile_id&quot;:null,&quot;profile_name&quot;:null}"/>
    <s v="null"/>
    <s v="[{&quot;duration&quot;:148167,&quot;video_url&quot;:&quot;https://video.twimg.com/amplify_video/1868428486072754176/vid/avc1/1920x1080/mbs1ZCAD9yOxeEoe.mp4?tag=16&quot;}]"/>
    <s v="{&quot;data_posted&quot;:null,&quot;description&quot;:null,&quot;photos&quot;:null,&quot;post_id&quot;:null,&quot;profile_id&quot;:null,&quot;profile_name&quot;:null,&quot;url&quot;:null,&quot;videos&quot;:null}"/>
    <n v="38"/>
    <n v="4.5405663759111002E-3"/>
    <d v="2024-12-15T00:00:00"/>
    <n v="0.95217592592592593"/>
    <x v="0"/>
    <x v="11"/>
    <x v="1"/>
    <x v="1"/>
    <x v="1"/>
    <x v="0"/>
    <n v="220"/>
    <x v="0"/>
  </r>
  <r>
    <n v="1.7387576436642491E+18"/>
    <s v="Nms███eRe███rch███"/>
    <s v="熊老大███ 兔友███B🐻███"/>
    <s v="#兔友迷惑行为"/>
    <s v="&quot;2023-12-24T03:05:01.000Z&quot;"/>
    <s v="[&quot;https://pbs.twimg.com/media/GCFO2yMawAA-5Ha.jpg&quot;]"/>
    <s v="https://x.com/NmsleseResearch/status/1738757643664248993"/>
    <s v="null"/>
    <n v="120"/>
    <n v="23"/>
    <n v="552"/>
    <n v="157958"/>
    <s v=""/>
    <s v="[&quot;兔友迷惑行为&quot;]"/>
    <n v="11185"/>
    <s v="推特兔友的迷惑行為收集處（晚安推除外）丨歡迎投稿"/>
    <n v="22677"/>
    <s v="https://pbs.twimg.com/profile_images/1866832536816795648/rAEgM1H5_normal.jpg"/>
    <n v="2557"/>
    <b v="0"/>
    <n v="4"/>
    <n v="18"/>
    <s v="{&quot;post_id&quot;:null,&quot;profile_id&quot;:null,&quot;profile_name&quot;:null}"/>
    <s v="null"/>
    <s v="null"/>
    <s v="{&quot;data_posted&quot;:null,&quot;description&quot;:null,&quot;photos&quot;:null,&quot;post_id&quot;:null,&quot;profile_id&quot;:null,&quot;profile_name&quot;:null,&quot;url&quot;:null,&quot;videos&quot;:null}"/>
    <n v="717"/>
    <n v="4.5391813013585889E-3"/>
    <d v="2023-12-24T00:00:00"/>
    <n v="0.1284837962962963"/>
    <x v="0"/>
    <x v="21"/>
    <x v="0"/>
    <x v="0"/>
    <x v="1"/>
    <x v="0"/>
    <n v="7"/>
    <x v="3"/>
  </r>
  <r>
    <n v="1.831121815961535E+18"/>
    <s v="xu9███583███"/>
    <s v="雪柔"/>
    <s v="这是被央视掐掉的一段视频，在当晚新闻联播5分多钟的专题报道里，未见播出。 邓小平在接见首都戒严部队军以上干部时的讲话，言语间都透出血腥来。_x000a_ 六四 #铭记p4"/>
    <s v="&quot;2024-09-04T00:07:16.000Z&quot;"/>
    <s v="null"/>
    <s v="https://x.com/xu96175836/status/1831121815961534933"/>
    <s v="null"/>
    <n v="323"/>
    <n v="688"/>
    <n v="4097"/>
    <n v="1515268"/>
    <s v=""/>
    <s v="[&quot;铭记p4&quot;]"/>
    <n v="76661"/>
    <s v="一个人的各种品性之中，德行是第一位的。_x000a_优良的品性是真正的财富，而衬显这品性的是良好的教养。"/>
    <n v="7251"/>
    <s v="https://pbs.twimg.com/profile_images/1690669189856444417/1SYUbSmR_normal.jpg"/>
    <n v="1497"/>
    <b v="0"/>
    <n v="35"/>
    <n v="1718"/>
    <s v="{&quot;post_id&quot;:null,&quot;profile_id&quot;:null,&quot;profile_name&quot;:null}"/>
    <s v="null"/>
    <s v="[{&quot;duration&quot;:43235,&quot;video_url&quot;:&quot;https://video.twimg.com/ext_tw_video/1831118589438693376/pu/vid/avc1/656x480/TgK3APKVp4ywXBaD.mp4?tag=12&quot;}]"/>
    <s v="{&quot;data_posted&quot;:null,&quot;description&quot;:null,&quot;photos&quot;:null,&quot;post_id&quot;:null,&quot;profile_id&quot;:null,&quot;profile_name&quot;:null,&quot;url&quot;:null,&quot;videos&quot;:null}"/>
    <n v="6861"/>
    <n v="4.5279118941335787E-3"/>
    <d v="2024-09-04T00:00:00"/>
    <n v="5.0462962962962961E-3"/>
    <x v="4"/>
    <x v="5"/>
    <x v="1"/>
    <x v="1"/>
    <x v="1"/>
    <x v="0"/>
    <n v="79"/>
    <x v="3"/>
  </r>
  <r>
    <n v="1.868348822046507E+18"/>
    <s v="Ran███sFC███"/>
    <s v="Ran███s F███bal█████████"/>
    <s v="Extra-Time is underway at Hampden._x000a__x000a_Come on #RangersFC 💙_x000a__x000a_📲 Follow live in our Match Hub:"/>
    <s v="&quot;2024-12-15T17:34:06.000Z&quot;"/>
    <s v="[&quot;https://pbs.twimg.com/media/Ge21HaaXcAEhJ10.jpg&quot;]"/>
    <s v="https://x.com/RangersFC/status/1868348822046507092"/>
    <s v="null"/>
    <n v="24"/>
    <n v="20"/>
    <n v="230"/>
    <n v="61203"/>
    <s v="https://rng.rs/Cup-Final"/>
    <s v="[&quot;RangersFC&quot;]"/>
    <n v="812163"/>
    <s v="The Home of #RangersFC 💙"/>
    <n v="110924"/>
    <s v="https://pbs.twimg.com/profile_images/1856633703734112256/PBlqGEwC_normal.jpg"/>
    <n v="322"/>
    <b v="0"/>
    <n v="0"/>
    <n v="1"/>
    <s v="{&quot;post_id&quot;:null,&quot;profile_id&quot;:null,&quot;profile_name&quot;:null}"/>
    <s v="null"/>
    <s v="null"/>
    <s v="{&quot;data_posted&quot;:null,&quot;description&quot;:null,&quot;photos&quot;:null,&quot;post_id&quot;:null,&quot;profile_id&quot;:null,&quot;profile_name&quot;:null,&quot;url&quot;:null,&quot;videos&quot;:null}"/>
    <n v="275"/>
    <n v="4.4932437952387959E-3"/>
    <d v="2024-12-15T00:00:00"/>
    <n v="0.73201388888888885"/>
    <x v="0"/>
    <x v="12"/>
    <x v="0"/>
    <x v="0"/>
    <x v="1"/>
    <x v="0"/>
    <n v="89"/>
    <x v="2"/>
  </r>
  <r>
    <n v="1.8660014539925302E+18"/>
    <s v="NBA"/>
    <s v="NBA"/>
    <s v="@Bucks @hornets @MiamiHEAT @nuggets @OrlandoMagic @spurs @memgrizz @warriors @SacramentoKings @HoustonRockets Anthony Davis dominates the paint as the @Lakers win in LA!_x000a__x000a_D'Angelo Russell: 28 PTS, 14 AST_x000a_Rui Hachimura: 23 PTS (9-13 FGM), 4 STL"/>
    <s v="&quot;2024-12-09T06:06:29.000Z&quot;"/>
    <s v="[&quot;https://pbs.twimg.com/media/GeVeZ1iW4AAETRw.jpg&quot;]"/>
    <s v="https://x.com/NBA/status/1866001453992530185"/>
    <s v="[{&quot;biography&quot;:null,&quot;followers&quot;:null,&quot;following&quot;:null,&quot;is_verified&quot;:null,&quot;profile_id&quot;:&quot;15900167&quot;,&quot;profile_name&quot;:&quot;Milwaukee Bucks&quot;,&quot;url&quot;:&quot;https://x.com/Bucks&quot;},{&quot;biography&quot;:null,&quot;followers&quot;:null,&quot;following&quot;:null,&quot;is_verified&quot;:null,&quot;profile_id&quot;:&quot;21308488&quot;,&quot;profile_name&quot;:&quot;Charlotte Hornets&quot;,&quot;url&quot;:&quot;https://x.com/hornets&quot;},{&quot;biography&quot;:null,&quot;followers&quot;:null,&quot;following&quot;:null,&quot;is_verified&quot;:null,&quot;profile_id&quot;:&quot;11026952&quot;,&quot;profile_name&quot;:&quot;Miami HEAT&quot;,&quot;url&quot;:&quot;https://x.com/MiamiHEAT&quot;},{&quot;biography&quot;:null,&quot;followers&quot;:null,&quot;following&quot;:null,&quot;is_verified&quot;:null,&quot;profile_id&quot;:&quot;26074296&quot;,&quot;profile_name&quot;:&quot;Denver Nuggets&quot;,&quot;url&quot;:&quot;https://x.com/nuggets&quot;},{&quot;biography&quot;:null,&quot;followers&quot;:null,&quot;following&quot;:null,&quot;is_verified&quot;:null,&quot;profile_id&quot;:&quot;19537303&quot;,&quot;profile_name&quot;:&quot;Orlando Magic&quot;,&quot;url&quot;:&quot;https://x.com/OrlandoMagic&quot;},{&quot;biography&quot;:null,&quot;followers&quot;:null,&quot;following&quot;:null,&quot;is_verified&quot;:null,&quot;profile_id&quot;:&quot;18371803&quot;,&quot;profile_name&quot;:&quot;San Antonio Spurs&quot;,&quot;url&quot;:&quot;https://x.com/spurs&quot;},{&quot;biography&quot;:null,&quot;followers&quot;:null,&quot;following&quot;:null,&quot;is_verified&quot;:null,&quot;profile_id&quot;:&quot;7117962&quot;,&quot;profile_name&quot;:&quot;Memphis Grizzlies&quot;,&quot;url&quot;:&quot;https://x.com/memgrizz&quot;},{&quot;biography&quot;:null,&quot;followers&quot;:null,&quot;following&quot;:null,&quot;is_verified&quot;:null,&quot;profile_id&quot;:&quot;26270913&quot;,&quot;profile_name&quot;:&quot;Golden State Warriors&quot;,&quot;url&quot;:&quot;https://x.com/warriors&quot;},{&quot;biography&quot;:null,&quot;followers&quot;:null,&quot;following&quot;:null,&quot;is_verified&quot;:null,&quot;profile_id&quot;:&quot;667563&quot;,&quot;profile_name&quot;:&quot;Sacramento Kings&quot;,&quot;url&quot;:&quot;https://x.com/SacramentoKings&quot;},{&quot;biography&quot;:null,&quot;followers&quot;:null,&quot;following&quot;:null,&quot;is_verified&quot;:null,&quot;profile_id&quot;:&quot;19077044&quot;,&quot;profile_name&quot;:&quot;Houston Rockets&quot;,&quot;url&quot;:&quot;https://x.com/HoustonRockets&quot;},{&quot;biography&quot;:null,&quot;followers&quot;:null,&quot;following&quot;:null,&quot;is_verified&quot;:null,&quot;profile_id&quot;:&quot;20346956&quot;,&quot;profile_name&quot;:&quot;Los Angeles Lakers&quot;,&quot;url&quot;:&quot;https://x.com/Lakers&quot;}]"/>
    <n v="17"/>
    <n v="69"/>
    <n v="473"/>
    <n v="130773"/>
    <s v=""/>
    <s v="null"/>
    <n v="47705382"/>
    <s v="The #EmiratesNBACup Championship Game will take place Tuesday, 12/17 in Vegas! 🏆 8:30pm/et on ABC: Bucks/Thunder"/>
    <n v="367157"/>
    <s v="https://pbs.twimg.com/profile_images/1868174380468981760/m0FEipd2_normal.jpg"/>
    <n v="2012"/>
    <b v="0"/>
    <n v="5"/>
    <n v="9"/>
    <s v="{&quot;post_id&quot;:&quot;1865997739303063765&quot;,&quot;profile_id&quot;:&quot;19923144&quot;,&quot;profile_name&quot;:&quot;NBA&quot;}"/>
    <s v="null"/>
    <s v="null"/>
    <s v="{&quot;data_posted&quot;:null,&quot;description&quot;:null,&quot;photos&quot;:null,&quot;post_id&quot;:null,&quot;profile_id&quot;:null,&quot;profile_name&quot;:null,&quot;url&quot;:null,&quot;videos&quot;:null}"/>
    <n v="573"/>
    <n v="4.3816384115987249E-3"/>
    <d v="2024-12-09T00:00:00"/>
    <n v="0.25450231481481483"/>
    <x v="2"/>
    <x v="23"/>
    <x v="0"/>
    <x v="0"/>
    <x v="0"/>
    <x v="0"/>
    <n v="243"/>
    <x v="1"/>
  </r>
  <r>
    <n v="1.8684171065150013E+18"/>
    <s v="Dim███r"/>
    <s v="DIM███R"/>
    <s v="¿Preparados? ¿Listos?_x000a__x000a_¡Inicia el partido de Vuelta de la Final de la #CopaBetPlayDIMAYOR 2024 entre @AmericadeCali y @nacionaloficial!👏🏼_x000a__x000a_AME 0 - 0 NAC_x000a__x000a_#LaPasiónDeMillones"/>
    <s v="&quot;2024-12-15T22:05:26.000Z&quot;"/>
    <s v="[&quot;https://pbs.twimg.com/media/Ge3v5WgXEAA6onK.jpg&quot;]"/>
    <s v="https://x.com/Dimayor/status/1868417106515001448"/>
    <s v="[{&quot;biography&quot;:null,&quot;followers&quot;:null,&quot;following&quot;:null,&quot;is_verified&quot;:null,&quot;profile_id&quot;:&quot;557927601&quot;,&quot;profile_name&quot;:&quot;América de Cali&quot;,&quot;url&quot;:&quot;https://x.com/AmericadeCali&quot;},{&quot;biography&quot;:null,&quot;followers&quot;:null,&quot;following&quot;:null,&quot;is_verified&quot;:null,&quot;profile_id&quot;:&quot;177641139&quot;,&quot;profile_name&quot;:&quot;Atlético Nacional&quot;,&quot;url&quot;:&quot;https://x.com/nacionaloficial&quot;}]"/>
    <n v="68"/>
    <n v="2"/>
    <n v="22"/>
    <n v="21490"/>
    <s v=""/>
    <s v="[&quot;CopaBetPlayDIMAYOR&quot;,&quot;LaPasiónDeMillones&quot;]"/>
    <n v="1511302"/>
    <s v="Cuenta oficial de la División Mayor del Fútbol Colombiano - 𝐃𝐈𝐌𝐀𝐘𝐎𝐑 || LigaBetPlay🏆LigaFemeninaBetPlay🏆 TorneoBetPlay🏆 CopaBetPlay🏆 || 𝟐𝟎𝟐𝟒 ||"/>
    <n v="56647"/>
    <s v="https://pbs.twimg.com/profile_images/1741738883782500353/WefLAabU_normal.jpg"/>
    <n v="80"/>
    <b v="0"/>
    <n v="0"/>
    <n v="2"/>
    <s v="{&quot;post_id&quot;:null,&quot;profile_id&quot;:null,&quot;profile_name&quot;:null}"/>
    <s v="null"/>
    <s v="null"/>
    <s v="{&quot;data_posted&quot;:null,&quot;description&quot;:null,&quot;photos&quot;:null,&quot;post_id&quot;:null,&quot;profile_id&quot;:null,&quot;profile_name&quot;:null,&quot;url&quot;:null,&quot;videos&quot;:null}"/>
    <n v="94"/>
    <n v="4.3741275011633315E-3"/>
    <d v="2024-12-15T00:00:00"/>
    <n v="0.92043981481481485"/>
    <x v="0"/>
    <x v="11"/>
    <x v="0"/>
    <x v="0"/>
    <x v="1"/>
    <x v="0"/>
    <n v="173"/>
    <x v="0"/>
  </r>
  <r>
    <n v="1.8683883011675633E+18"/>
    <s v="nyp███"/>
    <s v="New███rk ███t"/>
    <s v="Pollster Ann Selzer hits back at criticisms over infamous Iowa survey: ‘They are accusing me of a crime’"/>
    <s v="&quot;2024-12-15T20:10:58.000Z&quot;"/>
    <s v="[&quot;https://pbs.twimg.com/media/Ge3ZQjrXgAA2Puq.jpg&quot;]"/>
    <s v="https://x.com/nypost/status/1868388301167563217"/>
    <s v="null"/>
    <n v="61"/>
    <n v="7"/>
    <n v="56"/>
    <n v="30294"/>
    <s v="https://trib.al/ydCwnlD"/>
    <s v="null"/>
    <n v="3313890"/>
    <s v="Breaking news &amp; features from The New York Post. Follow your favorite sections: @pagesix, @nypmetro, @nypostbiz, @nypostsports, @nypfashion, @nypostopinion"/>
    <n v="706459"/>
    <s v="https://pbs.twimg.com/profile_images/966372680306868224/60wfGe9e_normal.jpg"/>
    <n v="10308"/>
    <b v="0"/>
    <n v="4"/>
    <n v="3"/>
    <s v="{&quot;post_id&quot;:null,&quot;profile_id&quot;:null,&quot;profile_name&quot;:null}"/>
    <s v="null"/>
    <s v="null"/>
    <s v="{&quot;data_posted&quot;:null,&quot;description&quot;:null,&quot;photos&quot;:null,&quot;post_id&quot;:null,&quot;profile_id&quot;:null,&quot;profile_name&quot;:null,&quot;url&quot;:null,&quot;videos&quot;:null}"/>
    <n v="131"/>
    <n v="4.3242886380141284E-3"/>
    <d v="2024-12-15T00:00:00"/>
    <n v="0.84094907407407404"/>
    <x v="0"/>
    <x v="3"/>
    <x v="0"/>
    <x v="0"/>
    <x v="0"/>
    <x v="0"/>
    <n v="104"/>
    <x v="0"/>
  </r>
  <r>
    <n v="1.8683526108785626E+18"/>
    <s v="Met███ole███"/>
    <s v="Met███ole███"/>
    <s v="➡️ Vivendo &quot;fora do sistema&quot; em Paris _x000a__x000a_Casal vive em miniapartmento que eles chamam de &quot;biosfera urbana&quot;: um ambiente autossuficiente onde quase tudo é feito à mão. Em 26 metros quadrados, tem espaço para cozinhar, comer e cultivar plantas. _x000a__x000a_➡️ Veja no vídeo da @dw_brasil, parceira do Metrópoles"/>
    <s v="&quot;2024-12-15T17:49:09.000Z&quot;"/>
    <s v="null"/>
    <s v="https://x.com/Metropoles/status/1868352610878562538"/>
    <s v="[{&quot;biography&quot;:null,&quot;followers&quot;:null,&quot;following&quot;:null,&quot;is_verified&quot;:null,&quot;profile_id&quot;:&quot;6135602&quot;,&quot;profile_name&quot;:&quot;DW Brasil&quot;,&quot;url&quot;:&quot;https://x.com/dw_brasil&quot;}]"/>
    <n v="6"/>
    <n v="7"/>
    <n v="23"/>
    <n v="10422"/>
    <s v=""/>
    <s v="null"/>
    <n v="1239618"/>
    <s v="📱 O seu portal de notícias. Tudo sobre política, saúde, justiça, comportamento, entretenimento. Confira os fatos relevantes do país e do mundo em tempo real."/>
    <n v="402839"/>
    <s v="https://pbs.twimg.com/profile_images/1642966741138415647/fHdgQUGl_normal.jpg"/>
    <n v="1644"/>
    <b v="0"/>
    <n v="1"/>
    <n v="8"/>
    <s v="{&quot;post_id&quot;:null,&quot;profile_id&quot;:null,&quot;profile_name&quot;:null}"/>
    <s v="null"/>
    <s v="[{&quot;duration&quot;:47760,&quot;video_url&quot;:&quot;https://video.twimg.com/ext_tw_video/1868352529102254080/pu/vid/avc1/720x1280/MWdF_Cd2DUA0hNAk.mp4?tag=12&quot;}]"/>
    <s v="{&quot;data_posted&quot;:null,&quot;description&quot;:null,&quot;photos&quot;:null,&quot;post_id&quot;:null,&quot;profile_id&quot;:null,&quot;profile_name&quot;:null,&quot;url&quot;:null,&quot;videos&quot;:null}"/>
    <n v="45"/>
    <n v="4.3177892918825561E-3"/>
    <d v="2024-12-15T00:00:00"/>
    <n v="0.74246527777777782"/>
    <x v="0"/>
    <x v="12"/>
    <x v="1"/>
    <x v="1"/>
    <x v="0"/>
    <x v="0"/>
    <n v="298"/>
    <x v="0"/>
  </r>
  <r>
    <n v="1.8683510215938993E+18"/>
    <s v="nyp███"/>
    <s v="New███rk ███t"/>
    <s v="This oddball food combo is taking TikTok by storm"/>
    <s v="&quot;2024-12-15T17:42:50.000Z&quot;"/>
    <s v="[&quot;https://pbs.twimg.com/media/Ge23WnQXgAAU9Qq.jpg&quot;]"/>
    <s v="https://x.com/nypost/status/1868351021593899195"/>
    <s v="null"/>
    <n v="53"/>
    <n v="8"/>
    <n v="66"/>
    <n v="32695"/>
    <s v="https://trib.al/cpwwqQ2"/>
    <s v="null"/>
    <n v="3313887"/>
    <s v="Breaking news &amp; features from The New York Post. Follow your favorite sections: @pagesix, @nypmetro, @nypostbiz, @nypostsports, @nypfashion, @nypostopinion"/>
    <n v="706459"/>
    <s v="https://pbs.twimg.com/profile_images/966372680306868224/60wfGe9e_normal.jpg"/>
    <n v="10308"/>
    <b v="0"/>
    <n v="6"/>
    <n v="8"/>
    <s v="{&quot;post_id&quot;:null,&quot;profile_id&quot;:null,&quot;profile_name&quot;:null}"/>
    <s v="null"/>
    <s v="null"/>
    <s v="{&quot;data_posted&quot;:null,&quot;description&quot;:null,&quot;photos&quot;:null,&quot;post_id&quot;:null,&quot;profile_id&quot;:null,&quot;profile_name&quot;:null,&quot;url&quot;:null,&quot;videos&quot;:null}"/>
    <n v="141"/>
    <n v="4.3125860223275731E-3"/>
    <d v="2024-12-15T00:00:00"/>
    <n v="0.73807870370370365"/>
    <x v="0"/>
    <x v="12"/>
    <x v="0"/>
    <x v="0"/>
    <x v="0"/>
    <x v="0"/>
    <n v="49"/>
    <x v="0"/>
  </r>
  <r>
    <n v="1.8682999241918139E+18"/>
    <s v="nyp███"/>
    <s v="New███rk ███t"/>
    <s v="Jets to interview Jon Robinson, ESPN’s Louis Riddick for GM job"/>
    <s v="&quot;2024-12-15T14:19:47.000Z&quot;"/>
    <s v="[&quot;https://pbs.twimg.com/media/Ge2I4UxXoAAZunV.jpg&quot;]"/>
    <s v="https://x.com/nypost/status/1868299924191813930"/>
    <s v="null"/>
    <n v="84"/>
    <n v="3"/>
    <n v="18"/>
    <n v="24847"/>
    <s v="https://trib.al/NIy8kB8"/>
    <s v="null"/>
    <n v="3313890"/>
    <s v="Breaking news &amp; features from The New York Post. Follow your favorite sections: @pagesix, @nypmetro, @nypostbiz, @nypostsports, @nypfashion, @nypostopinion"/>
    <n v="706459"/>
    <s v="https://pbs.twimg.com/profile_images/966372680306868224/60wfGe9e_normal.jpg"/>
    <n v="10308"/>
    <b v="0"/>
    <n v="1"/>
    <n v="1"/>
    <s v="{&quot;post_id&quot;:null,&quot;profile_id&quot;:null,&quot;profile_name&quot;:null}"/>
    <s v="null"/>
    <s v="null"/>
    <s v="{&quot;data_posted&quot;:null,&quot;description&quot;:null,&quot;photos&quot;:null,&quot;post_id&quot;:null,&quot;profile_id&quot;:null,&quot;profile_name&quot;:null,&quot;url&quot;:null,&quot;videos&quot;:null}"/>
    <n v="107"/>
    <n v="4.3063548919386645E-3"/>
    <d v="2024-12-15T00:00:00"/>
    <n v="0.59707175925925926"/>
    <x v="0"/>
    <x v="1"/>
    <x v="0"/>
    <x v="0"/>
    <x v="0"/>
    <x v="0"/>
    <n v="63"/>
    <x v="0"/>
  </r>
  <r>
    <n v="1.8310844765392202E+18"/>
    <s v="LUO███NGZ███"/>
    <s v="罗翔"/>
    <s v="中共又搞文字狱！_x000a_西北大学骂共产党、马克思主义的学生被判刑8年！_x000a_给你们讲个笑话：中国是个言论自由的国家！_x000a_2024年8月27日，中国陕西西安，西北大学的《马克思主义原理》课上，有学生大喊：“我不信共产主义，我也不喜欢他妈的共产党，学这些傻B理论我很烦！”"/>
    <s v="&quot;2024-09-03T21:38:53.000Z&quot;"/>
    <s v="[&quot;https://pbs.twimg.com/media/GWlRaVOWwAAZkDG.jpg&quot;]"/>
    <s v="https://x.com/LUOXIANGZY/status/1831084476539220196"/>
    <s v="null"/>
    <n v="1557"/>
    <n v="814"/>
    <n v="3574"/>
    <n v="1610328"/>
    <s v=""/>
    <s v="null"/>
    <n v="303062"/>
    <s v="爆料邮箱：hshen606@gmail.com， WhatsApp：+1 9298239824。专门爆料各种不平之事！此账号为唯一账号！（免费向国内民运人士提供西班牙非盈利居留办理教程，仅限Whatsapp联系提供帮助资料）！"/>
    <n v="24240"/>
    <s v="https://pbs.twimg.com/profile_images/1633516700682395652/gQ_OmRVr_normal.jpg"/>
    <n v="8053"/>
    <b v="0"/>
    <n v="123"/>
    <n v="842"/>
    <s v="{&quot;post_id&quot;:null,&quot;profile_id&quot;:null,&quot;profile_name&quot;:null}"/>
    <s v="null"/>
    <s v="[{&quot;duration&quot;:66100,&quot;video_url&quot;:&quot;https://video.twimg.com/amplify_video/1831084355785039872/vid/avc1/480x636/JqZMlKt29kGyD5AF.mp4?tag=16&quot;}]"/>
    <s v="{&quot;data_posted&quot;:null,&quot;description&quot;:null,&quot;photos&quot;:null,&quot;post_id&quot;:null,&quot;profile_id&quot;:null,&quot;profile_name&quot;:null,&quot;url&quot;:null,&quot;videos&quot;:null}"/>
    <n v="6910"/>
    <n v="4.2910512640902971E-3"/>
    <d v="2024-09-03T00:00:00"/>
    <n v="0.90200231481481485"/>
    <x v="3"/>
    <x v="10"/>
    <x v="1"/>
    <x v="0"/>
    <x v="0"/>
    <x v="0"/>
    <n v="128"/>
    <x v="2"/>
  </r>
  <r>
    <n v="1.8683563767008873E+18"/>
    <s v="TNT███rts███"/>
    <s v="TNT███ort███R"/>
    <s v="Lembra dele? 👀 Com passagens por grandes clubes como Porto, Fenerbahçe, Corinthians e Flamengo, Vítor Pereira pode estar deixando o Al-Shabab, da Arábia Saudita, para fechar com o Wolverhampton, que ocupa nesse momento a penúltima posição da #PremierLeague! Bom negócio?_x000a__x000a_Crédito: The Athletic"/>
    <s v="&quot;2024-12-15T18:04:07.000Z&quot;"/>
    <s v="[&quot;https://pbs.twimg.com/media/Ge28NsfWUAE_CXt.jpg&quot;]"/>
    <s v="https://x.com/TNTSportsBR/status/1868356376700887352"/>
    <s v="null"/>
    <n v="1"/>
    <n v="3"/>
    <n v="56"/>
    <n v="14718"/>
    <s v=""/>
    <s v="[&quot;PremierLeague&quot;]"/>
    <n v="8293203"/>
    <s v="⚽️ É muito mais Champions na Max, com TODOS os jogos ao vivo!_x000a_👇🏻Assine e assista clicando no link👇🏻"/>
    <n v="456734"/>
    <s v="https://pbs.twimg.com/profile_images/1807013047975768065/8sm_IGpw_normal.jpg"/>
    <n v="859"/>
    <b v="0"/>
    <n v="1"/>
    <n v="2"/>
    <s v="{&quot;post_id&quot;:null,&quot;profile_id&quot;:null,&quot;profile_name&quot;:null}"/>
    <s v="null"/>
    <s v="null"/>
    <s v="{&quot;data_posted&quot;:null,&quot;description&quot;:null,&quot;photos&quot;:null,&quot;post_id&quot;:null,&quot;profile_id&quot;:null,&quot;profile_name&quot;:null,&quot;url&quot;:null,&quot;videos&quot;:null}"/>
    <n v="63"/>
    <n v="4.2804728903383608E-3"/>
    <d v="2024-12-15T00:00:00"/>
    <n v="0.75285879629629626"/>
    <x v="0"/>
    <x v="8"/>
    <x v="0"/>
    <x v="0"/>
    <x v="1"/>
    <x v="0"/>
    <n v="293"/>
    <x v="0"/>
  </r>
  <r>
    <n v="1.8659641546343588E+18"/>
    <s v="Lig███VAM███"/>
    <s v="Lig███BVA███"/>
    <s v="¡Tenemos FINAL definida!🏆_x000a__x000a_Las Águilas buscarán su tercer título consecutivo; Monterrey va por la sexta estrella.🤠🆚🦅_x000a__x000a_@Rayados vs. @ClubAmerica, por el trofeo del #Apertura2024."/>
    <s v="&quot;2024-12-09T03:38:17.000Z&quot;"/>
    <s v="[&quot;https://pbs.twimg.com/media/GeU7KodXwAAUj6j.jpg&quot;]"/>
    <s v="https://x.com/LigaBBVAMX/status/1865964154634358868"/>
    <s v="[{&quot;biography&quot;:null,&quot;followers&quot;:null,&quot;following&quot;:null,&quot;is_verified&quot;:null,&quot;profile_id&quot;:&quot;86437426&quot;,&quot;profile_name&quot;:&quot;Rayados&quot;,&quot;url&quot;:&quot;https://x.com/Rayados&quot;},{&quot;biography&quot;:null,&quot;followers&quot;:null,&quot;following&quot;:null,&quot;is_verified&quot;:null,&quot;profile_id&quot;:&quot;122211977&quot;,&quot;profile_name&quot;:&quot;Club América&quot;,&quot;url&quot;:&quot;https://x.com/ClubAmerica&quot;}]"/>
    <n v="233"/>
    <n v="277"/>
    <n v="2314"/>
    <n v="682852"/>
    <s v=""/>
    <s v="[&quot;Apertura2024&quot;]"/>
    <n v="4017795"/>
    <s v="Te tqm, Liga BBVA MX. 🥰 Soy un fan más haciéndola de CM. Como dice la chaviza, es la liga más mágica del continente. ✨⚽_x000a__x000a_Cuenta corporativa ➡️ @LigaBBVAMXCorp"/>
    <n v="216530"/>
    <s v="https://pbs.twimg.com/profile_images/1853440816137510912/a14K-9q2_normal.jpg"/>
    <n v="214"/>
    <b v="0"/>
    <n v="42"/>
    <n v="43"/>
    <s v="{&quot;post_id&quot;:null,&quot;profile_id&quot;:null,&quot;profile_name&quot;:null}"/>
    <s v="null"/>
    <s v="null"/>
    <s v="{&quot;data_posted&quot;:null,&quot;description&quot;:null,&quot;photos&quot;:null,&quot;post_id&quot;:null,&quot;profile_id&quot;:null,&quot;profile_name&quot;:null,&quot;url&quot;:null,&quot;videos&quot;:null}"/>
    <n v="2909"/>
    <n v="4.2600739252429513E-3"/>
    <d v="2024-12-09T00:00:00"/>
    <n v="0.15158564814814815"/>
    <x v="2"/>
    <x v="21"/>
    <x v="0"/>
    <x v="0"/>
    <x v="1"/>
    <x v="0"/>
    <n v="177"/>
    <x v="0"/>
  </r>
  <r>
    <n v="1.8681716177061112E+18"/>
    <s v="ufc"/>
    <s v="UFC"/>
    <s v="Last fight of 2024 is here 🫡_x000a__x000a_@ColbyCovMMA vs @Newmansa94 _x000a__x000a_[ #UFCTampa is LIVE on @ESPNPlus &amp;amp; ESPN2 ]"/>
    <s v="&quot;2024-12-15T05:49:57.000Z&quot;"/>
    <s v="null"/>
    <s v="https://x.com/ufc/status/1868171617706111286"/>
    <s v="[{&quot;biography&quot;:null,&quot;followers&quot;:null,&quot;following&quot;:null,&quot;is_verified&quot;:null,&quot;profile_id&quot;:&quot;442456291&quot;,&quot;profile_name&quot;:&quot;Colby Covington&quot;,&quot;url&quot;:&quot;https://x.com/ColbyCovMMA&quot;},{&quot;biography&quot;:null,&quot;followers&quot;:null,&quot;following&quot;:null,&quot;is_verified&quot;:null,&quot;profile_id&quot;:&quot;922938072836313089&quot;,&quot;profile_name&quot;:&quot;Joaquin New Mansa Buckley&quot;,&quot;url&quot;:&quot;https://x.com/Newmansa94&quot;},{&quot;biography&quot;:null,&quot;followers&quot;:null,&quot;following&quot;:null,&quot;is_verified&quot;:null,&quot;profile_id&quot;:&quot;1044284694387412992&quot;,&quot;profile_name&quot;:&quot;ESPN+&quot;,&quot;url&quot;:&quot;https://x.com/ESPNPlus&quot;}]"/>
    <n v="60"/>
    <n v="43"/>
    <n v="429"/>
    <n v="130875"/>
    <s v=""/>
    <s v="[&quot;UFCTampa&quot;]"/>
    <n v="12876593"/>
    <s v="#UFCTampa | Covington vs Buckley | December 14 | 10pmET | LIVE on @ESPNPlus"/>
    <n v="141401"/>
    <s v="https://pbs.twimg.com/profile_images/1835773190385328128/4fVrF1UI_normal.jpg"/>
    <n v="717"/>
    <b v="0"/>
    <n v="19"/>
    <n v="5"/>
    <s v="{&quot;post_id&quot;:null,&quot;profile_id&quot;:null,&quot;profile_name&quot;:null}"/>
    <s v="null"/>
    <s v="[{&quot;duration&quot;:5038,&quot;video_url&quot;:&quot;https://video.twimg.com/ext_tw_video/1868125919698644992/pu/vid/avc1/718x720/mXLlVbg9qEba8Gxa.mp4?tag=12&quot;}]"/>
    <s v="{&quot;data_posted&quot;:null,&quot;description&quot;:null,&quot;photos&quot;:null,&quot;post_id&quot;:null,&quot;profile_id&quot;:null,&quot;profile_name&quot;:null,&quot;url&quot;:null,&quot;videos&quot;:null}"/>
    <n v="556"/>
    <n v="4.2483285577841453E-3"/>
    <d v="2024-12-15T00:00:00"/>
    <n v="0.24302083333333332"/>
    <x v="0"/>
    <x v="22"/>
    <x v="1"/>
    <x v="1"/>
    <x v="1"/>
    <x v="0"/>
    <n v="106"/>
    <x v="1"/>
  </r>
  <r>
    <n v="1.8682481326240074E+18"/>
    <s v="eng███dcr███et"/>
    <s v="Eng███d C███ket███"/>
    <s v="England's morning in the first session 👏_x000a__x000a_Follow live in our match centre 👉"/>
    <s v="&quot;2024-12-15T10:53:59.000Z&quot;"/>
    <s v="[&quot;https://pbs.twimg.com/media/Ge1ZxlcXcAA7Fis.jpg&quot;]"/>
    <s v="https://x.com/englandcricket/status/1868248132624007356"/>
    <s v="null"/>
    <n v="5"/>
    <n v="6"/>
    <n v="77"/>
    <n v="21033"/>
    <s v="http://ms.spr.ly/6016oTbjg"/>
    <s v="[&quot;EnglandCricket&quot;]"/>
    <n v="1676505"/>
    <s v="We Are England Cricket. The official home of all of the England Cricket teams on X."/>
    <n v="35438"/>
    <s v="https://pbs.twimg.com/profile_images/1653776479488991237/nRuCAWCI_normal.jpg"/>
    <n v="175"/>
    <b v="0"/>
    <n v="0"/>
    <n v="1"/>
    <s v="{&quot;post_id&quot;:null,&quot;profile_id&quot;:null,&quot;profile_name&quot;:null}"/>
    <s v="null"/>
    <s v="null"/>
    <s v="{&quot;data_posted&quot;:null,&quot;description&quot;:null,&quot;photos&quot;:null,&quot;post_id&quot;:null,&quot;profile_id&quot;:null,&quot;profile_name&quot;:null,&quot;url&quot;:null,&quot;videos&quot;:null}"/>
    <n v="89"/>
    <n v="4.2314458232301623E-3"/>
    <d v="2024-12-15T00:00:00"/>
    <n v="0.45415509259259257"/>
    <x v="0"/>
    <x v="17"/>
    <x v="0"/>
    <x v="0"/>
    <x v="1"/>
    <x v="0"/>
    <n v="75"/>
    <x v="0"/>
  </r>
  <r>
    <n v="1.8683095505976489E+18"/>
    <s v="Ran███sFC███"/>
    <s v="Ran███s F███bal█████████"/>
    <s v="🎙️ PRE-MATCH: Philippe Clement spoke to @RangersTV ahead of today’s Premier Sports Cup final._x000a__x000a_📺 RangersTV subscribers outside the UK can watch the match live:"/>
    <s v="&quot;2024-12-15T14:58:03.000Z&quot;"/>
    <s v="null"/>
    <s v="https://x.com/RangersFC/status/1868309550597648811"/>
    <s v="[{&quot;biography&quot;:null,&quot;followers&quot;:null,&quot;following&quot;:null,&quot;is_verified&quot;:null,&quot;profile_id&quot;:&quot;479505559&quot;,&quot;profile_name&quot;:&quot;RangersTV&quot;,&quot;url&quot;:&quot;https://x.com/RangersTV&quot;}]"/>
    <n v="9"/>
    <n v="11"/>
    <n v="202"/>
    <n v="53759"/>
    <s v="http://rng.rs/RTV-Subscribe"/>
    <s v="null"/>
    <n v="812161"/>
    <s v="The Home of #RangersFC 💙"/>
    <n v="110924"/>
    <s v="https://pbs.twimg.com/profile_images/1856633703734112256/PBlqGEwC_normal.jpg"/>
    <n v="322"/>
    <b v="0"/>
    <n v="2"/>
    <n v="1"/>
    <s v="{&quot;post_id&quot;:null,&quot;profile_id&quot;:null,&quot;profile_name&quot;:null}"/>
    <s v="null"/>
    <s v="[{&quot;duration&quot;:133932,&quot;video_url&quot;:&quot;https://video.twimg.com/amplify_video/1868309028557709312/vid/avc1/1280x720/AVtQvyfuGzkIZoPu.mp4?tag=14&quot;}]"/>
    <s v="{&quot;data_posted&quot;:null,&quot;description&quot;:null,&quot;photos&quot;:null,&quot;post_id&quot;:null,&quot;profile_id&quot;:null,&quot;profile_name&quot;:null,&quot;url&quot;:null,&quot;videos&quot;:null}"/>
    <n v="225"/>
    <n v="4.1853457095556096E-3"/>
    <d v="2024-12-15T00:00:00"/>
    <n v="0.62364583333333334"/>
    <x v="0"/>
    <x v="1"/>
    <x v="1"/>
    <x v="1"/>
    <x v="0"/>
    <x v="0"/>
    <n v="159"/>
    <x v="2"/>
  </r>
  <r>
    <n v="1.8684156211651955E+18"/>
    <s v="nyp███"/>
    <s v="New███rk ███t"/>
    <s v="Google claims quantum chip may prove existence of parallel universes"/>
    <s v="&quot;2024-12-15T21:59:32.000Z&quot;"/>
    <s v="[&quot;https://pbs.twimg.com/media/Ge3yGyhWEAAKJPM.jpg&quot;]"/>
    <s v="https://x.com/nypost/status/1868415621165195519"/>
    <s v="null"/>
    <n v="40"/>
    <n v="17"/>
    <n v="74"/>
    <n v="35878"/>
    <s v="https://trib.al/R2zPKNT"/>
    <s v="null"/>
    <n v="3313886"/>
    <s v="Breaking news &amp; features from The New York Post. Follow your favorite sections: @pagesix, @nypmetro, @nypostbiz, @nypostsports, @nypfashion, @nypostopinion"/>
    <n v="706459"/>
    <s v="https://pbs.twimg.com/profile_images/966372680306868224/60wfGe9e_normal.jpg"/>
    <n v="10308"/>
    <b v="0"/>
    <n v="3"/>
    <n v="16"/>
    <s v="{&quot;post_id&quot;:null,&quot;profile_id&quot;:null,&quot;profile_name&quot;:null}"/>
    <s v="null"/>
    <s v="null"/>
    <s v="{&quot;data_posted&quot;:null,&quot;description&quot;:null,&quot;photos&quot;:null,&quot;post_id&quot;:null,&quot;profile_id&quot;:null,&quot;profile_name&quot;:null,&quot;url&quot;:null,&quot;videos&quot;:null}"/>
    <n v="150"/>
    <n v="4.1808350521210774E-3"/>
    <d v="2024-12-15T00:00:00"/>
    <n v="0.91634259259259254"/>
    <x v="0"/>
    <x v="10"/>
    <x v="0"/>
    <x v="0"/>
    <x v="0"/>
    <x v="0"/>
    <n v="68"/>
    <x v="0"/>
  </r>
  <r>
    <n v="1.8683014886505841E+18"/>
    <s v="spfl"/>
    <s v="SPFL"/>
    <s v="Confirmed #CELRAN line-ups for the Premier Sports Cup Final 🏆_x000a__x000a_@PremSportsTV"/>
    <s v="&quot;2024-12-15T14:26:00.000Z&quot;"/>
    <s v="[&quot;https://pbs.twimg.com/media/Ge2JmGjW0AAW-J7.jpg&quot;]"/>
    <s v="https://x.com/spfl/status/1868301488650584107"/>
    <s v="[{&quot;biography&quot;:null,&quot;followers&quot;:null,&quot;following&quot;:null,&quot;is_verified&quot;:null,&quot;profile_id&quot;:&quot;159582357&quot;,&quot;profile_name&quot;:&quot;Premier Sports&quot;,&quot;url&quot;:&quot;https://x.com/PremSportsTV&quot;}]"/>
    <n v="11"/>
    <n v="14"/>
    <n v="168"/>
    <n v="47098"/>
    <s v=""/>
    <s v="[&quot;CELRAN&quot;]"/>
    <n v="294711"/>
    <s v="Official Twitter/X account for the Scottish Professional Football League, sponsored by @WilliamHill."/>
    <n v="66342"/>
    <s v="https://pbs.twimg.com/profile_images/1798999022348496896/ZZU_hFqY_normal.jpg"/>
    <n v="1449"/>
    <b v="0"/>
    <n v="2"/>
    <n v="1"/>
    <s v="{&quot;post_id&quot;:null,&quot;profile_id&quot;:null,&quot;profile_name&quot;:null}"/>
    <s v="null"/>
    <s v="null"/>
    <s v="{&quot;data_posted&quot;:null,&quot;description&quot;:null,&quot;photos&quot;:null,&quot;post_id&quot;:null,&quot;profile_id&quot;:null,&quot;profile_name&quot;:null,&quot;url&quot;:null,&quot;videos&quot;:null}"/>
    <n v="196"/>
    <n v="4.1615355216782033E-3"/>
    <d v="2024-12-15T00:00:00"/>
    <n v="0.60138888888888886"/>
    <x v="0"/>
    <x v="1"/>
    <x v="0"/>
    <x v="0"/>
    <x v="1"/>
    <x v="0"/>
    <n v="76"/>
    <x v="2"/>
  </r>
  <r>
    <n v="1.8681148316827489E+18"/>
    <s v="ufc"/>
    <s v="UFC"/>
    <s v="Featherweight frenzy headed your way! 👊_x000a__x000a_@SeanWoodsonMMA vs Fernando Padilla_x000a__x000a_[ #UFCTampa is LIVE on @ESPNPlus ]"/>
    <s v="&quot;2024-12-15T02:04:18.000Z&quot;"/>
    <s v="null"/>
    <s v="https://x.com/ufc/status/1868114831682748901"/>
    <s v="[{&quot;biography&quot;:null,&quot;followers&quot;:null,&quot;following&quot;:null,&quot;is_verified&quot;:null,&quot;profile_id&quot;:&quot;915290833456427009&quot;,&quot;profile_name&quot;:&quot;Sean Woodson&quot;,&quot;url&quot;:&quot;https://x.com/SeanWoodsonMMA&quot;},{&quot;biography&quot;:null,&quot;followers&quot;:null,&quot;following&quot;:null,&quot;is_verified&quot;:null,&quot;profile_id&quot;:&quot;1044284694387412992&quot;,&quot;profile_name&quot;:&quot;ESPN+&quot;,&quot;url&quot;:&quot;https://x.com/ESPNPlus&quot;}]"/>
    <n v="51"/>
    <n v="27"/>
    <n v="282"/>
    <n v="88482"/>
    <s v=""/>
    <s v="[&quot;UFCTampa&quot;]"/>
    <n v="12876593"/>
    <s v="#UFCTampa | Covington vs Buckley | December 14 | 10pmET | LIVE on @ESPNPlus"/>
    <n v="141401"/>
    <s v="https://pbs.twimg.com/profile_images/1835773190385328128/4fVrF1UI_normal.jpg"/>
    <n v="717"/>
    <b v="0"/>
    <n v="3"/>
    <n v="4"/>
    <s v="{&quot;post_id&quot;:null,&quot;profile_id&quot;:null,&quot;profile_name&quot;:null}"/>
    <s v="null"/>
    <s v="[{&quot;duration&quot;:5472,&quot;video_url&quot;:&quot;https://video.twimg.com/ext_tw_video/1868068170650599424/pu/vid/avc1/718x720/dxqMR5xEN2y4yntr.mp4?tag=12&quot;}]"/>
    <s v="{&quot;data_posted&quot;:null,&quot;description&quot;:null,&quot;photos&quot;:null,&quot;post_id&quot;:null,&quot;profile_id&quot;:null,&quot;profile_name&quot;:null,&quot;url&quot;:null,&quot;videos&quot;:null}"/>
    <n v="367"/>
    <n v="4.1477362627427052E-3"/>
    <d v="2024-12-15T00:00:00"/>
    <n v="8.6319444444444449E-2"/>
    <x v="0"/>
    <x v="2"/>
    <x v="1"/>
    <x v="1"/>
    <x v="1"/>
    <x v="0"/>
    <n v="112"/>
    <x v="1"/>
  </r>
  <r>
    <n v="1.8684148235345961E+18"/>
    <s v="Lig███A"/>
    <s v="Lig███rof███ona█████████ol"/>
    <s v="¡Los arqueros no fallaron en Varela! _x000a__x000a_@ClubDefensayJus y @clubaunion empataron 0 a 0 por la #fecha27 del #TorneoBetano 2024 🏆_x000a__x000a_📷 Prensa clubes"/>
    <s v="&quot;2024-12-15T21:56:22.000Z&quot;"/>
    <s v="[&quot;https://pbs.twimg.com/media/Ge3whW7WkAA10oT.jpg&quot;,&quot;https://pbs.twimg.com/media/Ge3widPX0AAgvX0.jpg&quot;]"/>
    <s v="https://x.com/LigaAFA/status/1868414823534596114"/>
    <s v="[{&quot;biography&quot;:null,&quot;followers&quot;:null,&quot;following&quot;:null,&quot;is_verified&quot;:null,&quot;profile_id&quot;:&quot;345614692&quot;,&quot;profile_name&quot;:&quot;Defensa y Justicia&quot;,&quot;url&quot;:&quot;https://x.com/ClubDefensayJus&quot;},{&quot;biography&quot;:null,&quot;followers&quot;:null,&quot;following&quot;:null,&quot;is_verified&quot;:null,&quot;profile_id&quot;:&quot;201032752&quot;,&quot;profile_name&quot;:&quot;Club Atlético Unión&quot;,&quot;url&quot;:&quot;https://x.com/clubaunion&quot;}]"/>
    <n v="0"/>
    <n v="6"/>
    <n v="16"/>
    <n v="5791"/>
    <s v=""/>
    <s v="[&quot;fecha27&quot;,&quot;TorneoBetano&quot;]"/>
    <n v="1123810"/>
    <s v="Cuenta oficial de la Liga Profesional de Fútbol de la @AFA"/>
    <n v="34290"/>
    <s v="https://pbs.twimg.com/profile_images/1611375855892045827/5Lzl0faT_normal.jpg"/>
    <n v="63"/>
    <b v="0"/>
    <n v="1"/>
    <n v="1"/>
    <s v="{&quot;post_id&quot;:null,&quot;profile_id&quot;:null,&quot;profile_name&quot;:null}"/>
    <s v="null"/>
    <s v="null"/>
    <s v="{&quot;data_posted&quot;:null,&quot;description&quot;:null,&quot;photos&quot;:null,&quot;post_id&quot;:null,&quot;profile_id&quot;:null,&quot;profile_name&quot;:null,&quot;url&quot;:null,&quot;videos&quot;:null}"/>
    <n v="24"/>
    <n v="4.1443619409428419E-3"/>
    <d v="2024-12-15T00:00:00"/>
    <n v="0.91414351851851849"/>
    <x v="0"/>
    <x v="10"/>
    <x v="0"/>
    <x v="0"/>
    <x v="1"/>
    <x v="0"/>
    <n v="143"/>
    <x v="0"/>
  </r>
  <r>
    <n v="1.8683251449866324E+18"/>
    <s v="ufc"/>
    <s v="UFC"/>
    <s v="&quot;OH SHE TAPPED&quot;_x000a__x000a_@KaylaH is your next nominee for #UFCHonors Submission of the Year!_x000a__x000a_[ Voting begins December 27th ]"/>
    <s v="&quot;2024-12-15T16:00:01.000Z&quot;"/>
    <s v="[&quot;https://pbs.twimg.com/media/Ge0n3K2XQAAM6Ys.jpg&quot;]"/>
    <s v="https://x.com/ufc/status/1868325144986632406"/>
    <s v="[{&quot;biography&quot;:null,&quot;followers&quot;:null,&quot;following&quot;:null,&quot;is_verified&quot;:null,&quot;profile_id&quot;:&quot;202243824&quot;,&quot;profile_name&quot;:&quot;Kayla Harrison Official&quot;,&quot;url&quot;:&quot;https://x.com/KaylaH&quot;}]"/>
    <n v="31"/>
    <n v="29"/>
    <n v="319"/>
    <n v="94853"/>
    <s v=""/>
    <s v="[&quot;UFCHonors&quot;]"/>
    <n v="12876593"/>
    <s v="#UFCTampa | Covington vs Buckley | December 14 | 10pmET | LIVE on @ESPNPlus"/>
    <n v="141401"/>
    <s v="https://pbs.twimg.com/profile_images/1835773190385328128/4fVrF1UI_normal.jpg"/>
    <n v="717"/>
    <b v="0"/>
    <n v="3"/>
    <n v="10"/>
    <s v="{&quot;post_id&quot;:null,&quot;profile_id&quot;:null,&quot;profile_name&quot;:null}"/>
    <s v="null"/>
    <s v="[{&quot;duration&quot;:22422,&quot;video_url&quot;:&quot;https://video.twimg.com/ext_tw_video/1868193213615411200/pu/vid/avc1/720x720/mt-GLy_-15bHgO1u.mp4?tag=12&quot;}]"/>
    <s v="{&quot;data_posted&quot;:null,&quot;description&quot;:null,&quot;photos&quot;:null,&quot;post_id&quot;:null,&quot;profile_id&quot;:null,&quot;profile_name&quot;:null,&quot;url&quot;:null,&quot;videos&quot;:null}"/>
    <n v="392"/>
    <n v="4.1327106153732614E-3"/>
    <d v="2024-12-15T00:00:00"/>
    <n v="0.66667824074074078"/>
    <x v="0"/>
    <x v="15"/>
    <x v="1"/>
    <x v="0"/>
    <x v="1"/>
    <x v="0"/>
    <n v="117"/>
    <x v="1"/>
  </r>
  <r>
    <n v="1.8684030404384036E+18"/>
    <s v="nyp███"/>
    <s v="New███rk ███t"/>
    <s v="Socialist clothing company founder creating ‘most wanted CEOs’ playing cards in wake of UnitedHealthcare shooting"/>
    <s v="&quot;2024-12-15T21:09:32.000Z&quot;"/>
    <s v="[&quot;https://pbs.twimg.com/media/Ge3mqeFWMAAf_wZ.jpg&quot;]"/>
    <s v="https://x.com/nypost/status/1868403040438403569"/>
    <s v="null"/>
    <n v="43"/>
    <n v="17"/>
    <n v="25"/>
    <n v="25120"/>
    <s v="https://trib.al/lwJrQEG"/>
    <s v="null"/>
    <n v="3313886"/>
    <s v="Breaking news &amp; features from The New York Post. Follow your favorite sections: @pagesix, @nypmetro, @nypostbiz, @nypostsports, @nypfashion, @nypostopinion"/>
    <n v="706459"/>
    <s v="https://pbs.twimg.com/profile_images/966372680306868224/60wfGe9e_normal.jpg"/>
    <n v="10308"/>
    <b v="0"/>
    <n v="14"/>
    <n v="3"/>
    <s v="{&quot;post_id&quot;:null,&quot;profile_id&quot;:null,&quot;profile_name&quot;:null}"/>
    <s v="null"/>
    <s v="null"/>
    <s v="{&quot;data_posted&quot;:null,&quot;description&quot;:null,&quot;photos&quot;:null,&quot;post_id&quot;:null,&quot;profile_id&quot;:null,&quot;profile_name&quot;:null,&quot;url&quot;:null,&quot;videos&quot;:null}"/>
    <n v="102"/>
    <n v="4.0605095541401274E-3"/>
    <d v="2024-12-15T00:00:00"/>
    <n v="0.88162037037037033"/>
    <x v="0"/>
    <x v="10"/>
    <x v="0"/>
    <x v="0"/>
    <x v="0"/>
    <x v="0"/>
    <n v="113"/>
    <x v="0"/>
  </r>
  <r>
    <n v="1.8681221639134085E+18"/>
    <s v="WWE"/>
    <s v="WWE"/>
    <s v="The Legends are out at #SNME!"/>
    <s v="&quot;2024-12-15T02:33:26.000Z&quot;"/>
    <s v="null"/>
    <s v="https://x.com/WWE/status/1868122163913408640"/>
    <s v="null"/>
    <n v="147"/>
    <n v="527"/>
    <n v="4564"/>
    <n v="1368007"/>
    <s v=""/>
    <s v="[&quot;SNME&quot;]"/>
    <n v="14375936"/>
    <s v="WWE Raw | Mondays at 8/7c on USA Network _x000a_WWE NXT | Tuesdays at 8/7c on The CW _x000a_WWE SmackDown | Fridays at 8/7c on USA Network"/>
    <n v="346973"/>
    <s v="https://pbs.twimg.com/profile_images/1383079031805972485/3sWoMX-R_normal.jpg"/>
    <n v="392"/>
    <b v="0"/>
    <n v="90"/>
    <n v="169"/>
    <s v="{&quot;post_id&quot;:null,&quot;profile_id&quot;:null,&quot;profile_name&quot;:null}"/>
    <s v="null"/>
    <s v="[{&quot;duration&quot;:19134,&quot;video_url&quot;:&quot;https://video.twimg.com/amplify_video/1868122112193429504/vid/avc1/1920x1080/Os11br91CWkSNrQe.mp4?tag=16&quot;}]"/>
    <s v="{&quot;data_posted&quot;:null,&quot;description&quot;:null,&quot;photos&quot;:null,&quot;post_id&quot;:null,&quot;profile_id&quot;:null,&quot;profile_name&quot;:null,&quot;url&quot;:null,&quot;videos&quot;:null}"/>
    <n v="5497"/>
    <n v="4.0182542925584442E-3"/>
    <d v="2024-12-15T00:00:00"/>
    <n v="0.10655092592592592"/>
    <x v="0"/>
    <x v="2"/>
    <x v="1"/>
    <x v="1"/>
    <x v="1"/>
    <x v="0"/>
    <n v="29"/>
    <x v="1"/>
  </r>
  <r>
    <n v="1.8682541112187415E+18"/>
    <s v="BBL"/>
    <s v="KFC███g B███ Le██████"/>
    <s v="Thoughts are with Hilton Cartwright who has been helped off the field after suffering an injury while attempting to save a boundary. 🙏 #BBL14"/>
    <s v="&quot;2024-12-15T11:17:45.000Z&quot;"/>
    <s v="[&quot;https://pbs.twimg.com/media/Ge1fIj3bMAAIKzk.jpg&quot;]"/>
    <s v="https://x.com/BBL/status/1868254111218741474"/>
    <s v="null"/>
    <n v="7"/>
    <n v="8"/>
    <n v="231"/>
    <n v="64254"/>
    <s v=""/>
    <s v="[&quot;BBL14&quot;]"/>
    <n v="551401"/>
    <s v="🗓️ 15 Dec - 27 Jan_x000a_📲 Download the Big Bash App for #BBL14 _x000a_🎟️ Grab your tickets!"/>
    <n v="40407"/>
    <s v="https://pbs.twimg.com/profile_images/1670610412042334208/p_7jGcdv_normal.jpg"/>
    <n v="282"/>
    <b v="0"/>
    <n v="10"/>
    <n v="2"/>
    <s v="{&quot;post_id&quot;:null,&quot;profile_id&quot;:null,&quot;profile_name&quot;:null}"/>
    <s v="null"/>
    <s v="null"/>
    <s v="{&quot;data_posted&quot;:null,&quot;description&quot;:null,&quot;photos&quot;:null,&quot;post_id&quot;:null,&quot;profile_id&quot;:null,&quot;profile_name&quot;:null,&quot;url&quot;:null,&quot;videos&quot;:null}"/>
    <n v="258"/>
    <n v="4.0153142216826964E-3"/>
    <d v="2024-12-15T00:00:00"/>
    <n v="0.47065972222222224"/>
    <x v="0"/>
    <x v="16"/>
    <x v="0"/>
    <x v="0"/>
    <x v="1"/>
    <x v="0"/>
    <n v="141"/>
    <x v="2"/>
  </r>
  <r>
    <n v="1.8683789271500475E+18"/>
    <s v="Ast███art███1"/>
    <s v="Ast███Mar███ Ar█████████eam███"/>
    <s v="What's behind door number four... 👀_x000a__x000a_Today's #IAMUnwrapped prize is a @globe_trotterUK factory tour and custom carry-on case, perfect for festive getaways!_x000a__x000a_Click below to enter."/>
    <s v="&quot;2024-12-15T19:33:43.000Z&quot;"/>
    <s v="null"/>
    <s v="https://x.com/AstonMartinF1/status/1868378927150047406"/>
    <s v="[{&quot;biography&quot;:null,&quot;followers&quot;:null,&quot;following&quot;:null,&quot;is_verified&quot;:null,&quot;profile_id&quot;:&quot;121457542&quot;,&quot;profile_name&quot;:&quot;GLOBE-TROTTER&quot;,&quot;url&quot;:&quot;https://x.com/globe_trotterUK&quot;}]"/>
    <n v="10"/>
    <n v="5"/>
    <n v="148"/>
    <n v="41139"/>
    <s v="https://astonmartinf1.adventcalendaronline.com/"/>
    <s v="[&quot;IAMUnwrapped&quot;]"/>
    <n v="2354200"/>
    <s v="Updates from the Aston Martin Aramco Formula One® Team."/>
    <n v="72197"/>
    <s v="https://pbs.twimg.com/profile_images/1572246279064887308/vgRs_Gnn_normal.jpg"/>
    <n v="789"/>
    <b v="0"/>
    <n v="0"/>
    <n v="1"/>
    <s v="{&quot;post_id&quot;:null,&quot;profile_id&quot;:null,&quot;profile_name&quot;:null}"/>
    <s v="null"/>
    <s v="null"/>
    <s v="{&quot;data_posted&quot;:null,&quot;description&quot;:null,&quot;photos&quot;:null,&quot;post_id&quot;:null,&quot;profile_id&quot;:null,&quot;profile_name&quot;:null,&quot;url&quot;:null,&quot;videos&quot;:null}"/>
    <n v="164"/>
    <n v="3.9864848440652424E-3"/>
    <d v="2024-12-15T00:00:00"/>
    <n v="0.81508101851851855"/>
    <x v="0"/>
    <x v="4"/>
    <x v="0"/>
    <x v="1"/>
    <x v="1"/>
    <x v="0"/>
    <n v="178"/>
    <x v="0"/>
  </r>
  <r>
    <n v="1.8682528204719557E+18"/>
    <s v="tal███ORT███"/>
    <s v="tal███ORT███"/>
    <s v="BREAKING: Wolves sack Gary O'Neil after last-gasp Ipswich defeat"/>
    <s v="&quot;2024-12-15T11:12:37.000Z&quot;"/>
    <s v="null"/>
    <s v="https://x.com/talkSPORT/status/1868252820471955641"/>
    <s v="null"/>
    <n v="57"/>
    <n v="29"/>
    <n v="237"/>
    <n v="88365"/>
    <s v="https://talksport.com/football/2380686/gary-oneil-sacked-wolves/"/>
    <s v="null"/>
    <n v="2356528"/>
    <s v="The world’s biggest sports radio station 📻_x000a__x000a_🚨 Buy talkSPORT Trivia Game here: https://t.co/dQV2AFISP2"/>
    <n v="338240"/>
    <s v="https://pbs.twimg.com/profile_images/1605158550979940360/MUqOEhHq_normal.jpg"/>
    <n v="1981"/>
    <b v="0"/>
    <n v="24"/>
    <n v="5"/>
    <s v="{&quot;post_id&quot;:null,&quot;profile_id&quot;:null,&quot;profile_name&quot;:null}"/>
    <s v="[&quot;https://pbs.twimg.com/card_img/1868252779434614784/UIsSWxtn?format=jpg&amp;name=orig&quot;]"/>
    <s v="null"/>
    <s v="{&quot;data_posted&quot;:null,&quot;description&quot;:null,&quot;photos&quot;:null,&quot;post_id&quot;:null,&quot;profile_id&quot;:null,&quot;profile_name&quot;:null,&quot;url&quot;:null,&quot;videos&quot;:null}"/>
    <n v="352"/>
    <n v="3.9834776212301247E-3"/>
    <d v="2024-12-15T00:00:00"/>
    <n v="0.46709490740740739"/>
    <x v="0"/>
    <x v="16"/>
    <x v="0"/>
    <x v="1"/>
    <x v="0"/>
    <x v="0"/>
    <n v="64"/>
    <x v="0"/>
  </r>
  <r>
    <n v="1.8659817585183135E+18"/>
    <s v="NBA"/>
    <s v="NBA"/>
    <s v="@Bucks @hornets @MiamiHEAT Nikola Jokić follows up his career-high 56 points last night with 48 tonight as the @nuggets win!_x000a__x000a_Michael Porter Jr.: 26 PTS (12-17 FGM)_x000a_Christian Braun: 17 PTS (7-11 FGM), 8 REB_x000a_Julian Strawther: 13 PTS (5-6 FGM)"/>
    <s v="&quot;2024-12-09T04:48:14.000Z&quot;"/>
    <s v="[&quot;https://pbs.twimg.com/media/GeVK6aDXMAEn0oP.jpg&quot;]"/>
    <s v="https://x.com/NBA/status/1865981758518313344"/>
    <s v="[{&quot;biography&quot;:null,&quot;followers&quot;:null,&quot;following&quot;:null,&quot;is_verified&quot;:null,&quot;profile_id&quot;:&quot;15900167&quot;,&quot;profile_name&quot;:&quot;Milwaukee Bucks&quot;,&quot;url&quot;:&quot;https://x.com/Bucks&quot;},{&quot;biography&quot;:null,&quot;followers&quot;:null,&quot;following&quot;:null,&quot;is_verified&quot;:null,&quot;profile_id&quot;:&quot;21308488&quot;,&quot;profile_name&quot;:&quot;Charlotte Hornets&quot;,&quot;url&quot;:&quot;https://x.com/hornets&quot;},{&quot;biography&quot;:null,&quot;followers&quot;:null,&quot;following&quot;:null,&quot;is_verified&quot;:null,&quot;profile_id&quot;:&quot;11026952&quot;,&quot;profile_name&quot;:&quot;Miami HEAT&quot;,&quot;url&quot;:&quot;https://x.com/MiamiHEAT&quot;},{&quot;biography&quot;:null,&quot;followers&quot;:null,&quot;following&quot;:null,&quot;is_verified&quot;:null,&quot;profile_id&quot;:&quot;26074296&quot;,&quot;profile_name&quot;:&quot;Denver Nuggets&quot;,&quot;url&quot;:&quot;https://x.com/nuggets&quot;}]"/>
    <n v="32"/>
    <n v="56"/>
    <n v="344"/>
    <n v="112351"/>
    <s v=""/>
    <s v="null"/>
    <n v="47706586"/>
    <s v="The #EmiratesNBACup Championship Game will take place Tuesday, 12/17 in Vegas! 🏆 8:30pm/et on ABC: Bucks/Thunder"/>
    <n v="367146"/>
    <s v="https://pbs.twimg.com/profile_images/1868174380468981760/m0FEipd2_normal.jpg"/>
    <n v="2012"/>
    <b v="0"/>
    <n v="10"/>
    <n v="5"/>
    <s v="{&quot;post_id&quot;:&quot;1865977140178571325&quot;,&quot;profile_id&quot;:&quot;19923144&quot;,&quot;profile_name&quot;:&quot;NBA&quot;}"/>
    <s v="null"/>
    <s v="null"/>
    <s v="{&quot;data_posted&quot;:null,&quot;description&quot;:null,&quot;photos&quot;:null,&quot;post_id&quot;:null,&quot;profile_id&quot;:null,&quot;profile_name&quot;:null,&quot;url&quot;:null,&quot;videos&quot;:null}"/>
    <n v="447"/>
    <n v="3.9786027716709246E-3"/>
    <d v="2024-12-09T00:00:00"/>
    <n v="0.20016203703703703"/>
    <x v="2"/>
    <x v="9"/>
    <x v="0"/>
    <x v="0"/>
    <x v="0"/>
    <x v="0"/>
    <n v="241"/>
    <x v="1"/>
  </r>
  <r>
    <n v="1.868308353559958E+18"/>
    <s v="bus███ss"/>
    <s v="Blo███erg███"/>
    <s v="Israel’s foreign minister has ordered the closure of the country’s embassy in Dublin, citing the Irish government’s “extreme anti-Israel policies”"/>
    <s v="&quot;2024-12-15T14:53:17.000Z&quot;"/>
    <s v="null"/>
    <s v="https://x.com/business/status/1868308353559957905"/>
    <s v="null"/>
    <n v="43"/>
    <n v="37"/>
    <n v="153"/>
    <n v="62387"/>
    <s v="https://trib.al/OAuHQNP"/>
    <s v="null"/>
    <n v="9564155"/>
    <s v="The first word in business news. Singapore newsletter: https://t.co/RtyaUOdLdF Newsletters: https://t.co/nWaCxHSKuU Podcasts: https://t.co/096e9xMbPz"/>
    <n v="1125277"/>
    <s v="https://pbs.twimg.com/profile_images/1631723279676317709/-fjgaR2p_normal.jpg"/>
    <n v="93"/>
    <b v="0"/>
    <n v="5"/>
    <n v="8"/>
    <s v="{&quot;post_id&quot;:null,&quot;profile_id&quot;:null,&quot;profile_name&quot;:null}"/>
    <s v="[&quot;https://pbs.twimg.com/card_img/1868308356814757888/FlY5AGth?format=jpg&amp;name=orig&quot;]"/>
    <s v="null"/>
    <s v="{&quot;data_posted&quot;:null,&quot;description&quot;:null,&quot;photos&quot;:null,&quot;post_id&quot;:null,&quot;profile_id&quot;:null,&quot;profile_name&quot;:null,&quot;url&quot;:null,&quot;videos&quot;:null}"/>
    <n v="246"/>
    <n v="3.9431291775530158E-3"/>
    <d v="2024-12-15T00:00:00"/>
    <n v="0.62033564814814812"/>
    <x v="0"/>
    <x v="1"/>
    <x v="0"/>
    <x v="1"/>
    <x v="0"/>
    <x v="0"/>
    <n v="146"/>
    <x v="0"/>
  </r>
  <r>
    <n v="1.8681276027931855E+18"/>
    <s v="bus███ss"/>
    <s v="Blo███erg███"/>
    <s v="ABC has agreed to donate $15 million to Donald Trump’s future presidential foundation or museum to settle claims that one of its anchors defamed the president-elect in describing a past court verdict against him."/>
    <s v="&quot;2024-12-15T02:55:03.000Z&quot;"/>
    <s v="null"/>
    <s v="https://x.com/business/status/1868127602793185604"/>
    <s v="null"/>
    <n v="27"/>
    <n v="22"/>
    <n v="103"/>
    <n v="40057"/>
    <s v="https://trib.al/Wi8orCh"/>
    <s v="null"/>
    <n v="9564155"/>
    <s v="The first word in business news. Singapore newsletter: https://t.co/RtyaUOdLdF Newsletters: https://t.co/nWaCxHSKuU Podcasts: https://t.co/096e9xMbPz"/>
    <n v="1125277"/>
    <s v="https://pbs.twimg.com/profile_images/1631723279676317709/-fjgaR2p_normal.jpg"/>
    <n v="93"/>
    <b v="0"/>
    <n v="1"/>
    <n v="4"/>
    <s v="{&quot;post_id&quot;:null,&quot;profile_id&quot;:null,&quot;profile_name&quot;:null}"/>
    <s v="[&quot;https://pbs.twimg.com/card_img/1868055945072312320/AZYsZu8j?format=jpg&amp;name=orig&quot;]"/>
    <s v="null"/>
    <s v="{&quot;data_posted&quot;:null,&quot;description&quot;:null,&quot;photos&quot;:null,&quot;post_id&quot;:null,&quot;profile_id&quot;:null,&quot;profile_name&quot;:null,&quot;url&quot;:null,&quot;videos&quot;:null}"/>
    <n v="157"/>
    <n v="3.9194148338617474E-3"/>
    <d v="2024-12-15T00:00:00"/>
    <n v="0.1215625"/>
    <x v="0"/>
    <x v="2"/>
    <x v="0"/>
    <x v="1"/>
    <x v="0"/>
    <x v="0"/>
    <n v="212"/>
    <x v="0"/>
  </r>
  <r>
    <n v="1.8684412755880837E+18"/>
    <s v="ESP███asi███"/>
    <s v="ESP███ras███"/>
    <s v="NA MIRA DE 4 CLUBES! 👀🎯_x000a__x000a_De saída do Palmeiras, Zé Rafael é alvo de quatro clubes para 2025; veja bastidores_x000a__x000a_▶️"/>
    <s v="&quot;2024-12-15T23:41:28.000Z&quot;"/>
    <s v="null"/>
    <s v="https://x.com/ESPNBrasil/status/1868441275588083804"/>
    <s v="null"/>
    <n v="4"/>
    <n v="4"/>
    <n v="60"/>
    <n v="19434"/>
    <s v="https://bit.ly/4gz9hd9"/>
    <s v="[&quot;FutebolNaESPN&quot;]"/>
    <n v="3768943"/>
    <s v="ESPN: o melhor do esporte você assiste aqui!"/>
    <n v="897934"/>
    <s v="https://pbs.twimg.com/profile_images/1224436194152345608/dCEm_D7K_normal.jpg"/>
    <n v="28"/>
    <b v="0"/>
    <n v="5"/>
    <n v="2"/>
    <s v="{&quot;post_id&quot;:null,&quot;profile_id&quot;:null,&quot;profile_name&quot;:null}"/>
    <s v="[&quot;https://pbs.twimg.com/card_img/1866449878877917185/c_bJdCFV?format=jpg&amp;name=orig&quot;]"/>
    <s v="null"/>
    <s v="{&quot;data_posted&quot;:null,&quot;description&quot;:null,&quot;photos&quot;:null,&quot;post_id&quot;:null,&quot;profile_id&quot;:null,&quot;profile_name&quot;:null,&quot;url&quot;:null,&quot;videos&quot;:null}"/>
    <n v="75"/>
    <n v="3.8592158073479468E-3"/>
    <d v="2024-12-15T00:00:00"/>
    <n v="0.98712962962962958"/>
    <x v="0"/>
    <x v="7"/>
    <x v="0"/>
    <x v="1"/>
    <x v="1"/>
    <x v="0"/>
    <n v="112"/>
    <x v="0"/>
  </r>
  <r>
    <n v="1.8682534193095025E+18"/>
    <s v="Ran███sFC███"/>
    <s v="Ran███s F███bal█████████"/>
    <s v="📺 @PremSportsTV are bringing exclusive live coverage of today's Premier Sports Cup Final in the UK._x000a__x000a_👉 Learn More:"/>
    <s v="&quot;2024-12-15T11:15:00.000Z&quot;"/>
    <s v="[&quot;https://pbs.twimg.com/media/Ge1dO9rXUAEukHx.jpg&quot;]"/>
    <s v="https://x.com/RangersFC/status/1868253419309502476"/>
    <s v="[{&quot;biography&quot;:null,&quot;followers&quot;:null,&quot;following&quot;:null,&quot;is_verified&quot;:null,&quot;profile_id&quot;:&quot;159582357&quot;,&quot;profile_name&quot;:&quot;Premier Sports&quot;,&quot;url&quot;:&quot;https://x.com/PremSportsTV&quot;}]"/>
    <n v="9"/>
    <n v="22"/>
    <n v="288"/>
    <n v="84157"/>
    <s v="http://rng.rs/3P0VbVW"/>
    <s v="null"/>
    <n v="812163"/>
    <s v="The Home of #RangersFC 💙"/>
    <n v="110924"/>
    <s v="https://pbs.twimg.com/profile_images/1856633703734112256/PBlqGEwC_normal.jpg"/>
    <n v="322"/>
    <b v="0"/>
    <n v="2"/>
    <n v="3"/>
    <s v="{&quot;post_id&quot;:null,&quot;profile_id&quot;:null,&quot;profile_name&quot;:null}"/>
    <s v="null"/>
    <s v="null"/>
    <s v="{&quot;data_posted&quot;:null,&quot;description&quot;:null,&quot;photos&quot;:null,&quot;post_id&quot;:null,&quot;profile_id&quot;:null,&quot;profile_name&quot;:null,&quot;url&quot;:null,&quot;videos&quot;:null}"/>
    <n v="324"/>
    <n v="3.8499471226398278E-3"/>
    <d v="2024-12-15T00:00:00"/>
    <n v="0.46875"/>
    <x v="0"/>
    <x v="16"/>
    <x v="0"/>
    <x v="0"/>
    <x v="0"/>
    <x v="0"/>
    <n v="114"/>
    <x v="2"/>
  </r>
  <r>
    <n v="1.8658173677182856E+18"/>
    <s v="kann"/>
    <s v="כאן"/>
    <s v="דובר צה&quot;ל הגרי חרג מסמכותו? אורי כהן @Uri__Cohen נזכר בעוד כמה פעמים שבהן בכירים בצבא התערבו בחוקים של הכנסת _x000a__x000a_הערב ב-22:25 מהצד השני @guyzo בכאן 11 ובכאן BOX"/>
    <s v="&quot;2024-12-08T17:55:00.000Z&quot;"/>
    <s v="null"/>
    <s v="https://x.com/kann/status/1865817367718285530"/>
    <s v="[{&quot;biography&quot;:null,&quot;followers&quot;:null,&quot;following&quot;:null,&quot;is_verified&quot;:null,&quot;profile_id&quot;:&quot;1281876626167533574&quot;,&quot;profile_name&quot;:&quot;Uri Cohen&quot;,&quot;url&quot;:&quot;https://x.com/Uri__Cohen&quot;},{&quot;biography&quot;:null,&quot;followers&quot;:null,&quot;following&quot;:null,&quot;is_verified&quot;:null,&quot;profile_id&quot;:&quot;6899022&quot;,&quot;profile_name&quot;:&quot;Guy Zohar&quot;,&quot;url&quot;:&quot;https://x.com/guyzo&quot;}]"/>
    <n v="2"/>
    <n v="3"/>
    <n v="12"/>
    <n v="5392"/>
    <s v=""/>
    <s v="null"/>
    <n v="182895"/>
    <s v="אנחנו כאן ❤️"/>
    <n v="30781"/>
    <s v="https://pbs.twimg.com/profile_images/1843516623740633088/WbeaAr02_normal.jpg"/>
    <n v="559"/>
    <b v="0"/>
    <n v="1"/>
    <n v="2"/>
    <s v="{&quot;post_id&quot;:null,&quot;profile_id&quot;:null,&quot;profile_name&quot;:null}"/>
    <s v="null"/>
    <s v="[{&quot;duration&quot;:228840,&quot;video_url&quot;:&quot;https://video.twimg.com/amplify_video/1865791847483715584/vid/avc1/1280x720/JJK_dUkhrtlvPm1y.mp4?tag=14&quot;}]"/>
    <s v="{&quot;data_posted&quot;:null,&quot;description&quot;:null,&quot;photos&quot;:null,&quot;post_id&quot;:null,&quot;profile_id&quot;:null,&quot;profile_name&quot;:null,&quot;url&quot;:null,&quot;videos&quot;:null}"/>
    <n v="20"/>
    <n v="3.70919881305638E-3"/>
    <d v="2024-12-08T00:00:00"/>
    <n v="0.74652777777777779"/>
    <x v="0"/>
    <x v="12"/>
    <x v="1"/>
    <x v="1"/>
    <x v="0"/>
    <x v="0"/>
    <n v="158"/>
    <x v="2"/>
  </r>
  <r>
    <n v="1.868160649911841E+18"/>
    <s v="ufc"/>
    <s v="UFC"/>
    <s v="You'll want to tune in for this one! _x000a__x000a_@ManelKape vs Bruno Silva_x000a__x000a_[ #UFCTampa is LIVE on @ESPNPlus &amp;amp; ESPN2 ]"/>
    <s v="&quot;2024-12-15T05:06:22.000Z&quot;"/>
    <s v="null"/>
    <s v="https://x.com/ufc/status/1868160649911840979"/>
    <s v="[{&quot;biography&quot;:null,&quot;followers&quot;:null,&quot;following&quot;:null,&quot;is_verified&quot;:null,&quot;profile_id&quot;:&quot;1089988262&quot;,&quot;profile_name&quot;:&quot;マネル・ケイプ موسى Manel Kape&quot;,&quot;url&quot;:&quot;https://x.com/ManelKape&quot;},{&quot;biography&quot;:null,&quot;followers&quot;:null,&quot;following&quot;:null,&quot;is_verified&quot;:null,&quot;profile_id&quot;:&quot;1044284694387412992&quot;,&quot;profile_name&quot;:&quot;ESPN+&quot;,&quot;url&quot;:&quot;https://x.com/ESPNPlus&quot;}]"/>
    <n v="54"/>
    <n v="16"/>
    <n v="231"/>
    <n v="82596"/>
    <s v=""/>
    <s v="[&quot;UFCTampa&quot;]"/>
    <n v="12876593"/>
    <s v="#UFCTampa | Covington vs Buckley | December 14 | 10pmET | LIVE on @ESPNPlus"/>
    <n v="141401"/>
    <s v="https://pbs.twimg.com/profile_images/1835773190385328128/4fVrF1UI_normal.jpg"/>
    <n v="717"/>
    <b v="0"/>
    <n v="2"/>
    <n v="2"/>
    <s v="{&quot;post_id&quot;:null,&quot;profile_id&quot;:null,&quot;profile_name&quot;:null}"/>
    <s v="null"/>
    <s v="[{&quot;duration&quot;:5038,&quot;video_url&quot;:&quot;https://video.twimg.com/ext_tw_video/1868125955505463296/pu/vid/avc1/718x720/-M1CyZRB501G2nWf.mp4?tag=12&quot;}]"/>
    <s v="{&quot;data_posted&quot;:null,&quot;description&quot;:null,&quot;photos&quot;:null,&quot;post_id&quot;:null,&quot;profile_id&quot;:null,&quot;profile_name&quot;:null,&quot;url&quot;:null,&quot;videos&quot;:null}"/>
    <n v="305"/>
    <n v="3.6926727686570778E-3"/>
    <d v="2024-12-15T00:00:00"/>
    <n v="0.21275462962962963"/>
    <x v="0"/>
    <x v="22"/>
    <x v="1"/>
    <x v="1"/>
    <x v="1"/>
    <x v="0"/>
    <n v="112"/>
    <x v="1"/>
  </r>
  <r>
    <n v="1.8683638475573663E+18"/>
    <s v="CNN███sil███"/>
    <s v="CNN███asi███"/>
    <s v="Vídeo: criminosos derrubam vítima durante arrastão em praia de Guarujá (SP)"/>
    <s v="&quot;2024-12-15T18:33:48.000Z&quot;"/>
    <s v="null"/>
    <s v="https://x.com/CNNBrasil/status/1868363847557366185"/>
    <s v="null"/>
    <n v="2"/>
    <n v="1"/>
    <n v="23"/>
    <n v="7604"/>
    <s v="https://www.cnnbrasil.com.br/nacional/sudeste/sp/video-criminosos-derrubam-vitima-durante-arrastao-em-praia-de-guaruja-sp/?utm_source=social&amp;utm_medium=twitter&amp;utm_campaign=sao-paulo"/>
    <s v="null"/>
    <n v="2819406"/>
    <s v="Pense bem, pense CNN._x000a_Acompanhe também pelo canal 577, app ou site. _x000a_⚽ @esportescnn_x000a_⚡️ @cnnpop_x000a_💰 @cnneconomia_x000a_💵 @nolucrocnn"/>
    <n v="286269"/>
    <s v="https://pbs.twimg.com/profile_images/1202609722257485824/NcFn6f7X_normal.jpg"/>
    <n v="4"/>
    <b v="0"/>
    <n v="1"/>
    <n v="1"/>
    <s v="{&quot;post_id&quot;:null,&quot;profile_id&quot;:null,&quot;profile_name&quot;:null}"/>
    <s v="[&quot;https://pbs.twimg.com/card_img/1868363849268699136/Pl8Ft882?format=jpg&amp;name=orig&quot;]"/>
    <s v="null"/>
    <s v="{&quot;data_posted&quot;:null,&quot;description&quot;:null,&quot;photos&quot;:null,&quot;post_id&quot;:null,&quot;profile_id&quot;:null,&quot;profile_name&quot;:null,&quot;url&quot;:null,&quot;videos&quot;:null}"/>
    <n v="28"/>
    <n v="3.682272488164124E-3"/>
    <d v="2024-12-15T00:00:00"/>
    <n v="0.77347222222222223"/>
    <x v="0"/>
    <x v="8"/>
    <x v="0"/>
    <x v="1"/>
    <x v="0"/>
    <x v="0"/>
    <n v="75"/>
    <x v="0"/>
  </r>
  <r>
    <n v="1.8683809329624187E+18"/>
    <s v="Glo███ews███"/>
    <s v="Glo███ews███"/>
    <s v="Começou hoje a segunda fase da Fuvest, vestibular que define os estudantes aprovados para estudar na USP._x000a__x000a_➡ Assista à #GloboNews:"/>
    <s v="&quot;2024-12-15T19:41:41.000Z&quot;"/>
    <s v="null"/>
    <s v="https://x.com/GloboNews/status/1868380932962418758"/>
    <s v="null"/>
    <n v="1"/>
    <n v="1"/>
    <n v="27"/>
    <n v="8158"/>
    <s v="http://glo.bo/39WjXAu"/>
    <s v="[&quot;GloboNews&quot;]"/>
    <n v="5771760"/>
    <s v="Nunca desliga"/>
    <n v="222223"/>
    <s v="https://pbs.twimg.com/profile_images/1559102712435933185/mYnEVnNs_normal.jpg"/>
    <n v="122"/>
    <b v="0"/>
    <n v="0"/>
    <n v="1"/>
    <s v="{&quot;post_id&quot;:null,&quot;profile_id&quot;:null,&quot;profile_name&quot;:null}"/>
    <s v="null"/>
    <s v="[{&quot;duration&quot;:110434,&quot;video_url&quot;:&quot;https://video.twimg.com/amplify_video/1868380820777406464/vid/avc1/1920x1080/e1o7uUreqVAr9UwC.mp4?tag=16&quot;}]"/>
    <s v="{&quot;data_posted&quot;:null,&quot;description&quot;:null,&quot;photos&quot;:null,&quot;post_id&quot;:null,&quot;profile_id&quot;:null,&quot;profile_name&quot;:null,&quot;url&quot;:null,&quot;videos&quot;:null}"/>
    <n v="30"/>
    <n v="3.6773719048786469E-3"/>
    <d v="2024-12-15T00:00:00"/>
    <n v="0.8206134259259259"/>
    <x v="0"/>
    <x v="4"/>
    <x v="1"/>
    <x v="1"/>
    <x v="1"/>
    <x v="0"/>
    <n v="130"/>
    <x v="0"/>
  </r>
  <r>
    <n v="1.8683349047962173E+18"/>
    <s v="Ran███sFC███"/>
    <s v="Ran███s F███bal█████████"/>
    <s v="The second-half is underway at Hampden._x000a__x000a_Come on #RangersFC 💙_x000a__x000a_📲 Follow the second-half live in our Match Hub:"/>
    <s v="&quot;2024-12-15T16:38:47.000Z&quot;"/>
    <s v="[&quot;https://pbs.twimg.com/media/Ge2N0c1W4AII8a4.jpg&quot;]"/>
    <s v="https://x.com/RangersFC/status/1868334904796217453"/>
    <s v="null"/>
    <n v="15"/>
    <n v="18"/>
    <n v="163"/>
    <n v="53862"/>
    <s v="https://rng.rs/Cup-Final"/>
    <s v="[&quot;RangersFC&quot;]"/>
    <n v="812163"/>
    <s v="The Home of #RangersFC 💙"/>
    <n v="110924"/>
    <s v="https://pbs.twimg.com/profile_images/1856633703734112256/PBlqGEwC_normal.jpg"/>
    <n v="322"/>
    <b v="0"/>
    <n v="1"/>
    <n v="1"/>
    <s v="{&quot;post_id&quot;:null,&quot;profile_id&quot;:null,&quot;profile_name&quot;:null}"/>
    <s v="null"/>
    <s v="null"/>
    <s v="{&quot;data_posted&quot;:null,&quot;description&quot;:null,&quot;photos&quot;:null,&quot;post_id&quot;:null,&quot;profile_id&quot;:null,&quot;profile_name&quot;:null,&quot;url&quot;:null,&quot;videos&quot;:null}"/>
    <n v="198"/>
    <n v="3.6760610448925029E-3"/>
    <d v="2024-12-15T00:00:00"/>
    <n v="0.69359953703703703"/>
    <x v="0"/>
    <x v="15"/>
    <x v="0"/>
    <x v="0"/>
    <x v="1"/>
    <x v="0"/>
    <n v="110"/>
    <x v="2"/>
  </r>
  <r>
    <n v="1.8683251472303107E+18"/>
    <s v="Spu███ffi███l"/>
    <s v="Tot███ham███tsp███"/>
    <s v="It's time to choose your #SOUTOT starting XI! 📋_x000a__x000a_🎮 @EASPORTSFC"/>
    <s v="&quot;2024-12-15T16:00:01.000Z&quot;"/>
    <s v="null"/>
    <s v="https://x.com/SpursOfficial/status/1868325147230310534"/>
    <s v="[{&quot;biography&quot;:null,&quot;followers&quot;:null,&quot;following&quot;:null,&quot;is_verified&quot;:null,&quot;profile_id&quot;:&quot;105297123&quot;,&quot;profile_name&quot;:&quot;EA SPORTS FC&quot;,&quot;url&quot;:&quot;https://x.com/EASPORTSFC&quot;}]"/>
    <n v="70"/>
    <n v="19"/>
    <n v="421"/>
    <n v="141653"/>
    <s v="https://www.tottenhamhotspur.com/competitions/squadselector/"/>
    <s v="[&quot;SOUTOT&quot;]"/>
    <n v="8885747"/>
    <s v="COYS 🤍"/>
    <n v="115852"/>
    <s v="https://pbs.twimg.com/profile_images/1864976047902498816/FUkKarj7_normal.jpg"/>
    <n v="469"/>
    <b v="0"/>
    <n v="6"/>
    <n v="2"/>
    <s v="{&quot;post_id&quot;:null,&quot;profile_id&quot;:null,&quot;profile_name&quot;:null}"/>
    <s v="null"/>
    <s v="null"/>
    <s v="{&quot;data_posted&quot;:null,&quot;description&quot;:null,&quot;photos&quot;:null,&quot;post_id&quot;:null,&quot;profile_id&quot;:null,&quot;profile_name&quot;:null,&quot;url&quot;:null,&quot;videos&quot;:null}"/>
    <n v="518"/>
    <n v="3.6568233641363049E-3"/>
    <d v="2024-12-15T00:00:00"/>
    <n v="0.66667824074074078"/>
    <x v="0"/>
    <x v="15"/>
    <x v="0"/>
    <x v="1"/>
    <x v="1"/>
    <x v="0"/>
    <n v="62"/>
    <x v="0"/>
  </r>
  <r>
    <n v="1.8680848073744507E+18"/>
    <s v="ufc"/>
    <s v="UFC"/>
    <s v="Fitz is ready for #UFCTampa, are you? 🫵_x000a__x000a_[ LIVE on @ESPNPlus right NOW ]"/>
    <s v="&quot;2024-12-15T00:05:00.000Z&quot;"/>
    <s v="null"/>
    <s v="https://x.com/ufc/status/1868084807374450737"/>
    <s v="[{&quot;biography&quot;:null,&quot;followers&quot;:null,&quot;following&quot;:null,&quot;is_verified&quot;:null,&quot;profile_id&quot;:&quot;1044284694387412992&quot;,&quot;profile_name&quot;:&quot;ESPN+&quot;,&quot;url&quot;:&quot;https://x.com/ESPNPlus&quot;}]"/>
    <n v="29"/>
    <n v="21"/>
    <n v="208"/>
    <n v="72033"/>
    <s v=""/>
    <s v="[&quot;UFCTampa&quot;]"/>
    <n v="12876593"/>
    <s v="#UFCTampa | Covington vs Buckley | December 14 | 10pmET | LIVE on @ESPNPlus"/>
    <n v="141401"/>
    <s v="https://pbs.twimg.com/profile_images/1835773190385328128/4fVrF1UI_normal.jpg"/>
    <n v="717"/>
    <b v="0"/>
    <n v="1"/>
    <n v="4"/>
    <s v="{&quot;post_id&quot;:null,&quot;profile_id&quot;:null,&quot;profile_name&quot;:null}"/>
    <s v="null"/>
    <s v="[{&quot;duration&quot;:17533,&quot;video_url&quot;:&quot;https://video.twimg.com/ext_tw_video/1868081613159956481/pu/vid/avc1/720x1280/XLdffLCrt-FcoBpX.mp4?tag=12&quot;}]"/>
    <s v="{&quot;data_posted&quot;:null,&quot;description&quot;:null,&quot;photos&quot;:null,&quot;post_id&quot;:null,&quot;profile_id&quot;:null,&quot;profile_name&quot;:null,&quot;url&quot;:null,&quot;videos&quot;:null}"/>
    <n v="263"/>
    <n v="3.6511043549484266E-3"/>
    <d v="2024-12-15T00:00:00"/>
    <n v="3.472222222222222E-3"/>
    <x v="0"/>
    <x v="5"/>
    <x v="1"/>
    <x v="1"/>
    <x v="1"/>
    <x v="0"/>
    <n v="72"/>
    <x v="1"/>
  </r>
  <r>
    <n v="1.8681661644065306E+18"/>
    <s v="ufc"/>
    <s v="UFC"/>
    <s v="So. Cal. Cub vs Tampa Bay Billy coming attcha! _x000a__x000a_@CubSwanson vs @BillyQMMA _x000a__x000a_[ #UFCTampa is LIVE on @ESPNPlus &amp;amp; ESPN2 ]"/>
    <s v="&quot;2024-12-15T05:28:17.000Z&quot;"/>
    <s v="null"/>
    <s v="https://x.com/ufc/status/1868166164406530529"/>
    <s v="[{&quot;biography&quot;:null,&quot;followers&quot;:null,&quot;following&quot;:null,&quot;is_verified&quot;:null,&quot;profile_id&quot;:&quot;30506859&quot;,&quot;profile_name&quot;:&quot;Cub Swanson&quot;,&quot;url&quot;:&quot;https://x.com/CubSwanson&quot;},{&quot;biography&quot;:null,&quot;followers&quot;:null,&quot;following&quot;:null,&quot;is_verified&quot;:null,&quot;profile_id&quot;:&quot;546140410&quot;,&quot;profile_name&quot;:&quot;Billy Quarantillo&quot;,&quot;url&quot;:&quot;https://x.com/BillyQMMA&quot;},{&quot;biography&quot;:null,&quot;followers&quot;:null,&quot;following&quot;:null,&quot;is_verified&quot;:null,&quot;profile_id&quot;:&quot;1044284694387412992&quot;,&quot;profile_name&quot;:&quot;ESPN+&quot;,&quot;url&quot;:&quot;https://x.com/ESPNPlus&quot;}]"/>
    <n v="35"/>
    <n v="26"/>
    <n v="228"/>
    <n v="81301"/>
    <s v=""/>
    <s v="[&quot;UFCTampa&quot;]"/>
    <n v="12876592"/>
    <s v="#UFCTampa | Covington vs Buckley | December 14 | 10pmET | LIVE on @ESPNPlus"/>
    <n v="141401"/>
    <s v="https://pbs.twimg.com/profile_images/1835773190385328128/4fVrF1UI_normal.jpg"/>
    <n v="717"/>
    <b v="0"/>
    <n v="2"/>
    <n v="5"/>
    <s v="{&quot;post_id&quot;:null,&quot;profile_id&quot;:null,&quot;profile_name&quot;:null}"/>
    <s v="null"/>
    <s v="[{&quot;duration&quot;:5038,&quot;video_url&quot;:&quot;https://video.twimg.com/ext_tw_video/1868125937323143168/pu/vid/avc1/718x720/KCmmZgMkZ50YGlw6.mp4?tag=12&quot;}]"/>
    <s v="{&quot;data_posted&quot;:null,&quot;description&quot;:null,&quot;photos&quot;:null,&quot;post_id&quot;:null,&quot;profile_id&quot;:null,&quot;profile_name&quot;:null,&quot;url&quot;:null,&quot;videos&quot;:null}"/>
    <n v="296"/>
    <n v="3.6407916261792599E-3"/>
    <d v="2024-12-15T00:00:00"/>
    <n v="0.22797453703703704"/>
    <x v="0"/>
    <x v="22"/>
    <x v="1"/>
    <x v="1"/>
    <x v="1"/>
    <x v="0"/>
    <n v="123"/>
    <x v="1"/>
  </r>
  <r>
    <n v="1.8682647513501245E+18"/>
    <s v="Cel███FC"/>
    <s v="Cel███ Fo███all██████"/>
    <s v="💻 Overseas subscribers can watch the #PremierSportsCup Final LIVE on @CelticTV!_x000a__x000a_Full info &amp;amp; how to subscribe ⤵_x000a__x000a_#CELRAN | #CelticFC🍀"/>
    <s v="&quot;2024-12-15T12:00:02.000Z&quot;"/>
    <s v="null"/>
    <s v="https://x.com/CelticFC/status/1868264751350124552"/>
    <s v="[{&quot;biography&quot;:null,&quot;followers&quot;:null,&quot;following&quot;:null,&quot;is_verified&quot;:null,&quot;profile_id&quot;:&quot;1900034311&quot;,&quot;profile_name&quot;:&quot;Celtic TV&quot;,&quot;url&quot;:&quot;https://x.com/CelticTV&quot;}]"/>
    <n v="3"/>
    <n v="15"/>
    <n v="157"/>
    <n v="48664"/>
    <s v="https://www.celticfc.com/news/2024/december/14/celtic-v-rangers-live-on-celtic-tv-for-overseas-subscribers"/>
    <s v="[&quot;PremierSportsCup&quot;,&quot;CELRAN&quot;,&quot;CelticFC&quot;]"/>
    <n v="984256"/>
    <s v="Glasgow Celtic - 2023/24 Double Winners! 🍀🏆 🟢 @CelticFCWomen ⚪ @CelticFCB 🎌 @CelticFCJPN 📽 @CelticTV 🛒 @CelticFCShop 🎟 @CelticFCTickets"/>
    <n v="136135"/>
    <s v="https://pbs.twimg.com/profile_images/1808866900228665344/xZAZuYBY_normal.jpg"/>
    <n v="438"/>
    <b v="0"/>
    <n v="1"/>
    <n v="1"/>
    <s v="{&quot;post_id&quot;:null,&quot;profile_id&quot;:null,&quot;profile_name&quot;:null}"/>
    <s v="null"/>
    <s v="null"/>
    <s v="{&quot;data_posted&quot;:null,&quot;description&quot;:null,&quot;photos&quot;:null,&quot;post_id&quot;:null,&quot;profile_id&quot;:null,&quot;profile_name&quot;:null,&quot;url&quot;:null,&quot;videos&quot;:null}"/>
    <n v="177"/>
    <n v="3.6371855992109155E-3"/>
    <d v="2024-12-15T00:00:00"/>
    <n v="0.50002314814814819"/>
    <x v="0"/>
    <x v="0"/>
    <x v="0"/>
    <x v="1"/>
    <x v="1"/>
    <x v="0"/>
    <n v="137"/>
    <x v="2"/>
  </r>
  <r>
    <n v="1.8680835570313462E+18"/>
    <s v="ESP███asi███"/>
    <s v="ESP███ras███"/>
    <s v="Lamine Yamal e Raphinha deram a liga perfeita para embalar a temporada do Barcelona!_x000a__x000a_👉 Assista à Barcelona x Leganés, AO VIVO, neste domingo (15), às 17h, pelo #DisneyPlus Premium! Acesse:"/>
    <s v="&quot;2024-12-15T00:00:01.000Z&quot;"/>
    <s v="null"/>
    <s v="https://x.com/ESPNBrasil/status/1868083557031346218"/>
    <s v="null"/>
    <n v="3"/>
    <n v="2"/>
    <n v="28"/>
    <n v="9948"/>
    <s v="http://dis.la/LaLiga_Barcelona_Leganes_BR"/>
    <s v="[&quot;DisneyPlus&quot;,&quot;LALIGAnaESPN&quot;]"/>
    <n v="3768944"/>
    <s v="ESPN: o melhor do esporte você assiste aqui!"/>
    <n v="897934"/>
    <s v="https://pbs.twimg.com/profile_images/1224436194152345608/dCEm_D7K_normal.jpg"/>
    <n v="28"/>
    <b v="0"/>
    <n v="0"/>
    <n v="3"/>
    <s v="{&quot;post_id&quot;:null,&quot;profile_id&quot;:null,&quot;profile_name&quot;:null}"/>
    <s v="null"/>
    <s v="[{&quot;duration&quot;:84961,&quot;video_url&quot;:&quot;https://video.twimg.com/amplify_video/1867686854671142912/vid/avc1/720x1280/noY9SddzVBN9VRHd.mp4?tag=14&quot;}]"/>
    <s v="{&quot;data_posted&quot;:null,&quot;description&quot;:null,&quot;photos&quot;:null,&quot;post_id&quot;:null,&quot;profile_id&quot;:null,&quot;profile_name&quot;:null,&quot;url&quot;:null,&quot;videos&quot;:null}"/>
    <n v="36"/>
    <n v="3.6188178528347406E-3"/>
    <d v="2024-12-15T00:00:00"/>
    <n v="1.1574074074074073E-5"/>
    <x v="0"/>
    <x v="5"/>
    <x v="1"/>
    <x v="1"/>
    <x v="1"/>
    <x v="0"/>
    <n v="189"/>
    <x v="0"/>
  </r>
  <r>
    <n v="1.8683139688858301E+18"/>
    <s v="ESP███asi███"/>
    <s v="ESP███ras███"/>
    <s v="Artur Jorge, do Botafogo, diz que tem 'futuro em aberto' e admite propostas do futebol árabe: 'Muito tentadoras' _x000a__x000a_➡️​"/>
    <s v="&quot;2024-12-15T15:15:36.000Z&quot;"/>
    <s v="null"/>
    <s v="https://x.com/ESPNBrasil/status/1868313968885830084"/>
    <s v="null"/>
    <n v="4"/>
    <n v="1"/>
    <n v="21"/>
    <n v="7480"/>
    <s v="https://buff.ly/4gc7WJm"/>
    <s v="[&quot;FutebolNaESPN&quot;]"/>
    <n v="3768943"/>
    <s v="ESPN: o melhor do esporte você assiste aqui!"/>
    <n v="897934"/>
    <s v="https://pbs.twimg.com/profile_images/1224436194152345608/dCEm_D7K_normal.jpg"/>
    <n v="28"/>
    <b v="0"/>
    <n v="0"/>
    <n v="1"/>
    <s v="{&quot;post_id&quot;:null,&quot;profile_id&quot;:null,&quot;profile_name&quot;:null}"/>
    <s v="[&quot;https://pbs.twimg.com/card_img/1868313916020830208/y2g6vSGz?format=jpg&amp;name=orig&quot;]"/>
    <s v="null"/>
    <s v="{&quot;data_posted&quot;:null,&quot;description&quot;:null,&quot;photos&quot;:null,&quot;post_id&quot;:null,&quot;profile_id&quot;:null,&quot;profile_name&quot;:null,&quot;url&quot;:null,&quot;videos&quot;:null}"/>
    <n v="27"/>
    <n v="3.6096256684491979E-3"/>
    <d v="2024-12-15T00:00:00"/>
    <n v="0.63583333333333336"/>
    <x v="0"/>
    <x v="13"/>
    <x v="0"/>
    <x v="1"/>
    <x v="1"/>
    <x v="0"/>
    <n v="118"/>
    <x v="0"/>
  </r>
  <r>
    <n v="1.8681208386223311E+18"/>
    <s v="ufc"/>
    <s v="UFC"/>
    <s v="You'll want to be seated for this 👀_x000a__x000a_Joel Alvarez vs @DrakkarKlose_x000a__x000a_[ #UFCTampa is LIVE NOW on @ESPNPlus ]"/>
    <s v="&quot;2024-12-15T02:28:10.000Z&quot;"/>
    <s v="null"/>
    <s v="https://x.com/ufc/status/1868120838622331178"/>
    <s v="[{&quot;biography&quot;:null,&quot;followers&quot;:null,&quot;following&quot;:null,&quot;is_verified&quot;:null,&quot;profile_id&quot;:&quot;2615224578&quot;,&quot;profile_name&quot;:&quot;Drakkar Klose&quot;,&quot;url&quot;:&quot;https://x.com/drakkarklose&quot;},{&quot;biography&quot;:null,&quot;followers&quot;:null,&quot;following&quot;:null,&quot;is_verified&quot;:null,&quot;profile_id&quot;:&quot;1044284694387412992&quot;,&quot;profile_name&quot;:&quot;ESPN+&quot;,&quot;url&quot;:&quot;https://x.com/ESPNPlus&quot;}]"/>
    <n v="41"/>
    <n v="27"/>
    <n v="238"/>
    <n v="86240"/>
    <s v=""/>
    <s v="[&quot;UFCTampa&quot;]"/>
    <n v="12876593"/>
    <s v="#UFCTampa | Covington vs Buckley | December 14 | 10pmET | LIVE on @ESPNPlus"/>
    <n v="141401"/>
    <s v="https://pbs.twimg.com/profile_images/1835773190385328128/4fVrF1UI_normal.jpg"/>
    <n v="717"/>
    <b v="0"/>
    <n v="3"/>
    <n v="2"/>
    <s v="{&quot;post_id&quot;:null,&quot;profile_id&quot;:null,&quot;profile_name&quot;:null}"/>
    <s v="null"/>
    <s v="[{&quot;duration&quot;:5472,&quot;video_url&quot;:&quot;https://video.twimg.com/ext_tw_video/1868068268407205888/pu/vid/avc1/718x720/LieHBZJ2_h2zg1AL.mp4?tag=12&quot;}]"/>
    <s v="{&quot;data_posted&quot;:null,&quot;description&quot;:null,&quot;photos&quot;:null,&quot;post_id&quot;:null,&quot;profile_id&quot;:null,&quot;profile_name&quot;:null,&quot;url&quot;:null,&quot;videos&quot;:null}"/>
    <n v="311"/>
    <n v="3.6062152133580706E-3"/>
    <d v="2024-12-15T00:00:00"/>
    <n v="0.10289351851851852"/>
    <x v="0"/>
    <x v="2"/>
    <x v="1"/>
    <x v="1"/>
    <x v="1"/>
    <x v="0"/>
    <n v="106"/>
    <x v="1"/>
  </r>
  <r>
    <n v="1.868250241608098E+18"/>
    <s v="nyp███"/>
    <s v="New███rk ███t"/>
    <s v="Finance expert, son of Florida judge accused of sucker-punching NYC eye doc, 2 health-care staffers in NJ"/>
    <s v="&quot;2024-12-15T11:02:22.000Z&quot;"/>
    <s v="[&quot;https://pbs.twimg.com/media/Ge1bsa3XUAAWCGh.jpg&quot;]"/>
    <s v="https://x.com/nypost/status/1868250241608098117"/>
    <s v="null"/>
    <n v="27"/>
    <n v="19"/>
    <n v="64"/>
    <n v="32797"/>
    <s v="https://trib.al/C5Aw89J"/>
    <s v="null"/>
    <n v="3313890"/>
    <s v="Breaking news &amp; features from The New York Post. Follow your favorite sections: @pagesix, @nypmetro, @nypostbiz, @nypostsports, @nypfashion, @nypostopinion"/>
    <n v="706459"/>
    <s v="https://pbs.twimg.com/profile_images/966372680306868224/60wfGe9e_normal.jpg"/>
    <n v="10308"/>
    <b v="0"/>
    <n v="6"/>
    <n v="2"/>
    <s v="{&quot;post_id&quot;:null,&quot;profile_id&quot;:null,&quot;profile_name&quot;:null}"/>
    <s v="null"/>
    <s v="null"/>
    <s v="{&quot;data_posted&quot;:null,&quot;description&quot;:null,&quot;photos&quot;:null,&quot;post_id&quot;:null,&quot;profile_id&quot;:null,&quot;profile_name&quot;:null,&quot;url&quot;:null,&quot;videos&quot;:null}"/>
    <n v="118"/>
    <n v="3.5978900509192912E-3"/>
    <d v="2024-12-15T00:00:00"/>
    <n v="0.45997685185185183"/>
    <x v="0"/>
    <x v="16"/>
    <x v="0"/>
    <x v="0"/>
    <x v="0"/>
    <x v="0"/>
    <n v="105"/>
    <x v="0"/>
  </r>
  <r>
    <n v="1.8676667160311278E+18"/>
    <s v="Bro███ynN███"/>
    <s v="Bro███yn ███s"/>
    <s v="this year isn't the first time Cam's been hitting the no-dip threes_x000a__x000a_learn more in the latest Nets Film Focus, presented by @CarMax →"/>
    <s v="&quot;2024-12-13T20:23:39.000Z&quot;"/>
    <s v="null"/>
    <s v="https://x.com/BrooklynNets/status/1867666716031127688"/>
    <s v="[{&quot;biography&quot;:null,&quot;followers&quot;:null,&quot;following&quot;:null,&quot;is_verified&quot;:null,&quot;profile_id&quot;:&quot;7023592&quot;,&quot;profile_name&quot;:&quot;CarMax&quot;,&quot;url&quot;:&quot;https://x.com/CarMax&quot;}]"/>
    <n v="5"/>
    <n v="30"/>
    <n v="179"/>
    <n v="68628"/>
    <s v="http://www.youtube.com/watch?v=US0_Z15OuWQ"/>
    <s v="null"/>
    <n v="2035100"/>
    <s v="Tweets from #NetsWorld"/>
    <n v="106867"/>
    <s v="https://pbs.twimg.com/profile_images/1811024920870277122/1wQgAUZH_normal.jpg"/>
    <n v="411"/>
    <b v="0"/>
    <n v="14"/>
    <n v="17"/>
    <s v="{&quot;post_id&quot;:null,&quot;profile_id&quot;:null,&quot;profile_name&quot;:null}"/>
    <s v="null"/>
    <s v="[{&quot;duration&quot;:36803,&quot;video_url&quot;:&quot;https://video.twimg.com/ext_tw_video/1867662926053507072/pu/vid/avc1/720x720/X2fJ_fn4I_J1r0Iv.mp4?tag=12&quot;}]"/>
    <s v="{&quot;data_posted&quot;:null,&quot;description&quot;:null,&quot;photos&quot;:null,&quot;post_id&quot;:null,&quot;profile_id&quot;:null,&quot;profile_name&quot;:null,&quot;url&quot;:null,&quot;videos&quot;:null}"/>
    <n v="245"/>
    <n v="3.5699714402284781E-3"/>
    <d v="2024-12-13T00:00:00"/>
    <n v="0.8497569444444445"/>
    <x v="1"/>
    <x v="3"/>
    <x v="1"/>
    <x v="1"/>
    <x v="0"/>
    <x v="0"/>
    <n v="133"/>
    <x v="0"/>
  </r>
  <r>
    <n v="1.8681489842056809E+18"/>
    <s v="ufc"/>
    <s v="UFC"/>
    <s v="He wants the King of Rio 👑🇧🇷_x000a__x000a_Daniel Marcos knows who he wants next! #UFCTampa"/>
    <s v="&quot;2024-12-15T04:20:01.000Z&quot;"/>
    <s v="null"/>
    <s v="https://x.com/ufc/status/1868148984205680839"/>
    <s v="null"/>
    <n v="45"/>
    <n v="15"/>
    <n v="321"/>
    <n v="110134"/>
    <s v=""/>
    <s v="[&quot;UFCTampa&quot;]"/>
    <n v="12876593"/>
    <s v="#UFCTampa | Covington vs Buckley | December 14 | 10pmET | LIVE on @ESPNPlus"/>
    <n v="141401"/>
    <s v="https://pbs.twimg.com/profile_images/1835773190385328128/4fVrF1UI_normal.jpg"/>
    <n v="717"/>
    <b v="0"/>
    <n v="6"/>
    <n v="5"/>
    <s v="{&quot;post_id&quot;:null,&quot;profile_id&quot;:null,&quot;profile_name&quot;:null}"/>
    <s v="null"/>
    <s v="[{&quot;duration&quot;:22200,&quot;video_url&quot;:&quot;https://video.twimg.com/ext_tw_video/1868148902102188032/pu/vid/avc1/720x720/9nU8i2MmueKfvQI-.mp4?tag=12&quot;}]"/>
    <s v="{&quot;data_posted&quot;:null,&quot;description&quot;:null,&quot;photos&quot;:null,&quot;post_id&quot;:null,&quot;profile_id&quot;:null,&quot;profile_name&quot;:null,&quot;url&quot;:null,&quot;videos&quot;:null}"/>
    <n v="392"/>
    <n v="3.5593004884958324E-3"/>
    <d v="2024-12-15T00:00:00"/>
    <n v="0.18056712962962962"/>
    <x v="0"/>
    <x v="9"/>
    <x v="1"/>
    <x v="1"/>
    <x v="1"/>
    <x v="0"/>
    <n v="78"/>
    <x v="1"/>
  </r>
  <r>
    <n v="1.8681345469753754E+18"/>
    <s v="ufc"/>
    <s v="UFC"/>
    <s v="We honor Stuart Scott &amp;amp; we remember the message. _x000a__x000a_[ @TheVFoundation | Learn how you can help:"/>
    <s v="&quot;2024-12-15T03:22:38.000Z&quot;"/>
    <s v="null"/>
    <s v="https://x.com/ufc/status/1868134546975375466"/>
    <s v="[{&quot;biography&quot;:null,&quot;followers&quot;:null,&quot;following&quot;:null,&quot;is_verified&quot;:null,&quot;profile_id&quot;:&quot;22736710&quot;,&quot;profile_name&quot;:&quot;The V Foundation for Cancer Research&quot;,&quot;url&quot;:&quot;https://x.com/TheVFoundation&quot;}]"/>
    <n v="12"/>
    <n v="31"/>
    <n v="201"/>
    <n v="71911"/>
    <s v="http://v.org/UFC"/>
    <s v="null"/>
    <n v="12876593"/>
    <s v="#UFCTampa | Covington vs Buckley | December 14 | 10pmET | LIVE on @ESPNPlus"/>
    <n v="141401"/>
    <s v="https://pbs.twimg.com/profile_images/1835773190385328128/4fVrF1UI_normal.jpg"/>
    <n v="717"/>
    <b v="0"/>
    <n v="3"/>
    <n v="7"/>
    <s v="{&quot;post_id&quot;:null,&quot;profile_id&quot;:null,&quot;profile_name&quot;:null}"/>
    <s v="null"/>
    <s v="[{&quot;duration&quot;:184534,&quot;video_url&quot;:&quot;https://video.twimg.com/ext_tw_video/1868133860719910912/pu/vid/avc1/1280x720/jsOh8RBIEO8XK24f.mp4?tag=12&quot;}]"/>
    <s v="{&quot;data_posted&quot;:null,&quot;description&quot;:null,&quot;photos&quot;:null,&quot;post_id&quot;:null,&quot;profile_id&quot;:null,&quot;profile_name&quot;:null,&quot;url&quot;:null,&quot;videos&quot;:null}"/>
    <n v="254"/>
    <n v="3.5321439000987331E-3"/>
    <d v="2024-12-15T00:00:00"/>
    <n v="0.14071759259259259"/>
    <x v="0"/>
    <x v="21"/>
    <x v="1"/>
    <x v="1"/>
    <x v="0"/>
    <x v="0"/>
    <n v="98"/>
    <x v="1"/>
  </r>
  <r>
    <n v="1.868375476198359E+18"/>
    <s v="Cha███ons███"/>
    <s v="Inv███ec ███mpi█████████"/>
    <s v="Round 2 ✅_x000a__x000a_What was your moment of the weekend? _x000a__x000a_Catch up on #InvestecChampionsCup action as it happened ⬇️"/>
    <s v="&quot;2024-12-15T19:20:00.000Z&quot;"/>
    <s v="null"/>
    <s v="https://x.com/ChampionsCup/status/1868375476198359097"/>
    <s v="null"/>
    <n v="4"/>
    <n v="7"/>
    <n v="30"/>
    <n v="12773"/>
    <s v="https://www.epcrugby.com/champions-cup/content/investec-champions-cup-live-round-2-matchday-3?utm_source=Social&amp;utm_medium=Organic&amp;utm_campaign="/>
    <s v="[&quot;InvestecChampionsCup&quot;]"/>
    <n v="156681"/>
    <s v="Welcome to the official account in English for the #InvestecChampionsCup. Follow @ChampionsCup_FR for French language, and @ChallengeCup_ for more updates"/>
    <n v="35682"/>
    <s v="https://pbs.twimg.com/profile_images/1697181182796935168/vcSAuYKk_normal.jpg"/>
    <n v="1430"/>
    <b v="0"/>
    <n v="3"/>
    <n v="1"/>
    <s v="{&quot;post_id&quot;:null,&quot;profile_id&quot;:null,&quot;profile_name&quot;:null}"/>
    <s v="null"/>
    <s v="null"/>
    <s v="{&quot;data_posted&quot;:null,&quot;description&quot;:null,&quot;photos&quot;:null,&quot;post_id&quot;:null,&quot;profile_id&quot;:null,&quot;profile_name&quot;:null,&quot;url&quot;:null,&quot;videos&quot;:null}"/>
    <n v="45"/>
    <n v="3.5230564471932986E-3"/>
    <d v="2024-12-15T00:00:00"/>
    <n v="0.80555555555555558"/>
    <x v="0"/>
    <x v="4"/>
    <x v="0"/>
    <x v="1"/>
    <x v="1"/>
    <x v="0"/>
    <n v="108"/>
    <x v="2"/>
  </r>
  <r>
    <n v="1.8681492036016909E+18"/>
    <s v="ufc"/>
    <s v="UFC"/>
    <s v="Hard hitting LHWs are up next! 👊_x000a__x000a_@VitorPetrino vs @TheHanyakDJ _x000a__x000a_[ #UFCTampa is LIVE on @ESPNPlus &amp;amp; ESPN2 ]"/>
    <s v="&quot;2024-12-15T04:20:53.000Z&quot;"/>
    <s v="null"/>
    <s v="https://x.com/ufc/status/1868149203601690892"/>
    <s v="[{&quot;biography&quot;:null,&quot;followers&quot;:null,&quot;following&quot;:null,&quot;is_verified&quot;:null,&quot;profile_id&quot;:&quot;260314743&quot;,&quot;profile_name&quot;:&quot;Vitor Petrino&quot;,&quot;url&quot;:&quot;https://x.com/VitorPetrino&quot;},{&quot;biography&quot;:null,&quot;followers&quot;:null,&quot;following&quot;:null,&quot;is_verified&quot;:null,&quot;profile_id&quot;:&quot;222632459&quot;,&quot;profile_name&quot;:&quot;Dustin Jacoby 🇺🇸&quot;,&quot;url&quot;:&quot;https://x.com/thehanyakdj&quot;},{&quot;biography&quot;:null,&quot;followers&quot;:null,&quot;following&quot;:null,&quot;is_verified&quot;:null,&quot;profile_id&quot;:&quot;1044284694387412992&quot;,&quot;profile_name&quot;:&quot;ESPN+&quot;,&quot;url&quot;:&quot;https://x.com/ESPNPlus&quot;}]"/>
    <n v="72"/>
    <n v="20"/>
    <n v="222"/>
    <n v="91850"/>
    <s v=""/>
    <s v="[&quot;UFCTampa&quot;]"/>
    <n v="12876593"/>
    <s v="#UFCTampa | Covington vs Buckley | December 14 | 10pmET | LIVE on @ESPNPlus"/>
    <n v="141401"/>
    <s v="https://pbs.twimg.com/profile_images/1835773190385328128/4fVrF1UI_normal.jpg"/>
    <n v="717"/>
    <b v="0"/>
    <n v="4"/>
    <n v="4"/>
    <s v="{&quot;post_id&quot;:null,&quot;profile_id&quot;:null,&quot;profile_name&quot;:null}"/>
    <s v="null"/>
    <s v="[{&quot;duration&quot;:5038,&quot;video_url&quot;:&quot;https://video.twimg.com/ext_tw_video/1868125529817157632/pu/vid/avc1/718x720/5WmfgDrePBI_BVep.mp4?tag=12&quot;}]"/>
    <s v="{&quot;data_posted&quot;:null,&quot;description&quot;:null,&quot;photos&quot;:null,&quot;post_id&quot;:null,&quot;profile_id&quot;:null,&quot;profile_name&quot;:null,&quot;url&quot;:null,&quot;videos&quot;:null}"/>
    <n v="322"/>
    <n v="3.5057158410451822E-3"/>
    <d v="2024-12-15T00:00:00"/>
    <n v="0.18116898148148147"/>
    <x v="0"/>
    <x v="9"/>
    <x v="1"/>
    <x v="1"/>
    <x v="1"/>
    <x v="0"/>
    <n v="112"/>
    <x v="1"/>
  </r>
  <r>
    <n v="1.8683485433389673E+18"/>
    <s v="ESP███asi███"/>
    <s v="ESP███ras███"/>
    <s v="Jornal: City sonda Pogba para 2025, mas possível negociação passa por 'entrave' importante_x000a__x000a_➡️​"/>
    <s v="&quot;2024-12-15T17:32:59.000Z&quot;"/>
    <s v="null"/>
    <s v="https://x.com/ESPNBrasil/status/1868348543338967407"/>
    <s v="null"/>
    <n v="10"/>
    <n v="1"/>
    <n v="30"/>
    <n v="12019"/>
    <s v="https://buff.ly/3BrmTbx"/>
    <s v="[&quot;FutebolNaESPN&quot;,&quot;PremierLeagueNaESPN&quot;]"/>
    <n v="3768924"/>
    <s v="ESPN: o melhor do esporte você assiste aqui!"/>
    <n v="897934"/>
    <s v="https://pbs.twimg.com/profile_images/1224436194152345608/dCEm_D7K_normal.jpg"/>
    <n v="28"/>
    <b v="0"/>
    <n v="1"/>
    <n v="0"/>
    <s v="{&quot;post_id&quot;:null,&quot;profile_id&quot;:null,&quot;profile_name&quot;:null}"/>
    <s v="[&quot;https://pbs.twimg.com/card_img/1868348434731634688/9qXZPpP2?format=jpg&amp;name=orig&quot;]"/>
    <s v="null"/>
    <s v="{&quot;data_posted&quot;:null,&quot;description&quot;:null,&quot;photos&quot;:null,&quot;post_id&quot;:null,&quot;profile_id&quot;:null,&quot;profile_name&quot;:null,&quot;url&quot;:null,&quot;videos&quot;:null}"/>
    <n v="42"/>
    <n v="3.4944670937682005E-3"/>
    <d v="2024-12-15T00:00:00"/>
    <n v="0.73123842592592592"/>
    <x v="0"/>
    <x v="12"/>
    <x v="0"/>
    <x v="1"/>
    <x v="1"/>
    <x v="0"/>
    <n v="95"/>
    <x v="0"/>
  </r>
  <r>
    <n v="1.868285248804393E+18"/>
    <s v="The███nom███"/>
    <s v="The███ono███t"/>
    <s v="The loss of the key port of Tartus on Syria’s coast could soon hobble the Russian navy. _x000a__x000a_Without it, the Kremlin’s naval operations in the Mediterranean are likely to become shorter, more expensive and more sporadic"/>
    <s v="&quot;2024-12-15T13:21:29.000Z&quot;"/>
    <s v="null"/>
    <s v="https://x.com/TheEconomist/status/1868285248804393080"/>
    <s v="null"/>
    <n v="14"/>
    <n v="51"/>
    <n v="155"/>
    <n v="68078"/>
    <s v="https://econ.st/41roqss"/>
    <s v="null"/>
    <n v="27122998"/>
    <s v="News and analysis with a global perspective. We’re here to help you understand the world around you. Subscribe here: https://t.co/RpUQAAnhog"/>
    <n v="402760"/>
    <s v="https://pbs.twimg.com/profile_images/1847280770743750656/0DkLNOPG_normal.jpg"/>
    <n v="155"/>
    <b v="0"/>
    <n v="9"/>
    <n v="8"/>
    <s v="{&quot;post_id&quot;:null,&quot;profile_id&quot;:null,&quot;profile_name&quot;:null}"/>
    <s v="[&quot;https://pbs.twimg.com/card_img/1866498126346870784/S576kBIK?format=jpg&amp;name=orig&quot;]"/>
    <s v="null"/>
    <s v="{&quot;data_posted&quot;:null,&quot;description&quot;:null,&quot;photos&quot;:null,&quot;post_id&quot;:null,&quot;profile_id&quot;:null,&quot;profile_name&quot;:null,&quot;url&quot;:null,&quot;videos&quot;:null}"/>
    <n v="237"/>
    <n v="3.4813008607773436E-3"/>
    <d v="2024-12-15T00:00:00"/>
    <n v="0.55658564814814815"/>
    <x v="0"/>
    <x v="14"/>
    <x v="0"/>
    <x v="1"/>
    <x v="0"/>
    <x v="0"/>
    <n v="216"/>
    <x v="1"/>
  </r>
  <r>
    <n v="1.8681249508985531E+18"/>
    <s v="ufc"/>
    <s v="UFC"/>
    <s v="Wrapping up the #UFCTampa prelims 👏_x000a__x000a_@Menace155 vs @OttmanAzaitar _x000a__x000a_[ Live RIGHT NOW on @ESPNPlus ]"/>
    <s v="&quot;2024-12-15T02:44:31.000Z&quot;"/>
    <s v="null"/>
    <s v="https://x.com/ufc/status/1868124950898553159"/>
    <s v="[{&quot;biography&quot;:null,&quot;followers&quot;:null,&quot;following&quot;:null,&quot;is_verified&quot;:null,&quot;profile_id&quot;:&quot;177019934&quot;,&quot;profile_name&quot;:&quot;Michael Johnson&quot;,&quot;url&quot;:&quot;https://x.com/Menace155&quot;},{&quot;biography&quot;:null,&quot;followers&quot;:null,&quot;following&quot;:null,&quot;is_verified&quot;:null,&quot;profile_id&quot;:&quot;2766450105&quot;,&quot;profile_name&quot;:&quot;Ottman Azaitar&quot;,&quot;url&quot;:&quot;https://x.com/OttmanAzaitar&quot;},{&quot;biography&quot;:null,&quot;followers&quot;:null,&quot;following&quot;:null,&quot;is_verified&quot;:null,&quot;profile_id&quot;:&quot;1044284694387412992&quot;,&quot;profile_name&quot;:&quot;ESPN+&quot;,&quot;url&quot;:&quot;https://x.com/ESPNPlus&quot;}]"/>
    <n v="41"/>
    <n v="26"/>
    <n v="245"/>
    <n v="93839"/>
    <s v=""/>
    <s v="[&quot;UFCTampa&quot;]"/>
    <n v="12876592"/>
    <s v="#UFCTampa | Covington vs Buckley | December 14 | 10pmET | LIVE on @ESPNPlus"/>
    <n v="141401"/>
    <s v="https://pbs.twimg.com/profile_images/1835773190385328128/4fVrF1UI_normal.jpg"/>
    <n v="717"/>
    <b v="0"/>
    <n v="7"/>
    <n v="5"/>
    <s v="{&quot;post_id&quot;:null,&quot;profile_id&quot;:null,&quot;profile_name&quot;:null}"/>
    <s v="null"/>
    <s v="[{&quot;duration&quot;:5472,&quot;video_url&quot;:&quot;https://video.twimg.com/ext_tw_video/1868123232810733568/pu/vid/avc1/718x720/DkbAgcnOCHRIlmq8.mp4?tag=12&quot;}]"/>
    <s v="{&quot;data_posted&quot;:null,&quot;description&quot;:null,&quot;photos&quot;:null,&quot;post_id&quot;:null,&quot;profile_id&quot;:null,&quot;profile_name&quot;:null,&quot;url&quot;:null,&quot;videos&quot;:null}"/>
    <n v="324"/>
    <n v="3.4527222157098862E-3"/>
    <d v="2024-12-15T00:00:00"/>
    <n v="0.11424768518518519"/>
    <x v="0"/>
    <x v="2"/>
    <x v="1"/>
    <x v="1"/>
    <x v="1"/>
    <x v="0"/>
    <n v="99"/>
    <x v="1"/>
  </r>
  <r>
    <n v="1.8659771401785713E+18"/>
    <s v="NBA"/>
    <s v="NBA"/>
    <s v="@Bucks @hornets Tyler Herro's big night propels the @MiamiHEAT to their third straight win!_x000a__x000a_Duncan Robinson: 23 PTS (4-6 3PM)_x000a_Jimmy Butler: 18 PTS, 5 AST, 2 STL_x000a_Bam Adebayo: 16 PTS, 13 REB, 6 AST"/>
    <s v="&quot;2024-12-09T04:29:53.000Z&quot;"/>
    <s v="[&quot;https://pbs.twimg.com/media/GeVELsQWQAArqp9.jpg&quot;]"/>
    <s v="https://x.com/NBA/status/1865977140178571325"/>
    <s v="[{&quot;biography&quot;:null,&quot;followers&quot;:null,&quot;following&quot;:null,&quot;is_verified&quot;:null,&quot;profile_id&quot;:&quot;15900167&quot;,&quot;profile_name&quot;:&quot;Milwaukee Bucks&quot;,&quot;url&quot;:&quot;https://x.com/Bucks&quot;},{&quot;biography&quot;:null,&quot;followers&quot;:null,&quot;following&quot;:null,&quot;is_verified&quot;:null,&quot;profile_id&quot;:&quot;21308488&quot;,&quot;profile_name&quot;:&quot;Charlotte Hornets&quot;,&quot;url&quot;:&quot;https://x.com/hornets&quot;},{&quot;biography&quot;:null,&quot;followers&quot;:null,&quot;following&quot;:null,&quot;is_verified&quot;:null,&quot;profile_id&quot;:&quot;11026952&quot;,&quot;profile_name&quot;:&quot;Miami HEAT&quot;,&quot;url&quot;:&quot;https://x.com/MiamiHEAT&quot;}]"/>
    <n v="25"/>
    <n v="63"/>
    <n v="414"/>
    <n v="151662"/>
    <s v=""/>
    <s v="null"/>
    <n v="47706412"/>
    <s v="The #EmiratesNBACup Championship Game will take place Tuesday, 12/17 in Vegas! 🏆 8:30pm/et on ABC: Bucks/Thunder"/>
    <n v="367139"/>
    <s v="https://pbs.twimg.com/profile_images/1868174380468981760/m0FEipd2_normal.jpg"/>
    <n v="2012"/>
    <b v="0"/>
    <n v="9"/>
    <n v="9"/>
    <s v="{&quot;post_id&quot;:&quot;1865954501376475363&quot;,&quot;profile_id&quot;:&quot;19923144&quot;,&quot;profile_name&quot;:&quot;NBA&quot;}"/>
    <s v="null"/>
    <s v="null"/>
    <s v="{&quot;data_posted&quot;:null,&quot;description&quot;:null,&quot;photos&quot;:null,&quot;post_id&quot;:null,&quot;profile_id&quot;:null,&quot;profile_name&quot;:null,&quot;url&quot;:null,&quot;videos&quot;:null}"/>
    <n v="520"/>
    <n v="3.4286769263230077E-3"/>
    <d v="2024-12-09T00:00:00"/>
    <n v="0.18741898148148148"/>
    <x v="2"/>
    <x v="9"/>
    <x v="0"/>
    <x v="0"/>
    <x v="0"/>
    <x v="0"/>
    <n v="196"/>
    <x v="1"/>
  </r>
  <r>
    <n v="1.868086191414825E+18"/>
    <s v="ufc"/>
    <s v="UFC"/>
    <s v="Fight Like Hell 👊_x000a__x000a_@TheVFoundation | Learn how you can help:"/>
    <s v="&quot;2024-12-15T00:10:30.000Z&quot;"/>
    <s v="null"/>
    <s v="https://x.com/ufc/status/1868086191414825064"/>
    <s v="[{&quot;biography&quot;:null,&quot;followers&quot;:null,&quot;following&quot;:null,&quot;is_verified&quot;:null,&quot;profile_id&quot;:&quot;22736710&quot;,&quot;profile_name&quot;:&quot;The V Foundation for Cancer Research&quot;,&quot;url&quot;:&quot;https://x.com/TheVFoundation&quot;}]"/>
    <n v="14"/>
    <n v="31"/>
    <n v="210"/>
    <n v="78439"/>
    <s v="http://v.org/UFC"/>
    <s v="null"/>
    <n v="12876593"/>
    <s v="#UFCTampa | Covington vs Buckley | December 14 | 10pmET | LIVE on @ESPNPlus"/>
    <n v="141401"/>
    <s v="https://pbs.twimg.com/profile_images/1835773190385328128/4fVrF1UI_normal.jpg"/>
    <n v="717"/>
    <b v="0"/>
    <n v="2"/>
    <n v="8"/>
    <s v="{&quot;post_id&quot;:null,&quot;profile_id&quot;:null,&quot;profile_name&quot;:null}"/>
    <s v="null"/>
    <s v="[{&quot;duration&quot;:73867,&quot;video_url&quot;:&quot;https://video.twimg.com/ext_tw_video/1868085435668316160/pu/vid/avc1/1280x720/W7zytLj4XWZMKlFN.mp4?tag=12&quot;}]"/>
    <s v="{&quot;data_posted&quot;:null,&quot;description&quot;:null,&quot;photos&quot;:null,&quot;post_id&quot;:null,&quot;profile_id&quot;:null,&quot;profile_name&quot;:null,&quot;url&quot;:null,&quot;videos&quot;:null}"/>
    <n v="265"/>
    <n v="3.378421448514132E-3"/>
    <d v="2024-12-15T00:00:00"/>
    <n v="7.2916666666666668E-3"/>
    <x v="0"/>
    <x v="5"/>
    <x v="1"/>
    <x v="1"/>
    <x v="0"/>
    <x v="0"/>
    <n v="60"/>
    <x v="1"/>
  </r>
  <r>
    <n v="1.8684059198450977E+18"/>
    <s v="PGA███R"/>
    <s v="PGA███UR"/>
    <s v="Bru-wins 🏆🏆_x000a__x000a_The UCLA alums are champions @GTInvitational."/>
    <s v="&quot;2024-12-15T21:20:59.000Z&quot;"/>
    <s v="[&quot;https://pbs.twimg.com/media/Ge3pFFwXwAA40ai.jpg&quot;]"/>
    <s v="https://x.com/PGATOUR/status/1868405919845097648"/>
    <s v="[{&quot;biography&quot;:null,&quot;followers&quot;:null,&quot;following&quot;:null,&quot;is_verified&quot;:null,&quot;profile_id&quot;:&quot;612661873&quot;,&quot;profile_name&quot;:&quot;Grant Thornton Invitational&quot;,&quot;url&quot;:&quot;https://x.com/gtinvitational&quot;}]"/>
    <n v="22"/>
    <n v="34"/>
    <n v="328"/>
    <n v="117362"/>
    <s v=""/>
    <s v="null"/>
    <n v="2999631"/>
    <s v="🏌️‍♂️ @KornFerryTour | 🏌️ @ChampionsTour | 📝 @PGATOURComms | 🖥 @PGATOURLIVE | 🎓 @PGATOURU | 🌎 @PGATOURAmericas | 🇪🇸 @PGATOUREsp"/>
    <n v="183050"/>
    <s v="https://pbs.twimg.com/profile_images/1749466889376473090/4nPDWTqB_normal.jpg"/>
    <n v="920"/>
    <b v="0"/>
    <n v="1"/>
    <n v="6"/>
    <s v="{&quot;post_id&quot;:null,&quot;profile_id&quot;:null,&quot;profile_name&quot;:null}"/>
    <s v="null"/>
    <s v="null"/>
    <s v="{&quot;data_posted&quot;:null,&quot;description&quot;:null,&quot;photos&quot;:null,&quot;post_id&quot;:null,&quot;profile_id&quot;:null,&quot;profile_name&quot;:null,&quot;url&quot;:null,&quot;videos&quot;:null}"/>
    <n v="391"/>
    <n v="3.3315723999250181E-3"/>
    <d v="2024-12-15T00:00:00"/>
    <n v="0.88957175925925924"/>
    <x v="0"/>
    <x v="10"/>
    <x v="0"/>
    <x v="0"/>
    <x v="0"/>
    <x v="0"/>
    <n v="58"/>
    <x v="0"/>
  </r>
  <r>
    <n v="1.8683906723376374E+18"/>
    <s v="LPGA"/>
    <s v="LPGA"/>
    <s v="To tie the lead again 🚨_x000a__x000a_@Patty_MPT with a killer birdie on 16 to get to -26"/>
    <s v="&quot;2024-12-15T20:20:23.000Z&quot;"/>
    <s v="null"/>
    <s v="https://x.com/LPGA/status/1868390672337637399"/>
    <s v="[{&quot;biography&quot;:null,&quot;followers&quot;:null,&quot;following&quot;:null,&quot;is_verified&quot;:null,&quot;profile_id&quot;:&quot;224218244&quot;,&quot;profile_name&quot;:&quot;Patty Tavatanakit&quot;,&quot;url&quot;:&quot;https://x.com/Patty_MPT&quot;}]"/>
    <n v="4"/>
    <n v="9"/>
    <n v="66"/>
    <n v="25265"/>
    <s v=""/>
    <s v="null"/>
    <n v="341169"/>
    <s v="The LPGA is the world’s leading professional golf organization for women with Tour &amp; Teaching membership representing more than 50 different countries."/>
    <n v="82161"/>
    <s v="https://pbs.twimg.com/profile_images/1665698199661600769/nxoC7o2Q_normal.jpg"/>
    <n v="1186"/>
    <b v="0"/>
    <n v="3"/>
    <n v="2"/>
    <s v="{&quot;post_id&quot;:null,&quot;profile_id&quot;:null,&quot;profile_name&quot;:null}"/>
    <s v="null"/>
    <s v="[{&quot;duration&quot;:19986,&quot;video_url&quot;:&quot;https://video.twimg.com/amplify_video/1868390650007199744/vid/avc1/720x720/pY6K1-MkLhDDnBzX.mp4?tag=16&quot;}]"/>
    <s v="{&quot;data_posted&quot;:null,&quot;description&quot;:null,&quot;photos&quot;:null,&quot;post_id&quot;:null,&quot;profile_id&quot;:null,&quot;profile_name&quot;:null,&quot;url&quot;:null,&quot;videos&quot;:null}"/>
    <n v="84"/>
    <n v="3.3247575697605385E-3"/>
    <d v="2024-12-15T00:00:00"/>
    <n v="0.84748842592592588"/>
    <x v="0"/>
    <x v="3"/>
    <x v="1"/>
    <x v="1"/>
    <x v="0"/>
    <x v="0"/>
    <n v="76"/>
    <x v="2"/>
  </r>
  <r>
    <n v="1.8682778473216248E+18"/>
    <s v="bus███ss"/>
    <s v="Blo███erg███"/>
    <s v="President-elect Trump has been handed a playbook for downsizing the National Oceanic and Atmospheric Administration at a time when China is investing heavily in climate research, and could see an opening to being the next global weather superpower."/>
    <s v="&quot;2024-12-15T12:52:04.000Z&quot;"/>
    <s v="null"/>
    <s v="https://x.com/business/status/1868277847321624760"/>
    <s v="null"/>
    <n v="16"/>
    <n v="21"/>
    <n v="82"/>
    <n v="38687"/>
    <s v="https://trib.al/zYeznYN"/>
    <s v="null"/>
    <n v="9564155"/>
    <s v="The first word in business news. Singapore newsletter: https://t.co/RtyaUOdLdF Newsletters: https://t.co/nWaCxHSKuU Podcasts: https://t.co/096e9xMbPz"/>
    <n v="1125277"/>
    <s v="https://pbs.twimg.com/profile_images/1631723279676317709/-fjgaR2p_normal.jpg"/>
    <n v="93"/>
    <b v="0"/>
    <n v="6"/>
    <n v="3"/>
    <s v="{&quot;post_id&quot;:null,&quot;profile_id&quot;:null,&quot;profile_name&quot;:null}"/>
    <s v="[&quot;https://pbs.twimg.com/card_img/1866709859590148096/-Qjf_0NR?format=jpg&amp;name=orig&quot;]"/>
    <s v="null"/>
    <s v="{&quot;data_posted&quot;:null,&quot;description&quot;:null,&quot;photos&quot;:null,&quot;post_id&quot;:null,&quot;profile_id&quot;:null,&quot;profile_name&quot;:null,&quot;url&quot;:null,&quot;videos&quot;:null}"/>
    <n v="128"/>
    <n v="3.3086049577377413E-3"/>
    <d v="2024-12-15T00:00:00"/>
    <n v="0.53615740740740736"/>
    <x v="0"/>
    <x v="0"/>
    <x v="0"/>
    <x v="1"/>
    <x v="0"/>
    <x v="0"/>
    <n v="248"/>
    <x v="0"/>
  </r>
  <r>
    <n v="1.868363612173058E+18"/>
    <s v="ESP███asi███"/>
    <s v="ESP███ras███"/>
    <s v="É CAMPEÃO! 🏆 _x000a__x000a_Veja a decisão de pênaltis que deu o título ao Celtic da Copa da Liga Escocesa contra o Rangers _x000a__x000a_#FutebolNaESPN"/>
    <s v="&quot;2024-12-15T18:32:52.000Z&quot;"/>
    <s v="null"/>
    <s v="https://x.com/ESPNBrasil/status/1868363612173058135"/>
    <s v="null"/>
    <n v="0"/>
    <n v="1"/>
    <n v="25"/>
    <n v="8583"/>
    <s v="https://buff.ly/3VGSLjg"/>
    <s v="[&quot;FutebolNaESPN&quot;]"/>
    <n v="3768943"/>
    <s v="ESPN: o melhor do esporte você assiste aqui!"/>
    <n v="897934"/>
    <s v="https://pbs.twimg.com/profile_images/1224436194152345608/dCEm_D7K_normal.jpg"/>
    <n v="28"/>
    <b v="0"/>
    <n v="1"/>
    <n v="1"/>
    <s v="{&quot;post_id&quot;:null,&quot;profile_id&quot;:null,&quot;profile_name&quot;:null}"/>
    <s v="[&quot;https://pbs.twimg.com/card_img/1868363613003517952/4GRIX3XC?format=jpg&amp;name=orig&quot;]"/>
    <s v="null"/>
    <s v="{&quot;data_posted&quot;:null,&quot;description&quot;:null,&quot;photos&quot;:null,&quot;post_id&quot;:null,&quot;profile_id&quot;:null,&quot;profile_name&quot;:null,&quot;url&quot;:null,&quot;videos&quot;:null}"/>
    <n v="28"/>
    <n v="3.2622626121402774E-3"/>
    <d v="2024-12-15T00:00:00"/>
    <n v="0.77282407407407405"/>
    <x v="0"/>
    <x v="8"/>
    <x v="0"/>
    <x v="1"/>
    <x v="1"/>
    <x v="0"/>
    <n v="127"/>
    <x v="0"/>
  </r>
  <r>
    <n v="1.8146777683506547E+18"/>
    <s v="LUO███NGZ███"/>
    <s v="罗翔"/>
    <s v="不愧是中共治下的女人啊，又当又立！_x000a_这特么是没碰到狠人，碰到狠人你特么就从热心市民变成美丽冻人了！躺停尸房那种！_x000a_谁认识这婊子，给他她爆点料！"/>
    <s v="&quot;2024-07-20T15:04:29.000Z&quot;"/>
    <s v="[&quot;https://pbs.twimg.com/media/GS8HkdfXIAEPD1P.jpg&quot;,&quot;https://pbs.twimg.com/media/GS8HkdfXsAAV3wD.jpg&quot;,&quot;https://pbs.twimg.com/media/GS8HkdhWQAECfcj.jpg&quot;]"/>
    <s v="https://x.com/LUOXIANGZY/status/1814677768350654766"/>
    <s v="null"/>
    <n v="852"/>
    <n v="531"/>
    <n v="2609"/>
    <n v="1404447"/>
    <s v=""/>
    <s v="null"/>
    <n v="303040"/>
    <s v="爆料邮箱：hshen606@gmail.com， WhatsApp：+1 9298239824。专门爆料各种不平之事！此账号为唯一账号！（免费向国内民运人士提供西班牙非盈利居留办理教程，仅限Whatsapp联系提供帮助资料）！"/>
    <n v="24240"/>
    <s v="https://pbs.twimg.com/profile_images/1633516700682395652/gQ_OmRVr_normal.jpg"/>
    <n v="8053"/>
    <b v="0"/>
    <n v="67"/>
    <n v="505"/>
    <s v="{&quot;post_id&quot;:null,&quot;profile_id&quot;:null,&quot;profile_name&quot;:null}"/>
    <s v="null"/>
    <s v="[{&quot;duration&quot;:243573,&quot;video_url&quot;:&quot;https://video.twimg.com/amplify_video/1814677497855762432/vid/avc1/778x432/P-XWISM7tuZnhk_4.mp4?tag=16&quot;}]"/>
    <s v="{&quot;data_posted&quot;:null,&quot;description&quot;:null,&quot;photos&quot;:null,&quot;post_id&quot;:null,&quot;profile_id&quot;:null,&quot;profile_name&quot;:null,&quot;url&quot;:null,&quot;videos&quot;:null}"/>
    <n v="4564"/>
    <n v="3.2496776311245635E-3"/>
    <d v="2024-07-20T00:00:00"/>
    <n v="0.62811342592592589"/>
    <x v="5"/>
    <x v="13"/>
    <x v="1"/>
    <x v="0"/>
    <x v="0"/>
    <x v="0"/>
    <n v="71"/>
    <x v="2"/>
  </r>
  <r>
    <n v="1.868093359518028E+18"/>
    <s v="ufc"/>
    <s v="UFC"/>
    <s v="Bruising bantamweights continue the action 💪_x000a__x000a_@DaveyGrantMMA vs Ramon Taveras_x000a__x000a_[ #UFCTampa is LIVE on @ESPNPlus ]"/>
    <s v="&quot;2024-12-15T00:38:59.000Z&quot;"/>
    <s v="null"/>
    <s v="https://x.com/ufc/status/1868093359518027955"/>
    <s v="[{&quot;biography&quot;:null,&quot;followers&quot;:null,&quot;following&quot;:null,&quot;is_verified&quot;:null,&quot;profile_id&quot;:&quot;355646323&quot;,&quot;profile_name&quot;:&quot;Davey Grant&quot;,&quot;url&quot;:&quot;https://x.com/DaveyGrantMMA&quot;},{&quot;biography&quot;:null,&quot;followers&quot;:null,&quot;following&quot;:null,&quot;is_verified&quot;:null,&quot;profile_id&quot;:&quot;1044284694387412992&quot;,&quot;profile_name&quot;:&quot;ESPN+&quot;,&quot;url&quot;:&quot;https://x.com/ESPNPlus&quot;}]"/>
    <n v="54"/>
    <n v="26"/>
    <n v="181"/>
    <n v="81990"/>
    <s v=""/>
    <s v="[&quot;UFCTampa&quot;]"/>
    <n v="12876593"/>
    <s v="#UFCTampa | Covington vs Buckley | December 14 | 10pmET | LIVE on @ESPNPlus"/>
    <n v="141401"/>
    <s v="https://pbs.twimg.com/profile_images/1835773190385328128/4fVrF1UI_normal.jpg"/>
    <n v="717"/>
    <b v="0"/>
    <n v="3"/>
    <n v="2"/>
    <s v="{&quot;post_id&quot;:null,&quot;profile_id&quot;:null,&quot;profile_name&quot;:null}"/>
    <s v="null"/>
    <s v="[{&quot;duration&quot;:5472,&quot;video_url&quot;:&quot;https://video.twimg.com/ext_tw_video/1868067988286431232/pu/vid/avc1/718x720/CMiSwYjAoXnzIsIy.mp4?tag=12&quot;}]"/>
    <s v="{&quot;data_posted&quot;:null,&quot;description&quot;:null,&quot;photos&quot;:null,&quot;post_id&quot;:null,&quot;profile_id&quot;:null,&quot;profile_name&quot;:null,&quot;url&quot;:null,&quot;videos&quot;:null}"/>
    <n v="266"/>
    <n v="3.2442980851323331E-3"/>
    <d v="2024-12-15T00:00:00"/>
    <n v="2.7071759259259261E-2"/>
    <x v="0"/>
    <x v="5"/>
    <x v="1"/>
    <x v="1"/>
    <x v="1"/>
    <x v="0"/>
    <n v="113"/>
    <x v="1"/>
  </r>
  <r>
    <n v="1.8684769528745372E+18"/>
    <s v="nyp███"/>
    <s v="New███rk ███t"/>
    <s v="Tedy Bruschi dumbfounded by Bill Belichick’s move to college: ‘What are we doing here?’"/>
    <s v="&quot;2024-12-16T02:03:14.000Z&quot;"/>
    <s v="[&quot;https://pbs.twimg.com/media/Ge4p4xlWgAABNsZ.jpg&quot;]"/>
    <s v="https://x.com/nypost/status/1868476952874537190"/>
    <s v="null"/>
    <n v="35"/>
    <n v="2"/>
    <n v="46"/>
    <n v="28282"/>
    <s v="https://trib.al/Wi6IWyb"/>
    <s v="null"/>
    <n v="3313886"/>
    <s v="Breaking news &amp; features from The New York Post. Follow your favorite sections: @pagesix, @nypmetro, @nypostbiz, @nypostsports, @nypfashion, @nypostopinion"/>
    <n v="706459"/>
    <s v="https://pbs.twimg.com/profile_images/966372680306868224/60wfGe9e_normal.jpg"/>
    <n v="10308"/>
    <b v="0"/>
    <n v="5"/>
    <n v="3"/>
    <s v="{&quot;post_id&quot;:null,&quot;profile_id&quot;:null,&quot;profile_name&quot;:null}"/>
    <s v="null"/>
    <s v="null"/>
    <s v="{&quot;data_posted&quot;:null,&quot;description&quot;:null,&quot;photos&quot;:null,&quot;post_id&quot;:null,&quot;profile_id&quot;:null,&quot;profile_name&quot;:null,&quot;url&quot;:null,&quot;videos&quot;:null}"/>
    <n v="91"/>
    <n v="3.2175942295452936E-3"/>
    <d v="2024-12-16T00:00:00"/>
    <n v="8.5578703703703699E-2"/>
    <x v="2"/>
    <x v="2"/>
    <x v="0"/>
    <x v="0"/>
    <x v="0"/>
    <x v="0"/>
    <n v="87"/>
    <x v="0"/>
  </r>
  <r>
    <n v="1.8685166651822612E+18"/>
    <s v="bus███ss"/>
    <s v="Blo███erg███"/>
    <s v="Americans are likely to be seeing more drones in the night sky, but there’s no evidence of foreign involvement or a national security risk."/>
    <s v="&quot;2024-12-16T04:41:02.000Z&quot;"/>
    <s v="null"/>
    <s v="https://x.com/business/status/1868516665182261269"/>
    <s v="null"/>
    <n v="20"/>
    <n v="7"/>
    <n v="26"/>
    <n v="17774"/>
    <s v="https://trib.al/FUlwD28"/>
    <s v="null"/>
    <n v="9564156"/>
    <s v="The first word in business news. Singapore newsletter: https://t.co/RtyaUOdLdF Newsletters: https://t.co/nWaCxHSKuU Podcasts: https://t.co/096e9xMbPz"/>
    <n v="1125277"/>
    <s v="https://pbs.twimg.com/profile_images/1631723279676317709/-fjgaR2p_normal.jpg"/>
    <n v="93"/>
    <b v="0"/>
    <n v="3"/>
    <n v="1"/>
    <s v="{&quot;post_id&quot;:null,&quot;profile_id&quot;:null,&quot;profile_name&quot;:null}"/>
    <s v="[&quot;https://pbs.twimg.com/card_img/1868313361131114496/1xR6CBdW?format=jpg&amp;name=orig&quot;]"/>
    <s v="null"/>
    <s v="{&quot;data_posted&quot;:null,&quot;description&quot;:null,&quot;photos&quot;:null,&quot;post_id&quot;:null,&quot;profile_id&quot;:null,&quot;profile_name&quot;:null,&quot;url&quot;:null,&quot;videos&quot;:null}"/>
    <n v="57"/>
    <n v="3.2069314729379992E-3"/>
    <d v="2024-12-16T00:00:00"/>
    <n v="0.19516203703703705"/>
    <x v="2"/>
    <x v="9"/>
    <x v="0"/>
    <x v="1"/>
    <x v="0"/>
    <x v="0"/>
    <n v="139"/>
    <x v="0"/>
  </r>
  <r>
    <n v="1.8680973084594097E+18"/>
    <s v="ESP███asi███"/>
    <s v="ESP███ras███"/>
    <s v="Real Madrid &quot;culpa&quot; arbitragem por tropeço_x000a__x000a_#FutebolNaESPN"/>
    <s v="&quot;2024-12-15T00:54:40.000Z&quot;"/>
    <s v="null"/>
    <s v="https://x.com/ESPNBrasil/status/1868097308459409549"/>
    <s v="null"/>
    <n v="3"/>
    <n v="2"/>
    <n v="30"/>
    <n v="11560"/>
    <s v="https://buff.ly/4izcQ4R"/>
    <s v="[&quot;FutebolNaESPN&quot;]"/>
    <n v="3768944"/>
    <s v="ESPN: o melhor do esporte você assiste aqui!"/>
    <n v="897934"/>
    <s v="https://pbs.twimg.com/profile_images/1224436194152345608/dCEm_D7K_normal.jpg"/>
    <n v="28"/>
    <b v="0"/>
    <n v="0"/>
    <n v="2"/>
    <s v="{&quot;post_id&quot;:null,&quot;profile_id&quot;:null,&quot;profile_name&quot;:null}"/>
    <s v="[&quot;https://pbs.twimg.com/card_img/1868097244269871104/ZO20rG9s?format=jpg&amp;name=orig&quot;]"/>
    <s v="null"/>
    <s v="{&quot;data_posted&quot;:null,&quot;description&quot;:null,&quot;photos&quot;:null,&quot;post_id&quot;:null,&quot;profile_id&quot;:null,&quot;profile_name&quot;:null,&quot;url&quot;:null,&quot;videos&quot;:null}"/>
    <n v="37"/>
    <n v="3.2006920415224914E-3"/>
    <d v="2024-12-15T00:00:00"/>
    <n v="3.7962962962962962E-2"/>
    <x v="0"/>
    <x v="5"/>
    <x v="0"/>
    <x v="1"/>
    <x v="1"/>
    <x v="0"/>
    <n v="58"/>
    <x v="0"/>
  </r>
  <r>
    <n v="1.8682904304226432E+18"/>
    <s v="pre███gby███"/>
    <s v="Pre███rsh███Rug███"/>
    <s v="A dream debut 😍_x000a__x000a_Liam Williams in a @Saracens shirt. Scoring tries. You know it makes sense 🔥_x000a__x000a_#InvestecChampionsCup"/>
    <s v="&quot;2024-12-15T13:42:04.000Z&quot;"/>
    <s v="null"/>
    <s v="https://x.com/premrugby/status/1868290430422643138"/>
    <s v="[{&quot;biography&quot;:null,&quot;followers&quot;:null,&quot;following&quot;:null,&quot;is_verified&quot;:null,&quot;profile_id&quot;:&quot;56343104&quot;,&quot;profile_name&quot;:&quot;Saracens Rugby Club&quot;,&quot;url&quot;:&quot;https://x.com/Saracens&quot;}]"/>
    <n v="3"/>
    <n v="4"/>
    <n v="107"/>
    <n v="35936"/>
    <s v=""/>
    <s v="[&quot;InvestecChampionsCup&quot;]"/>
    <n v="290454"/>
    <s v="The official X account of Premiership Rugby 🏉"/>
    <n v="128147"/>
    <s v="https://pbs.twimg.com/profile_images/1752250213920604160/8DqOgqK2_normal.jpg"/>
    <n v="1290"/>
    <b v="0"/>
    <n v="0"/>
    <n v="1"/>
    <s v="{&quot;post_id&quot;:null,&quot;profile_id&quot;:null,&quot;profile_name&quot;:null}"/>
    <s v="null"/>
    <s v="[{&quot;duration&quot;:66336,&quot;video_url&quot;:&quot;https://video.twimg.com/amplify_video/1868288820849815552/vid/avc1/1280x720/2oY4bxcEVzqB4m9N.mp4?tag=16&quot;}]"/>
    <s v="{&quot;data_posted&quot;:null,&quot;description&quot;:null,&quot;photos&quot;:null,&quot;post_id&quot;:null,&quot;profile_id&quot;:null,&quot;profile_name&quot;:null,&quot;url&quot;:null,&quot;videos&quot;:null}"/>
    <n v="115"/>
    <n v="3.20013357079252E-3"/>
    <d v="2024-12-15T00:00:00"/>
    <n v="0.57087962962962968"/>
    <x v="0"/>
    <x v="14"/>
    <x v="1"/>
    <x v="1"/>
    <x v="1"/>
    <x v="0"/>
    <n v="116"/>
    <x v="2"/>
  </r>
  <r>
    <n v="1.8682812461339241E+18"/>
    <s v="Cha███ons███"/>
    <s v="Inv███ec ███mpi█████████"/>
    <s v="Sunday underway 👊_x000a__x000a_Watch @BenettonRugby v @BathRugby live on @PremSportsTV,"/>
    <s v="&quot;2024-12-15T13:05:34.000Z&quot;"/>
    <s v="null"/>
    <s v="https://x.com/ChampionsCup/status/1868281246133924148"/>
    <s v="[{&quot;biography&quot;:null,&quot;followers&quot;:null,&quot;following&quot;:null,&quot;is_verified&quot;:null,&quot;profile_id&quot;:&quot;164704175&quot;,&quot;profile_name&quot;:&quot;Benetton Rugby 🦁&quot;,&quot;url&quot;:&quot;https://x.com/BenettonRugby&quot;},{&quot;biography&quot;:null,&quot;followers&quot;:null,&quot;following&quot;:null,&quot;is_verified&quot;:null,&quot;profile_id&quot;:&quot;41795957&quot;,&quot;profile_name&quot;:&quot;Bath Rugby&quot;,&quot;url&quot;:&quot;https://x.com/BathRugby&quot;},{&quot;biography&quot;:null,&quot;followers&quot;:null,&quot;following&quot;:null,&quot;is_verified&quot;:null,&quot;profile_id&quot;:&quot;159582357&quot;,&quot;profile_name&quot;:&quot;Premier Sports&quot;,&quot;url&quot;:&quot;https://x.com/PremSportsTV&quot;},{&quot;biography&quot;:null,&quot;followers&quot;:null,&quot;following&quot;:null,&quot;is_verified&quot;:null,&quot;profile_id&quot;:&quot;569138069&quot;,&quot;profile_name&quot;:&quot;beIN SPORTS&quot;,&quot;url&quot;:&quot;https://x.com/beinsports_FR&quot;},{&quot;biography&quot;:null,&quot;followers&quot;:null,&quot;following&quot;:null,&quot;is_verified&quot;:null,&quot;profile_id&quot;:&quot;747828622023503872&quot;,&quot;profile_name&quot;:&quot;FloRugby&quot;,&quot;url&quot;:&quot;https://x.com/FloRugby&quot;}]"/>
    <n v="1"/>
    <n v="1"/>
    <n v="11"/>
    <n v="4112"/>
    <s v="http://epcrugby.tv/"/>
    <s v="[&quot;InvestecChampionsCup&quot;]"/>
    <n v="156681"/>
    <s v="Welcome to the official account in English for the #InvestecChampionsCup. Follow @ChampionsCup_FR for French language, and @ChallengeCup_ for more updates"/>
    <n v="35682"/>
    <s v="https://pbs.twimg.com/profile_images/1697181182796935168/vcSAuYKk_normal.jpg"/>
    <n v="1430"/>
    <b v="0"/>
    <n v="0"/>
    <n v="0"/>
    <s v="{&quot;post_id&quot;:null,&quot;profile_id&quot;:null,&quot;profile_name&quot;:null}"/>
    <s v="null"/>
    <s v="[{&quot;duration&quot;:20967,&quot;video_url&quot;:&quot;https://video.twimg.com/amplify_video/1868281224357085184/vid/avc1/1280x720/-4eM5KVbzDb83_5w.mp4?tag=16&quot;}]"/>
    <s v="{&quot;data_posted&quot;:null,&quot;description&quot;:null,&quot;photos&quot;:null,&quot;post_id&quot;:null,&quot;profile_id&quot;:null,&quot;profile_name&quot;:null,&quot;url&quot;:null,&quot;videos&quot;:null}"/>
    <n v="13"/>
    <n v="3.1614785992217899E-3"/>
    <d v="2024-12-15T00:00:00"/>
    <n v="0.54553240740740738"/>
    <x v="0"/>
    <x v="14"/>
    <x v="1"/>
    <x v="1"/>
    <x v="1"/>
    <x v="0"/>
    <n v="75"/>
    <x v="2"/>
  </r>
  <r>
    <n v="1.8684299671779574E+18"/>
    <s v="Glo███ews███"/>
    <s v="Glo███ews███"/>
    <s v="Milhões de sírios deixaram o país devido à guerra e agora não sabem mais se vão poder permanecer na Europa — onde países estão revendo políticas de refúgio — ou se podem retornar em segurança para Síria._x000a__x000a_➡ Assista à #GloboNews:"/>
    <s v="&quot;2024-12-15T22:56:32.000Z&quot;"/>
    <s v="null"/>
    <s v="https://x.com/GloboNews/status/1868429967177957452"/>
    <s v="null"/>
    <n v="1"/>
    <n v="1"/>
    <n v="21"/>
    <n v="8306"/>
    <s v="http://glo.bo/39WjXAu"/>
    <s v="[&quot;GloboNews&quot;,&quot;GloboNewsInternacional&quot;]"/>
    <n v="5771758"/>
    <s v="Nunca desliga"/>
    <n v="222223"/>
    <s v="https://pbs.twimg.com/profile_images/1559102712435933185/mYnEVnNs_normal.jpg"/>
    <n v="122"/>
    <b v="0"/>
    <n v="1"/>
    <n v="2"/>
    <s v="{&quot;post_id&quot;:null,&quot;profile_id&quot;:null,&quot;profile_name&quot;:null}"/>
    <s v="null"/>
    <s v="[{&quot;duration&quot;:78067,&quot;video_url&quot;:&quot;https://video.twimg.com/amplify_video/1868429881698107392/vid/avc1/1920x1080/roA3wcViAOLzJ39p.mp4?tag=16&quot;}]"/>
    <s v="{&quot;data_posted&quot;:null,&quot;description&quot;:null,&quot;photos&quot;:null,&quot;post_id&quot;:null,&quot;profile_id&quot;:null,&quot;profile_name&quot;:null,&quot;url&quot;:null,&quot;videos&quot;:null}"/>
    <n v="26"/>
    <n v="3.1302672766674693E-3"/>
    <d v="2024-12-15T00:00:00"/>
    <n v="0.95592592592592596"/>
    <x v="0"/>
    <x v="11"/>
    <x v="1"/>
    <x v="1"/>
    <x v="1"/>
    <x v="0"/>
    <n v="228"/>
    <x v="0"/>
  </r>
  <r>
    <n v="1.8681070090040407E+18"/>
    <s v="ufc"/>
    <s v="UFC"/>
    <s v="Two contenders on the rise 📈_x000a__x000a_@MilesXJohns vs @FelipeLimaMMA_x000a__x000a_[ #UFCTampa is LIVE on @ESPNPlus ]"/>
    <s v="&quot;2024-12-15T01:33:13.000Z&quot;"/>
    <s v="null"/>
    <s v="https://x.com/ufc/status/1868107009004040694"/>
    <s v="[{&quot;biography&quot;:null,&quot;followers&quot;:null,&quot;following&quot;:null,&quot;is_verified&quot;:null,&quot;profile_id&quot;:&quot;506546921&quot;,&quot;profile_name&quot;:&quot;Miles Chapo Johns&quot;,&quot;url&quot;:&quot;https://x.com/milesxjohns&quot;},{&quot;biography&quot;:null,&quot;followers&quot;:null,&quot;following&quot;:null,&quot;is_verified&quot;:null,&quot;profile_id&quot;:&quot;1837439771326439424&quot;,&quot;profile_name&quot;:&quot;Felipe lima&quot;,&quot;url&quot;:&quot;https://x.com/felipelimamma&quot;},{&quot;biography&quot;:null,&quot;followers&quot;:null,&quot;following&quot;:null,&quot;is_verified&quot;:null,&quot;profile_id&quot;:&quot;1044284694387412992&quot;,&quot;profile_name&quot;:&quot;ESPN+&quot;,&quot;url&quot;:&quot;https://x.com/ESPNPlus&quot;}]"/>
    <n v="40"/>
    <n v="27"/>
    <n v="176"/>
    <n v="80642"/>
    <s v=""/>
    <s v="[&quot;UFCTampa&quot;]"/>
    <n v="12876593"/>
    <s v="#UFCTampa | Covington vs Buckley | December 14 | 10pmET | LIVE on @ESPNPlus"/>
    <n v="141401"/>
    <s v="https://pbs.twimg.com/profile_images/1835773190385328128/4fVrF1UI_normal.jpg"/>
    <n v="717"/>
    <b v="0"/>
    <n v="4"/>
    <n v="2"/>
    <s v="{&quot;post_id&quot;:null,&quot;profile_id&quot;:null,&quot;profile_name&quot;:null}"/>
    <s v="null"/>
    <s v="[{&quot;duration&quot;:5472,&quot;video_url&quot;:&quot;https://video.twimg.com/ext_tw_video/1868068093395636224/pu/vid/avc1/718x720/EusSR3VZNw-4NWmT.mp4?tag=12&quot;}]"/>
    <s v="{&quot;data_posted&quot;:null,&quot;description&quot;:null,&quot;photos&quot;:null,&quot;post_id&quot;:null,&quot;profile_id&quot;:null,&quot;profile_name&quot;:null,&quot;url&quot;:null,&quot;videos&quot;:null}"/>
    <n v="249"/>
    <n v="3.0877210386647158E-3"/>
    <d v="2024-12-15T00:00:00"/>
    <n v="6.4733796296296303E-2"/>
    <x v="0"/>
    <x v="19"/>
    <x v="1"/>
    <x v="1"/>
    <x v="1"/>
    <x v="0"/>
    <n v="96"/>
    <x v="1"/>
  </r>
  <r>
    <n v="1.8683233966367788E+18"/>
    <s v="The███nom███"/>
    <s v="The███ono███t"/>
    <s v="Which is the most democratic country in the world? Explore the latest democracy index"/>
    <s v="&quot;2024-12-15T15:53:04.000Z&quot;"/>
    <s v="null"/>
    <s v="https://x.com/TheEconomist/status/1868323396636778723"/>
    <s v="null"/>
    <n v="32"/>
    <n v="32"/>
    <n v="74"/>
    <n v="52813"/>
    <s v="https://econ.st/49J1JSY"/>
    <s v="null"/>
    <n v="27122998"/>
    <s v="News and analysis with a global perspective. We’re here to help you understand the world around you. Subscribe here: https://t.co/RpUQAAnhog"/>
    <n v="402760"/>
    <s v="https://pbs.twimg.com/profile_images/1847280770743750656/0DkLNOPG_normal.jpg"/>
    <n v="155"/>
    <b v="0"/>
    <n v="8"/>
    <n v="17"/>
    <s v="{&quot;post_id&quot;:null,&quot;profile_id&quot;:null,&quot;profile_name&quot;:null}"/>
    <s v="[&quot;https://pbs.twimg.com/card_img/1866982196164300800/ZZ4ZSfsw?format=png&amp;name=orig&quot;]"/>
    <s v="null"/>
    <s v="{&quot;data_posted&quot;:null,&quot;description&quot;:null,&quot;photos&quot;:null,&quot;post_id&quot;:null,&quot;profile_id&quot;:null,&quot;profile_name&quot;:null,&quot;url&quot;:null,&quot;videos&quot;:null}"/>
    <n v="163"/>
    <n v="3.0863613125556208E-3"/>
    <d v="2024-12-15T00:00:00"/>
    <n v="0.6618518518518518"/>
    <x v="0"/>
    <x v="13"/>
    <x v="0"/>
    <x v="1"/>
    <x v="0"/>
    <x v="0"/>
    <n v="85"/>
    <x v="1"/>
  </r>
  <r>
    <n v="1.8618592371038254E+18"/>
    <s v="xia███ngc███ue"/>
    <s v="小径残雪"/>
    <s v="薄瓜瓜婚礼现场情况。"/>
    <s v="&quot;2024-11-27T19:46:48.000Z&quot;"/>
    <s v="[&quot;https://pbs.twimg.com/media/GdanC5OacAAkkyQ.jpg&quot;]"/>
    <s v="https://x.com/xiaojingcanxue/status/1861859237103825350"/>
    <s v="null"/>
    <n v="459"/>
    <n v="569"/>
    <n v="3761"/>
    <n v="1947234"/>
    <s v=""/>
    <s v="null"/>
    <n v="226145"/>
    <s v="不做伥鬼。本推属营销号。所发内容均可去掉id随意转载。若有错漏、传谣之处，还望大伙指正。除明确表明系个人观点或亲身经历外，其余内容均系搬运，转发不代表本推认同其观念。阅读中国新闻时，建议怀抱乐子人心态，太较真则可能严重抑郁。本营销号不接受诸如“你没给受害人脸上打码”、“你嘲笑弱势群体”之类的道德说教。"/>
    <n v="30244"/>
    <s v="https://pbs.twimg.com/profile_images/1580936544348958721/NARKdSoU_normal.jpg"/>
    <n v="1844"/>
    <b v="0"/>
    <n v="85"/>
    <n v="1128"/>
    <s v="{&quot;post_id&quot;:null,&quot;profile_id&quot;:null,&quot;profile_name&quot;:null}"/>
    <s v="null"/>
    <s v="[{&quot;duration&quot;:15645,&quot;video_url&quot;:&quot;https://video.twimg.com/ext_tw_video/1861859188420513792/pu/vid/avc1/540x960/cwRUmYtYDqXB1_oS.mp4?tag=12&quot;},{&quot;duration&quot;:20583,&quot;video_url&quot;:&quot;https://video.twimg.com/ext_tw_video/1861859205541748736/pu/vid/avc1/540x960/L74G6mL-9YgXu6NY.mp4?tag=12&quot;}]"/>
    <s v="{&quot;data_posted&quot;:null,&quot;description&quot;:null,&quot;photos&quot;:null,&quot;post_id&quot;:null,&quot;profile_id&quot;:null,&quot;profile_name&quot;:null,&quot;url&quot;:null,&quot;videos&quot;:null}"/>
    <n v="6002"/>
    <n v="3.082320871554215E-3"/>
    <d v="2024-11-27T00:00:00"/>
    <n v="0.82416666666666671"/>
    <x v="4"/>
    <x v="4"/>
    <x v="1"/>
    <x v="0"/>
    <x v="0"/>
    <x v="0"/>
    <n v="10"/>
    <x v="2"/>
  </r>
  <r>
    <n v="1.8684014412174298E+18"/>
    <s v="ESP███asi███"/>
    <s v="ESP███ras███"/>
    <s v="Chelsea leva susto, mas vence Brentford e encosta em Liverpool na briga pela liderança da Premier League _x000a__x000a_➡️"/>
    <s v="&quot;2024-12-15T21:03:11.000Z&quot;"/>
    <s v="null"/>
    <s v="https://x.com/ESPNBrasil/status/1868401441217429664"/>
    <s v="null"/>
    <n v="3"/>
    <n v="1"/>
    <n v="19"/>
    <n v="7790"/>
    <s v="https://buff.ly/3ZTePJM"/>
    <s v="[&quot;FutebolNaESPN&quot;,&quot;PremierLeagueNaESPN&quot;]"/>
    <n v="3768943"/>
    <s v="ESPN: o melhor do esporte você assiste aqui!"/>
    <n v="897934"/>
    <s v="https://pbs.twimg.com/profile_images/1224436194152345608/dCEm_D7K_normal.jpg"/>
    <n v="28"/>
    <b v="0"/>
    <n v="0"/>
    <n v="1"/>
    <s v="{&quot;post_id&quot;:null,&quot;profile_id&quot;:null,&quot;profile_name&quot;:null}"/>
    <s v="[&quot;https://pbs.twimg.com/card_img/1868401443192930304/huNjjGbr?format=jpg&amp;name=orig&quot;]"/>
    <s v="null"/>
    <s v="{&quot;data_posted&quot;:null,&quot;description&quot;:null,&quot;photos&quot;:null,&quot;post_id&quot;:null,&quot;profile_id&quot;:null,&quot;profile_name&quot;:null,&quot;url&quot;:null,&quot;videos&quot;:null}"/>
    <n v="24"/>
    <n v="3.0808729139922978E-3"/>
    <d v="2024-12-15T00:00:00"/>
    <n v="0.8772106481481482"/>
    <x v="0"/>
    <x v="10"/>
    <x v="0"/>
    <x v="1"/>
    <x v="1"/>
    <x v="0"/>
    <n v="109"/>
    <x v="0"/>
  </r>
  <r>
    <n v="1.8684922437969428E+18"/>
    <s v="nyp███"/>
    <s v="New███rk ███t"/>
    <s v="‘Yellowstone’ Season 5 series finale reveals Dutton Ranch’s fate — and ends with a major death"/>
    <s v="&quot;2024-12-16T03:04:00.000Z&quot;"/>
    <s v="[&quot;https://pbs.twimg.com/media/Ge43yxeXUAAWWAt.jpg&quot;]"/>
    <s v="https://x.com/nypost/status/1868492243796942930"/>
    <s v="null"/>
    <n v="9"/>
    <n v="6"/>
    <n v="27"/>
    <n v="14975"/>
    <s v="https://trib.al/tRqziaZ"/>
    <s v="null"/>
    <n v="3313886"/>
    <s v="Breaking news &amp; features from The New York Post. Follow your favorite sections: @pagesix, @nypmetro, @nypostbiz, @nypostsports, @nypfashion, @nypostopinion"/>
    <n v="706459"/>
    <s v="https://pbs.twimg.com/profile_images/966372680306868224/60wfGe9e_normal.jpg"/>
    <n v="10308"/>
    <b v="0"/>
    <n v="1"/>
    <n v="3"/>
    <s v="{&quot;post_id&quot;:null,&quot;profile_id&quot;:null,&quot;profile_name&quot;:null}"/>
    <s v="null"/>
    <s v="null"/>
    <s v="{&quot;data_posted&quot;:null,&quot;description&quot;:null,&quot;photos&quot;:null,&quot;post_id&quot;:null,&quot;profile_id&quot;:null,&quot;profile_name&quot;:null,&quot;url&quot;:null,&quot;videos&quot;:null}"/>
    <n v="46"/>
    <n v="3.0717863105175292E-3"/>
    <d v="2024-12-16T00:00:00"/>
    <n v="0.12777777777777777"/>
    <x v="2"/>
    <x v="21"/>
    <x v="0"/>
    <x v="0"/>
    <x v="0"/>
    <x v="0"/>
    <n v="94"/>
    <x v="0"/>
  </r>
  <r>
    <n v="1.8683447066035738E+18"/>
    <s v="Bro███ynN███"/>
    <s v="Bro███yn ███s"/>
    <s v="A relentless competitor. _x000a__x000a_Thank you for everything you brought to Brooklyn, @DS17_FG"/>
    <s v="&quot;2024-12-15T17:17:44.000Z&quot;"/>
    <s v="null"/>
    <s v="https://x.com/BrooklynNets/status/1868344706603573664"/>
    <s v="[{&quot;biography&quot;:null,&quot;followers&quot;:null,&quot;following&quot;:null,&quot;is_verified&quot;:null,&quot;profile_id&quot;:&quot;1631770885714583553&quot;,&quot;profile_name&quot;:&quot;Dennis Schröder&quot;,&quot;url&quot;:&quot;https://x.com/DS17_FG&quot;}]"/>
    <n v="44"/>
    <n v="220"/>
    <n v="2682"/>
    <n v="1004854"/>
    <s v=""/>
    <s v="null"/>
    <n v="2035100"/>
    <s v="Tweets from #NetsWorld"/>
    <n v="106867"/>
    <s v="https://pbs.twimg.com/profile_images/1811024920870277122/1wQgAUZH_normal.jpg"/>
    <n v="411"/>
    <b v="0"/>
    <n v="49"/>
    <n v="81"/>
    <s v="{&quot;post_id&quot;:null,&quot;profile_id&quot;:null,&quot;profile_name&quot;:null}"/>
    <s v="null"/>
    <s v="[{&quot;duration&quot;:28069,&quot;video_url&quot;:&quot;https://video.twimg.com/ext_tw_video/1868343766211325952/pu/vid/avc1/720x720/bkwO62-OHv_MkLOu.mp4?tag=12&quot;}]"/>
    <s v="{&quot;data_posted&quot;:null,&quot;description&quot;:null,&quot;photos&quot;:null,&quot;post_id&quot;:null,&quot;profile_id&quot;:null,&quot;profile_name&quot;:null,&quot;url&quot;:null,&quot;videos&quot;:null}"/>
    <n v="3076"/>
    <n v="3.0611412205156173E-3"/>
    <d v="2024-12-15T00:00:00"/>
    <n v="0.72064814814814815"/>
    <x v="0"/>
    <x v="12"/>
    <x v="1"/>
    <x v="1"/>
    <x v="0"/>
    <x v="0"/>
    <n v="85"/>
    <x v="0"/>
  </r>
  <r>
    <n v="1.8680865829279334E+18"/>
    <s v="ufc"/>
    <s v="UFC"/>
    <s v="Getting things started in the Sunshine State ☀️_x000a__x000a_@JosefineThunder vs Piera Rodriguez_x000a__x000a_[ #UFCTampa is LIVE on @ESPNPlus ]"/>
    <s v="&quot;2024-12-15T00:12:03.000Z&quot;"/>
    <s v="null"/>
    <s v="https://x.com/ufc/status/1868086582927933533"/>
    <s v="[{&quot;biography&quot;:null,&quot;followers&quot;:null,&quot;following&quot;:null,&quot;is_verified&quot;:null,&quot;profile_id&quot;:&quot;1465707510266953739&quot;,&quot;profile_name&quot;:&quot;Josefine Thunder&quot;,&quot;url&quot;:&quot;https://x.com/JosefineThunder&quot;},{&quot;biography&quot;:null,&quot;followers&quot;:null,&quot;following&quot;:null,&quot;is_verified&quot;:null,&quot;profile_id&quot;:&quot;1044284694387412992&quot;,&quot;profile_name&quot;:&quot;ESPN+&quot;,&quot;url&quot;:&quot;https://x.com/ESPNPlus&quot;}]"/>
    <n v="28"/>
    <n v="26"/>
    <n v="183"/>
    <n v="82355"/>
    <s v=""/>
    <s v="[&quot;UFCTampa&quot;]"/>
    <n v="12876594"/>
    <s v="#UFCTampa | Covington vs Buckley | December 14 | 10pmET | LIVE on @ESPNPlus"/>
    <n v="141401"/>
    <s v="https://pbs.twimg.com/profile_images/1835773190385328128/4fVrF1UI_normal.jpg"/>
    <n v="717"/>
    <b v="0"/>
    <n v="3"/>
    <n v="7"/>
    <s v="{&quot;post_id&quot;:null,&quot;profile_id&quot;:null,&quot;profile_name&quot;:null}"/>
    <s v="null"/>
    <s v="[{&quot;duration&quot;:5472,&quot;video_url&quot;:&quot;https://video.twimg.com/ext_tw_video/1868067927548719105/pu/vid/avc1/718x720/hjCbLjjeq4GKO0N4.mp4?tag=12&quot;}]"/>
    <s v="{&quot;data_posted&quot;:null,&quot;description&quot;:null,&quot;photos&quot;:null,&quot;post_id&quot;:null,&quot;profile_id&quot;:null,&quot;profile_name&quot;:null,&quot;url&quot;:null,&quot;videos&quot;:null}"/>
    <n v="247"/>
    <n v="2.9992107340173638E-3"/>
    <d v="2024-12-15T00:00:00"/>
    <n v="8.3680555555555557E-3"/>
    <x v="0"/>
    <x v="5"/>
    <x v="1"/>
    <x v="1"/>
    <x v="1"/>
    <x v="0"/>
    <n v="120"/>
    <x v="1"/>
  </r>
  <r>
    <n v="1.8682049595917315E+18"/>
    <s v="nyp███"/>
    <s v="New███rk ███t"/>
    <s v="Dear Abby: My husband says I’m selfish for getting pregnant even though we planned this together"/>
    <s v="&quot;2024-12-15T08:02:26.000Z&quot;"/>
    <s v="[&quot;https://pbs.twimg.com/media/Ge0ygqOXAAATwlJ.jpg&quot;]"/>
    <s v="https://x.com/nypost/status/1868204959591731461"/>
    <s v="null"/>
    <n v="28"/>
    <n v="4"/>
    <n v="28"/>
    <n v="22700"/>
    <s v="https://trib.al/VfeiBvQ"/>
    <s v="null"/>
    <n v="3314172"/>
    <s v="Breaking news &amp; features from The New York Post. Follow your favorite sections: @pagesix, @nypmetro, @nypostbiz, @nypostsports, @nypfashion, @nypostopinion"/>
    <n v="706459"/>
    <s v="https://pbs.twimg.com/profile_images/966372680306868224/60wfGe9e_normal.jpg"/>
    <n v="10308"/>
    <b v="0"/>
    <n v="3"/>
    <n v="4"/>
    <s v="{&quot;post_id&quot;:null,&quot;profile_id&quot;:null,&quot;profile_name&quot;:null}"/>
    <s v="null"/>
    <s v="null"/>
    <s v="{&quot;data_posted&quot;:null,&quot;description&quot;:null,&quot;photos&quot;:null,&quot;post_id&quot;:null,&quot;profile_id&quot;:null,&quot;profile_name&quot;:null,&quot;url&quot;:null,&quot;videos&quot;:null}"/>
    <n v="67"/>
    <n v="2.9515418502202642E-3"/>
    <d v="2024-12-15T00:00:00"/>
    <n v="0.33502314814814815"/>
    <x v="0"/>
    <x v="6"/>
    <x v="0"/>
    <x v="0"/>
    <x v="0"/>
    <x v="0"/>
    <n v="96"/>
    <x v="0"/>
  </r>
  <r>
    <n v="1.86846314285618E+18"/>
    <s v="TNT███rts███"/>
    <s v="TNT███ort███R"/>
    <s v="TEMOS UMA BRIGA POR TÍTULO NA ESPANHA? 👀🇪🇸 Com a derrota do Barcelona para o Leganés, os blaugranas perderam a gordura que tinham no topo da tabela e agora Real e Atlético encostaram! Nosso @marcelobechler analisou o resultado e o momento do Barça! 🔵🔴 #LaLiga"/>
    <s v="&quot;2024-12-16T01:08:22.000Z&quot;"/>
    <s v="null"/>
    <s v="https://x.com/TNTSportsBR/status/1868463142856180087"/>
    <s v="[{&quot;biography&quot;:null,&quot;followers&quot;:null,&quot;following&quot;:null,&quot;is_verified&quot;:null,&quot;profile_id&quot;:&quot;1117661756145512448&quot;,&quot;profile_name&quot;:&quot;Machado&quot;,&quot;url&quot;:&quot;https://x.com/marcelobechler&quot;}]"/>
    <n v="2"/>
    <n v="2"/>
    <n v="40"/>
    <n v="15594"/>
    <s v=""/>
    <s v="[&quot;LaLiga&quot;]"/>
    <n v="8293187"/>
    <s v="⚽️ É muito mais Champions na Max, com TODOS os jogos ao vivo!_x000a_👇🏻Assine e assista clicando no link👇🏻"/>
    <n v="456734"/>
    <s v="https://pbs.twimg.com/profile_images/1807013047975768065/8sm_IGpw_normal.jpg"/>
    <n v="859"/>
    <b v="0"/>
    <n v="0"/>
    <n v="2"/>
    <s v="{&quot;post_id&quot;:null,&quot;profile_id&quot;:null,&quot;profile_name&quot;:null}"/>
    <s v="null"/>
    <s v="[{&quot;duration&quot;:97330,&quot;video_url&quot;:&quot;https://video.twimg.com/ext_tw_video/1868462982113513472/pu/vid/avc1/720x1280/zNVx6Wj2WQaJr_mK.mp4?tag=12&quot;}]"/>
    <s v="{&quot;data_posted&quot;:null,&quot;description&quot;:null,&quot;photos&quot;:null,&quot;post_id&quot;:null,&quot;profile_id&quot;:null,&quot;profile_name&quot;:null,&quot;url&quot;:null,&quot;videos&quot;:null}"/>
    <n v="46"/>
    <n v="2.9498525073746312E-3"/>
    <d v="2024-12-16T00:00:00"/>
    <n v="4.7476851851851853E-2"/>
    <x v="2"/>
    <x v="19"/>
    <x v="1"/>
    <x v="1"/>
    <x v="1"/>
    <x v="0"/>
    <n v="259"/>
    <x v="0"/>
  </r>
  <r>
    <n v="1.8588324667415101E+18"/>
    <s v="LUO███NGZ███"/>
    <s v="罗翔"/>
    <s v="突发：_x000a_2024年11月19日下午，广州街头，一个年迈的老太正持刀捅人，民警到场后该老太便持刀向民警刺去时，被民警当场击毙！"/>
    <s v="&quot;2024-11-19T11:19:30.000Z&quot;"/>
    <s v="[&quot;https://pbs.twimg.com/media/GcvmL4iWkAA5VKd.jpg&quot;]"/>
    <s v="https://x.com/LUOXIANGZY/status/1858832466741510215"/>
    <s v="null"/>
    <n v="349"/>
    <n v="563"/>
    <n v="2745"/>
    <n v="1498601"/>
    <s v=""/>
    <s v="null"/>
    <n v="303040"/>
    <s v="爆料邮箱：hshen606@gmail.com， WhatsApp：+1 9298239824。专门爆料各种不平之事！此账号为唯一账号！（免费向国内民运人士提供西班牙非盈利居留办理教程，仅限Whatsapp联系提供帮助资料）！"/>
    <n v="24240"/>
    <s v="https://pbs.twimg.com/profile_images/1633516700682395652/gQ_OmRVr_normal.jpg"/>
    <n v="8053"/>
    <b v="0"/>
    <n v="54"/>
    <n v="706"/>
    <s v="{&quot;post_id&quot;:null,&quot;profile_id&quot;:null,&quot;profile_name&quot;:null}"/>
    <s v="null"/>
    <s v="[{&quot;duration&quot;:7786,&quot;video_url&quot;:&quot;https://video.twimg.com/amplify_video/1858832363045683200/vid/avc1/320x568/AXbcsVbWMZVcY0rE.mp4?tag=16&quot;},{&quot;duration&quot;:30001,&quot;video_url&quot;:&quot;https://video.twimg.com/amplify_video/1858832363075104768/vid/avc1/320x568/HaqELHR9zGMLbEXY.mp4?tag=16&quot;}]"/>
    <s v="{&quot;data_posted&quot;:null,&quot;description&quot;:null,&quot;photos&quot;:null,&quot;post_id&quot;:null,&quot;profile_id&quot;:null,&quot;profile_name&quot;:null,&quot;url&quot;:null,&quot;videos&quot;:null}"/>
    <n v="4417"/>
    <n v="2.9474156229710243E-3"/>
    <d v="2024-11-19T00:00:00"/>
    <n v="0.47187499999999999"/>
    <x v="3"/>
    <x v="16"/>
    <x v="1"/>
    <x v="0"/>
    <x v="0"/>
    <x v="0"/>
    <n v="62"/>
    <x v="2"/>
  </r>
  <r>
    <n v="1.8681004737413123E+18"/>
    <s v="The███nom███"/>
    <s v="The███ono███t"/>
    <s v="With Donald Trump set to upend global trade, economics and geopolitics, our future-gazing annual issue is a handy guide to what the year ahead has in store"/>
    <s v="&quot;2024-12-15T01:07:15.000Z&quot;"/>
    <s v="[&quot;https://pbs.twimg.com/media/GezTey7WEAAZPsf.jpg&quot;]"/>
    <s v="https://x.com/TheEconomist/status/1868100473741312380"/>
    <s v="null"/>
    <n v="15"/>
    <n v="38"/>
    <n v="137"/>
    <n v="74321"/>
    <s v="https://econ.st/3B1ncts"/>
    <s v="null"/>
    <n v="27123001"/>
    <s v="News and analysis with a global perspective. We’re here to help you understand the world around you. Subscribe here: https://t.co/RpUQAAnhog"/>
    <n v="402760"/>
    <s v="https://pbs.twimg.com/profile_images/1847280770743750656/0DkLNOPG_normal.jpg"/>
    <n v="155"/>
    <b v="0"/>
    <n v="9"/>
    <n v="19"/>
    <s v="{&quot;post_id&quot;:null,&quot;profile_id&quot;:null,&quot;profile_name&quot;:null}"/>
    <s v="null"/>
    <s v="null"/>
    <s v="{&quot;data_posted&quot;:null,&quot;description&quot;:null,&quot;photos&quot;:null,&quot;post_id&quot;:null,&quot;profile_id&quot;:null,&quot;profile_name&quot;:null,&quot;url&quot;:null,&quot;videos&quot;:null}"/>
    <n v="218"/>
    <n v="2.9332221041159295E-3"/>
    <d v="2024-12-15T00:00:00"/>
    <n v="4.670138888888889E-2"/>
    <x v="0"/>
    <x v="19"/>
    <x v="0"/>
    <x v="0"/>
    <x v="0"/>
    <x v="0"/>
    <n v="155"/>
    <x v="1"/>
  </r>
  <r>
    <n v="1.8682571955795561E+18"/>
    <s v="Ran███sFC███"/>
    <s v="Ran███s F███bal█████████"/>
    <s v="🌎 Where are you watching this afternoon's Premier Sports Cup Final from?_x000a__x000a_💻 Protect yourself online with club partner @NordVPN and get an exclusive discount 👇"/>
    <s v="&quot;2024-12-15T11:30:00.000Z&quot;"/>
    <s v="null"/>
    <s v="https://x.com/RangersFC/status/1868257195579556108"/>
    <s v="[{&quot;biography&quot;:null,&quot;followers&quot;:null,&quot;following&quot;:null,&quot;is_verified&quot;:null,&quot;profile_id&quot;:&quot;836272957&quot;,&quot;profile_name&quot;:&quot;NordVPN&quot;,&quot;url&quot;:&quot;https://x.com/NordVPN&quot;}]"/>
    <n v="42"/>
    <n v="16"/>
    <n v="138"/>
    <n v="67948"/>
    <s v="https://go.nordvpn.net/aff_c?offer_id=15&amp;aff_id=52169&amp;url_id=27952&amp;aff_sub=TW"/>
    <s v="null"/>
    <n v="812163"/>
    <s v="The Home of #RangersFC 💙"/>
    <n v="110924"/>
    <s v="https://pbs.twimg.com/profile_images/1856633703734112256/PBlqGEwC_normal.jpg"/>
    <n v="322"/>
    <b v="0"/>
    <n v="2"/>
    <n v="1"/>
    <s v="{&quot;post_id&quot;:null,&quot;profile_id&quot;:null,&quot;profile_name&quot;:null}"/>
    <s v="null"/>
    <s v="null"/>
    <s v="{&quot;data_posted&quot;:null,&quot;description&quot;:null,&quot;photos&quot;:null,&quot;post_id&quot;:null,&quot;profile_id&quot;:null,&quot;profile_name&quot;:null,&quot;url&quot;:null,&quot;videos&quot;:null}"/>
    <n v="199"/>
    <n v="2.9287101901454052E-3"/>
    <d v="2024-12-15T00:00:00"/>
    <n v="0.47916666666666669"/>
    <x v="0"/>
    <x v="16"/>
    <x v="0"/>
    <x v="1"/>
    <x v="0"/>
    <x v="0"/>
    <n v="158"/>
    <x v="2"/>
  </r>
  <r>
    <n v="1.8683966131414267E+18"/>
    <s v="nyp███"/>
    <s v="New███rk ███t"/>
    <s v="Throuple reveals how they handle ‘awkward’ Christmas dinners with their families"/>
    <s v="&quot;2024-12-15T20:44:00.000Z&quot;"/>
    <s v="[&quot;https://pbs.twimg.com/media/Ge3g0WhWQAALUBf.jpg&quot;]"/>
    <s v="https://x.com/nypost/status/1868396613141426686"/>
    <s v="null"/>
    <n v="40"/>
    <n v="8"/>
    <n v="36"/>
    <n v="33808"/>
    <s v="https://trib.al/Z8CsTDQ"/>
    <s v="null"/>
    <n v="3314167"/>
    <s v="Breaking news &amp; features from The New York Post. Follow your favorite sections: @pagesix, @nypmetro, @nypostbiz, @nypostsports, @nypfashion, @nypostopinion"/>
    <n v="706459"/>
    <s v="https://pbs.twimg.com/profile_images/966372680306868224/60wfGe9e_normal.jpg"/>
    <n v="10308"/>
    <b v="0"/>
    <n v="6"/>
    <n v="9"/>
    <s v="{&quot;post_id&quot;:null,&quot;profile_id&quot;:null,&quot;profile_name&quot;:null}"/>
    <s v="null"/>
    <s v="null"/>
    <s v="{&quot;data_posted&quot;:null,&quot;description&quot;:null,&quot;photos&quot;:null,&quot;post_id&quot;:null,&quot;profile_id&quot;:null,&quot;profile_name&quot;:null,&quot;url&quot;:null,&quot;videos&quot;:null}"/>
    <n v="99"/>
    <n v="2.9283009938476101E-3"/>
    <d v="2024-12-15T00:00:00"/>
    <n v="0.86388888888888893"/>
    <x v="0"/>
    <x v="3"/>
    <x v="0"/>
    <x v="0"/>
    <x v="0"/>
    <x v="0"/>
    <n v="80"/>
    <x v="0"/>
  </r>
  <r>
    <n v="1.8032529444664855E+18"/>
    <s v="xin███dia███a"/>
    <s v="新闻调查"/>
    <s v="刚刚，上海地铁无差别捅人，全网封杀！慎入！"/>
    <s v="&quot;2024-06-19T02:26:19.000Z&quot;"/>
    <s v="[&quot;https://pbs.twimg.com/media/GQZw8cfakAAW8uO.jpg&quot;,&quot;https://pbs.twimg.com/media/GQZw8chaIAMa0qY.jpg&quot;]"/>
    <s v="https://x.com/xinwendiaocha/status/1803252944466485562"/>
    <s v="null"/>
    <n v="566"/>
    <n v="1013"/>
    <n v="5456"/>
    <n v="2862398"/>
    <s v=""/>
    <s v="null"/>
    <n v="549779"/>
    <s v="追踪新闻，调查真相！ 投稿、商务合作邮箱：charles811203@gmail.com 蓝天号：https://t.co/jAbho9ANSf"/>
    <n v="47749"/>
    <s v="https://pbs.twimg.com/profile_images/1347827975383760896/6aV1UyGk_normal.jpg"/>
    <n v="62"/>
    <b v="0"/>
    <n v="156"/>
    <n v="1170"/>
    <s v="{&quot;post_id&quot;:null,&quot;profile_id&quot;:null,&quot;profile_name&quot;:null}"/>
    <s v="null"/>
    <s v="[{&quot;duration&quot;:4345,&quot;video_url&quot;:&quot;https://video.twimg.com/amplify_video/1803252884630564864/vid/avc1/720x1280/kNr0IkIF6pI1vlMW.mp4?tag=16&quot;},{&quot;duration&quot;:2333,&quot;video_url&quot;:&quot;https://video.twimg.com/amplify_video/1803252884638932992/vid/avc1/544x960/3XvCKAAWTJx_Ih91.mp4?tag=16&quot;}]"/>
    <s v="{&quot;data_posted&quot;:null,&quot;description&quot;:null,&quot;photos&quot;:null,&quot;post_id&quot;:null,&quot;profile_id&quot;:null,&quot;profile_name&quot;:null,&quot;url&quot;:null,&quot;videos&quot;:null}"/>
    <n v="8361"/>
    <n v="2.9209774461832353E-3"/>
    <d v="2024-06-19T00:00:00"/>
    <n v="0.10160879629629629"/>
    <x v="4"/>
    <x v="2"/>
    <x v="1"/>
    <x v="0"/>
    <x v="0"/>
    <x v="0"/>
    <n v="21"/>
    <x v="2"/>
  </r>
  <r>
    <n v="1.8682227645464622E+18"/>
    <s v="The███nom███"/>
    <s v="The███ono███t"/>
    <s v="A dozen years ago Spain was a byword for economic failure. How that has changed. _x000a__x000a_By our reckoning, it is now on course to be the best-performing rich-world economy of 2024 across a range of measures. Still, the country must not rest easy"/>
    <s v="&quot;2024-12-15T09:13:11.000Z&quot;"/>
    <s v="null"/>
    <s v="https://x.com/TheEconomist/status/1868222764546462155"/>
    <s v="null"/>
    <n v="9"/>
    <n v="35"/>
    <n v="83"/>
    <n v="49402"/>
    <s v="https://econ.st/49DAc53"/>
    <s v="null"/>
    <n v="27122999"/>
    <s v="News and analysis with a global perspective. We’re here to help you understand the world around you. Subscribe here: https://t.co/RpUQAAnhog"/>
    <n v="402760"/>
    <s v="https://pbs.twimg.com/profile_images/1847280770743750656/0DkLNOPG_normal.jpg"/>
    <n v="155"/>
    <b v="0"/>
    <n v="3"/>
    <n v="14"/>
    <s v="{&quot;post_id&quot;:null,&quot;profile_id&quot;:null,&quot;profile_name&quot;:null}"/>
    <s v="[&quot;https://pbs.twimg.com/card_img/1867211330073010176/DcTARZI2?format=jpg&amp;name=orig&quot;]"/>
    <s v="null"/>
    <s v="{&quot;data_posted&quot;:null,&quot;description&quot;:null,&quot;photos&quot;:null,&quot;post_id&quot;:null,&quot;profile_id&quot;:null,&quot;profile_name&quot;:null,&quot;url&quot;:null,&quot;videos&quot;:null}"/>
    <n v="144"/>
    <n v="2.9148617464879963E-3"/>
    <d v="2024-12-15T00:00:00"/>
    <n v="0.38415509259259262"/>
    <x v="0"/>
    <x v="18"/>
    <x v="0"/>
    <x v="1"/>
    <x v="0"/>
    <x v="0"/>
    <n v="239"/>
    <x v="1"/>
  </r>
  <r>
    <n v="1.8681880027714726E+18"/>
    <s v="bus███ss"/>
    <s v="Blo███erg███"/>
    <s v="ABC has agreed to donate $15 million to Donald Trump’s future presidential foundation or museum to settle claims that one of its anchors defamed the president-elect in describing a past court verdict against him."/>
    <s v="&quot;2024-12-15T06:55:03.000Z&quot;"/>
    <s v="null"/>
    <s v="https://x.com/business/status/1868188002771472652"/>
    <s v="null"/>
    <n v="11"/>
    <n v="15"/>
    <n v="50"/>
    <n v="28666"/>
    <s v="https://trib.al/Zme2ulm"/>
    <s v="null"/>
    <n v="9564155"/>
    <s v="The first word in business news. Singapore newsletter: https://t.co/RtyaUOdLdF Newsletters: https://t.co/nWaCxHSKuU Podcasts: https://t.co/096e9xMbPz"/>
    <n v="1125277"/>
    <s v="https://pbs.twimg.com/profile_images/1631723279676317709/-fjgaR2p_normal.jpg"/>
    <n v="93"/>
    <b v="0"/>
    <n v="4"/>
    <n v="3"/>
    <s v="{&quot;post_id&quot;:null,&quot;profile_id&quot;:null,&quot;profile_name&quot;:null}"/>
    <s v="[&quot;https://pbs.twimg.com/card_img/1868055945072312320/AZYsZu8j?format=jpg&amp;name=orig&quot;]"/>
    <s v="null"/>
    <s v="{&quot;data_posted&quot;:null,&quot;description&quot;:null,&quot;photos&quot;:null,&quot;post_id&quot;:null,&quot;profile_id&quot;:null,&quot;profile_name&quot;:null,&quot;url&quot;:null,&quot;videos&quot;:null}"/>
    <n v="83"/>
    <n v="2.8954161724691271E-3"/>
    <d v="2024-12-15T00:00:00"/>
    <n v="0.28822916666666665"/>
    <x v="0"/>
    <x v="23"/>
    <x v="0"/>
    <x v="1"/>
    <x v="0"/>
    <x v="0"/>
    <n v="212"/>
    <x v="0"/>
  </r>
  <r>
    <n v="1.8681345974202573E+18"/>
    <s v="ufc"/>
    <s v="UFC"/>
    <s v="Kicking off the #UFCTampa main card! 💥_x000a__x000a_Navajo Stirling vs @Tuco300 _x000a__x000a_[ LIVE NOW on @ESPNPlus &amp; ESPN2 ]"/>
    <s v="&quot;2024-12-15T03:22:50.000Z&quot;"/>
    <s v="null"/>
    <s v="https://x.com/ufc/status/1868134597420257402"/>
    <s v="[{&quot;biography&quot;:null,&quot;followers&quot;:null,&quot;following&quot;:null,&quot;is_verified&quot;:null,&quot;profile_id&quot;:&quot;1520518807168634880&quot;,&quot;profile_name&quot;:&quot;Tuco Tokkos&quot;,&quot;url&quot;:&quot;https://x.com/Tuco300&quot;},{&quot;biography&quot;:null,&quot;followers&quot;:null,&quot;following&quot;:null,&quot;is_verified&quot;:null,&quot;profile_id&quot;:&quot;1044284694387412992&quot;,&quot;profile_name&quot;:&quot;ESPN+&quot;,&quot;url&quot;:&quot;https://x.com/ESPNPlus&quot;}]"/>
    <n v="53"/>
    <n v="20"/>
    <n v="179"/>
    <n v="89364"/>
    <s v=""/>
    <s v="[&quot;UFCTampa&quot;]"/>
    <n v="12876593"/>
    <s v="#UFCTampa | Covington vs Buckley | December 14 | 10pmET | LIVE on @ESPNPlus"/>
    <n v="141401"/>
    <s v="https://pbs.twimg.com/profile_images/1835773190385328128/4fVrF1UI_normal.jpg"/>
    <n v="717"/>
    <b v="0"/>
    <n v="5"/>
    <n v="1"/>
    <s v="{&quot;post_id&quot;:null,&quot;profile_id&quot;:null,&quot;profile_name&quot;:null}"/>
    <s v="null"/>
    <s v="[{&quot;duration&quot;:5038,&quot;video_url&quot;:&quot;https://video.twimg.com/ext_tw_video/1868125360656658432/pu/vid/avc1/718x720/Yu8-V5k2e0wc6YPH.mp4?tag=12&quot;}]"/>
    <s v="{&quot;data_posted&quot;:null,&quot;description&quot;:null,&quot;photos&quot;:null,&quot;post_id&quot;:null,&quot;profile_id&quot;:null,&quot;profile_name&quot;:null,&quot;url&quot;:null,&quot;videos&quot;:null}"/>
    <n v="258"/>
    <n v="2.8870686182355309E-3"/>
    <d v="2024-12-15T00:00:00"/>
    <n v="0.14085648148148147"/>
    <x v="0"/>
    <x v="21"/>
    <x v="1"/>
    <x v="1"/>
    <x v="1"/>
    <x v="0"/>
    <n v="103"/>
    <x v="1"/>
  </r>
  <r>
    <n v="1.8660229253435392E+18"/>
    <s v="afc███anc███"/>
    <s v="#As███Qua███ier███"/>
    <s v="2️⃣4️⃣ teams_x000a_6️⃣ available spots_x000a_📆 March 2025 - March 2026_x000a__x000a_The final path at #ACQ2027. Who will complete the #AsianCup2027 cast?"/>
    <s v="&quot;2024-12-09T07:31:49.000Z&quot;"/>
    <s v="[&quot;https://pbs.twimg.com/media/GeVx9e9WMAAkC0a.jpg&quot;]"/>
    <s v="https://x.com/afcasiancup/status/1866022925343539270"/>
    <s v="null"/>
    <n v="178"/>
    <n v="433"/>
    <n v="1546"/>
    <n v="862027"/>
    <s v=""/>
    <s v="[&quot;ACQ2027&quot;,&quot;AsianCup2027&quot;]"/>
    <n v="290295"/>
    <s v="The Official AFC Asian Cup™ account on X"/>
    <n v="28025"/>
    <s v="https://pbs.twimg.com/profile_images/1809143655313403904/RWIK5xaC_normal.jpg"/>
    <n v="102"/>
    <b v="0"/>
    <n v="215"/>
    <n v="76"/>
    <s v="{&quot;post_id&quot;:null,&quot;profile_id&quot;:null,&quot;profile_name&quot;:null}"/>
    <s v="null"/>
    <s v="null"/>
    <s v="{&quot;data_posted&quot;:null,&quot;description&quot;:null,&quot;photos&quot;:null,&quot;post_id&quot;:null,&quot;profile_id&quot;:null,&quot;profile_name&quot;:null,&quot;url&quot;:null,&quot;videos&quot;:null}"/>
    <n v="2448"/>
    <n v="2.8398182423520378E-3"/>
    <d v="2024-12-09T00:00:00"/>
    <n v="0.31376157407407407"/>
    <x v="2"/>
    <x v="20"/>
    <x v="0"/>
    <x v="0"/>
    <x v="1"/>
    <x v="0"/>
    <n v="129"/>
    <x v="2"/>
  </r>
  <r>
    <n v="1.868417381015458E+18"/>
    <s v="nyp███"/>
    <s v="New███rk ███t"/>
    <s v="The change Paige Spiranac looks to make to posts in new year after ‘overthinking’ things in 2024"/>
    <s v="&quot;2024-12-15T22:06:31.000Z&quot;"/>
    <s v="[&quot;https://pbs.twimg.com/media/Ge3ztNbXEAAoTo0.jpg&quot;]"/>
    <s v="https://x.com/nypost/status/1868417381015458091"/>
    <s v="null"/>
    <n v="27"/>
    <n v="6"/>
    <n v="54"/>
    <n v="33455"/>
    <s v="https://trib.al/72l8XGF"/>
    <s v="null"/>
    <n v="3313886"/>
    <s v="Breaking news &amp; features from The New York Post. Follow your favorite sections: @pagesix, @nypmetro, @nypostbiz, @nypostsports, @nypfashion, @nypostopinion"/>
    <n v="706459"/>
    <s v="https://pbs.twimg.com/profile_images/966372680306868224/60wfGe9e_normal.jpg"/>
    <n v="10308"/>
    <b v="0"/>
    <n v="1"/>
    <n v="7"/>
    <s v="{&quot;post_id&quot;:null,&quot;profile_id&quot;:null,&quot;profile_name&quot;:null}"/>
    <s v="null"/>
    <s v="null"/>
    <s v="{&quot;data_posted&quot;:null,&quot;description&quot;:null,&quot;photos&quot;:null,&quot;post_id&quot;:null,&quot;profile_id&quot;:null,&quot;profile_name&quot;:null,&quot;url&quot;:null,&quot;videos&quot;:null}"/>
    <n v="95"/>
    <n v="2.8396353310416976E-3"/>
    <d v="2024-12-15T00:00:00"/>
    <n v="0.9211921296296296"/>
    <x v="0"/>
    <x v="11"/>
    <x v="0"/>
    <x v="0"/>
    <x v="0"/>
    <x v="0"/>
    <n v="96"/>
    <x v="0"/>
  </r>
  <r>
    <n v="1.7466866551495311E+18"/>
    <s v="Tru███edi███3"/>
    <s v="真相傳媒"/>
    <s v="还真是三姓家奴。_x000a_#谷爱凌"/>
    <s v="&quot;2024-01-15T00:12:05.000Z&quot;"/>
    <s v="[&quot;https://pbs.twimg.com/media/GD16KFVbMAAGgEe.jpg&quot;]"/>
    <s v="https://x.com/TruthMedia123/status/1746686655149531214"/>
    <s v="null"/>
    <n v="411"/>
    <n v="141"/>
    <n v="1454"/>
    <n v="735316"/>
    <s v=""/>
    <s v="[&quot;谷爱凌&quot;]"/>
    <n v="234568"/>
    <s v="傳播真相，匡扶正義良知，回歸中華傳統。 世間總有公道。歡迎投稿爆料！如果推文有錯誤歡迎指正。通過本號私信發送即可。"/>
    <n v="102643"/>
    <s v="https://pbs.twimg.com/profile_images/1618727520500850692/SdW0o-cV_normal.jpg"/>
    <n v="5173"/>
    <b v="0"/>
    <n v="24"/>
    <n v="57"/>
    <s v="{&quot;post_id&quot;:null,&quot;profile_id&quot;:null,&quot;profile_name&quot;:null}"/>
    <s v="null"/>
    <s v="null"/>
    <s v="{&quot;data_posted&quot;:null,&quot;description&quot;:null,&quot;photos&quot;:null,&quot;post_id&quot;:null,&quot;profile_id&quot;:null,&quot;profile_name&quot;:null,&quot;url&quot;:null,&quot;videos&quot;:null}"/>
    <n v="2087"/>
    <n v="2.8382355341105047E-3"/>
    <d v="2024-01-15T00:00:00"/>
    <n v="8.3912037037037045E-3"/>
    <x v="2"/>
    <x v="5"/>
    <x v="0"/>
    <x v="0"/>
    <x v="1"/>
    <x v="0"/>
    <n v="13"/>
    <x v="2"/>
  </r>
  <r>
    <n v="1.8659977393030638E+18"/>
    <s v="NBA"/>
    <s v="NBA"/>
    <s v="@Bucks @hornets @MiamiHEAT @nuggets @OrlandoMagic @spurs @memgrizz @warriors @SacramentoKings Jalen Green helps lift the @HoustonRockets on the road!_x000a__x000a_Amen Thompson: 22 PTS, 8 REB, 4 AST_x000a_Dillon Brooks: 19 PTS (4 3PM), 7 REB, 5 AST, 2 BLK_x000a_Jabari Smith Jr.: 13 PTS, 12 REB_x000a_Alperen Sengun: 11 PTS, 10 REB, 6 AST"/>
    <s v="&quot;2024-12-09T05:51:44.000Z&quot;"/>
    <s v="[&quot;https://pbs.twimg.com/media/GeVaQYWXcAAwO66.jpg&quot;]"/>
    <s v="https://x.com/NBA/status/1865997739303063765"/>
    <s v="[{&quot;biography&quot;:null,&quot;followers&quot;:null,&quot;following&quot;:null,&quot;is_verified&quot;:null,&quot;profile_id&quot;:&quot;15900167&quot;,&quot;profile_name&quot;:&quot;Milwaukee Bucks&quot;,&quot;url&quot;:&quot;https://x.com/Bucks&quot;},{&quot;biography&quot;:null,&quot;followers&quot;:null,&quot;following&quot;:null,&quot;is_verified&quot;:null,&quot;profile_id&quot;:&quot;21308488&quot;,&quot;profile_name&quot;:&quot;Charlotte Hornets&quot;,&quot;url&quot;:&quot;https://x.com/hornets&quot;},{&quot;biography&quot;:null,&quot;followers&quot;:null,&quot;following&quot;:null,&quot;is_verified&quot;:null,&quot;profile_id&quot;:&quot;11026952&quot;,&quot;profile_name&quot;:&quot;Miami HEAT&quot;,&quot;url&quot;:&quot;https://x.com/MiamiHEAT&quot;},{&quot;biography&quot;:null,&quot;followers&quot;:null,&quot;following&quot;:null,&quot;is_verified&quot;:null,&quot;profile_id&quot;:&quot;26074296&quot;,&quot;profile_name&quot;:&quot;Denver Nuggets&quot;,&quot;url&quot;:&quot;https://x.com/nuggets&quot;},{&quot;biography&quot;:null,&quot;followers&quot;:null,&quot;following&quot;:null,&quot;is_verified&quot;:null,&quot;profile_id&quot;:&quot;19537303&quot;,&quot;profile_name&quot;:&quot;Orlando Magic&quot;,&quot;url&quot;:&quot;https://x.com/OrlandoMagic&quot;},{&quot;biography&quot;:null,&quot;followers&quot;:null,&quot;following&quot;:null,&quot;is_verified&quot;:null,&quot;profile_id&quot;:&quot;18371803&quot;,&quot;profile_name&quot;:&quot;San Antonio Spurs&quot;,&quot;url&quot;:&quot;https://x.com/spurs&quot;},{&quot;biography&quot;:null,&quot;followers&quot;:null,&quot;following&quot;:null,&quot;is_verified&quot;:null,&quot;profile_id&quot;:&quot;7117962&quot;,&quot;profile_name&quot;:&quot;Memphis Grizzlies&quot;,&quot;url&quot;:&quot;https://x.com/memgrizz&quot;},{&quot;biography&quot;:null,&quot;followers&quot;:null,&quot;following&quot;:null,&quot;is_verified&quot;:null,&quot;profile_id&quot;:&quot;26270913&quot;,&quot;profile_name&quot;:&quot;Golden State Warriors&quot;,&quot;url&quot;:&quot;https://x.com/warriors&quot;},{&quot;biography&quot;:null,&quot;followers&quot;:null,&quot;following&quot;:null,&quot;is_verified&quot;:null,&quot;profile_id&quot;:&quot;667563&quot;,&quot;profile_name&quot;:&quot;Sacramento Kings&quot;,&quot;url&quot;:&quot;https://x.com/SacramentoKings&quot;},{&quot;biography&quot;:null,&quot;followers&quot;:null,&quot;following&quot;:null,&quot;is_verified&quot;:null,&quot;profile_id&quot;:&quot;19077044&quot;,&quot;profile_name&quot;:&quot;Houston Rockets&quot;,&quot;url&quot;:&quot;https://x.com/HoustonRockets&quot;}]"/>
    <n v="25"/>
    <n v="60"/>
    <n v="362"/>
    <n v="163050"/>
    <s v=""/>
    <s v="null"/>
    <n v="47707452"/>
    <s v="The #EmiratesNBACup Championship Game will take place Tuesday, 12/17 in Vegas! 🏆 8:30pm/et on ABC: Bucks/Thunder"/>
    <n v="367156"/>
    <s v="https://pbs.twimg.com/profile_images/1868174380468981760/m0FEipd2_normal.jpg"/>
    <n v="2012"/>
    <b v="0"/>
    <n v="6"/>
    <n v="9"/>
    <s v="{&quot;post_id&quot;:&quot;1865991377466572874&quot;,&quot;profile_id&quot;:&quot;19923144&quot;,&quot;profile_name&quot;:&quot;NBA&quot;}"/>
    <s v="null"/>
    <s v="null"/>
    <s v="{&quot;data_posted&quot;:null,&quot;description&quot;:null,&quot;photos&quot;:null,&quot;post_id&quot;:null,&quot;profile_id&quot;:null,&quot;profile_name&quot;:null,&quot;url&quot;:null,&quot;videos&quot;:null}"/>
    <n v="462"/>
    <n v="2.8334866605335789E-3"/>
    <d v="2024-12-09T00:00:00"/>
    <n v="0.24425925925925926"/>
    <x v="2"/>
    <x v="22"/>
    <x v="0"/>
    <x v="0"/>
    <x v="0"/>
    <x v="0"/>
    <n v="308"/>
    <x v="1"/>
  </r>
  <r>
    <n v="1.8683134771120868E+18"/>
    <s v="bus███ss"/>
    <s v="Blo███erg███"/>
    <s v="Americans are likely to be seeing more drones in the night sky, but there’s no evidence of foreign involvement or a national security risk, Homeland Security Secretary Alejandro Mayorkas said"/>
    <s v="&quot;2024-12-15T15:13:39.000Z&quot;"/>
    <s v="null"/>
    <s v="https://x.com/business/status/1868313477112086859"/>
    <s v="null"/>
    <n v="33"/>
    <n v="12"/>
    <n v="39"/>
    <n v="33253"/>
    <s v="https://trib.al/5IVf16g"/>
    <s v="null"/>
    <n v="9564155"/>
    <s v="The first word in business news. Singapore newsletter: https://t.co/RtyaUOdLdF Newsletters: https://t.co/nWaCxHSKuU Podcasts: https://t.co/096e9xMbPz"/>
    <n v="1125277"/>
    <s v="https://pbs.twimg.com/profile_images/1631723279676317709/-fjgaR2p_normal.jpg"/>
    <n v="93"/>
    <b v="0"/>
    <n v="3"/>
    <n v="5"/>
    <s v="{&quot;post_id&quot;:null,&quot;profile_id&quot;:null,&quot;profile_name&quot;:null}"/>
    <s v="[&quot;https://pbs.twimg.com/card_img/1868313361131114496/1xR6CBdW?format=jpg&amp;name=orig&quot;]"/>
    <s v="null"/>
    <s v="{&quot;data_posted&quot;:null,&quot;description&quot;:null,&quot;photos&quot;:null,&quot;post_id&quot;:null,&quot;profile_id&quot;:null,&quot;profile_name&quot;:null,&quot;url&quot;:null,&quot;videos&quot;:null}"/>
    <n v="92"/>
    <n v="2.7666676690824886E-3"/>
    <d v="2024-12-15T00:00:00"/>
    <n v="0.63447916666666671"/>
    <x v="0"/>
    <x v="13"/>
    <x v="0"/>
    <x v="1"/>
    <x v="0"/>
    <x v="0"/>
    <n v="191"/>
    <x v="0"/>
  </r>
  <r>
    <n v="1.8658520418743547E+18"/>
    <s v="Bro███ynN███"/>
    <s v="Bro███yn ███s"/>
    <s v=".@doefinney_10's back in action 🙌"/>
    <s v="&quot;2024-12-08T20:12:47.000Z&quot;"/>
    <s v="[&quot;https://pbs.twimg.com/media/GeTUsN5WIAAT3uL.jpg&quot;]"/>
    <s v="https://x.com/BrooklynNets/status/1865852041874354604"/>
    <s v="[{&quot;biography&quot;:null,&quot;followers&quot;:null,&quot;following&quot;:null,&quot;is_verified&quot;:null,&quot;profile_id&quot;:&quot;3613501949&quot;,&quot;profile_name&quot;:&quot;Dorian Finney-Smith&quot;,&quot;url&quot;:&quot;https://x.com/doefinney_10&quot;}]"/>
    <n v="3"/>
    <n v="7"/>
    <n v="57"/>
    <n v="24962"/>
    <s v=""/>
    <s v="null"/>
    <n v="2035100"/>
    <s v="Tweets from #NetsWorld"/>
    <n v="106867"/>
    <s v="https://pbs.twimg.com/profile_images/1811024920870277122/1wQgAUZH_normal.jpg"/>
    <n v="411"/>
    <b v="0"/>
    <n v="2"/>
    <n v="0"/>
    <s v="{&quot;post_id&quot;:null,&quot;profile_id&quot;:null,&quot;profile_name&quot;:null}"/>
    <s v="null"/>
    <s v="[{&quot;duration&quot;:11106,&quot;video_url&quot;:&quot;https://video.twimg.com/ext_tw_video/1865850001777135616/pu/vid/avc1/720x720/KH3NYUd-4BPE9o3R.mp4?tag=12&quot;}]"/>
    <s v="{&quot;data_posted&quot;:null,&quot;description&quot;:null,&quot;photos&quot;:null,&quot;post_id&quot;:null,&quot;profile_id&quot;:null,&quot;profile_name&quot;:null,&quot;url&quot;:null,&quot;videos&quot;:null}"/>
    <n v="69"/>
    <n v="2.7642015864113452E-3"/>
    <d v="2024-12-08T00:00:00"/>
    <n v="0.84221064814814817"/>
    <x v="0"/>
    <x v="3"/>
    <x v="1"/>
    <x v="0"/>
    <x v="0"/>
    <x v="0"/>
    <n v="33"/>
    <x v="0"/>
  </r>
  <r>
    <n v="1.8681356512724956E+18"/>
    <s v="ESP███asi███"/>
    <s v="ESP███ras███"/>
    <s v="Só quem se sentiu representado pelo @ariaguiar nesses dois lances! 🙋‍♀️😂_x000a__x000a_👉 Assista ao jogo entre OKC e Rockets, pela semifinal da NBA Cup, AGORA, AO VIVO pelo #DisneyPlus! _x000a__x000a_#NBANaESPN"/>
    <s v="&quot;2024-12-15T03:27:02.000Z&quot;"/>
    <s v="null"/>
    <s v="https://x.com/ESPNBrasil/status/1868135651272495506"/>
    <s v="[{&quot;biography&quot;:null,&quot;followers&quot;:null,&quot;following&quot;:null,&quot;is_verified&quot;:null,&quot;profile_id&quot;:&quot;40546283&quot;,&quot;profile_name&quot;:&quot;Ari Aguiar&quot;,&quot;url&quot;:&quot;https://x.com/ariaguiar&quot;}]"/>
    <n v="3"/>
    <n v="2"/>
    <n v="24"/>
    <n v="11961"/>
    <s v=""/>
    <s v="[&quot;DisneyPlus&quot;,&quot;NBANaESPN&quot;]"/>
    <n v="3768943"/>
    <s v="ESPN: o melhor do esporte você assiste aqui!"/>
    <n v="897934"/>
    <s v="https://pbs.twimg.com/profile_images/1224436194152345608/dCEm_D7K_normal.jpg"/>
    <n v="28"/>
    <b v="0"/>
    <n v="0"/>
    <n v="4"/>
    <s v="{&quot;post_id&quot;:null,&quot;profile_id&quot;:null,&quot;profile_name&quot;:null}"/>
    <s v="null"/>
    <s v="[{&quot;duration&quot;:39579,&quot;video_url&quot;:&quot;https://video.twimg.com/amplify_video/1868135447077040128/vid/avc1/720x1280/Bw6li4thVFLm50Ew.mp4?tag=14&quot;}]"/>
    <s v="{&quot;data_posted&quot;:null,&quot;description&quot;:null,&quot;photos&quot;:null,&quot;post_id&quot;:null,&quot;profile_id&quot;:null,&quot;profile_name&quot;:null,&quot;url&quot;:null,&quot;videos&quot;:null}"/>
    <n v="33"/>
    <n v="2.7589666415851516E-3"/>
    <d v="2024-12-15T00:00:00"/>
    <n v="0.14377314814814815"/>
    <x v="0"/>
    <x v="21"/>
    <x v="1"/>
    <x v="1"/>
    <x v="1"/>
    <x v="0"/>
    <n v="185"/>
    <x v="0"/>
  </r>
  <r>
    <n v="1.8683567896804275E+18"/>
    <s v="ESP███asi███"/>
    <s v="ESP███ras███"/>
    <s v="São Paulo? Técnico do Porto explica situação de Wendell para 2025 _x000a__x000a_#FutebolNaESPN"/>
    <s v="&quot;2024-12-15T18:05:45.000Z&quot;"/>
    <s v="null"/>
    <s v="https://x.com/ESPNBrasil/status/1868356789680427453"/>
    <s v="null"/>
    <n v="2"/>
    <n v="1"/>
    <n v="18"/>
    <n v="8072"/>
    <s v="https://buff.ly/3OUD97U"/>
    <s v="[&quot;FutebolNaESPN&quot;]"/>
    <n v="3768943"/>
    <s v="ESPN: o melhor do esporte você assiste aqui!"/>
    <n v="897934"/>
    <s v="https://pbs.twimg.com/profile_images/1224436194152345608/dCEm_D7K_normal.jpg"/>
    <n v="28"/>
    <b v="0"/>
    <n v="0"/>
    <n v="1"/>
    <s v="{&quot;post_id&quot;:null,&quot;profile_id&quot;:null,&quot;profile_name&quot;:null}"/>
    <s v="[&quot;https://pbs.twimg.com/card_img/1868356791588757505/pqhiAU9D?format=jpg&amp;name=orig&quot;]"/>
    <s v="null"/>
    <s v="{&quot;data_posted&quot;:null,&quot;description&quot;:null,&quot;photos&quot;:null,&quot;post_id&quot;:null,&quot;profile_id&quot;:null,&quot;profile_name&quot;:null,&quot;url&quot;:null,&quot;videos&quot;:null}"/>
    <n v="22"/>
    <n v="2.7254707631318136E-3"/>
    <d v="2024-12-15T00:00:00"/>
    <n v="0.75399305555555551"/>
    <x v="0"/>
    <x v="8"/>
    <x v="0"/>
    <x v="1"/>
    <x v="1"/>
    <x v="0"/>
    <n v="82"/>
    <x v="0"/>
  </r>
  <r>
    <n v="1.8684787657240453E+18"/>
    <s v="bus███ss"/>
    <s v="Blo███erg███"/>
    <s v="Canadian Housing Minister Sean Fraser is resigning from cabinet and doesn’t plan to run in the next election, a move that comes as Justin Trudeau’s Liberal Party languishes in the polls with an election looming in 2025"/>
    <s v="&quot;2024-12-16T02:10:27.000Z&quot;"/>
    <s v="null"/>
    <s v="https://x.com/business/status/1868478765724045342"/>
    <s v="null"/>
    <n v="30"/>
    <n v="19"/>
    <n v="103"/>
    <n v="64867"/>
    <s v="https://trib.al/YajOlYD"/>
    <s v="null"/>
    <n v="9564154"/>
    <s v="The first word in business news. Singapore newsletter: https://t.co/RtyaUOdLdF Newsletters: https://t.co/nWaCxHSKuU Podcasts: https://t.co/096e9xMbPz"/>
    <n v="1125277"/>
    <s v="https://pbs.twimg.com/profile_images/1631723279676317709/-fjgaR2p_normal.jpg"/>
    <n v="93"/>
    <b v="0"/>
    <n v="13"/>
    <n v="11"/>
    <s v="{&quot;post_id&quot;:null,&quot;profile_id&quot;:null,&quot;profile_name&quot;:null}"/>
    <s v="[&quot;https://pbs.twimg.com/card_img/1868478731435520000/XiDX_v6m?format=jpg&amp;name=orig&quot;]"/>
    <s v="null"/>
    <s v="{&quot;data_posted&quot;:null,&quot;description&quot;:null,&quot;photos&quot;:null,&quot;post_id&quot;:null,&quot;profile_id&quot;:null,&quot;profile_name&quot;:null,&quot;url&quot;:null,&quot;videos&quot;:null}"/>
    <n v="176"/>
    <n v="2.7132440223842634E-3"/>
    <d v="2024-12-16T00:00:00"/>
    <n v="9.0590277777777783E-2"/>
    <x v="2"/>
    <x v="2"/>
    <x v="0"/>
    <x v="1"/>
    <x v="0"/>
    <x v="0"/>
    <n v="218"/>
    <x v="0"/>
  </r>
  <r>
    <n v="1.8683569507793966E+18"/>
    <s v="nyp███"/>
    <s v="New███rk ███t"/>
    <s v="Waldorf-Astoria insists hotel will reopen in spring 2025 — despite snag with online reservations"/>
    <s v="&quot;2024-12-15T18:06:24.000Z&quot;"/>
    <s v="[&quot;https://pbs.twimg.com/media/Ge28vt9XMAAuB5-.jpg&quot;]"/>
    <s v="https://x.com/nypost/status/1868356950779396514"/>
    <s v="null"/>
    <n v="11"/>
    <n v="4"/>
    <n v="39"/>
    <n v="21037"/>
    <s v="https://trib.al/GUvVFFO"/>
    <s v="null"/>
    <n v="3313887"/>
    <s v="Breaking news &amp; features from The New York Post. Follow your favorite sections: @pagesix, @nypmetro, @nypostbiz, @nypostsports, @nypfashion, @nypostopinion"/>
    <n v="706459"/>
    <s v="https://pbs.twimg.com/profile_images/966372680306868224/60wfGe9e_normal.jpg"/>
    <n v="10308"/>
    <b v="0"/>
    <n v="1"/>
    <n v="2"/>
    <s v="{&quot;post_id&quot;:null,&quot;profile_id&quot;:null,&quot;profile_name&quot;:null}"/>
    <s v="null"/>
    <s v="null"/>
    <s v="{&quot;data_posted&quot;:null,&quot;description&quot;:null,&quot;photos&quot;:null,&quot;post_id&quot;:null,&quot;profile_id&quot;:null,&quot;profile_name&quot;:null,&quot;url&quot;:null,&quot;videos&quot;:null}"/>
    <n v="57"/>
    <n v="2.7095118125207967E-3"/>
    <d v="2024-12-15T00:00:00"/>
    <n v="0.75444444444444447"/>
    <x v="0"/>
    <x v="8"/>
    <x v="0"/>
    <x v="0"/>
    <x v="0"/>
    <x v="0"/>
    <n v="96"/>
    <x v="0"/>
  </r>
  <r>
    <n v="1.8681409639753119E+18"/>
    <s v="ufc"/>
    <s v="UFC"/>
    <s v="Bantamweight BANGER up next! 😤_x000a__x000a_@YanezMMA vs Daniel Marcos_x000a__x000a_[ #UFCTampa is LIVE on @ESPNPlus &amp;amp; ESPN2 ]"/>
    <s v="&quot;2024-12-15T03:48:08.000Z&quot;"/>
    <s v="null"/>
    <s v="https://x.com/ufc/status/1868140963975311822"/>
    <s v="[{&quot;biography&quot;:null,&quot;followers&quot;:null,&quot;following&quot;:null,&quot;is_verified&quot;:null,&quot;profile_id&quot;:&quot;439734566&quot;,&quot;profile_name&quot;:&quot;Adrian Yañez&quot;,&quot;url&quot;:&quot;https://x.com/yanezmma&quot;},{&quot;biography&quot;:null,&quot;followers&quot;:null,&quot;following&quot;:null,&quot;is_verified&quot;:null,&quot;profile_id&quot;:&quot;1044284694387412992&quot;,&quot;profile_name&quot;:&quot;ESPN+&quot;,&quot;url&quot;:&quot;https://x.com/ESPNPlus&quot;}]"/>
    <n v="29"/>
    <n v="19"/>
    <n v="186"/>
    <n v="87724"/>
    <s v=""/>
    <s v="[&quot;UFCTampa&quot;]"/>
    <n v="12876593"/>
    <s v="#UFCTampa | Covington vs Buckley | December 14 | 10pmET | LIVE on @ESPNPlus"/>
    <n v="141401"/>
    <s v="https://pbs.twimg.com/profile_images/1835773190385328128/4fVrF1UI_normal.jpg"/>
    <n v="717"/>
    <b v="0"/>
    <n v="3"/>
    <n v="0"/>
    <s v="{&quot;post_id&quot;:null,&quot;profile_id&quot;:null,&quot;profile_name&quot;:null}"/>
    <s v="null"/>
    <s v="[{&quot;duration&quot;:5038,&quot;video_url&quot;:&quot;https://video.twimg.com/ext_tw_video/1868125433893392384/pu/vid/avc1/718x720/BHPsecuBYyDjK-eg.mp4?tag=12&quot;}]"/>
    <s v="{&quot;data_posted&quot;:null,&quot;description&quot;:null,&quot;photos&quot;:null,&quot;post_id&quot;:null,&quot;profile_id&quot;:null,&quot;profile_name&quot;:null,&quot;url&quot;:null,&quot;videos&quot;:null}"/>
    <n v="237"/>
    <n v="2.7016551912817472E-3"/>
    <d v="2024-12-15T00:00:00"/>
    <n v="0.15842592592592591"/>
    <x v="0"/>
    <x v="21"/>
    <x v="1"/>
    <x v="1"/>
    <x v="1"/>
    <x v="0"/>
    <n v="106"/>
    <x v="1"/>
  </r>
  <r>
    <n v="1.8659837940687956E+18"/>
    <s v="NBA"/>
    <s v="NBA"/>
    <s v="@Bucks @hornets @MiamiHEAT @nuggets Goga Bitadze grabs 9 offensive boards as the @OrlandoMagic improve to 10-0 at home!_x000a__x000a_Jalen Suggs: 26 PTS (14 in the 4Q)_x000a_Cole Anthony: 14 PTS, 2 BLK"/>
    <s v="&quot;2024-12-09T04:56:19.000Z&quot;"/>
    <s v="[&quot;https://pbs.twimg.com/media/GeVN62EWEAAbn7b.jpg&quot;]"/>
    <s v="https://x.com/NBA/status/1865983794068795687"/>
    <s v="[{&quot;biography&quot;:null,&quot;followers&quot;:null,&quot;following&quot;:null,&quot;is_verified&quot;:null,&quot;profile_id&quot;:&quot;15900167&quot;,&quot;profile_name&quot;:&quot;Milwaukee Bucks&quot;,&quot;url&quot;:&quot;https://x.com/Bucks&quot;},{&quot;biography&quot;:null,&quot;followers&quot;:null,&quot;following&quot;:null,&quot;is_verified&quot;:null,&quot;profile_id&quot;:&quot;21308488&quot;,&quot;profile_name&quot;:&quot;Charlotte Hornets&quot;,&quot;url&quot;:&quot;https://x.com/hornets&quot;},{&quot;biography&quot;:null,&quot;followers&quot;:null,&quot;following&quot;:null,&quot;is_verified&quot;:null,&quot;profile_id&quot;:&quot;11026952&quot;,&quot;profile_name&quot;:&quot;Miami HEAT&quot;,&quot;url&quot;:&quot;https://x.com/MiamiHEAT&quot;},{&quot;biography&quot;:null,&quot;followers&quot;:null,&quot;following&quot;:null,&quot;is_verified&quot;:null,&quot;profile_id&quot;:&quot;26074296&quot;,&quot;profile_name&quot;:&quot;Denver Nuggets&quot;,&quot;url&quot;:&quot;https://x.com/nuggets&quot;},{&quot;biography&quot;:null,&quot;followers&quot;:null,&quot;following&quot;:null,&quot;is_verified&quot;:null,&quot;profile_id&quot;:&quot;19537303&quot;,&quot;profile_name&quot;:&quot;Orlando Magic&quot;,&quot;url&quot;:&quot;https://x.com/OrlandoMagic&quot;}]"/>
    <n v="30"/>
    <n v="89"/>
    <n v="690"/>
    <n v="316095"/>
    <s v=""/>
    <s v="null"/>
    <n v="47706817"/>
    <s v="The #EmiratesNBACup Championship Game will take place Tuesday, 12/17 in Vegas! 🏆 8:30pm/et on ABC: Bucks/Thunder"/>
    <n v="367152"/>
    <s v="https://pbs.twimg.com/profile_images/1868174380468981760/m0FEipd2_normal.jpg"/>
    <n v="2012"/>
    <b v="0"/>
    <n v="21"/>
    <n v="13"/>
    <s v="{&quot;post_id&quot;:&quot;1865981758518313344&quot;,&quot;profile_id&quot;:&quot;19923144&quot;,&quot;profile_name&quot;:&quot;NBA&quot;}"/>
    <s v="null"/>
    <s v="null"/>
    <s v="{&quot;data_posted&quot;:null,&quot;description&quot;:null,&quot;photos&quot;:null,&quot;post_id&quot;:null,&quot;profile_id&quot;:null,&quot;profile_name&quot;:null,&quot;url&quot;:null,&quot;videos&quot;:null}"/>
    <n v="843"/>
    <n v="2.6669197551369051E-3"/>
    <d v="2024-12-09T00:00:00"/>
    <n v="0.20577546296296295"/>
    <x v="2"/>
    <x v="9"/>
    <x v="0"/>
    <x v="0"/>
    <x v="0"/>
    <x v="0"/>
    <n v="183"/>
    <x v="1"/>
  </r>
  <r>
    <n v="1.8680848180863555E+18"/>
    <s v="bus███ss"/>
    <s v="Blo███erg███"/>
    <s v="President-elect Donald Trump has expressed interest in privatizing the US Postal Service, the Washington Post reported."/>
    <s v="&quot;2024-12-15T00:05:02.000Z&quot;"/>
    <s v="null"/>
    <s v="https://x.com/business/status/1868084818086355424"/>
    <s v="null"/>
    <n v="17"/>
    <n v="16"/>
    <n v="50"/>
    <n v="35313"/>
    <s v="https://trib.al/HvCxeWB"/>
    <s v="null"/>
    <n v="9564157"/>
    <s v="The first word in business news. Singapore newsletter: https://t.co/RtyaUOdLdF Newsletters: https://t.co/nWaCxHSKuU Podcasts: https://t.co/096e9xMbPz"/>
    <n v="1125277"/>
    <s v="https://pbs.twimg.com/profile_images/1631723279676317709/-fjgaR2p_normal.jpg"/>
    <n v="93"/>
    <b v="0"/>
    <n v="2"/>
    <n v="6"/>
    <s v="{&quot;post_id&quot;:null,&quot;profile_id&quot;:null,&quot;profile_name&quot;:null}"/>
    <s v="[&quot;https://pbs.twimg.com/card_img/1867913365898571776/LR3q68BM?format=jpg&amp;name=orig&quot;]"/>
    <s v="null"/>
    <s v="{&quot;data_posted&quot;:null,&quot;description&quot;:null,&quot;photos&quot;:null,&quot;post_id&quot;:null,&quot;profile_id&quot;:null,&quot;profile_name&quot;:null,&quot;url&quot;:null,&quot;videos&quot;:null}"/>
    <n v="91"/>
    <n v="2.5769546625888482E-3"/>
    <d v="2024-12-15T00:00:00"/>
    <n v="3.4953703703703705E-3"/>
    <x v="0"/>
    <x v="5"/>
    <x v="0"/>
    <x v="1"/>
    <x v="0"/>
    <x v="0"/>
    <n v="119"/>
    <x v="0"/>
  </r>
  <r>
    <n v="1.8683274586150385E+18"/>
    <s v="Eur███agu███"/>
    <s v="Tur███h A███ine█████████gue███"/>
    <s v="Does Sofoklis Schortsanitis get your vote? Hit the link below to include the former champ 🔗"/>
    <s v="&quot;2024-12-15T16:09:12.000Z&quot;"/>
    <s v="null"/>
    <s v="https://x.com/EuroLeague/status/1868327458615038437"/>
    <s v="null"/>
    <n v="2"/>
    <n v="1"/>
    <n v="25"/>
    <n v="11386"/>
    <s v="https://all25voting.euroleague.net/all25voting/home"/>
    <s v="[&quot;EUROLEAGUE25&quot;,&quot;ONLY25&quot;]"/>
    <n v="668750"/>
    <s v="The official X account of the Turkish Airlines EuroLeague🏀"/>
    <n v="76510"/>
    <s v="https://pbs.twimg.com/profile_images/1793167534889308160/aE2Qsevu_normal.jpg"/>
    <n v="860"/>
    <b v="0"/>
    <n v="1"/>
    <n v="0"/>
    <s v="{&quot;post_id&quot;:null,&quot;profile_id&quot;:null,&quot;profile_name&quot;:null}"/>
    <s v="null"/>
    <s v="[{&quot;duration&quot;:10465,&quot;video_url&quot;:&quot;https://video.twimg.com/amplify_video/1868327394626437121/vid/avc1/1080x1920/C4DJpSW308JLmpJl.mp4?tag=16&quot;}]"/>
    <s v="{&quot;data_posted&quot;:null,&quot;description&quot;:null,&quot;photos&quot;:null,&quot;post_id&quot;:null,&quot;profile_id&quot;:null,&quot;profile_name&quot;:null,&quot;url&quot;:null,&quot;videos&quot;:null}"/>
    <n v="29"/>
    <n v="2.5469875285438256E-3"/>
    <d v="2024-12-15T00:00:00"/>
    <n v="0.67305555555555552"/>
    <x v="0"/>
    <x v="15"/>
    <x v="1"/>
    <x v="1"/>
    <x v="1"/>
    <x v="0"/>
    <n v="91"/>
    <x v="2"/>
  </r>
  <r>
    <n v="1.8684263801462459E+18"/>
    <s v="nyp███"/>
    <s v="New███rk ███t"/>
    <s v="Elderly straphanger injured in random Herald Square subway shove"/>
    <s v="&quot;2024-12-15T22:42:17.000Z&quot;"/>
    <s v="[&quot;https://pbs.twimg.com/media/Ge375BfWMAACclX.jpg&quot;]"/>
    <s v="https://x.com/nypost/status/1868426380146245785"/>
    <s v="null"/>
    <n v="25"/>
    <n v="9"/>
    <n v="33"/>
    <n v="30426"/>
    <s v="https://trib.al/qgAo9GB"/>
    <s v="null"/>
    <n v="3313886"/>
    <s v="Breaking news &amp; features from The New York Post. Follow your favorite sections: @pagesix, @nypmetro, @nypostbiz, @nypostsports, @nypfashion, @nypostopinion"/>
    <n v="706459"/>
    <s v="https://pbs.twimg.com/profile_images/966372680306868224/60wfGe9e_normal.jpg"/>
    <n v="10308"/>
    <b v="0"/>
    <n v="8"/>
    <n v="2"/>
    <s v="{&quot;post_id&quot;:null,&quot;profile_id&quot;:null,&quot;profile_name&quot;:null}"/>
    <s v="null"/>
    <s v="null"/>
    <s v="{&quot;data_posted&quot;:null,&quot;description&quot;:null,&quot;photos&quot;:null,&quot;post_id&quot;:null,&quot;profile_id&quot;:null,&quot;profile_name&quot;:null,&quot;url&quot;:null,&quot;videos&quot;:null}"/>
    <n v="77"/>
    <n v="2.5307302964569776E-3"/>
    <d v="2024-12-15T00:00:00"/>
    <n v="0.94603009259259263"/>
    <x v="0"/>
    <x v="11"/>
    <x v="0"/>
    <x v="0"/>
    <x v="0"/>
    <x v="0"/>
    <n v="64"/>
    <x v="0"/>
  </r>
  <r>
    <n v="1.8685133923082158E+18"/>
    <s v="bus███ss"/>
    <s v="Blo███erg███"/>
    <s v="To deter perpetrators, the government wants to impose a fine of 200 francs ($224) for showing Nazi symbols in public."/>
    <s v="&quot;2024-12-16T04:28:02.000Z&quot;"/>
    <s v="null"/>
    <s v="https://x.com/business/status/1868513392308215898"/>
    <s v="null"/>
    <n v="6"/>
    <n v="9"/>
    <n v="27"/>
    <n v="18191"/>
    <s v="https://trib.al/jtFlPTL"/>
    <s v="null"/>
    <n v="9564153"/>
    <s v="The first word in business news. Singapore newsletter: https://t.co/RtyaUOdLdF Newsletters: https://t.co/nWaCxHSKuU Podcasts: https://t.co/096e9xMbPz"/>
    <n v="1125277"/>
    <s v="https://pbs.twimg.com/profile_images/1631723279676317709/-fjgaR2p_normal.jpg"/>
    <n v="93"/>
    <b v="0"/>
    <n v="2"/>
    <n v="2"/>
    <s v="{&quot;post_id&quot;:null,&quot;profile_id&quot;:null,&quot;profile_name&quot;:null}"/>
    <s v="[&quot;https://pbs.twimg.com/card_img/1867910958787502080/-3PUbr5j?format=jpg&amp;name=orig&quot;]"/>
    <s v="null"/>
    <s v="{&quot;data_posted&quot;:null,&quot;description&quot;:null,&quot;photos&quot;:null,&quot;post_id&quot;:null,&quot;profile_id&quot;:null,&quot;profile_name&quot;:null,&quot;url&quot;:null,&quot;videos&quot;:null}"/>
    <n v="46"/>
    <n v="2.5287229948875818E-3"/>
    <d v="2024-12-16T00:00:00"/>
    <n v="0.18613425925925925"/>
    <x v="2"/>
    <x v="9"/>
    <x v="0"/>
    <x v="1"/>
    <x v="0"/>
    <x v="0"/>
    <n v="117"/>
    <x v="0"/>
  </r>
  <r>
    <n v="1.8684656002777134E+18"/>
    <s v="The███nom███"/>
    <s v="The███ono███t"/>
    <s v="Tulsi Gabbard is the Democratic apostate and apologist for Vladimir Putin who may soon run America’s spy agencies. We explain her career to date in our weekend profile"/>
    <s v="&quot;2024-12-16T01:18:08.000Z&quot;"/>
    <s v="null"/>
    <s v="https://x.com/TheEconomist/status/1868465600277713361"/>
    <s v="null"/>
    <n v="43"/>
    <n v="10"/>
    <n v="46"/>
    <n v="46312"/>
    <s v="https://econ.st/49E1Mzl"/>
    <s v="null"/>
    <n v="27122999"/>
    <s v="News and analysis with a global perspective. We’re here to help you understand the world around you. Subscribe here: https://t.co/RpUQAAnhog"/>
    <n v="402761"/>
    <s v="https://pbs.twimg.com/profile_images/1847280770743750656/0DkLNOPG_normal.jpg"/>
    <n v="155"/>
    <b v="0"/>
    <n v="3"/>
    <n v="15"/>
    <s v="{&quot;post_id&quot;:null,&quot;profile_id&quot;:null,&quot;profile_name&quot;:null}"/>
    <s v="[&quot;https://pbs.twimg.com/card_img/1867932331798913024/fB4Xgwqv?format=jpg&amp;name=orig&quot;]"/>
    <s v="null"/>
    <s v="{&quot;data_posted&quot;:null,&quot;description&quot;:null,&quot;photos&quot;:null,&quot;post_id&quot;:null,&quot;profile_id&quot;:null,&quot;profile_name&quot;:null,&quot;url&quot;:null,&quot;videos&quot;:null}"/>
    <n v="117"/>
    <n v="2.5263430644325443E-3"/>
    <d v="2024-12-16T00:00:00"/>
    <n v="5.4259259259259257E-2"/>
    <x v="2"/>
    <x v="19"/>
    <x v="0"/>
    <x v="1"/>
    <x v="0"/>
    <x v="0"/>
    <n v="167"/>
    <x v="1"/>
  </r>
  <r>
    <n v="1.8682590427804344E+18"/>
    <s v="nyp███"/>
    <s v="New███rk ███t"/>
    <s v="At least 11 dead in French territory of Mayotte as Cyclone Chido causes devastating damage"/>
    <s v="&quot;2024-12-15T11:37:21.000Z&quot;"/>
    <s v="[&quot;https://pbs.twimg.com/media/Ge1jstfW0AAkO5p.jpg&quot;]"/>
    <s v="https://x.com/nypost/status/1868259042780434457"/>
    <s v="null"/>
    <n v="18"/>
    <n v="7"/>
    <n v="37"/>
    <n v="26182"/>
    <s v="https://trib.al/mg6bSGr"/>
    <s v="null"/>
    <n v="3313891"/>
    <s v="Breaking news &amp; features from The New York Post. Follow your favorite sections: @pagesix, @nypmetro, @nypostbiz, @nypostsports, @nypfashion, @nypostopinion"/>
    <n v="706459"/>
    <s v="https://pbs.twimg.com/profile_images/966372680306868224/60wfGe9e_normal.jpg"/>
    <n v="10308"/>
    <b v="0"/>
    <n v="3"/>
    <n v="1"/>
    <s v="{&quot;post_id&quot;:null,&quot;profile_id&quot;:null,&quot;profile_name&quot;:null}"/>
    <s v="null"/>
    <s v="null"/>
    <s v="{&quot;data_posted&quot;:null,&quot;description&quot;:null,&quot;photos&quot;:null,&quot;post_id&quot;:null,&quot;profile_id&quot;:null,&quot;profile_name&quot;:null,&quot;url&quot;:null,&quot;videos&quot;:null}"/>
    <n v="66"/>
    <n v="2.5208158276678635E-3"/>
    <d v="2024-12-15T00:00:00"/>
    <n v="0.48427083333333332"/>
    <x v="0"/>
    <x v="16"/>
    <x v="0"/>
    <x v="0"/>
    <x v="0"/>
    <x v="0"/>
    <n v="90"/>
    <x v="0"/>
  </r>
  <r>
    <n v="1.8685196775733414E+18"/>
    <s v="bus███ss"/>
    <s v="Blo███erg███"/>
    <s v="Apple’s new vision for the future of computing is a giant, iPad-like foldable device."/>
    <s v="&quot;2024-12-16T04:53:01.000Z&quot;"/>
    <s v="null"/>
    <s v="https://x.com/business/status/1868519677573341454"/>
    <s v="null"/>
    <n v="5"/>
    <n v="9"/>
    <n v="25"/>
    <n v="17116"/>
    <s v="https://trib.al/sumNM9Z"/>
    <s v="null"/>
    <n v="9564153"/>
    <s v="The first word in business news. Singapore newsletter: https://t.co/RtyaUOdLdF Newsletters: https://t.co/nWaCxHSKuU Podcasts: https://t.co/096e9xMbPz"/>
    <n v="1125277"/>
    <s v="https://pbs.twimg.com/profile_images/1631723279676317709/-fjgaR2p_normal.jpg"/>
    <n v="93"/>
    <b v="0"/>
    <n v="3"/>
    <n v="1"/>
    <s v="{&quot;post_id&quot;:null,&quot;profile_id&quot;:null,&quot;profile_name&quot;:null}"/>
    <s v="[&quot;https://pbs.twimg.com/card_img/1868280040951009280/X5DsN1Pt?format=jpg&amp;name=orig&quot;]"/>
    <s v="null"/>
    <s v="{&quot;data_posted&quot;:null,&quot;description&quot;:null,&quot;photos&quot;:null,&quot;post_id&quot;:null,&quot;profile_id&quot;:null,&quot;profile_name&quot;:null,&quot;url&quot;:null,&quot;videos&quot;:null}"/>
    <n v="43"/>
    <n v="2.51226922178079E-3"/>
    <d v="2024-12-16T00:00:00"/>
    <n v="0.20348379629629629"/>
    <x v="2"/>
    <x v="9"/>
    <x v="0"/>
    <x v="1"/>
    <x v="0"/>
    <x v="0"/>
    <n v="85"/>
    <x v="0"/>
  </r>
  <r>
    <n v="1.8668842904131996E+18"/>
    <s v="kann"/>
    <s v="כאן"/>
    <s v="מהצד השני - של הגבול. איך שידרה הטלוויזיה הסורית את נפילת המשטר?_x000a__x000a_הערב ב-23:00 בכאן 11 ובכאן BOX_x000a_@guyzo"/>
    <s v="&quot;2024-12-11T16:34:34.000Z&quot;"/>
    <s v="null"/>
    <s v="https://x.com/kann/status/1866884290413199581"/>
    <s v="[{&quot;biography&quot;:null,&quot;followers&quot;:null,&quot;following&quot;:null,&quot;is_verified&quot;:null,&quot;profile_id&quot;:&quot;6899022&quot;,&quot;profile_name&quot;:&quot;Guy Zohar&quot;,&quot;url&quot;:&quot;https://x.com/guyzo&quot;}]"/>
    <n v="1"/>
    <n v="1"/>
    <n v="7"/>
    <n v="5973"/>
    <s v=""/>
    <s v="null"/>
    <n v="182895"/>
    <s v="אנחנו כאן ❤️"/>
    <n v="30781"/>
    <s v="https://pbs.twimg.com/profile_images/1843516623740633088/WbeaAr02_normal.jpg"/>
    <n v="559"/>
    <b v="0"/>
    <n v="3"/>
    <n v="3"/>
    <s v="{&quot;post_id&quot;:null,&quot;profile_id&quot;:null,&quot;profile_name&quot;:null}"/>
    <s v="null"/>
    <s v="[{&quot;duration&quot;:235120,&quot;video_url&quot;:&quot;https://video.twimg.com/amplify_video/1866875943765078016/vid/avc1/1280x720/CyET9G2ArOeIIgsO.mp4?tag=14&quot;}]"/>
    <s v="{&quot;data_posted&quot;:null,&quot;description&quot;:null,&quot;photos&quot;:null,&quot;post_id&quot;:null,&quot;profile_id&quot;:null,&quot;profile_name&quot;:null,&quot;url&quot;:null,&quot;videos&quot;:null}"/>
    <n v="15"/>
    <n v="2.5113008538422904E-3"/>
    <d v="2024-12-11T00:00:00"/>
    <n v="0.69067129629629631"/>
    <x v="4"/>
    <x v="15"/>
    <x v="1"/>
    <x v="1"/>
    <x v="0"/>
    <x v="0"/>
    <n v="103"/>
    <x v="2"/>
  </r>
  <r>
    <n v="1.7801549541554342E+18"/>
    <s v="GFW███g"/>
    <s v="墙国蛙███���"/>
    <s v="就在昨天，b站主播户晨风直播间遭直球冲塔爆破：“你觉得习是独裁者吗？”_x000a__x000a_目前，他因“身体不适”，停播三天_x000a__x000a_投稿By:/ \ /"/>
    <s v="&quot;2024-04-16T08:43:09.000Z&quot;"/>
    <s v="[&quot;https://pbs.twimg.com/media/GLRhfz-XAAAiNOx.jpg&quot;]"/>
    <s v="https://x.com/GFWfrog/status/1780154954155434150"/>
    <s v="null"/>
    <n v="667"/>
    <n v="522"/>
    <n v="4506"/>
    <n v="2723358"/>
    <s v=""/>
    <s v="null"/>
    <n v="223937"/>
    <s v="学而时习之，墙国404_x000a__x000a_欢迎私信投稿，视频投稿素材请发邮件: gfwfrog@gmail.com 或Telegram私信机器人@laohu_bot 投稿 万人Telegram群：https://t.co/BbAyHfnObj_x000a__x000a_Telegram频道：https://t.co/Evu48wmwfT_x000a__x000a_#世界上最安全的国家"/>
    <n v="9047"/>
    <s v="https://pbs.twimg.com/profile_images/1866669545345150976/Lrzp5POA_normal.jpg"/>
    <n v="1457"/>
    <b v="0"/>
    <n v="161"/>
    <n v="972"/>
    <s v="{&quot;post_id&quot;:null,&quot;profile_id&quot;:null,&quot;profile_name&quot;:null}"/>
    <s v="null"/>
    <s v="[{&quot;duration&quot;:50457,&quot;video_url&quot;:&quot;https://video.twimg.com/ext_tw_video/1780154911751086080/pu/vid/avc1/720x1280/xnv9H1QVhCSdbssH.mp4?tag=12&quot;}]"/>
    <s v="{&quot;data_posted&quot;:null,&quot;description&quot;:null,&quot;photos&quot;:null,&quot;post_id&quot;:null,&quot;profile_id&quot;:null,&quot;profile_name&quot;:null,&quot;url&quot;:null,&quot;videos&quot;:null}"/>
    <n v="6828"/>
    <n v="2.5071988332051828E-3"/>
    <d v="2024-04-16T00:00:00"/>
    <n v="0.36329861111111111"/>
    <x v="3"/>
    <x v="6"/>
    <x v="1"/>
    <x v="0"/>
    <x v="0"/>
    <x v="0"/>
    <n v="65"/>
    <x v="2"/>
  </r>
  <r>
    <n v="1.8683417028359621E+18"/>
    <s v="nyp███"/>
    <s v="New███rk ███t"/>
    <s v="MTA bus passenger shot as bullet rips through windshield, misses driver"/>
    <s v="&quot;2024-12-15T17:05:48.000Z&quot;"/>
    <s v="[&quot;https://pbs.twimg.com/media/Ge2u4KnWkAARm4G.jpg&quot;]"/>
    <s v="https://x.com/nypost/status/1868341702835962072"/>
    <s v="null"/>
    <n v="12"/>
    <n v="10"/>
    <n v="25"/>
    <n v="20432"/>
    <s v="https://trib.al/gMh239d"/>
    <s v="null"/>
    <n v="3313889"/>
    <s v="Breaking news &amp; features from The New York Post. Follow your favorite sections: @pagesix, @nypmetro, @nypostbiz, @nypostsports, @nypfashion, @nypostopinion"/>
    <n v="706459"/>
    <s v="https://pbs.twimg.com/profile_images/966372680306868224/60wfGe9e_normal.jpg"/>
    <n v="10308"/>
    <b v="0"/>
    <n v="1"/>
    <n v="3"/>
    <s v="{&quot;post_id&quot;:null,&quot;profile_id&quot;:null,&quot;profile_name&quot;:null}"/>
    <s v="null"/>
    <s v="null"/>
    <s v="{&quot;data_posted&quot;:null,&quot;description&quot;:null,&quot;photos&quot;:null,&quot;post_id&quot;:null,&quot;profile_id&quot;:null,&quot;profile_name&quot;:null,&quot;url&quot;:null,&quot;videos&quot;:null}"/>
    <n v="51"/>
    <n v="2.4960845732184809E-3"/>
    <d v="2024-12-15T00:00:00"/>
    <n v="0.71236111111111111"/>
    <x v="0"/>
    <x v="12"/>
    <x v="0"/>
    <x v="0"/>
    <x v="0"/>
    <x v="0"/>
    <n v="71"/>
    <x v="0"/>
  </r>
  <r>
    <n v="1.8681039668163668E+18"/>
    <s v="ESP███asi███"/>
    <s v="ESP███ras███"/>
    <s v="Neymar no Santos? Cafu torce por retorno ao futebol brasileiro, mas 'escolhe' outro time para o craque: 'Podia, né?'_x000a_#FutebolNaESPN"/>
    <s v="&quot;2024-12-15T01:21:08.000Z&quot;"/>
    <s v="null"/>
    <s v="https://x.com/ESPNBrasil/status/1868103966816366975"/>
    <s v="null"/>
    <n v="1"/>
    <n v="2"/>
    <n v="23"/>
    <n v="11353"/>
    <s v="https://buff.ly/49KUgTq"/>
    <s v="[&quot;FutebolNaESPN&quot;]"/>
    <n v="3768943"/>
    <s v="ESPN: o melhor do esporte você assiste aqui!"/>
    <n v="897934"/>
    <s v="https://pbs.twimg.com/profile_images/1224436194152345608/dCEm_D7K_normal.jpg"/>
    <n v="28"/>
    <b v="0"/>
    <n v="0"/>
    <n v="2"/>
    <s v="{&quot;post_id&quot;:null,&quot;profile_id&quot;:null,&quot;profile_name&quot;:null}"/>
    <s v="[&quot;https://pbs.twimg.com/card_img/1868103967844036608/MnmKbuqS?format=jpg&amp;name=orig&quot;]"/>
    <s v="null"/>
    <s v="{&quot;data_posted&quot;:null,&quot;description&quot;:null,&quot;photos&quot;:null,&quot;post_id&quot;:null,&quot;profile_id&quot;:null,&quot;profile_name&quot;:null,&quot;url&quot;:null,&quot;videos&quot;:null}"/>
    <n v="28"/>
    <n v="2.4663084647229805E-3"/>
    <d v="2024-12-15T00:00:00"/>
    <n v="5.634259259259259E-2"/>
    <x v="0"/>
    <x v="19"/>
    <x v="0"/>
    <x v="1"/>
    <x v="1"/>
    <x v="0"/>
    <n v="131"/>
    <x v="0"/>
  </r>
  <r>
    <n v="1.8684459393603218E+18"/>
    <s v="TNT███rts███"/>
    <s v="TNT███ort███R"/>
    <s v="VALE TUDO PELO PRIMEIRO LUGAR DO GRUPO! ⚔️🏆 Real Madrid e Chelsea vão duelar pela liderança da chave! É JOGÃO nesta terça-feira, AO VIVO na @streammaxbr ("/>
    <s v="&quot;2024-12-16T00:00:00.000Z&quot;"/>
    <s v="[&quot;https://pbs.twimg.com/media/Ge36FKJW0AAM3HV.jpg&quot;]"/>
    <s v="https://x.com/TNTSportsBR/status/1868445939360321723"/>
    <s v="[{&quot;biography&quot;:null,&quot;followers&quot;:null,&quot;following&quot;:null,&quot;is_verified&quot;:null,&quot;profile_id&quot;:&quot;1267893920970801152&quot;,&quot;profile_name&quot;:&quot;Max Brasil&quot;,&quot;url&quot;:&quot;https://x.com/StreamMaxBR&quot;}]"/>
    <n v="2"/>
    <n v="1"/>
    <n v="33"/>
    <n v="14818"/>
    <s v="https://bit.ly/3OZv0Q6"/>
    <s v="[&quot;CasaDaChampionsFeminina&quot;]"/>
    <n v="8293187"/>
    <s v="⚽️ É muito mais Champions na Max, com TODOS os jogos ao vivo!_x000a_👇🏻Assine e assista clicando no link👇🏻"/>
    <n v="456734"/>
    <s v="https://pbs.twimg.com/profile_images/1807013047975768065/8sm_IGpw_normal.jpg"/>
    <n v="859"/>
    <b v="0"/>
    <n v="0"/>
    <n v="0"/>
    <s v="{&quot;post_id&quot;:null,&quot;profile_id&quot;:null,&quot;profile_name&quot;:null}"/>
    <s v="null"/>
    <s v="null"/>
    <s v="{&quot;data_posted&quot;:null,&quot;description&quot;:null,&quot;photos&quot;:null,&quot;post_id&quot;:null,&quot;profile_id&quot;:null,&quot;profile_name&quot;:null,&quot;url&quot;:null,&quot;videos&quot;:null}"/>
    <n v="36"/>
    <n v="2.4294776623026049E-3"/>
    <d v="2024-12-16T00:00:00"/>
    <n v="0"/>
    <x v="2"/>
    <x v="5"/>
    <x v="0"/>
    <x v="0"/>
    <x v="1"/>
    <x v="0"/>
    <n v="154"/>
    <x v="0"/>
  </r>
  <r>
    <n v="1.8684591579189742E+18"/>
    <s v="ESP███asi███"/>
    <s v="ESP███ras███"/>
    <s v="Faltam só 2 vagas! Veja todos os times garantidos na Libertadores 2025 _x000a__x000a_#LibertadoresNaESPN #FutebolNaESPN"/>
    <s v="&quot;2024-12-16T00:52:32.000Z&quot;"/>
    <s v="null"/>
    <s v="https://x.com/ESPNBrasil/status/1868459157918974320"/>
    <s v="null"/>
    <n v="0"/>
    <n v="2"/>
    <n v="21"/>
    <n v="10813"/>
    <s v="https://buff.ly/4fklXnb"/>
    <s v="[&quot;LibertadoresNaESPN&quot;,&quot;FutebolNaESPN&quot;]"/>
    <n v="3768942"/>
    <s v="ESPN: o melhor do esporte você assiste aqui!"/>
    <n v="897934"/>
    <s v="https://pbs.twimg.com/profile_images/1224436194152345608/dCEm_D7K_normal.jpg"/>
    <n v="28"/>
    <b v="0"/>
    <n v="1"/>
    <n v="2"/>
    <s v="{&quot;post_id&quot;:null,&quot;profile_id&quot;:null,&quot;profile_name&quot;:null}"/>
    <s v="[&quot;https://pbs.twimg.com/card_img/1866478570463281152/5XqxmgVg?format=jpg&amp;name=orig&quot;]"/>
    <s v="null"/>
    <s v="{&quot;data_posted&quot;:null,&quot;description&quot;:null,&quot;photos&quot;:null,&quot;post_id&quot;:null,&quot;profile_id&quot;:null,&quot;profile_name&quot;:null,&quot;url&quot;:null,&quot;videos&quot;:null}"/>
    <n v="26"/>
    <n v="2.4045130861000646E-3"/>
    <d v="2024-12-16T00:00:00"/>
    <n v="3.6481481481481483E-2"/>
    <x v="2"/>
    <x v="5"/>
    <x v="0"/>
    <x v="1"/>
    <x v="1"/>
    <x v="0"/>
    <n v="107"/>
    <x v="0"/>
  </r>
  <r>
    <n v="1.868372811078636E+18"/>
    <s v="bus███ss"/>
    <s v="Blo███erg███"/>
    <s v="President-elect Donald Trump has expressed interest in privatizing the US Postal Service, the Washington Post reported."/>
    <s v="&quot;2024-12-15T19:09:25.000Z&quot;"/>
    <s v="null"/>
    <s v="https://x.com/business/status/1868372811078635995"/>
    <s v="null"/>
    <n v="12"/>
    <n v="22"/>
    <n v="50"/>
    <n v="39590"/>
    <s v="https://trib.al/GTsQqcq"/>
    <s v="null"/>
    <n v="9564156"/>
    <s v="The first word in business news. Singapore newsletter: https://t.co/RtyaUOdLdF Newsletters: https://t.co/nWaCxHSKuU Podcasts: https://t.co/096e9xMbPz"/>
    <n v="1125277"/>
    <s v="https://pbs.twimg.com/profile_images/1631723279676317709/-fjgaR2p_normal.jpg"/>
    <n v="93"/>
    <b v="0"/>
    <n v="7"/>
    <n v="4"/>
    <s v="{&quot;post_id&quot;:null,&quot;profile_id&quot;:null,&quot;profile_name&quot;:null}"/>
    <s v="[&quot;https://pbs.twimg.com/card_img/1867913365898571776/LR3q68BM?format=jpg&amp;name=orig&quot;]"/>
    <s v="null"/>
    <s v="{&quot;data_posted&quot;:null,&quot;description&quot;:null,&quot;photos&quot;:null,&quot;post_id&quot;:null,&quot;profile_id&quot;:null,&quot;profile_name&quot;:null,&quot;url&quot;:null,&quot;videos&quot;:null}"/>
    <n v="95"/>
    <n v="2.3995958575397827E-3"/>
    <d v="2024-12-15T00:00:00"/>
    <n v="0.79820601851851847"/>
    <x v="0"/>
    <x v="4"/>
    <x v="0"/>
    <x v="1"/>
    <x v="0"/>
    <x v="0"/>
    <n v="119"/>
    <x v="0"/>
  </r>
  <r>
    <n v="1.8684515347088837E+18"/>
    <s v="TNT███rts███"/>
    <s v="TNT███ort███R"/>
    <s v="VENCE O PSG NO CLÁSSICO! 💪🇫🇷 Nossa @claalbuquerque traz os detalhes de mais um triunfo do time da capital, dessa vez contra o Lyon, pela #Ligue1 e destaca a atuação de uma jovem promessa da equipe comandada por Luis Enrique!"/>
    <s v="&quot;2024-12-16T00:22:14.000Z&quot;"/>
    <s v="null"/>
    <s v="https://x.com/TNTSportsBR/status/1868451534708883739"/>
    <s v="[{&quot;biography&quot;:null,&quot;followers&quot;:null,&quot;following&quot;:null,&quot;is_verified&quot;:null,&quot;profile_id&quot;:&quot;29627623&quot;,&quot;profile_name&quot;:&quot;Clara Albuquerque&quot;,&quot;url&quot;:&quot;https://x.com/claalbuquerque&quot;}]"/>
    <n v="2"/>
    <n v="1"/>
    <n v="33"/>
    <n v="15497"/>
    <s v=""/>
    <s v="[&quot;Ligue1&quot;]"/>
    <n v="8293189"/>
    <s v="⚽️ É muito mais Champions na Max, com TODOS os jogos ao vivo!_x000a_👇🏻Assine e assista clicando no link👇🏻"/>
    <n v="456734"/>
    <s v="https://pbs.twimg.com/profile_images/1807013047975768065/8sm_IGpw_normal.jpg"/>
    <n v="859"/>
    <b v="0"/>
    <n v="0"/>
    <n v="1"/>
    <s v="{&quot;post_id&quot;:null,&quot;profile_id&quot;:null,&quot;profile_name&quot;:null}"/>
    <s v="null"/>
    <s v="[{&quot;duration&quot;:94861,&quot;video_url&quot;:&quot;https://video.twimg.com/ext_tw_video/1868451336020205569/pu/vid/avc1/720x1280/tW3zs5KZmhVY4hfX.mp4?tag=12&quot;}]"/>
    <s v="{&quot;data_posted&quot;:null,&quot;description&quot;:null,&quot;photos&quot;:null,&quot;post_id&quot;:null,&quot;profile_id&quot;:null,&quot;profile_name&quot;:null,&quot;url&quot;:null,&quot;videos&quot;:null}"/>
    <n v="37"/>
    <n v="2.3875588823643284E-3"/>
    <d v="2024-12-16T00:00:00"/>
    <n v="1.5439814814814814E-2"/>
    <x v="2"/>
    <x v="5"/>
    <x v="1"/>
    <x v="1"/>
    <x v="1"/>
    <x v="0"/>
    <n v="224"/>
    <x v="0"/>
  </r>
  <r>
    <n v="1.8682171948127235E+18"/>
    <s v="bus███ss"/>
    <s v="Blo███erg███"/>
    <s v="President-elect Trump has been handed a playbook for downsizing the National Oceanic and Atmospheric Administration at a time when China is investing heavily in climate research, and could see an opening to being the next global weather superpower."/>
    <s v="&quot;2024-12-15T08:51:03.000Z&quot;"/>
    <s v="null"/>
    <s v="https://x.com/business/status/1868217194812723435"/>
    <s v="null"/>
    <n v="13"/>
    <n v="10"/>
    <n v="34"/>
    <n v="25174"/>
    <s v="https://trib.al/uzuoh4c"/>
    <s v="null"/>
    <n v="9564155"/>
    <s v="The first word in business news. Singapore newsletter: https://t.co/RtyaUOdLdF Newsletters: https://t.co/nWaCxHSKuU Podcasts: https://t.co/096e9xMbPz"/>
    <n v="1125277"/>
    <s v="https://pbs.twimg.com/profile_images/1631723279676317709/-fjgaR2p_normal.jpg"/>
    <n v="93"/>
    <b v="0"/>
    <n v="1"/>
    <n v="2"/>
    <s v="{&quot;post_id&quot;:null,&quot;profile_id&quot;:null,&quot;profile_name&quot;:null}"/>
    <s v="[&quot;https://pbs.twimg.com/card_img/1866709859590148096/-Qjf_0NR?format=jpg&amp;name=orig&quot;]"/>
    <s v="null"/>
    <s v="{&quot;data_posted&quot;:null,&quot;description&quot;:null,&quot;photos&quot;:null,&quot;post_id&quot;:null,&quot;profile_id&quot;:null,&quot;profile_name&quot;:null,&quot;url&quot;:null,&quot;videos&quot;:null}"/>
    <n v="60"/>
    <n v="2.3834114562643997E-3"/>
    <d v="2024-12-15T00:00:00"/>
    <n v="0.36878472222222225"/>
    <x v="0"/>
    <x v="6"/>
    <x v="0"/>
    <x v="1"/>
    <x v="0"/>
    <x v="0"/>
    <n v="248"/>
    <x v="0"/>
  </r>
  <r>
    <n v="1.8683783414068308E+18"/>
    <s v="nyp███"/>
    <s v="New███rk ███t"/>
    <s v="What is brain rot? The science behind what obsessive scrolling does to our brains"/>
    <s v="&quot;2024-12-15T19:31:24.000Z&quot;"/>
    <s v="[&quot;https://pbs.twimg.com/media/Ge3QM0bWsAEFBvO.jpg&quot;]"/>
    <s v="https://x.com/nypost/status/1868378341406830873"/>
    <s v="null"/>
    <n v="16"/>
    <n v="10"/>
    <n v="57"/>
    <n v="44941"/>
    <s v="https://trib.al/OI6oihP"/>
    <s v="null"/>
    <n v="3313887"/>
    <s v="Breaking news &amp; features from The New York Post. Follow your favorite sections: @pagesix, @nypmetro, @nypostbiz, @nypostsports, @nypfashion, @nypostopinion"/>
    <n v="706459"/>
    <s v="https://pbs.twimg.com/profile_images/966372680306868224/60wfGe9e_normal.jpg"/>
    <n v="10308"/>
    <b v="0"/>
    <n v="5"/>
    <n v="19"/>
    <s v="{&quot;post_id&quot;:null,&quot;profile_id&quot;:null,&quot;profile_name&quot;:null}"/>
    <s v="null"/>
    <s v="null"/>
    <s v="{&quot;data_posted&quot;:null,&quot;description&quot;:null,&quot;photos&quot;:null,&quot;post_id&quot;:null,&quot;profile_id&quot;:null,&quot;profile_name&quot;:null,&quot;url&quot;:null,&quot;videos&quot;:null}"/>
    <n v="107"/>
    <n v="2.3808994014374403E-3"/>
    <d v="2024-12-15T00:00:00"/>
    <n v="0.81347222222222226"/>
    <x v="0"/>
    <x v="4"/>
    <x v="0"/>
    <x v="0"/>
    <x v="0"/>
    <x v="0"/>
    <n v="81"/>
    <x v="0"/>
  </r>
  <r>
    <n v="1.8684535329295524E+18"/>
    <s v="bil███ard███"/>
    <s v="bil███ard███"/>
    <s v="Blink-182’s Tom DeLonge Shares His Theory on New Jersey Drone Sightings"/>
    <s v="&quot;2024-12-16T00:30:11.000Z&quot;"/>
    <s v="null"/>
    <s v="https://x.com/billboard/status/1868453532929552384"/>
    <s v="null"/>
    <n v="4"/>
    <n v="5"/>
    <n v="19"/>
    <n v="12635"/>
    <s v="https://www.billboard.com/music/music-news/blink-182-tom-delonge-new-jersey-drone-sightings-reaction-1235857206/?utm_campaign=trueanthem&amp;utm_medium=social&amp;utm_source=twitter"/>
    <s v="null"/>
    <n v="14258370"/>
    <s v="@billboardcharts • @billboardhiphop • @billboardlatin • @billboardfamily • @billboardpro • @shopbillboard • @billboarddance • @billboardpride"/>
    <n v="357584"/>
    <s v="https://pbs.twimg.com/profile_images/1696577202496966657/FhNkxqHF_normal.jpg"/>
    <n v="3784"/>
    <b v="0"/>
    <n v="1"/>
    <n v="1"/>
    <s v="{&quot;post_id&quot;:null,&quot;profile_id&quot;:null,&quot;profile_name&quot;:null}"/>
    <s v="[&quot;https://pbs.twimg.com/card_img/1867120836962029568/-16tEbpB?format=jpg&amp;name=orig&quot;]"/>
    <s v="null"/>
    <s v="{&quot;data_posted&quot;:null,&quot;description&quot;:null,&quot;photos&quot;:null,&quot;post_id&quot;:null,&quot;profile_id&quot;:null,&quot;profile_name&quot;:null,&quot;url&quot;:null,&quot;videos&quot;:null}"/>
    <n v="30"/>
    <n v="2.3743569449940641E-3"/>
    <d v="2024-12-16T00:00:00"/>
    <n v="2.0960648148148148E-2"/>
    <x v="2"/>
    <x v="5"/>
    <x v="0"/>
    <x v="1"/>
    <x v="0"/>
    <x v="0"/>
    <n v="71"/>
    <x v="1"/>
  </r>
  <r>
    <n v="1.8683553426329684E+18"/>
    <s v="The███key███b"/>
    <s v="The███cke███lub███"/>
    <s v="Who would win in a race: Sonic the Hedgehog or a racehorse? 🏇💨 🦔💨_x000a__x000a_Celebrating the new @SonicMovie in cinemas 21st December"/>
    <s v="&quot;2024-12-15T18:00:00.000Z&quot;"/>
    <s v="null"/>
    <s v="https://x.com/TheJockeyClub/status/1868355342632968574"/>
    <s v="[{&quot;biography&quot;:null,&quot;followers&quot;:null,&quot;following&quot;:null,&quot;is_verified&quot;:null,&quot;profile_id&quot;:&quot;1011719605981593600&quot;,&quot;profile_name&quot;:&quot;Sonic the Hedgehog&quot;,&quot;url&quot;:&quot;https://x.com/SonicMovie&quot;}]"/>
    <n v="7"/>
    <n v="1"/>
    <n v="13"/>
    <n v="9936"/>
    <s v=""/>
    <s v="null"/>
    <n v="61058"/>
    <s v="Home to 15 of the best racecourses in 🇬🇧 and The Randox Grand National, @CheltenhamRaces Festival &amp; The Betfred Derby"/>
    <n v="31760"/>
    <s v="https://pbs.twimg.com/profile_images/1633081968865705984/gbsGT0N3_normal.jpg"/>
    <n v="901"/>
    <b v="0"/>
    <n v="1"/>
    <n v="1"/>
    <s v="{&quot;post_id&quot;:null,&quot;profile_id&quot;:null,&quot;profile_name&quot;:null}"/>
    <s v="null"/>
    <s v="[{&quot;duration&quot;:63320,&quot;video_url&quot;:&quot;https://video.twimg.com/amplify_video/1867877833671929856/vid/avc1/1920x1080/6JzdMGjPtsWRrUxV.mp4?tag=16&quot;}]"/>
    <s v="{&quot;data_posted&quot;:null,&quot;description&quot;:null,&quot;photos&quot;:null,&quot;post_id&quot;:null,&quot;profile_id&quot;:null,&quot;profile_name&quot;:null,&quot;url&quot;:null,&quot;videos&quot;:null}"/>
    <n v="23"/>
    <n v="2.3148148148148147E-3"/>
    <d v="2024-12-15T00:00:00"/>
    <n v="0.75"/>
    <x v="0"/>
    <x v="8"/>
    <x v="1"/>
    <x v="1"/>
    <x v="0"/>
    <x v="0"/>
    <n v="123"/>
    <x v="3"/>
  </r>
  <r>
    <n v="1.8684084043031186E+18"/>
    <s v="nyp███"/>
    <s v="New███rk ███t"/>
    <s v="Aaron Rodgers, Davante Adams turn back the clock as Jets get rare win over Jaguars"/>
    <s v="&quot;2024-12-15T21:30:51.000Z&quot;"/>
    <s v="[&quot;https://pbs.twimg.com/media/Ge3rityXgAAvMWL.jpg&quot;]"/>
    <s v="https://x.com/nypost/status/1868408404303118558"/>
    <s v="null"/>
    <n v="14"/>
    <n v="2"/>
    <n v="36"/>
    <n v="23926"/>
    <s v="https://trib.al/4Zeog0g"/>
    <s v="null"/>
    <n v="3313886"/>
    <s v="Breaking news &amp; features from The New York Post. Follow your favorite sections: @pagesix, @nypmetro, @nypostbiz, @nypostsports, @nypfashion, @nypostopinion"/>
    <n v="706459"/>
    <s v="https://pbs.twimg.com/profile_images/966372680306868224/60wfGe9e_normal.jpg"/>
    <n v="10308"/>
    <b v="0"/>
    <n v="1"/>
    <n v="2"/>
    <s v="{&quot;post_id&quot;:null,&quot;profile_id&quot;:null,&quot;profile_name&quot;:null}"/>
    <s v="null"/>
    <s v="null"/>
    <s v="{&quot;data_posted&quot;:null,&quot;description&quot;:null,&quot;photos&quot;:null,&quot;post_id&quot;:null,&quot;profile_id&quot;:null,&quot;profile_name&quot;:null,&quot;url&quot;:null,&quot;videos&quot;:null}"/>
    <n v="55"/>
    <n v="2.2987544930201456E-3"/>
    <d v="2024-12-15T00:00:00"/>
    <n v="0.89642361111111113"/>
    <x v="0"/>
    <x v="10"/>
    <x v="0"/>
    <x v="0"/>
    <x v="0"/>
    <x v="0"/>
    <n v="82"/>
    <x v="0"/>
  </r>
  <r>
    <n v="1.868401115315999E+18"/>
    <s v="PGA███R"/>
    <s v="PGA███UR"/>
    <s v="Six players officially #TOURBound! ✅_x000a__x000a_Meet the newest PGA TOUR members for the 2025 season who qualify via PGA TOUR Q-School presented by Korn Ferry!"/>
    <s v="&quot;2024-12-15T21:01:53.000Z&quot;"/>
    <s v="[&quot;https://pbs.twimg.com/media/Ge3jkw6WUAEJ7j5.jpg&quot;]"/>
    <s v="https://x.com/PGATOUR/status/1868401115315999101"/>
    <s v="null"/>
    <n v="17"/>
    <n v="62"/>
    <n v="441"/>
    <n v="240593"/>
    <s v=""/>
    <s v="[&quot;TOURBound&quot;]"/>
    <n v="2999631"/>
    <s v="🏌️‍♂️ @KornFerryTour | 🏌️ @ChampionsTour | 📝 @PGATOURComms | 🖥 @PGATOURLIVE | 🎓 @PGATOURU | 🌎 @PGATOURAmericas | 🇪🇸 @PGATOUREsp"/>
    <n v="183050"/>
    <s v="https://pbs.twimg.com/profile_images/1749466889376473090/4nPDWTqB_normal.jpg"/>
    <n v="920"/>
    <b v="0"/>
    <n v="23"/>
    <n v="7"/>
    <s v="{&quot;post_id&quot;:null,&quot;profile_id&quot;:null,&quot;profile_name&quot;:null}"/>
    <s v="null"/>
    <s v="null"/>
    <s v="{&quot;data_posted&quot;:null,&quot;description&quot;:null,&quot;photos&quot;:null,&quot;post_id&quot;:null,&quot;profile_id&quot;:null,&quot;profile_name&quot;:null,&quot;url&quot;:null,&quot;videos&quot;:null}"/>
    <n v="550"/>
    <n v="2.2860182964591653E-3"/>
    <d v="2024-12-15T00:00:00"/>
    <n v="0.87630787037037039"/>
    <x v="0"/>
    <x v="10"/>
    <x v="0"/>
    <x v="0"/>
    <x v="1"/>
    <x v="0"/>
    <n v="149"/>
    <x v="0"/>
  </r>
  <r>
    <n v="1.8682756512637747E+18"/>
    <s v="kann"/>
    <s v="כאן"/>
    <s v="&quot;אני כל היום חושב עליכם. אתם כל היום בראש שלי ובלב שלי, כל הזמן&quot;_x000a__x000a_הערב ב-#יהיה_טוב עם עמרי אסנהיים ורוני קובן, קטעים מהקלטות בלעדיות של אלי פלדשטיין בשיחה עם הוריו, יהושע ובינה. אחרי החדשות בכאן 11 ובכאן BOX_x000a_@AssenOmri @ronikuban"/>
    <s v="&quot;2024-12-15T12:43:20.000Z&quot;"/>
    <s v="null"/>
    <s v="https://x.com/kann/status/1868275651263774834"/>
    <s v="[{&quot;biography&quot;:null,&quot;followers&quot;:null,&quot;following&quot;:null,&quot;is_verified&quot;:null,&quot;profile_id&quot;:&quot;3016460737&quot;,&quot;profile_name&quot;:&quot;עמרי אסנהיים&quot;,&quot;url&quot;:&quot;https://x.com/AssenOmri&quot;},{&quot;biography&quot;:null,&quot;followers&quot;:null,&quot;following&quot;:null,&quot;is_verified&quot;:null,&quot;profile_id&quot;:&quot;310423509&quot;,&quot;profile_name&quot;:&quot;roni kuban רוני קובן&quot;,&quot;url&quot;:&quot;https://x.com/ronikuban&quot;}]"/>
    <n v="13"/>
    <n v="3"/>
    <n v="11"/>
    <n v="13200"/>
    <s v=""/>
    <s v="[&quot;יהיה_טוב&quot;]"/>
    <n v="182895"/>
    <s v="אנחנו כאן ❤️"/>
    <n v="30781"/>
    <s v="https://pbs.twimg.com/profile_images/1843516623740633088/WbeaAr02_normal.jpg"/>
    <n v="559"/>
    <b v="0"/>
    <n v="2"/>
    <n v="1"/>
    <s v="{&quot;post_id&quot;:null,&quot;profile_id&quot;:null,&quot;profile_name&quot;:null}"/>
    <s v="null"/>
    <s v="[{&quot;duration&quot;:42600,&quot;video_url&quot;:&quot;https://video.twimg.com/amplify_video/1868244285339881472/vid/avc1/1280x720/kvA0RV1rZvUfdpnd.mp4?tag=14&quot;}]"/>
    <s v="{&quot;data_posted&quot;:null,&quot;description&quot;:null,&quot;photos&quot;:null,&quot;post_id&quot;:null,&quot;profile_id&quot;:null,&quot;profile_name&quot;:null,&quot;url&quot;:null,&quot;videos&quot;:null}"/>
    <n v="30"/>
    <n v="2.2727272727272726E-3"/>
    <d v="2024-12-15T00:00:00"/>
    <n v="0.53009259259259256"/>
    <x v="0"/>
    <x v="0"/>
    <x v="1"/>
    <x v="1"/>
    <x v="1"/>
    <x v="0"/>
    <n v="229"/>
    <x v="2"/>
  </r>
  <r>
    <n v="1.8684897643005256E+18"/>
    <s v="bus███ss"/>
    <s v="Blo███erg███"/>
    <s v="China’s retail sales growth unexpectedly slowed, highlighting the urgency for Beijing to get people to spend"/>
    <s v="&quot;2024-12-16T02:54:09.000Z&quot;"/>
    <s v="null"/>
    <s v="https://x.com/business/status/1868489764300525600"/>
    <s v="null"/>
    <n v="3"/>
    <n v="15"/>
    <n v="47"/>
    <n v="29896"/>
    <s v="https://trib.al/3r3pkQZ"/>
    <s v="null"/>
    <n v="9564156"/>
    <s v="The first word in business news. Singapore newsletter: https://t.co/RtyaUOdLdF Newsletters: https://t.co/nWaCxHSKuU Podcasts: https://t.co/096e9xMbPz"/>
    <n v="1125277"/>
    <s v="https://pbs.twimg.com/profile_images/1631723279676317709/-fjgaR2p_normal.jpg"/>
    <n v="93"/>
    <b v="0"/>
    <n v="1"/>
    <n v="1"/>
    <s v="{&quot;post_id&quot;:null,&quot;profile_id&quot;:null,&quot;profile_name&quot;:null}"/>
    <s v="[&quot;https://pbs.twimg.com/card_img/1868476950047510528/D-bECC0j?format=jpg&amp;name=orig&quot;]"/>
    <s v="null"/>
    <s v="{&quot;data_posted&quot;:null,&quot;description&quot;:null,&quot;photos&quot;:null,&quot;post_id&quot;:null,&quot;profile_id&quot;:null,&quot;profile_name&quot;:null,&quot;url&quot;:null,&quot;videos&quot;:null}"/>
    <n v="67"/>
    <n v="2.2411024886272411E-3"/>
    <d v="2024-12-16T00:00:00"/>
    <n v="0.1209375"/>
    <x v="2"/>
    <x v="2"/>
    <x v="0"/>
    <x v="1"/>
    <x v="0"/>
    <x v="0"/>
    <n v="108"/>
    <x v="0"/>
  </r>
  <r>
    <n v="1.8681590945671212E+18"/>
    <s v="bil███ard███"/>
    <s v="bil███ard███"/>
    <s v="Brian Austin Green Tells MGK to ‘Grow Up’ After Musician’s Split From Megan Fox: ‘She’s Pregnant’"/>
    <s v="&quot;2024-12-15T05:00:11.000Z&quot;"/>
    <s v="null"/>
    <s v="https://x.com/billboard/status/1868159094567121215"/>
    <s v="null"/>
    <n v="7"/>
    <n v="3"/>
    <n v="43"/>
    <n v="25007"/>
    <s v="https://www.billboard.com/music/music-news/brian-austin-green-reacts-megan-fox-machine-gun-kelly-split-1235856363/?utm_campaign=trueanthem&amp;utm_medium=social&amp;utm_source=twitter"/>
    <s v="null"/>
    <n v="14257909"/>
    <s v="@billboardcharts • @billboardhiphop • @billboardlatin • @billboardfamily • @billboardpro • @shopbillboard • @billboarddance • @billboardpride"/>
    <n v="357584"/>
    <s v="https://pbs.twimg.com/profile_images/1696577202496966657/FhNkxqHF_normal.jpg"/>
    <n v="3784"/>
    <b v="0"/>
    <n v="1"/>
    <n v="2"/>
    <s v="{&quot;post_id&quot;:null,&quot;profile_id&quot;:null,&quot;profile_name&quot;:null}"/>
    <s v="[&quot;https://pbs.twimg.com/card_img/1867636129563860992/-o2NDovA?format=jpg&amp;name=orig&quot;]"/>
    <s v="null"/>
    <s v="{&quot;data_posted&quot;:null,&quot;description&quot;:null,&quot;photos&quot;:null,&quot;post_id&quot;:null,&quot;profile_id&quot;:null,&quot;profile_name&quot;:null,&quot;url&quot;:null,&quot;videos&quot;:null}"/>
    <n v="56"/>
    <n v="2.2393729755668412E-3"/>
    <d v="2024-12-15T00:00:00"/>
    <n v="0.20846064814814816"/>
    <x v="0"/>
    <x v="22"/>
    <x v="0"/>
    <x v="1"/>
    <x v="0"/>
    <x v="0"/>
    <n v="97"/>
    <x v="1"/>
  </r>
  <r>
    <n v="1.8681588279225964E+18"/>
    <s v="bus███ss"/>
    <s v="Blo███erg███"/>
    <s v="Drone sightings now are occurring well beyond New Jersey lines."/>
    <s v="&quot;2024-12-15T04:59:07.000Z&quot;"/>
    <s v="null"/>
    <s v="https://x.com/business/status/1868158827922596228"/>
    <s v="null"/>
    <n v="15"/>
    <n v="20"/>
    <n v="46"/>
    <n v="40896"/>
    <s v="https://trib.al/8cYbaFc"/>
    <s v="null"/>
    <n v="9564155"/>
    <s v="The first word in business news. Singapore newsletter: https://t.co/RtyaUOdLdF Newsletters: https://t.co/nWaCxHSKuU Podcasts: https://t.co/096e9xMbPz"/>
    <n v="1125277"/>
    <s v="https://pbs.twimg.com/profile_images/1631723279676317709/-fjgaR2p_normal.jpg"/>
    <n v="93"/>
    <b v="0"/>
    <n v="5"/>
    <n v="5"/>
    <s v="{&quot;post_id&quot;:null,&quot;profile_id&quot;:null,&quot;profile_name&quot;:null}"/>
    <s v="[&quot;https://pbs.twimg.com/card_img/1867978182445486080/pOwZPWis?format=jpg&amp;name=orig&quot;]"/>
    <s v="null"/>
    <s v="{&quot;data_posted&quot;:null,&quot;description&quot;:null,&quot;photos&quot;:null,&quot;post_id&quot;:null,&quot;profile_id&quot;:null,&quot;profile_name&quot;:null,&quot;url&quot;:null,&quot;videos&quot;:null}"/>
    <n v="91"/>
    <n v="2.2251564945226917E-3"/>
    <d v="2024-12-15T00:00:00"/>
    <n v="0.20771990740740739"/>
    <x v="0"/>
    <x v="9"/>
    <x v="0"/>
    <x v="1"/>
    <x v="0"/>
    <x v="0"/>
    <n v="63"/>
    <x v="0"/>
  </r>
  <r>
    <n v="1.8682035293928453E+18"/>
    <s v="The███nom███"/>
    <s v="The███ono███t"/>
    <s v="Saturn has always had something of a double character. As the planet’s rings vanish during 2025, so too does the constancy Galileo thought he observed in the most striking member of the Sun’s orbiting family"/>
    <s v="&quot;2024-12-15T07:56:45.000Z&quot;"/>
    <s v="null"/>
    <s v="https://x.com/TheEconomist/status/1868203529392845272"/>
    <s v="null"/>
    <n v="16"/>
    <n v="17"/>
    <n v="57"/>
    <n v="44637"/>
    <s v="https://econ.st/3OLeB11"/>
    <s v="null"/>
    <n v="27123001"/>
    <s v="News and analysis with a global perspective. We’re here to help you understand the world around you. Subscribe here: https://t.co/RpUQAAnhog"/>
    <n v="402760"/>
    <s v="https://pbs.twimg.com/profile_images/1847280770743750656/0DkLNOPG_normal.jpg"/>
    <n v="155"/>
    <b v="0"/>
    <n v="2"/>
    <n v="7"/>
    <s v="{&quot;post_id&quot;:null,&quot;profile_id&quot;:null,&quot;profile_name&quot;:null}"/>
    <s v="[&quot;https://pbs.twimg.com/card_img/1868474882675367936/f2lAiXXR?format=jpg&amp;name=orig&quot;]"/>
    <s v="null"/>
    <s v="{&quot;data_posted&quot;:null,&quot;description&quot;:null,&quot;photos&quot;:null,&quot;post_id&quot;:null,&quot;profile_id&quot;:null,&quot;profile_name&quot;:null,&quot;url&quot;:null,&quot;videos&quot;:null}"/>
    <n v="99"/>
    <n v="2.2178909872975334E-3"/>
    <d v="2024-12-15T00:00:00"/>
    <n v="0.33107638888888891"/>
    <x v="0"/>
    <x v="20"/>
    <x v="0"/>
    <x v="1"/>
    <x v="0"/>
    <x v="0"/>
    <n v="207"/>
    <x v="1"/>
  </r>
  <r>
    <n v="1.8683216818250424E+18"/>
    <s v="nyp███"/>
    <s v="New███rk ███t"/>
    <s v="Miserable Browns running it back with $230 million bust Deshaun Watson in 2025"/>
    <s v="&quot;2024-12-15T15:46:15.000Z&quot;"/>
    <s v="[&quot;https://pbs.twimg.com/media/Ge2cqykXIAA1Gre.jpg&quot;]"/>
    <s v="https://x.com/nypost/status/1868321681825042559"/>
    <s v="null"/>
    <n v="23"/>
    <n v="5"/>
    <n v="40"/>
    <n v="33420"/>
    <s v="https://trib.al/WPsLV64"/>
    <s v="null"/>
    <n v="3313888"/>
    <s v="Breaking news &amp; features from The New York Post. Follow your favorite sections: @pagesix, @nypmetro, @nypostbiz, @nypostsports, @nypfashion, @nypostopinion"/>
    <n v="706459"/>
    <s v="https://pbs.twimg.com/profile_images/966372680306868224/60wfGe9e_normal.jpg"/>
    <n v="10308"/>
    <b v="0"/>
    <n v="5"/>
    <n v="1"/>
    <s v="{&quot;post_id&quot;:null,&quot;profile_id&quot;:null,&quot;profile_name&quot;:null}"/>
    <s v="null"/>
    <s v="null"/>
    <s v="{&quot;data_posted&quot;:null,&quot;description&quot;:null,&quot;photos&quot;:null,&quot;post_id&quot;:null,&quot;profile_id&quot;:null,&quot;profile_name&quot;:null,&quot;url&quot;:null,&quot;videos&quot;:null}"/>
    <n v="74"/>
    <n v="2.2142429682824654E-3"/>
    <d v="2024-12-15T00:00:00"/>
    <n v="0.65711805555555558"/>
    <x v="0"/>
    <x v="13"/>
    <x v="0"/>
    <x v="0"/>
    <x v="0"/>
    <x v="0"/>
    <n v="78"/>
    <x v="0"/>
  </r>
  <r>
    <n v="1.8683388958150495E+18"/>
    <s v="spfl"/>
    <s v="SPFL"/>
    <s v="49,420 is today's official match attendance at @HampdenPark 🏟️_x000a__x000a_Thank you for your support!_x000a__x000a_🏆 #PremierSportsCup"/>
    <s v="&quot;2024-12-15T16:54:39.000Z&quot;"/>
    <s v="[&quot;https://pbs.twimg.com/media/Ge2sMkdW4AAkvf4.jpg&quot;]"/>
    <s v="https://x.com/spfl/status/1868338895815049410"/>
    <s v="[{&quot;biography&quot;:null,&quot;followers&quot;:null,&quot;following&quot;:null,&quot;is_verified&quot;:null,&quot;profile_id&quot;:&quot;91388299&quot;,&quot;profile_name&quot;:&quot;Hampden Park Stadium&quot;,&quot;url&quot;:&quot;https://x.com/HampdenPark&quot;}]"/>
    <n v="0"/>
    <n v="3"/>
    <n v="13"/>
    <n v="8140"/>
    <s v=""/>
    <s v="[&quot;PremierSportsCup&quot;]"/>
    <n v="294711"/>
    <s v="Official Twitter/X account for the Scottish Professional Football League, sponsored by @WilliamHill."/>
    <n v="66342"/>
    <s v="https://pbs.twimg.com/profile_images/1798999022348496896/ZZU_hFqY_normal.jpg"/>
    <n v="1449"/>
    <b v="0"/>
    <n v="1"/>
    <n v="1"/>
    <s v="{&quot;post_id&quot;:null,&quot;profile_id&quot;:null,&quot;profile_name&quot;:null}"/>
    <s v="null"/>
    <s v="null"/>
    <s v="{&quot;data_posted&quot;:null,&quot;description&quot;:null,&quot;photos&quot;:null,&quot;post_id&quot;:null,&quot;profile_id&quot;:null,&quot;profile_name&quot;:null,&quot;url&quot;:null,&quot;videos&quot;:null}"/>
    <n v="18"/>
    <n v="2.2113022113022115E-3"/>
    <d v="2024-12-15T00:00:00"/>
    <n v="0.70461805555555557"/>
    <x v="0"/>
    <x v="15"/>
    <x v="0"/>
    <x v="0"/>
    <x v="1"/>
    <x v="0"/>
    <n v="112"/>
    <x v="2"/>
  </r>
  <r>
    <n v="1.8683826069388495E+18"/>
    <s v="Eur███agu███"/>
    <s v="Tur███h A███ine█████████gue███"/>
    <s v="Over 300 EuroLeague games and a man of many languages 🗣 _x000a__x000a_Does @tibor_pleiss get your vote? 👀"/>
    <s v="&quot;2024-12-15T19:48:21.000Z&quot;"/>
    <s v="null"/>
    <s v="https://x.com/EuroLeague/status/1868382606938849527"/>
    <s v="[{&quot;biography&quot;:null,&quot;followers&quot;:null,&quot;following&quot;:null,&quot;is_verified&quot;:null,&quot;profile_id&quot;:&quot;3718909032&quot;,&quot;profile_name&quot;:&quot;Tibor Pleiss&quot;,&quot;url&quot;:&quot;https://x.com/tibor_pleiss&quot;}]"/>
    <n v="2"/>
    <n v="2"/>
    <n v="24"/>
    <n v="13254"/>
    <s v="https://all25voting.euroleague.net/all25voting/home"/>
    <s v="[&quot;EUROLEAGUE25&quot;,&quot;ONLY25&quot;]"/>
    <n v="668750"/>
    <s v="The official X account of the Turkish Airlines EuroLeague🏀"/>
    <n v="76510"/>
    <s v="https://pbs.twimg.com/profile_images/1793167534889308160/aE2Qsevu_normal.jpg"/>
    <n v="860"/>
    <b v="0"/>
    <n v="0"/>
    <n v="1"/>
    <s v="{&quot;post_id&quot;:null,&quot;profile_id&quot;:null,&quot;profile_name&quot;:null}"/>
    <s v="null"/>
    <s v="[{&quot;duration&quot;:26360,&quot;video_url&quot;:&quot;https://video.twimg.com/ext_tw_video/1868382513124581376/pu/vid/avc1/720x1280/9Z2sz9_-IuvZsXUt.mp4?tag=12&quot;}]"/>
    <s v="{&quot;data_posted&quot;:null,&quot;description&quot;:null,&quot;photos&quot;:null,&quot;post_id&quot;:null,&quot;profile_id&quot;:null,&quot;profile_name&quot;:null,&quot;url&quot;:null,&quot;videos&quot;:null}"/>
    <n v="29"/>
    <n v="2.1880187113324278E-3"/>
    <d v="2024-12-15T00:00:00"/>
    <n v="0.82524305555555555"/>
    <x v="0"/>
    <x v="4"/>
    <x v="1"/>
    <x v="1"/>
    <x v="1"/>
    <x v="0"/>
    <n v="93"/>
    <x v="2"/>
  </r>
  <r>
    <n v="1.8681651949306801E+18"/>
    <s v="nyp███"/>
    <s v="New███rk ███t"/>
    <s v="Dad diagnosed with tongue cancer after wife noticed ‘uneven’ face"/>
    <s v="&quot;2024-12-15T05:24:25.000Z&quot;"/>
    <s v="[&quot;https://pbs.twimg.com/media/Ge0OWBhWkAADyws.jpg&quot;]"/>
    <s v="https://x.com/nypost/status/1868165194930680016"/>
    <s v="null"/>
    <n v="20"/>
    <n v="3"/>
    <n v="31"/>
    <n v="28151"/>
    <s v="https://trib.al/2vtrcTI"/>
    <s v="null"/>
    <n v="3313892"/>
    <s v="Breaking news &amp; features from The New York Post. Follow your favorite sections: @pagesix, @nypmetro, @nypostbiz, @nypostsports, @nypfashion, @nypostopinion"/>
    <n v="706459"/>
    <s v="https://pbs.twimg.com/profile_images/966372680306868224/60wfGe9e_normal.jpg"/>
    <n v="10308"/>
    <b v="0"/>
    <n v="1"/>
    <n v="6"/>
    <s v="{&quot;post_id&quot;:null,&quot;profile_id&quot;:null,&quot;profile_name&quot;:null}"/>
    <s v="null"/>
    <s v="null"/>
    <s v="{&quot;data_posted&quot;:null,&quot;description&quot;:null,&quot;photos&quot;:null,&quot;post_id&quot;:null,&quot;profile_id&quot;:null,&quot;profile_name&quot;:null,&quot;url&quot;:null,&quot;videos&quot;:null}"/>
    <n v="61"/>
    <n v="2.1668857234201271E-3"/>
    <d v="2024-12-15T00:00:00"/>
    <n v="0.22528935185185187"/>
    <x v="0"/>
    <x v="22"/>
    <x v="0"/>
    <x v="0"/>
    <x v="0"/>
    <x v="0"/>
    <n v="65"/>
    <x v="0"/>
  </r>
  <r>
    <n v="1.8682654483760581E+18"/>
    <s v="nyp███"/>
    <s v="New███rk ███t"/>
    <s v="How to watch the ‘Yellowstone’ series finale: Start time and what to know"/>
    <s v="&quot;2024-12-15T12:02:48.000Z&quot;"/>
    <s v="[&quot;https://pbs.twimg.com/media/Ge1phjeX0AAFE5P.jpg&quot;]"/>
    <s v="https://x.com/nypost/status/1868265448376058170"/>
    <s v="null"/>
    <n v="19"/>
    <n v="2"/>
    <n v="36"/>
    <n v="28817"/>
    <s v="https://trib.al/V4DNPGD"/>
    <s v="null"/>
    <n v="3313889"/>
    <s v="Breaking news &amp; features from The New York Post. Follow your favorite sections: @pagesix, @nypmetro, @nypostbiz, @nypostsports, @nypfashion, @nypostopinion"/>
    <n v="706459"/>
    <s v="https://pbs.twimg.com/profile_images/966372680306868224/60wfGe9e_normal.jpg"/>
    <n v="10308"/>
    <b v="0"/>
    <n v="1"/>
    <n v="4"/>
    <s v="{&quot;post_id&quot;:null,&quot;profile_id&quot;:null,&quot;profile_name&quot;:null}"/>
    <s v="null"/>
    <s v="null"/>
    <s v="{&quot;data_posted&quot;:null,&quot;description&quot;:null,&quot;photos&quot;:null,&quot;post_id&quot;:null,&quot;profile_id&quot;:null,&quot;profile_name&quot;:null,&quot;url&quot;:null,&quot;videos&quot;:null}"/>
    <n v="62"/>
    <n v="2.1515077905403059E-3"/>
    <d v="2024-12-15T00:00:00"/>
    <n v="0.50194444444444442"/>
    <x v="0"/>
    <x v="0"/>
    <x v="0"/>
    <x v="0"/>
    <x v="0"/>
    <x v="0"/>
    <n v="73"/>
    <x v="0"/>
  </r>
  <r>
    <n v="1.8684457081995963E+18"/>
    <s v="nyp███"/>
    <s v="New███rk ███t"/>
    <s v="Did Bill Belichick Just Miss Out on the Jets Job Opportunity?"/>
    <s v="&quot;2024-12-15T23:59:05.000Z&quot;"/>
    <s v="[&quot;https://pbs.twimg.com/media/Ge4NeDrXEAEg-SX.jpg&quot;]"/>
    <s v="https://x.com/nypost/status/1868445708199596198"/>
    <s v="null"/>
    <n v="27"/>
    <n v="2"/>
    <n v="23"/>
    <n v="25568"/>
    <s v="https://trib.al/c2ewFJA"/>
    <s v="null"/>
    <n v="3313887"/>
    <s v="Breaking news &amp; features from The New York Post. Follow your favorite sections: @pagesix, @nypmetro, @nypostbiz, @nypostsports, @nypfashion, @nypostopinion"/>
    <n v="706459"/>
    <s v="https://pbs.twimg.com/profile_images/966372680306868224/60wfGe9e_normal.jpg"/>
    <n v="10308"/>
    <b v="0"/>
    <n v="1"/>
    <n v="2"/>
    <s v="{&quot;post_id&quot;:null,&quot;profile_id&quot;:null,&quot;profile_name&quot;:null}"/>
    <s v="null"/>
    <s v="null"/>
    <s v="{&quot;data_posted&quot;:null,&quot;description&quot;:null,&quot;photos&quot;:null,&quot;post_id&quot;:null,&quot;profile_id&quot;:null,&quot;profile_name&quot;:null,&quot;url&quot;:null,&quot;videos&quot;:null}"/>
    <n v="55"/>
    <n v="2.1511264080100127E-3"/>
    <d v="2024-12-15T00:00:00"/>
    <n v="0.99936342592592597"/>
    <x v="0"/>
    <x v="7"/>
    <x v="0"/>
    <x v="0"/>
    <x v="0"/>
    <x v="0"/>
    <n v="61"/>
    <x v="0"/>
  </r>
  <r>
    <n v="1.865774083557749E+18"/>
    <s v="kann"/>
    <s v="כאן"/>
    <s v="בזמן שהמשטר בסוריה קורס, לא רחוק משם, מתהדק הלחץ על תוכנית הגרעין באיראן_x000a__x000a_מחר אחרי החדשות #טהרן עונה 3 מתחילה בכאן 11 ובכאן BOX"/>
    <s v="&quot;2024-12-08T15:03:00.000Z&quot;"/>
    <s v="null"/>
    <s v="https://x.com/kann/status/1865774083557749004"/>
    <s v="null"/>
    <n v="7"/>
    <n v="11"/>
    <n v="89"/>
    <n v="65202"/>
    <s v=""/>
    <s v="[&quot;טהרן&quot;]"/>
    <n v="182895"/>
    <s v="אנחנו כאן ❤️"/>
    <n v="30781"/>
    <s v="https://pbs.twimg.com/profile_images/1843516623740633088/WbeaAr02_normal.jpg"/>
    <n v="559"/>
    <b v="0"/>
    <n v="10"/>
    <n v="21"/>
    <s v="{&quot;post_id&quot;:null,&quot;profile_id&quot;:null,&quot;profile_name&quot;:null}"/>
    <s v="null"/>
    <s v="[{&quot;duration&quot;:88800,&quot;video_url&quot;:&quot;https://video.twimg.com/amplify_video/1865688750145044481/vid/avc1/1280x720/feP-9g1Qd100g_3X.mp4?tag=14&quot;}]"/>
    <s v="{&quot;data_posted&quot;:null,&quot;description&quot;:null,&quot;photos&quot;:null,&quot;post_id&quot;:null,&quot;profile_id&quot;:null,&quot;profile_name&quot;:null,&quot;url&quot;:null,&quot;videos&quot;:null}"/>
    <n v="138"/>
    <n v="2.1164994938805558E-3"/>
    <d v="2024-12-08T00:00:00"/>
    <n v="0.62708333333333333"/>
    <x v="0"/>
    <x v="13"/>
    <x v="1"/>
    <x v="1"/>
    <x v="1"/>
    <x v="0"/>
    <n v="127"/>
    <x v="2"/>
  </r>
  <r>
    <n v="1.8682484050607762E+18"/>
    <s v="bus███ss"/>
    <s v="Blo███erg███"/>
    <s v="ABC has agreed to donate $15 million to Donald Trump’s future presidential foundation or museum to settle claims that one of its anchors defamed the president-elect in describing a past court verdict against him."/>
    <s v="&quot;2024-12-15T10:55:04.000Z&quot;"/>
    <s v="null"/>
    <s v="https://x.com/business/status/1868248405060776161"/>
    <s v="null"/>
    <n v="13"/>
    <n v="17"/>
    <n v="73"/>
    <n v="54536"/>
    <s v="https://trib.al/KzQ3TuT"/>
    <s v="null"/>
    <n v="9564231"/>
    <s v="The first word in business news. Singapore newsletter: https://t.co/RtyaUOdLdF Newsletters: https://t.co/nWaCxHSKuU Podcasts: https://t.co/096e9xMbPz"/>
    <n v="1125277"/>
    <s v="https://pbs.twimg.com/profile_images/1631723279676317709/-fjgaR2p_normal.jpg"/>
    <n v="93"/>
    <b v="0"/>
    <n v="3"/>
    <n v="9"/>
    <s v="{&quot;post_id&quot;:null,&quot;profile_id&quot;:null,&quot;profile_name&quot;:null}"/>
    <s v="[&quot;https://pbs.twimg.com/card_img/1868055945072312320/AZYsZu8j?format=jpg&amp;name=orig&quot;]"/>
    <s v="null"/>
    <s v="{&quot;data_posted&quot;:null,&quot;description&quot;:null,&quot;photos&quot;:null,&quot;post_id&quot;:null,&quot;profile_id&quot;:null,&quot;profile_name&quot;:null,&quot;url&quot;:null,&quot;videos&quot;:null}"/>
    <n v="115"/>
    <n v="2.1086988411324632E-3"/>
    <d v="2024-12-15T00:00:00"/>
    <n v="0.45490740740740743"/>
    <x v="0"/>
    <x v="17"/>
    <x v="0"/>
    <x v="1"/>
    <x v="0"/>
    <x v="0"/>
    <n v="212"/>
    <x v="0"/>
  </r>
  <r>
    <n v="1.8680992056270769E+18"/>
    <s v="nyp███"/>
    <s v="New███rk ███t"/>
    <s v="‘Last’ bagels from beloved NYC shop up for auction on eBay following sudden closure"/>
    <s v="&quot;2024-12-15T01:02:12.000Z&quot;"/>
    <s v="[&quot;https://pbs.twimg.com/media/GezSU9FXwAE-sX4.jpg&quot;]"/>
    <s v="https://x.com/nypost/status/1868099205627076866"/>
    <s v="null"/>
    <n v="16"/>
    <n v="8"/>
    <n v="35"/>
    <n v="30417"/>
    <s v="https://trib.al/sKg0xzU"/>
    <s v="null"/>
    <n v="3313897"/>
    <s v="Breaking news &amp; features from The New York Post. Follow your favorite sections: @pagesix, @nypmetro, @nypostbiz, @nypostsports, @nypfashion, @nypostopinion"/>
    <n v="706459"/>
    <s v="https://pbs.twimg.com/profile_images/966372680306868224/60wfGe9e_normal.jpg"/>
    <n v="10308"/>
    <b v="0"/>
    <n v="2"/>
    <n v="2"/>
    <s v="{&quot;post_id&quot;:null,&quot;profile_id&quot;:null,&quot;profile_name&quot;:null}"/>
    <s v="null"/>
    <s v="null"/>
    <s v="{&quot;data_posted&quot;:null,&quot;description&quot;:null,&quot;photos&quot;:null,&quot;post_id&quot;:null,&quot;profile_id&quot;:null,&quot;profile_name&quot;:null,&quot;url&quot;:null,&quot;videos&quot;:null}"/>
    <n v="63"/>
    <n v="2.0712101785185914E-3"/>
    <d v="2024-12-15T00:00:00"/>
    <n v="4.3194444444444445E-2"/>
    <x v="0"/>
    <x v="19"/>
    <x v="0"/>
    <x v="0"/>
    <x v="0"/>
    <x v="0"/>
    <n v="83"/>
    <x v="0"/>
  </r>
  <r>
    <n v="1.8681893050148132E+18"/>
    <s v="The███nom███"/>
    <s v="The███ono███t"/>
    <s v="Europe knows its armies need more cash. But clever tricks will be needed to fund defence expenditure without crossing the various red lines of different countries"/>
    <s v="&quot;2024-12-15T07:00:14.000Z&quot;"/>
    <s v="[&quot;https://pbs.twimg.com/media/Ge0kRcRWwAA1-_U.jpg&quot;]"/>
    <s v="https://x.com/TheEconomist/status/1868189305014813099"/>
    <s v="null"/>
    <n v="13"/>
    <n v="17"/>
    <n v="59"/>
    <n v="49641"/>
    <s v="https://econ.st/3BtZ2Yy"/>
    <s v="null"/>
    <n v="27123001"/>
    <s v="News and analysis with a global perspective. We’re here to help you understand the world around you. Subscribe here: https://t.co/RpUQAAnhog"/>
    <n v="402760"/>
    <s v="https://pbs.twimg.com/profile_images/1847280770743750656/0DkLNOPG_normal.jpg"/>
    <n v="155"/>
    <b v="0"/>
    <n v="3"/>
    <n v="9"/>
    <s v="{&quot;post_id&quot;:null,&quot;profile_id&quot;:null,&quot;profile_name&quot;:null}"/>
    <s v="null"/>
    <s v="null"/>
    <s v="{&quot;data_posted&quot;:null,&quot;description&quot;:null,&quot;photos&quot;:null,&quot;post_id&quot;:null,&quot;profile_id&quot;:null,&quot;profile_name&quot;:null,&quot;url&quot;:null,&quot;videos&quot;:null}"/>
    <n v="101"/>
    <n v="2.0346084889506658E-3"/>
    <d v="2024-12-15T00:00:00"/>
    <n v="0.29182870370370373"/>
    <x v="0"/>
    <x v="20"/>
    <x v="0"/>
    <x v="0"/>
    <x v="0"/>
    <x v="0"/>
    <n v="162"/>
    <x v="1"/>
  </r>
  <r>
    <n v="1.8682899411610255E+18"/>
    <s v="bus███ss"/>
    <s v="Blo███erg███"/>
    <s v="The EU’s economy is struggling to keep pace with the US and China, putting the continent at risk of losing its seat at the table — and maybe its ability to protect itself in a world where security is no longer guaranteed"/>
    <s v="&quot;2024-12-15T13:40:07.000Z&quot;"/>
    <s v="null"/>
    <s v="https://x.com/business/status/1868289941161025554"/>
    <s v="null"/>
    <n v="10"/>
    <n v="19"/>
    <n v="38"/>
    <n v="39381"/>
    <s v="https://trib.al/x7HXKAa"/>
    <s v="null"/>
    <n v="9564155"/>
    <s v="The first word in business news. Singapore newsletter: https://t.co/RtyaUOdLdF Newsletters: https://t.co/nWaCxHSKuU Podcasts: https://t.co/096e9xMbPz"/>
    <n v="1125277"/>
    <s v="https://pbs.twimg.com/profile_images/1631723279676317709/-fjgaR2p_normal.jpg"/>
    <n v="93"/>
    <b v="0"/>
    <n v="4"/>
    <n v="9"/>
    <s v="{&quot;post_id&quot;:null,&quot;profile_id&quot;:null,&quot;profile_name&quot;:null}"/>
    <s v="null"/>
    <s v="[{&quot;duration&quot;:78250,&quot;video_url&quot;:&quot;https://video.twimg.com/amplify_video/1867502256603422720/vid/avc1/1920x1080/GZoTBPAse0TseN2c.mp4?tag=16&quot;}]"/>
    <s v="{&quot;data_posted&quot;:null,&quot;description&quot;:null,&quot;photos&quot;:null,&quot;post_id&quot;:null,&quot;profile_id&quot;:null,&quot;profile_name&quot;:null,&quot;url&quot;:null,&quot;videos&quot;:null}"/>
    <n v="80"/>
    <n v="2.031436479520581E-3"/>
    <d v="2024-12-15T00:00:00"/>
    <n v="0.56952546296296291"/>
    <x v="0"/>
    <x v="14"/>
    <x v="1"/>
    <x v="1"/>
    <x v="0"/>
    <x v="0"/>
    <n v="220"/>
    <x v="0"/>
  </r>
  <r>
    <n v="1.8682945122522196E+18"/>
    <s v="pre███gby███"/>
    <s v="Pre███rsh███Rug███"/>
    <s v="Working their way back 👊_x000a__x000a_@BathRugby trail Benetton at the break but this try from Niall Annett has them in touch in Italy 🇮🇹_x000a__x000a_🎥@PremSportsTV _x000a__x000a_#InvestecChampionsCup"/>
    <s v="&quot;2024-12-15T13:58:17.000Z&quot;"/>
    <s v="null"/>
    <s v="https://x.com/premrugby/status/1868294512252219608"/>
    <s v="[{&quot;biography&quot;:null,&quot;followers&quot;:null,&quot;following&quot;:null,&quot;is_verified&quot;:null,&quot;profile_id&quot;:&quot;41795957&quot;,&quot;profile_name&quot;:&quot;Bath Rugby&quot;,&quot;url&quot;:&quot;https://x.com/BathRugby&quot;},{&quot;biography&quot;:null,&quot;followers&quot;:null,&quot;following&quot;:null,&quot;is_verified&quot;:null,&quot;profile_id&quot;:&quot;159582357&quot;,&quot;profile_name&quot;:&quot;Premier Sports&quot;,&quot;url&quot;:&quot;https://x.com/PremSportsTV&quot;}]"/>
    <n v="2"/>
    <n v="0"/>
    <n v="9"/>
    <n v="6426"/>
    <s v=""/>
    <s v="[&quot;InvestecChampionsCup&quot;]"/>
    <n v="290454"/>
    <s v="The official X account of Premiership Rugby 🏉"/>
    <n v="128147"/>
    <s v="https://pbs.twimg.com/profile_images/1752250213920604160/8DqOgqK2_normal.jpg"/>
    <n v="1290"/>
    <b v="0"/>
    <n v="1"/>
    <n v="1"/>
    <s v="{&quot;post_id&quot;:null,&quot;profile_id&quot;:null,&quot;profile_name&quot;:null}"/>
    <s v="null"/>
    <s v="[{&quot;duration&quot;:57856,&quot;video_url&quot;:&quot;https://video.twimg.com/amplify_video/1868288135903285248/vid/avc1/1280x720/27gfRJR77EpiHWPv.mp4?tag=16&quot;}]"/>
    <s v="{&quot;data_posted&quot;:null,&quot;description&quot;:null,&quot;photos&quot;:null,&quot;post_id&quot;:null,&quot;profile_id&quot;:null,&quot;profile_name&quot;:null,&quot;url&quot;:null,&quot;videos&quot;:null}"/>
    <n v="13"/>
    <n v="2.0230314347961407E-3"/>
    <d v="2024-12-15T00:00:00"/>
    <n v="0.5821412037037037"/>
    <x v="0"/>
    <x v="14"/>
    <x v="1"/>
    <x v="1"/>
    <x v="1"/>
    <x v="0"/>
    <n v="165"/>
    <x v="2"/>
  </r>
  <r>
    <n v="1.8683691922709138E+18"/>
    <s v="The███nom███"/>
    <s v="The███ono███t"/>
    <s v="There is something enigmatic about Tulsi Gabbard, who may soon run America’s spy agencies. It is not just a matter of first impressions. It is also her convictions. _x000a__x000a_Some are batty enough to make a right-thinking person squirm"/>
    <s v="&quot;2024-12-15T18:55:02.000Z&quot;"/>
    <s v="null"/>
    <s v="https://x.com/TheEconomist/status/1868369192270913804"/>
    <s v="null"/>
    <n v="37"/>
    <n v="6"/>
    <n v="51"/>
    <n v="53517"/>
    <s v="https://econ.st/3ZApW9h"/>
    <s v="null"/>
    <n v="27122998"/>
    <s v="News and analysis with a global perspective. We’re here to help you understand the world around you. Subscribe here: https://t.co/RpUQAAnhog"/>
    <n v="402760"/>
    <s v="https://pbs.twimg.com/profile_images/1847280770743750656/0DkLNOPG_normal.jpg"/>
    <n v="155"/>
    <b v="0"/>
    <n v="2"/>
    <n v="12"/>
    <s v="{&quot;post_id&quot;:null,&quot;profile_id&quot;:null,&quot;profile_name&quot;:null}"/>
    <s v="[&quot;https://pbs.twimg.com/card_img/1867932331798913024/fB4Xgwqv?format=jpg&amp;name=orig&quot;]"/>
    <s v="null"/>
    <s v="{&quot;data_posted&quot;:null,&quot;description&quot;:null,&quot;photos&quot;:null,&quot;post_id&quot;:null,&quot;profile_id&quot;:null,&quot;profile_name&quot;:null,&quot;url&quot;:null,&quot;videos&quot;:null}"/>
    <n v="108"/>
    <n v="2.0180503391445709E-3"/>
    <d v="2024-12-15T00:00:00"/>
    <n v="0.78821759259259261"/>
    <x v="0"/>
    <x v="8"/>
    <x v="0"/>
    <x v="1"/>
    <x v="0"/>
    <x v="0"/>
    <n v="227"/>
    <x v="1"/>
  </r>
  <r>
    <n v="1.8682599567822564E+18"/>
    <s v="The███nom███"/>
    <s v="The███ono███t"/>
    <s v="Of the world’s 20 fastest-growing economies in 2025, nine will be in Africa, reckons the IMF. At the same time, resource-intensive countries have a lower GDP per person today than they did a decade ago._x000a__x000a_This tells the story of two Africas:"/>
    <s v="&quot;2024-12-15T11:40:58.000Z&quot;"/>
    <s v="null"/>
    <s v="https://x.com/TheEconomist/status/1868259956782256291"/>
    <s v="null"/>
    <n v="11"/>
    <n v="22"/>
    <n v="62"/>
    <n v="54721"/>
    <s v="https://econ.st/4fT0X86"/>
    <s v="null"/>
    <n v="27122998"/>
    <s v="News and analysis with a global perspective. We’re here to help you understand the world around you. Subscribe here: https://t.co/RpUQAAnhog"/>
    <n v="402760"/>
    <s v="https://pbs.twimg.com/profile_images/1847280770743750656/0DkLNOPG_normal.jpg"/>
    <n v="155"/>
    <b v="0"/>
    <n v="2"/>
    <n v="13"/>
    <s v="{&quot;post_id&quot;:null,&quot;profile_id&quot;:null,&quot;profile_name&quot;:null}"/>
    <s v="[&quot;https://pbs.twimg.com/card_img/1866842451824021504/aFFGAWB-?format=jpg&amp;name=orig&quot;]"/>
    <s v="null"/>
    <s v="{&quot;data_posted&quot;:null,&quot;description&quot;:null,&quot;photos&quot;:null,&quot;post_id&quot;:null,&quot;profile_id&quot;:null,&quot;profile_name&quot;:null,&quot;url&quot;:null,&quot;videos&quot;:null}"/>
    <n v="110"/>
    <n v="2.0101971820690413E-3"/>
    <d v="2024-12-15T00:00:00"/>
    <n v="0.48678240740740741"/>
    <x v="0"/>
    <x v="16"/>
    <x v="0"/>
    <x v="1"/>
    <x v="0"/>
    <x v="0"/>
    <n v="240"/>
    <x v="1"/>
  </r>
  <r>
    <n v="1.8681838525538266E+18"/>
    <s v="ufc"/>
    <s v="UFC"/>
    <s v="Wins like these are #EasyToCelebrate 🍻_x000a__x000a_[ #UFCTampa | B2YB @BudLight ]"/>
    <s v="&quot;2024-12-15T06:38:34.000Z&quot;"/>
    <s v="null"/>
    <s v="https://x.com/ufc/status/1868183852553826596"/>
    <s v="[{&quot;biography&quot;:null,&quot;followers&quot;:null,&quot;following&quot;:null,&quot;is_verified&quot;:null,&quot;profile_id&quot;:&quot;742011151&quot;,&quot;profile_name&quot;:&quot;Bud Light&quot;,&quot;url&quot;:&quot;https://x.com/budlight&quot;}]"/>
    <n v="29"/>
    <n v="14"/>
    <n v="198"/>
    <n v="125258"/>
    <s v=""/>
    <s v="[&quot;EasyToCelebrate&quot;,&quot;UFCTampa&quot;]"/>
    <n v="12876594"/>
    <s v="#UFCTampa | Covington vs Buckley | December 14 | 10pmET | LIVE on @ESPNPlus"/>
    <n v="141401"/>
    <s v="https://pbs.twimg.com/profile_images/1835773190385328128/4fVrF1UI_normal.jpg"/>
    <n v="717"/>
    <b v="0"/>
    <n v="0"/>
    <n v="2"/>
    <s v="{&quot;post_id&quot;:null,&quot;profile_id&quot;:null,&quot;profile_name&quot;:null}"/>
    <s v="null"/>
    <s v="[{&quot;duration&quot;:15015,&quot;video_url&quot;:&quot;https://video.twimg.com/ext_tw_video/1868183663508062208/pu/vid/avc1/720x720/-Km_AXIINhqL1jZJ.mp4?tag=12&quot;}]"/>
    <s v="{&quot;data_posted&quot;:null,&quot;description&quot;:null,&quot;photos&quot;:null,&quot;post_id&quot;:null,&quot;profile_id&quot;:null,&quot;profile_name&quot;:null,&quot;url&quot;:null,&quot;videos&quot;:null}"/>
    <n v="243"/>
    <n v="1.9399958485685545E-3"/>
    <d v="2024-12-15T00:00:00"/>
    <n v="0.27678240740740739"/>
    <x v="0"/>
    <x v="23"/>
    <x v="1"/>
    <x v="1"/>
    <x v="1"/>
    <x v="0"/>
    <n v="70"/>
    <x v="1"/>
  </r>
  <r>
    <n v="1.868309504036586E+18"/>
    <s v="The███nom███"/>
    <s v="The███ono███t"/>
    <s v="China’s nationalists genuinely admire aspects of Donald Trump. They like his strongman image and the conservative social views he professes._x000a__x000a_Many even brush off the president-elect’s threat of huge tariffs on Chinese goods. We explore why"/>
    <s v="&quot;2024-12-15T14:57:51.000Z&quot;"/>
    <s v="null"/>
    <s v="https://x.com/TheEconomist/status/1868309504036585876"/>
    <s v="null"/>
    <n v="19"/>
    <n v="13"/>
    <n v="53"/>
    <n v="46547"/>
    <s v="https://econ.st/4gjapSc"/>
    <s v="null"/>
    <n v="27122998"/>
    <s v="News and analysis with a global perspective. We’re here to help you understand the world around you. Subscribe here: https://t.co/RpUQAAnhog"/>
    <n v="402760"/>
    <s v="https://pbs.twimg.com/profile_images/1847280770743750656/0DkLNOPG_normal.jpg"/>
    <n v="155"/>
    <b v="0"/>
    <n v="1"/>
    <n v="4"/>
    <s v="{&quot;post_id&quot;:null,&quot;profile_id&quot;:null,&quot;profile_name&quot;:null}"/>
    <s v="[&quot;https://pbs.twimg.com/card_img/1866299828608860160/qs7Rk2nj?format=jpg&amp;name=orig&quot;]"/>
    <s v="null"/>
    <s v="{&quot;data_posted&quot;:null,&quot;description&quot;:null,&quot;photos&quot;:null,&quot;post_id&quot;:null,&quot;profile_id&quot;:null,&quot;profile_name&quot;:null,&quot;url&quot;:null,&quot;videos&quot;:null}"/>
    <n v="90"/>
    <n v="1.9335295507766344E-3"/>
    <d v="2024-12-15T00:00:00"/>
    <n v="0.62350694444444443"/>
    <x v="0"/>
    <x v="1"/>
    <x v="0"/>
    <x v="1"/>
    <x v="0"/>
    <x v="0"/>
    <n v="239"/>
    <x v="1"/>
  </r>
  <r>
    <n v="1.8684492547059548E+18"/>
    <s v="nyp███"/>
    <s v="New███rk ███t"/>
    <s v="Dunkin’s Staten Island Ferry snack bar aims for ‘end of year’ grand opening — sans alcohol"/>
    <s v="&quot;2024-12-16T00:13:11.000Z&quot;"/>
    <s v="[&quot;https://pbs.twimg.com/media/Ge4Qsh2XIAApO0z.jpg&quot;]"/>
    <s v="https://x.com/nypost/status/1868449254705954914"/>
    <s v="null"/>
    <n v="15"/>
    <n v="4"/>
    <n v="31"/>
    <n v="28033"/>
    <s v="https://trib.al/PquLCC0"/>
    <s v="null"/>
    <n v="3313887"/>
    <s v="Breaking news &amp; features from The New York Post. Follow your favorite sections: @pagesix, @nypmetro, @nypostbiz, @nypostsports, @nypfashion, @nypostopinion"/>
    <n v="706459"/>
    <s v="https://pbs.twimg.com/profile_images/966372680306868224/60wfGe9e_normal.jpg"/>
    <n v="10308"/>
    <b v="0"/>
    <n v="1"/>
    <n v="3"/>
    <s v="{&quot;post_id&quot;:null,&quot;profile_id&quot;:null,&quot;profile_name&quot;:null}"/>
    <s v="null"/>
    <s v="null"/>
    <s v="{&quot;data_posted&quot;:null,&quot;description&quot;:null,&quot;photos&quot;:null,&quot;post_id&quot;:null,&quot;profile_id&quot;:null,&quot;profile_name&quot;:null,&quot;url&quot;:null,&quot;videos&quot;:null}"/>
    <n v="54"/>
    <n v="1.926301145079014E-3"/>
    <d v="2024-12-16T00:00:00"/>
    <n v="9.1550925925925931E-3"/>
    <x v="2"/>
    <x v="5"/>
    <x v="0"/>
    <x v="0"/>
    <x v="0"/>
    <x v="0"/>
    <n v="90"/>
    <x v="0"/>
  </r>
  <r>
    <n v="1.8684552145644669E+18"/>
    <s v="nyp███"/>
    <s v="New███rk ███t"/>
    <s v="Caitlin Clark’s brother appears to respond to Mystics co-owner’s criticism of Time cover"/>
    <s v="&quot;2024-12-16T00:36:52.000Z&quot;"/>
    <s v="[&quot;https://pbs.twimg.com/media/Ge4WHaSXEAACuhb.jpg&quot;]"/>
    <s v="https://x.com/nypost/status/1868455214564466874"/>
    <s v="null"/>
    <n v="22"/>
    <n v="4"/>
    <n v="32"/>
    <n v="31230"/>
    <s v="https://trib.al/sKZpt2Q"/>
    <s v="null"/>
    <n v="3313887"/>
    <s v="Breaking news &amp; features from The New York Post. Follow your favorite sections: @pagesix, @nypmetro, @nypostbiz, @nypostsports, @nypfashion, @nypostopinion"/>
    <n v="706459"/>
    <s v="https://pbs.twimg.com/profile_images/966372680306868224/60wfGe9e_normal.jpg"/>
    <n v="10308"/>
    <b v="0"/>
    <n v="1"/>
    <n v="1"/>
    <s v="{&quot;post_id&quot;:null,&quot;profile_id&quot;:null,&quot;profile_name&quot;:null}"/>
    <s v="null"/>
    <s v="null"/>
    <s v="{&quot;data_posted&quot;:null,&quot;description&quot;:null,&quot;photos&quot;:null,&quot;post_id&quot;:null,&quot;profile_id&quot;:null,&quot;profile_name&quot;:null,&quot;url&quot;:null,&quot;videos&quot;:null}"/>
    <n v="60"/>
    <n v="1.9212295869356388E-3"/>
    <d v="2024-12-16T00:00:00"/>
    <n v="2.5601851851851851E-2"/>
    <x v="2"/>
    <x v="5"/>
    <x v="0"/>
    <x v="0"/>
    <x v="0"/>
    <x v="0"/>
    <n v="88"/>
    <x v="0"/>
  </r>
  <r>
    <n v="1.8682311787858785E+18"/>
    <s v="bus███ss"/>
    <s v="Blo███erg███"/>
    <s v="Global poverty will increase if the world doesn’t work to maintain a stable and open trading system, WTO chief Ngozi Okonjo-Iweala says"/>
    <s v="&quot;2024-12-15T09:46:37.000Z&quot;"/>
    <s v="null"/>
    <s v="https://x.com/business/status/1868231178785878429"/>
    <s v="null"/>
    <n v="12"/>
    <n v="11"/>
    <n v="22"/>
    <n v="26212"/>
    <s v="https://trib.al/5jnGv3v"/>
    <s v="null"/>
    <n v="9564155"/>
    <s v="The first word in business news. Singapore newsletter: https://t.co/RtyaUOdLdF Newsletters: https://t.co/nWaCxHSKuU Podcasts: https://t.co/096e9xMbPz"/>
    <n v="1125277"/>
    <s v="https://pbs.twimg.com/profile_images/1631723279676317709/-fjgaR2p_normal.jpg"/>
    <n v="93"/>
    <b v="0"/>
    <n v="2"/>
    <n v="3"/>
    <s v="{&quot;post_id&quot;:null,&quot;profile_id&quot;:null,&quot;profile_name&quot;:null}"/>
    <s v="[&quot;https://pbs.twimg.com/card_img/1868230817589149696/fvCyDP6I?format=jpg&amp;name=orig&quot;]"/>
    <s v="null"/>
    <s v="{&quot;data_posted&quot;:null,&quot;description&quot;:null,&quot;photos&quot;:null,&quot;post_id&quot;:null,&quot;profile_id&quot;:null,&quot;profile_name&quot;:null,&quot;url&quot;:null,&quot;videos&quot;:null}"/>
    <n v="50"/>
    <n v="1.9075232717839158E-3"/>
    <d v="2024-12-15T00:00:00"/>
    <n v="0.40737268518518521"/>
    <x v="0"/>
    <x v="18"/>
    <x v="0"/>
    <x v="1"/>
    <x v="0"/>
    <x v="0"/>
    <n v="135"/>
    <x v="0"/>
  </r>
  <r>
    <n v="1.868387947008938E+18"/>
    <s v="bus███ss"/>
    <s v="Blo███erg███"/>
    <s v="France dismissed allegations by Algeria it was involved in attempts to destabilize the North African country after authorities in Algiers summoned the French ambassador to reprimand him"/>
    <s v="&quot;2024-12-15T20:09:34.000Z&quot;"/>
    <s v="null"/>
    <s v="https://x.com/business/status/1868387947008938043"/>
    <s v="null"/>
    <n v="6"/>
    <n v="15"/>
    <n v="37"/>
    <n v="35290"/>
    <s v="https://trib.al/1DAbT6r"/>
    <s v="null"/>
    <n v="9564233"/>
    <s v="The first word in business news. Singapore newsletter: https://t.co/RtyaUOdLdF Newsletters: https://t.co/nWaCxHSKuU Podcasts: https://t.co/096e9xMbPz"/>
    <n v="1125277"/>
    <s v="https://pbs.twimg.com/profile_images/1631723279676317709/-fjgaR2p_normal.jpg"/>
    <n v="93"/>
    <b v="0"/>
    <n v="3"/>
    <n v="6"/>
    <s v="{&quot;post_id&quot;:null,&quot;profile_id&quot;:null,&quot;profile_name&quot;:null}"/>
    <s v="[&quot;https://pbs.twimg.com/card_img/1868387783041056769/cKrTrBAl?format=jpg&amp;name=orig&quot;]"/>
    <s v="null"/>
    <s v="{&quot;data_posted&quot;:null,&quot;description&quot;:null,&quot;photos&quot;:null,&quot;post_id&quot;:null,&quot;profile_id&quot;:null,&quot;profile_name&quot;:null,&quot;url&quot;:null,&quot;videos&quot;:null}"/>
    <n v="67"/>
    <n v="1.8985548313969964E-3"/>
    <d v="2024-12-15T00:00:00"/>
    <n v="0.83997685185185189"/>
    <x v="0"/>
    <x v="3"/>
    <x v="0"/>
    <x v="1"/>
    <x v="0"/>
    <x v="0"/>
    <n v="185"/>
    <x v="0"/>
  </r>
  <r>
    <n v="1.8683050236350141E+18"/>
    <s v="bus███ss"/>
    <s v="Blo███erg███"/>
    <s v="The Italian government is willing to work with Stellantis NV as the carmaker charts a new course as long as it keeps jobs and factories in the country, Prime Minister Giorgia Meloni said"/>
    <s v="&quot;2024-12-15T14:40:03.000Z&quot;"/>
    <s v="null"/>
    <s v="https://x.com/business/status/1868305023635014096"/>
    <s v="null"/>
    <n v="5"/>
    <n v="14"/>
    <n v="36"/>
    <n v="31891"/>
    <s v="https://trib.al/LB7v3me"/>
    <s v="null"/>
    <n v="9564231"/>
    <s v="The first word in business news. Singapore newsletter: https://t.co/RtyaUOdLdF Newsletters: https://t.co/nWaCxHSKuU Podcasts: https://t.co/096e9xMbPz"/>
    <n v="1125277"/>
    <s v="https://pbs.twimg.com/profile_images/1631723279676317709/-fjgaR2p_normal.jpg"/>
    <n v="93"/>
    <b v="0"/>
    <n v="4"/>
    <n v="1"/>
    <s v="{&quot;post_id&quot;:null,&quot;profile_id&quot;:null,&quot;profile_name&quot;:null}"/>
    <s v="[&quot;https://pbs.twimg.com/card_img/1868305025623093248/EpnjL5j4?format=jpg&amp;name=orig&quot;]"/>
    <s v="null"/>
    <s v="{&quot;data_posted&quot;:null,&quot;description&quot;:null,&quot;photos&quot;:null,&quot;post_id&quot;:null,&quot;profile_id&quot;:null,&quot;profile_name&quot;:null,&quot;url&quot;:null,&quot;videos&quot;:null}"/>
    <n v="60"/>
    <n v="1.8814085478661691E-3"/>
    <d v="2024-12-15T00:00:00"/>
    <n v="0.61114583333333339"/>
    <x v="0"/>
    <x v="1"/>
    <x v="0"/>
    <x v="1"/>
    <x v="0"/>
    <x v="0"/>
    <n v="186"/>
    <x v="0"/>
  </r>
  <r>
    <n v="1.8681297650072499E+18"/>
    <s v="The███nom███"/>
    <s v="The███ono███t"/>
    <s v="Turmeric is killing people. Developing countries—especially India—should learn from Bangladesh’s open, pragmatic attempts to prevent this from happening"/>
    <s v="&quot;2024-12-15T03:03:38.000Z&quot;"/>
    <s v="null"/>
    <s v="https://x.com/TheEconomist/status/1868129765007249862"/>
    <s v="null"/>
    <n v="41"/>
    <n v="21"/>
    <n v="62"/>
    <n v="80834"/>
    <s v="https://econ.st/41wKu50"/>
    <s v="null"/>
    <n v="27123001"/>
    <s v="News and analysis with a global perspective. We’re here to help you understand the world around you. Subscribe here: https://t.co/RpUQAAnhog"/>
    <n v="402760"/>
    <s v="https://pbs.twimg.com/profile_images/1847280770743750656/0DkLNOPG_normal.jpg"/>
    <n v="155"/>
    <b v="0"/>
    <n v="5"/>
    <n v="23"/>
    <s v="{&quot;post_id&quot;:null,&quot;profile_id&quot;:null,&quot;profile_name&quot;:null}"/>
    <s v="[&quot;https://pbs.twimg.com/card_img/1868170352733589505/vqZjSEKY?format=jpg&amp;name=orig&quot;]"/>
    <s v="null"/>
    <s v="{&quot;data_posted&quot;:null,&quot;description&quot;:null,&quot;photos&quot;:null,&quot;post_id&quot;:null,&quot;profile_id&quot;:null,&quot;profile_name&quot;:null,&quot;url&quot;:null,&quot;videos&quot;:null}"/>
    <n v="152"/>
    <n v="1.8803968627062869E-3"/>
    <d v="2024-12-15T00:00:00"/>
    <n v="0.12752314814814814"/>
    <x v="0"/>
    <x v="21"/>
    <x v="0"/>
    <x v="1"/>
    <x v="0"/>
    <x v="0"/>
    <n v="152"/>
    <x v="1"/>
  </r>
  <r>
    <n v="1.8682891548174175E+18"/>
    <s v="tal███ORT███"/>
    <s v="tal███ORT███"/>
    <s v="Troy Deeney calls on Jack Grealish to quit Man City to save his career"/>
    <s v="&quot;2024-12-15T13:37:00.000Z&quot;"/>
    <s v="null"/>
    <s v="https://x.com/talkSPORT/status/1868289154817417391"/>
    <s v="null"/>
    <n v="13"/>
    <n v="2"/>
    <n v="50"/>
    <n v="36190"/>
    <s v="https://talksport.com/football/2378799/troy-deeney-jack-grealish-man-city/"/>
    <s v="null"/>
    <n v="2356528"/>
    <s v="The world’s biggest sports radio station 📻_x000a__x000a_🚨 Buy talkSPORT Trivia Game here: https://t.co/dQV2AFISP2"/>
    <n v="338240"/>
    <s v="https://pbs.twimg.com/profile_images/1605158550979940360/MUqOEhHq_normal.jpg"/>
    <n v="1981"/>
    <b v="0"/>
    <n v="2"/>
    <n v="1"/>
    <s v="{&quot;post_id&quot;:null,&quot;profile_id&quot;:null,&quot;profile_name&quot;:null}"/>
    <s v="[&quot;https://pbs.twimg.com/card_img/1868234860592037889/A5dNH-t8?format=jpg&amp;name=orig&quot;]"/>
    <s v="null"/>
    <s v="{&quot;data_posted&quot;:null,&quot;description&quot;:null,&quot;photos&quot;:null,&quot;post_id&quot;:null,&quot;profile_id&quot;:null,&quot;profile_name&quot;:null,&quot;url&quot;:null,&quot;videos&quot;:null}"/>
    <n v="68"/>
    <n v="1.8789720917380493E-3"/>
    <d v="2024-12-15T00:00:00"/>
    <n v="0.56736111111111109"/>
    <x v="0"/>
    <x v="14"/>
    <x v="0"/>
    <x v="1"/>
    <x v="0"/>
    <x v="0"/>
    <n v="70"/>
    <x v="0"/>
  </r>
  <r>
    <n v="1.8683480091526513E+18"/>
    <s v="spfl"/>
    <s v="SPFL"/>
    <s v="FT | 3⃣-3⃣ #CELRAN_x000a__x000a_Level after 90 minutes in an instant classic!_x000a__x000a_🏆 #PremierSportsCup"/>
    <s v="&quot;2024-12-15T17:30:52.000Z&quot;"/>
    <s v="[&quot;https://pbs.twimg.com/media/Ge20jo3WMAAuF2_.jpg&quot;]"/>
    <s v="https://x.com/spfl/status/1868348009152651385"/>
    <s v="null"/>
    <n v="11"/>
    <n v="7"/>
    <n v="80"/>
    <n v="55973"/>
    <s v=""/>
    <s v="[&quot;CELRAN&quot;,&quot;PremierSportsCup&quot;]"/>
    <n v="294711"/>
    <s v="Official Twitter/X account for the Scottish Professional Football League, sponsored by @WilliamHill."/>
    <n v="66342"/>
    <s v="https://pbs.twimg.com/profile_images/1798999022348496896/ZZU_hFqY_normal.jpg"/>
    <n v="1449"/>
    <b v="0"/>
    <n v="4"/>
    <n v="2"/>
    <s v="{&quot;post_id&quot;:null,&quot;profile_id&quot;:null,&quot;profile_name&quot;:null}"/>
    <s v="null"/>
    <s v="null"/>
    <s v="{&quot;data_posted&quot;:null,&quot;description&quot;:null,&quot;photos&quot;:null,&quot;post_id&quot;:null,&quot;profile_id&quot;:null,&quot;profile_name&quot;:null,&quot;url&quot;:null,&quot;videos&quot;:null}"/>
    <n v="104"/>
    <n v="1.8580386972290211E-3"/>
    <d v="2024-12-15T00:00:00"/>
    <n v="0.72976851851851854"/>
    <x v="0"/>
    <x v="12"/>
    <x v="0"/>
    <x v="0"/>
    <x v="1"/>
    <x v="0"/>
    <n v="86"/>
    <x v="2"/>
  </r>
  <r>
    <n v="1.8684445503158479E+18"/>
    <s v="nyp███"/>
    <s v="New███rk ███t"/>
    <s v="Man tried to return overdue book 50 years late — but the library wasn’t buying it"/>
    <s v="&quot;2024-12-15T23:54:29.000Z&quot;"/>
    <s v="[&quot;https://pbs.twimg.com/media/Ge4MarVXkAAoUvW.jpg&quot;]"/>
    <s v="https://x.com/nypost/status/1868444550315848013"/>
    <s v="null"/>
    <n v="14"/>
    <n v="5"/>
    <n v="31"/>
    <n v="29239"/>
    <s v="https://trib.al/Eobfpyv"/>
    <s v="null"/>
    <n v="3313886"/>
    <s v="Breaking news &amp; features from The New York Post. Follow your favorite sections: @pagesix, @nypmetro, @nypostbiz, @nypostsports, @nypfashion, @nypostopinion"/>
    <n v="706459"/>
    <s v="https://pbs.twimg.com/profile_images/966372680306868224/60wfGe9e_normal.jpg"/>
    <n v="10308"/>
    <b v="0"/>
    <n v="2"/>
    <n v="2"/>
    <s v="{&quot;post_id&quot;:null,&quot;profile_id&quot;:null,&quot;profile_name&quot;:null}"/>
    <s v="null"/>
    <s v="null"/>
    <s v="{&quot;data_posted&quot;:null,&quot;description&quot;:null,&quot;photos&quot;:null,&quot;post_id&quot;:null,&quot;profile_id&quot;:null,&quot;profile_name&quot;:null,&quot;url&quot;:null,&quot;videos&quot;:null}"/>
    <n v="54"/>
    <n v="1.8468483874277506E-3"/>
    <d v="2024-12-15T00:00:00"/>
    <n v="0.99616898148148147"/>
    <x v="0"/>
    <x v="7"/>
    <x v="0"/>
    <x v="0"/>
    <x v="0"/>
    <x v="0"/>
    <n v="81"/>
    <x v="0"/>
  </r>
  <r>
    <n v="1.8681475071186452E+18"/>
    <s v="bus███ss"/>
    <s v="Blo███erg███"/>
    <s v="Extreme weather is making the beloved spice less fiery. And chefs aren’t happy."/>
    <s v="&quot;2024-12-15T04:14:08.000Z&quot;"/>
    <s v="null"/>
    <s v="https://x.com/business/status/1868147507118645275"/>
    <s v="null"/>
    <n v="25"/>
    <n v="16"/>
    <n v="29"/>
    <n v="43498"/>
    <s v="https://trib.al/RmYhQxF"/>
    <s v="null"/>
    <n v="9564155"/>
    <s v="The first word in business news. Singapore newsletter: https://t.co/RtyaUOdLdF Newsletters: https://t.co/nWaCxHSKuU Podcasts: https://t.co/096e9xMbPz"/>
    <n v="1125277"/>
    <s v="https://pbs.twimg.com/profile_images/1631723279676317709/-fjgaR2p_normal.jpg"/>
    <n v="93"/>
    <b v="0"/>
    <n v="5"/>
    <n v="5"/>
    <s v="{&quot;post_id&quot;:null,&quot;profile_id&quot;:null,&quot;profile_name&quot;:null}"/>
    <s v="[&quot;https://pbs.twimg.com/card_img/1867525515831083009/AMzY0LJ8?format=jpg&amp;name=orig&quot;]"/>
    <s v="null"/>
    <s v="{&quot;data_posted&quot;:null,&quot;description&quot;:null,&quot;photos&quot;:null,&quot;post_id&quot;:null,&quot;profile_id&quot;:null,&quot;profile_name&quot;:null,&quot;url&quot;:null,&quot;videos&quot;:null}"/>
    <n v="80"/>
    <n v="1.839165019081337E-3"/>
    <d v="2024-12-15T00:00:00"/>
    <n v="0.17648148148148149"/>
    <x v="0"/>
    <x v="9"/>
    <x v="0"/>
    <x v="1"/>
    <x v="0"/>
    <x v="0"/>
    <n v="79"/>
    <x v="0"/>
  </r>
  <r>
    <n v="1.8683593406980219E+18"/>
    <s v="nyp███"/>
    <s v="New███rk ███t"/>
    <s v="Trendy NYC neighborhood invaded by ‘Greenpoint Stink’ — and locals have savage take on promise it’ll soon smell better: ‘Biggest bulls–t’"/>
    <s v="&quot;2024-12-15T18:15:53.000Z&quot;"/>
    <s v="[&quot;https://pbs.twimg.com/media/Ge2-6z8XwAACMoE.jpg&quot;]"/>
    <s v="https://x.com/nypost/status/1868359340698022014"/>
    <s v="null"/>
    <n v="8"/>
    <n v="3"/>
    <n v="28"/>
    <n v="22351"/>
    <s v="https://trib.al/gpv1S5k"/>
    <s v="null"/>
    <n v="3313887"/>
    <s v="Breaking news &amp; features from The New York Post. Follow your favorite sections: @pagesix, @nypmetro, @nypostbiz, @nypostsports, @nypfashion, @nypostopinion"/>
    <n v="706459"/>
    <s v="https://pbs.twimg.com/profile_images/966372680306868224/60wfGe9e_normal.jpg"/>
    <n v="10308"/>
    <b v="0"/>
    <n v="1"/>
    <n v="1"/>
    <s v="{&quot;post_id&quot;:null,&quot;profile_id&quot;:null,&quot;profile_name&quot;:null}"/>
    <s v="null"/>
    <s v="null"/>
    <s v="{&quot;data_posted&quot;:null,&quot;description&quot;:null,&quot;photos&quot;:null,&quot;post_id&quot;:null,&quot;profile_id&quot;:null,&quot;profile_name&quot;:null,&quot;url&quot;:null,&quot;videos&quot;:null}"/>
    <n v="41"/>
    <n v="1.8343698268533846E-3"/>
    <d v="2024-12-15T00:00:00"/>
    <n v="0.76103009259259258"/>
    <x v="0"/>
    <x v="8"/>
    <x v="0"/>
    <x v="0"/>
    <x v="0"/>
    <x v="0"/>
    <n v="137"/>
    <x v="0"/>
  </r>
  <r>
    <n v="1.8683457938636557E+18"/>
    <s v="nyp███"/>
    <s v="New███rk ███t"/>
    <s v="Bill Belichick showered with odd ‘Eagles’ chant at UNC basketball game"/>
    <s v="&quot;2024-12-15T17:22:04.000Z&quot;"/>
    <s v="[&quot;https://pbs.twimg.com/media/Ge2ymOxWoAAWhh8.jpg&quot;]"/>
    <s v="https://x.com/nypost/status/1868345793863655799"/>
    <s v="null"/>
    <n v="13"/>
    <n v="5"/>
    <n v="23"/>
    <n v="24001"/>
    <s v="https://trib.al/SCSID8J"/>
    <s v="null"/>
    <n v="3313888"/>
    <s v="Breaking news &amp; features from The New York Post. Follow your favorite sections: @pagesix, @nypmetro, @nypostbiz, @nypostsports, @nypfashion, @nypostopinion"/>
    <n v="706459"/>
    <s v="https://pbs.twimg.com/profile_images/966372680306868224/60wfGe9e_normal.jpg"/>
    <n v="10308"/>
    <b v="0"/>
    <n v="1"/>
    <n v="2"/>
    <s v="{&quot;post_id&quot;:null,&quot;profile_id&quot;:null,&quot;profile_name&quot;:null}"/>
    <s v="null"/>
    <s v="null"/>
    <s v="{&quot;data_posted&quot;:null,&quot;description&quot;:null,&quot;photos&quot;:null,&quot;post_id&quot;:null,&quot;profile_id&quot;:null,&quot;profile_name&quot;:null,&quot;url&quot;:null,&quot;videos&quot;:null}"/>
    <n v="44"/>
    <n v="1.8332569476271821E-3"/>
    <d v="2024-12-15T00:00:00"/>
    <n v="0.72365740740740736"/>
    <x v="0"/>
    <x v="12"/>
    <x v="0"/>
    <x v="0"/>
    <x v="0"/>
    <x v="0"/>
    <n v="70"/>
    <x v="0"/>
  </r>
  <r>
    <n v="1.8683404737120463E+18"/>
    <s v="The███nom███"/>
    <s v="The███ono███t"/>
    <s v="American officials are struggling to understand how deeply Chinese hackers have penetrated. The government does not know when it will be able to root them out"/>
    <s v="&quot;2024-12-15T17:00:55.000Z&quot;"/>
    <s v="null"/>
    <s v="https://x.com/TheEconomist/status/1868340473712046211"/>
    <s v="null"/>
    <n v="6"/>
    <n v="21"/>
    <n v="60"/>
    <n v="50193"/>
    <s v="https://econ.st/3ZTnyM0"/>
    <s v="null"/>
    <n v="27122998"/>
    <s v="News and analysis with a global perspective. We’re here to help you understand the world around you. Subscribe here: https://t.co/RpUQAAnhog"/>
    <n v="402760"/>
    <s v="https://pbs.twimg.com/profile_images/1847280770743750656/0DkLNOPG_normal.jpg"/>
    <n v="155"/>
    <b v="0"/>
    <n v="1"/>
    <n v="4"/>
    <s v="{&quot;post_id&quot;:null,&quot;profile_id&quot;:null,&quot;profile_name&quot;:null}"/>
    <s v="[&quot;https://pbs.twimg.com/card_img/1867213393800622080/C0o_v-ty?format=jpg&amp;name=orig&quot;]"/>
    <s v="null"/>
    <s v="{&quot;data_posted&quot;:null,&quot;description&quot;:null,&quot;photos&quot;:null,&quot;post_id&quot;:null,&quot;profile_id&quot;:null,&quot;profile_name&quot;:null,&quot;url&quot;:null,&quot;videos&quot;:null}"/>
    <n v="92"/>
    <n v="1.8329249098479868E-3"/>
    <d v="2024-12-15T00:00:00"/>
    <n v="0.7089699074074074"/>
    <x v="0"/>
    <x v="12"/>
    <x v="0"/>
    <x v="1"/>
    <x v="0"/>
    <x v="0"/>
    <n v="158"/>
    <x v="1"/>
  </r>
  <r>
    <n v="1.8684804235604503E+18"/>
    <s v="bus███ss"/>
    <s v="Blo███erg███"/>
    <s v="The arrival of a Blackstone-backed data center in Georgia means landowners need to accommodate new high-voltage lines encroaching on their property._x000a__x000a_This AI power battle could come to your town next"/>
    <s v="&quot;2024-12-16T02:17:02.000Z&quot;"/>
    <s v="null"/>
    <s v="https://x.com/business/status/1868480423560450309"/>
    <s v="null"/>
    <n v="12"/>
    <n v="8"/>
    <n v="31"/>
    <n v="34920"/>
    <s v="https://trib.al/Ia6UGJ3"/>
    <s v="null"/>
    <n v="9564156"/>
    <s v="The first word in business news. Singapore newsletter: https://t.co/RtyaUOdLdF Newsletters: https://t.co/nWaCxHSKuU Podcasts: https://t.co/096e9xMbPz"/>
    <n v="1125277"/>
    <s v="https://pbs.twimg.com/profile_images/1631723279676317709/-fjgaR2p_normal.jpg"/>
    <n v="93"/>
    <b v="0"/>
    <n v="2"/>
    <n v="11"/>
    <s v="{&quot;post_id&quot;:null,&quot;profile_id&quot;:null,&quot;profile_name&quot;:null}"/>
    <s v="[&quot;https://pbs.twimg.com/card_img/1868415985029652480/LjSNmyUa?format=jpg&amp;name=orig&quot;]"/>
    <s v="null"/>
    <s v="{&quot;data_posted&quot;:null,&quot;description&quot;:null,&quot;photos&quot;:null,&quot;post_id&quot;:null,&quot;profile_id&quot;:null,&quot;profile_name&quot;:null,&quot;url&quot;:null,&quot;videos&quot;:null}"/>
    <n v="64"/>
    <n v="1.8327605956471936E-3"/>
    <d v="2024-12-16T00:00:00"/>
    <n v="9.5162037037037031E-2"/>
    <x v="2"/>
    <x v="2"/>
    <x v="0"/>
    <x v="1"/>
    <x v="0"/>
    <x v="0"/>
    <n v="199"/>
    <x v="0"/>
  </r>
  <r>
    <n v="1.8683818957355502E+18"/>
    <s v="nyp███"/>
    <s v="New███rk ███t"/>
    <s v="Jennifer Love Hewitt breaks silence on rumors she’s ‘fighting’ with Sarah Michelle Gellar"/>
    <s v="&quot;2024-12-15T19:45:31.000Z&quot;"/>
    <s v="[&quot;https://pbs.twimg.com/media/Ge3TbrzW0AA8Rcy.jpg&quot;]"/>
    <s v="https://x.com/nypost/status/1868381895735550282"/>
    <s v="null"/>
    <n v="19"/>
    <n v="3"/>
    <n v="23"/>
    <n v="27830"/>
    <s v="https://trib.al/UN9NgaE"/>
    <s v="null"/>
    <n v="3313886"/>
    <s v="Breaking news &amp; features from The New York Post. Follow your favorite sections: @pagesix, @nypmetro, @nypostbiz, @nypostsports, @nypfashion, @nypostopinion"/>
    <n v="706459"/>
    <s v="https://pbs.twimg.com/profile_images/966372680306868224/60wfGe9e_normal.jpg"/>
    <n v="10308"/>
    <b v="0"/>
    <n v="3"/>
    <n v="3"/>
    <s v="{&quot;post_id&quot;:null,&quot;profile_id&quot;:null,&quot;profile_name&quot;:null}"/>
    <s v="null"/>
    <s v="null"/>
    <s v="{&quot;data_posted&quot;:null,&quot;description&quot;:null,&quot;photos&quot;:null,&quot;post_id&quot;:null,&quot;profile_id&quot;:null,&quot;profile_name&quot;:null,&quot;url&quot;:null,&quot;videos&quot;:null}"/>
    <n v="51"/>
    <n v="1.8325547969816744E-3"/>
    <d v="2024-12-15T00:00:00"/>
    <n v="0.82327546296296295"/>
    <x v="0"/>
    <x v="4"/>
    <x v="0"/>
    <x v="0"/>
    <x v="0"/>
    <x v="0"/>
    <n v="89"/>
    <x v="0"/>
  </r>
  <r>
    <n v="1.8683042785042642E+18"/>
    <s v="The███nom███"/>
    <s v="The███ono███t"/>
    <s v="New research shows that tourism’s “carbon intensity”—the amount of emissions produced for every dollar spent—in 2019 was 30% higher than the global economy’s average._x000a__x000a_And that is despite international attempts to reduce the industry’s environmental harm"/>
    <s v="&quot;2024-12-15T14:37:06.000Z&quot;"/>
    <s v="null"/>
    <s v="https://x.com/TheEconomist/status/1868304278504264129"/>
    <s v="null"/>
    <n v="31"/>
    <n v="12"/>
    <n v="42"/>
    <n v="50737"/>
    <s v="https://econ.st/3ZzMBSZ"/>
    <s v="null"/>
    <n v="27122998"/>
    <s v="News and analysis with a global perspective. We’re here to help you understand the world around you. Subscribe here: https://t.co/RpUQAAnhog"/>
    <n v="402760"/>
    <s v="https://pbs.twimg.com/profile_images/1847280770743750656/0DkLNOPG_normal.jpg"/>
    <n v="155"/>
    <b v="0"/>
    <n v="2"/>
    <n v="5"/>
    <s v="{&quot;post_id&quot;:null,&quot;profile_id&quot;:null,&quot;profile_name&quot;:null}"/>
    <s v="[&quot;https://pbs.twimg.com/card_img/1867214304295931904/VgCHKw7g?format=jpg&amp;name=orig&quot;]"/>
    <s v="null"/>
    <s v="{&quot;data_posted&quot;:null,&quot;description&quot;:null,&quot;photos&quot;:null,&quot;post_id&quot;:null,&quot;profile_id&quot;:null,&quot;profile_name&quot;:null,&quot;url&quot;:null,&quot;videos&quot;:null}"/>
    <n v="92"/>
    <n v="1.8132723653349627E-3"/>
    <d v="2024-12-15T00:00:00"/>
    <n v="0.60909722222222218"/>
    <x v="0"/>
    <x v="1"/>
    <x v="0"/>
    <x v="1"/>
    <x v="0"/>
    <x v="0"/>
    <n v="254"/>
    <x v="1"/>
  </r>
  <r>
    <n v="1.8681067023205256E+18"/>
    <s v="ESP███asi███"/>
    <s v="ESP███ras███"/>
    <s v="SCHRODER NOS WARRIORS! _x000a__x000a_Agora o time de Stephen Curry e Gui Santos vai deslanchar?_x000a__x000a_#NBAnaESPN"/>
    <s v="&quot;2024-12-15T01:32:00.000Z&quot;"/>
    <s v="null"/>
    <s v="https://x.com/ESPNBrasil/status/1868106702320525580"/>
    <s v="null"/>
    <n v="3"/>
    <n v="1"/>
    <n v="13"/>
    <n v="11598"/>
    <s v="https://buff.ly/3ZJm9qq"/>
    <s v="[&quot;NBAnaESPN&quot;]"/>
    <n v="3768943"/>
    <s v="ESPN: o melhor do esporte você assiste aqui!"/>
    <n v="897934"/>
    <s v="https://pbs.twimg.com/profile_images/1224436194152345608/dCEm_D7K_normal.jpg"/>
    <n v="28"/>
    <b v="0"/>
    <n v="1"/>
    <n v="3"/>
    <s v="{&quot;post_id&quot;:null,&quot;profile_id&quot;:null,&quot;profile_name&quot;:null}"/>
    <s v="[&quot;https://pbs.twimg.com/card_img/1868106703289397248/dh9XiDjc?format=jpg&amp;name=orig&quot;]"/>
    <s v="null"/>
    <s v="{&quot;data_posted&quot;:null,&quot;description&quot;:null,&quot;photos&quot;:null,&quot;post_id&quot;:null,&quot;profile_id&quot;:null,&quot;profile_name&quot;:null,&quot;url&quot;:null,&quot;videos&quot;:null}"/>
    <n v="21"/>
    <n v="1.8106570098292809E-3"/>
    <d v="2024-12-15T00:00:00"/>
    <n v="6.3888888888888884E-2"/>
    <x v="0"/>
    <x v="19"/>
    <x v="0"/>
    <x v="1"/>
    <x v="1"/>
    <x v="0"/>
    <n v="95"/>
    <x v="0"/>
  </r>
  <r>
    <n v="1.8683266150311608E+18"/>
    <s v="bus███ss"/>
    <s v="Blo███erg███"/>
    <s v="Trump is inheriting a far more dangerous world than the first time around. Will he reject the challenges or recalibrate US power to meet them?"/>
    <s v="&quot;2024-12-15T16:05:51.000Z&quot;"/>
    <s v="null"/>
    <s v="https://x.com/business/status/1868326615031160940"/>
    <s v="[{&quot;biography&quot;:null,&quot;followers&quot;:null,&quot;following&quot;:null,&quot;is_verified&quot;:null,&quot;profile_id&quot;:&quot;227682918&quot;,&quot;profile_name&quot;:&quot;Bloomberg Opinion&quot;,&quot;url&quot;:&quot;https://x.com/opinion&quot;}]"/>
    <n v="19"/>
    <n v="4"/>
    <n v="25"/>
    <n v="29867"/>
    <s v="https://trib.al/DvMhnlT"/>
    <s v="null"/>
    <n v="9564155"/>
    <s v="The first word in business news. Singapore newsletter: https://t.co/RtyaUOdLdF Newsletters: https://t.co/nWaCxHSKuU Podcasts: https://t.co/096e9xMbPz"/>
    <n v="1125277"/>
    <s v="https://pbs.twimg.com/profile_images/1631723279676317709/-fjgaR2p_normal.jpg"/>
    <n v="93"/>
    <b v="0"/>
    <n v="4"/>
    <n v="2"/>
    <s v="{&quot;post_id&quot;:null,&quot;profile_id&quot;:null,&quot;profile_name&quot;:null}"/>
    <s v="[&quot;https://pbs.twimg.com/card_img/1868289375932399616/XDFTmvDg?format=jpg&amp;name=orig&quot;]"/>
    <s v="null"/>
    <s v="{&quot;data_posted&quot;:null,&quot;description&quot;:null,&quot;photos&quot;:null,&quot;post_id&quot;:null,&quot;profile_id&quot;:null,&quot;profile_name&quot;:null,&quot;url&quot;:null,&quot;videos&quot;:null}"/>
    <n v="54"/>
    <n v="1.8080155355408979E-3"/>
    <d v="2024-12-15T00:00:00"/>
    <n v="0.67072916666666671"/>
    <x v="0"/>
    <x v="15"/>
    <x v="0"/>
    <x v="1"/>
    <x v="0"/>
    <x v="0"/>
    <n v="142"/>
    <x v="0"/>
  </r>
  <r>
    <n v="1.8680923078885381E+18"/>
    <s v="The███nom███"/>
    <s v="The███ono███t"/>
    <s v="Wherever Donald Trump takes America in the next four years will be felt for decades to come. Discover more in The World Ahead"/>
    <s v="&quot;2024-12-15T00:34:48.000Z&quot;"/>
    <s v="null"/>
    <s v="https://x.com/TheEconomist/status/1868092307888538074"/>
    <s v="null"/>
    <n v="24"/>
    <n v="16"/>
    <n v="55"/>
    <n v="57427"/>
    <s v="https://econ.st/4g4RIBQ"/>
    <s v="null"/>
    <n v="27123001"/>
    <s v="News and analysis with a global perspective. We’re here to help you understand the world around you. Subscribe here: https://t.co/RpUQAAnhog"/>
    <n v="402760"/>
    <s v="https://pbs.twimg.com/profile_images/1847280770743750656/0DkLNOPG_normal.jpg"/>
    <n v="155"/>
    <b v="0"/>
    <n v="1"/>
    <n v="7"/>
    <s v="{&quot;post_id&quot;:null,&quot;profile_id&quot;:null,&quot;profile_name&quot;:null}"/>
    <s v="[&quot;https://pbs.twimg.com/card_img/1866386260987916288/ZmNVqTRT?format=jpg&amp;name=orig&quot;]"/>
    <s v="null"/>
    <s v="{&quot;data_posted&quot;:null,&quot;description&quot;:null,&quot;photos&quot;:null,&quot;post_id&quot;:null,&quot;profile_id&quot;:null,&quot;profile_name&quot;:null,&quot;url&quot;:null,&quot;videos&quot;:null}"/>
    <n v="103"/>
    <n v="1.7935814164069166E-3"/>
    <d v="2024-12-15T00:00:00"/>
    <n v="2.4166666666666666E-2"/>
    <x v="0"/>
    <x v="5"/>
    <x v="0"/>
    <x v="1"/>
    <x v="0"/>
    <x v="0"/>
    <n v="125"/>
    <x v="1"/>
  </r>
  <r>
    <n v="1.8684340596655434E+18"/>
    <s v="Lig███A"/>
    <s v="Lig███rof███ona█████████ol"/>
    <s v="Volvé a ver las mejores acciones del triunfo de @caplatense ante @gimnasiaoficial por la #fecha27 del #TorneoBetano 2024 🏆"/>
    <s v="&quot;2024-12-15T23:12:48.000Z&quot;"/>
    <s v="null"/>
    <s v="https://x.com/LigaAFA/status/1868434059665543352"/>
    <s v="[{&quot;biography&quot;:null,&quot;followers&quot;:null,&quot;following&quot;:null,&quot;is_verified&quot;:null,&quot;profile_id&quot;:&quot;118772453&quot;,&quot;profile_name&quot;:&quot;Club Atlético Platense&quot;,&quot;url&quot;:&quot;https://x.com/caplatense&quot;},{&quot;biography&quot;:null,&quot;followers&quot;:null,&quot;following&quot;:null,&quot;is_verified&quot;:null,&quot;profile_id&quot;:&quot;118056286&quot;,&quot;profile_name&quot;:&quot;Club de Gimnasia y Esgrima La Plata&quot;,&quot;url&quot;:&quot;https://x.com/gimnasiaoficial&quot;}]"/>
    <n v="1"/>
    <n v="2"/>
    <n v="12"/>
    <n v="9010"/>
    <s v="https://www.youtube.com/watch?v=1K0A0901eS8"/>
    <s v="[&quot;fecha27&quot;,&quot;TorneoBetano&quot;]"/>
    <n v="1123810"/>
    <s v="Cuenta oficial de la Liga Profesional de Fútbol de la @AFA"/>
    <n v="34290"/>
    <s v="https://pbs.twimg.com/profile_images/1611375855892045827/5Lzl0faT_normal.jpg"/>
    <n v="63"/>
    <b v="0"/>
    <n v="1"/>
    <n v="0"/>
    <s v="{&quot;post_id&quot;:null,&quot;profile_id&quot;:null,&quot;profile_name&quot;:null}"/>
    <s v="null"/>
    <s v="null"/>
    <s v="{&quot;data_posted&quot;:null,&quot;description&quot;:null,&quot;photos&quot;:null,&quot;post_id&quot;:null,&quot;profile_id&quot;:null,&quot;profile_name&quot;:null,&quot;url&quot;:null,&quot;videos&quot;:null}"/>
    <n v="16"/>
    <n v="1.7758046614872365E-3"/>
    <d v="2024-12-15T00:00:00"/>
    <n v="0.96722222222222221"/>
    <x v="0"/>
    <x v="7"/>
    <x v="0"/>
    <x v="1"/>
    <x v="1"/>
    <x v="0"/>
    <n v="122"/>
    <x v="0"/>
  </r>
  <r>
    <n v="1.8683325557426386E+18"/>
    <s v="bus███ss"/>
    <s v="Blo███erg███"/>
    <s v="Brazil’s President Luiz Inacio Lula da Silva has been discharged from the hospital following emergency brain surgery and should stay in Sao Paulo recovering before returning to the capital, Brasilia"/>
    <s v="&quot;2024-12-15T16:29:27.000Z&quot;"/>
    <s v="null"/>
    <s v="https://x.com/business/status/1868332555742638538"/>
    <s v="null"/>
    <n v="13"/>
    <n v="6"/>
    <n v="22"/>
    <n v="26059"/>
    <s v="https://trib.al/goYHUxd"/>
    <s v="null"/>
    <n v="9564155"/>
    <s v="The first word in business news. Singapore newsletter: https://t.co/RtyaUOdLdF Newsletters: https://t.co/nWaCxHSKuU Podcasts: https://t.co/096e9xMbPz"/>
    <n v="1125277"/>
    <s v="https://pbs.twimg.com/profile_images/1631723279676317709/-fjgaR2p_normal.jpg"/>
    <n v="93"/>
    <b v="0"/>
    <n v="2"/>
    <n v="2"/>
    <s v="{&quot;post_id&quot;:null,&quot;profile_id&quot;:null,&quot;profile_name&quot;:null}"/>
    <s v="[&quot;https://pbs.twimg.com/card_img/1868332557584007168/QI6MZefK?format=jpg&amp;name=orig&quot;]"/>
    <s v="null"/>
    <s v="{&quot;data_posted&quot;:null,&quot;description&quot;:null,&quot;photos&quot;:null,&quot;post_id&quot;:null,&quot;profile_id&quot;:null,&quot;profile_name&quot;:null,&quot;url&quot;:null,&quot;videos&quot;:null}"/>
    <n v="45"/>
    <n v="1.7268506082351587E-3"/>
    <d v="2024-12-15T00:00:00"/>
    <n v="0.68711805555555561"/>
    <x v="0"/>
    <x v="15"/>
    <x v="0"/>
    <x v="1"/>
    <x v="0"/>
    <x v="0"/>
    <n v="198"/>
    <x v="0"/>
  </r>
  <r>
    <n v="1.8685234747271951E+18"/>
    <s v="bus███ss"/>
    <s v="Blo███erg███"/>
    <s v="German Chancellor Olaf Scholz will submit to a parliamentary vote of confidence on Monday that he has every intention of losing to trigger a snap election. Here’s what you need to know:"/>
    <s v="&quot;2024-12-16T05:08:06.000Z&quot;"/>
    <s v="null"/>
    <s v="https://x.com/business/status/1868523474727195009"/>
    <s v="null"/>
    <n v="6"/>
    <n v="5"/>
    <n v="11"/>
    <n v="14512"/>
    <s v="https://trib.al/etznfud"/>
    <s v="null"/>
    <n v="9564156"/>
    <s v="The first word in business news. Singapore newsletter: https://t.co/RtyaUOdLdF Newsletters: https://t.co/nWaCxHSKuU Podcasts: https://t.co/096e9xMbPz"/>
    <n v="1125277"/>
    <s v="https://pbs.twimg.com/profile_images/1631723279676317709/-fjgaR2p_normal.jpg"/>
    <n v="93"/>
    <b v="0"/>
    <n v="1"/>
    <n v="2"/>
    <s v="{&quot;post_id&quot;:null,&quot;profile_id&quot;:null,&quot;profile_name&quot;:null}"/>
    <s v="[&quot;https://pbs.twimg.com/card_img/1868523043728883712/a0v7UL-M?format=jpg&amp;name=orig&quot;]"/>
    <s v="null"/>
    <s v="{&quot;data_posted&quot;:null,&quot;description&quot;:null,&quot;photos&quot;:null,&quot;post_id&quot;:null,&quot;profile_id&quot;:null,&quot;profile_name&quot;:null,&quot;url&quot;:null,&quot;videos&quot;:null}"/>
    <n v="25"/>
    <n v="1.7227122381477398E-3"/>
    <d v="2024-12-16T00:00:00"/>
    <n v="0.21395833333333333"/>
    <x v="2"/>
    <x v="22"/>
    <x v="0"/>
    <x v="1"/>
    <x v="0"/>
    <x v="0"/>
    <n v="185"/>
    <x v="0"/>
  </r>
  <r>
    <n v="1.8681758195849631E+18"/>
    <s v="The███nom███"/>
    <s v="The███ono███t"/>
    <s v="On paper, Donald Trump’s return to the White House looks like Ukraine’s worst nightmare. But, surprisingly, many at the top of the country’s government and armed forces wanted him to win"/>
    <s v="&quot;2024-12-15T06:06:39.000Z&quot;"/>
    <s v="null"/>
    <s v="https://x.com/TheEconomist/status/1868175819584962999"/>
    <s v="null"/>
    <n v="22"/>
    <n v="11"/>
    <n v="57"/>
    <n v="55210"/>
    <s v="https://econ.st/3BtSb1m"/>
    <s v="null"/>
    <n v="27123001"/>
    <s v="News and analysis with a global perspective. We’re here to help you understand the world around you. Subscribe here: https://t.co/RpUQAAnhog"/>
    <n v="402760"/>
    <s v="https://pbs.twimg.com/profile_images/1847280770743750656/0DkLNOPG_normal.jpg"/>
    <n v="155"/>
    <b v="0"/>
    <n v="2"/>
    <n v="3"/>
    <s v="{&quot;post_id&quot;:null,&quot;profile_id&quot;:null,&quot;profile_name&quot;:null}"/>
    <s v="[&quot;https://pbs.twimg.com/card_img/1867196874286940160/bljkuLei?format=jpg&amp;name=orig&quot;]"/>
    <s v="null"/>
    <s v="{&quot;data_posted&quot;:null,&quot;description&quot;:null,&quot;photos&quot;:null,&quot;post_id&quot;:null,&quot;profile_id&quot;:null,&quot;profile_name&quot;:null,&quot;url&quot;:null,&quot;videos&quot;:null}"/>
    <n v="95"/>
    <n v="1.7207027712370948E-3"/>
    <d v="2024-12-15T00:00:00"/>
    <n v="0.25461805555555556"/>
    <x v="0"/>
    <x v="23"/>
    <x v="0"/>
    <x v="1"/>
    <x v="0"/>
    <x v="0"/>
    <n v="186"/>
    <x v="1"/>
  </r>
  <r>
    <n v="1.8683148243227282E+18"/>
    <s v="kann"/>
    <s v="כאן"/>
    <s v="איך חוזרים הביתה כשנשאבים לסדרה? _x000a__x000a_#הסדרתיים קומדיית הרפתקאות מוזיקלית, פרק 9 כבר בחוץ עם השיר &quot;הביתה לחזור&quot; _x000a_@Rereshef"/>
    <s v="&quot;2024-12-15T15:19:00.000Z&quot;"/>
    <s v="null"/>
    <s v="https://x.com/kann/status/1868314824322728186"/>
    <s v="[{&quot;biography&quot;:null,&quot;followers&quot;:null,&quot;following&quot;:null,&quot;is_verified&quot;:null,&quot;profile_id&quot;:&quot;247253781&quot;,&quot;profile_name&quot;:&quot;Reshef Shay&quot;,&quot;url&quot;:&quot;https://x.com/Rereshef&quot;}]"/>
    <n v="2"/>
    <n v="1"/>
    <n v="2"/>
    <n v="4113"/>
    <s v=""/>
    <s v="[&quot;הסדרתיים&quot;]"/>
    <n v="182895"/>
    <s v="אנחנו כאן ❤️"/>
    <n v="30781"/>
    <s v="https://pbs.twimg.com/profile_images/1843516623740633088/WbeaAr02_normal.jpg"/>
    <n v="559"/>
    <b v="0"/>
    <n v="1"/>
    <n v="1"/>
    <s v="{&quot;post_id&quot;:null,&quot;profile_id&quot;:null,&quot;profile_name&quot;:null}"/>
    <s v="null"/>
    <s v="[{&quot;duration&quot;:131648,&quot;video_url&quot;:&quot;https://video.twimg.com/amplify_video/1868295312999157761/vid/avc1/1280x720/ph-1fdRiFv3sbm-W.mp4?tag=14&quot;}]"/>
    <s v="{&quot;data_posted&quot;:null,&quot;description&quot;:null,&quot;photos&quot;:null,&quot;post_id&quot;:null,&quot;profile_id&quot;:null,&quot;profile_name&quot;:null,&quot;url&quot;:null,&quot;videos&quot;:null}"/>
    <n v="7"/>
    <n v="1.7019207391198638E-3"/>
    <d v="2024-12-15T00:00:00"/>
    <n v="0.6381944444444444"/>
    <x v="0"/>
    <x v="13"/>
    <x v="1"/>
    <x v="1"/>
    <x v="1"/>
    <x v="0"/>
    <n v="119"/>
    <x v="2"/>
  </r>
  <r>
    <n v="1.8682802126994396E+18"/>
    <s v="bus███ss"/>
    <s v="Blo███erg███"/>
    <s v="Apple’s new vision for the future of computing is a giant foldable iPad, @MarkGurman explains in this week’s Power On"/>
    <s v="&quot;2024-12-15T13:01:28.000Z&quot;"/>
    <s v="null"/>
    <s v="https://x.com/business/status/1868280212699439599"/>
    <s v="[{&quot;biography&quot;:null,&quot;followers&quot;:null,&quot;following&quot;:null,&quot;is_verified&quot;:null,&quot;profile_id&quot;:&quot;15958614&quot;,&quot;profile_name&quot;:&quot;Mark Gurman&quot;,&quot;url&quot;:&quot;https://x.com/markgurman&quot;}]"/>
    <n v="9"/>
    <n v="12"/>
    <n v="29"/>
    <n v="33083"/>
    <s v="https://trib.al/83AbfH3"/>
    <s v="null"/>
    <n v="9564231"/>
    <s v="The first word in business news. Singapore newsletter: https://t.co/RtyaUOdLdF Newsletters: https://t.co/nWaCxHSKuU Podcasts: https://t.co/096e9xMbPz"/>
    <n v="1125277"/>
    <s v="https://pbs.twimg.com/profile_images/1631723279676317709/-fjgaR2p_normal.jpg"/>
    <n v="93"/>
    <b v="0"/>
    <n v="1"/>
    <n v="5"/>
    <s v="{&quot;post_id&quot;:null,&quot;profile_id&quot;:null,&quot;profile_name&quot;:null}"/>
    <s v="[&quot;https://pbs.twimg.com/card_img/1868280040951009280/X5DsN1Pt?format=jpg&amp;name=orig&quot;]"/>
    <s v="null"/>
    <s v="{&quot;data_posted&quot;:null,&quot;description&quot;:null,&quot;photos&quot;:null,&quot;post_id&quot;:null,&quot;profile_id&quot;:null,&quot;profile_name&quot;:null,&quot;url&quot;:null,&quot;videos&quot;:null}"/>
    <n v="56"/>
    <n v="1.6927122691412508E-3"/>
    <d v="2024-12-15T00:00:00"/>
    <n v="0.54268518518518516"/>
    <x v="0"/>
    <x v="14"/>
    <x v="0"/>
    <x v="1"/>
    <x v="0"/>
    <x v="0"/>
    <n v="117"/>
    <x v="0"/>
  </r>
  <r>
    <n v="1.868268030385398E+18"/>
    <s v="bus███ss"/>
    <s v="Blo███erg███"/>
    <s v="The 50 best wines under $50, as chosen by our critic, who tasted 4,223 this year"/>
    <s v="&quot;2024-12-15T12:13:03.000Z&quot;"/>
    <s v="null"/>
    <s v="https://x.com/business/status/1868268030385397907"/>
    <s v="null"/>
    <n v="13"/>
    <n v="2"/>
    <n v="24"/>
    <n v="30943"/>
    <s v="https://trib.al/gJUjFSg"/>
    <s v="null"/>
    <n v="9564155"/>
    <s v="The first word in business news. Singapore newsletter: https://t.co/RtyaUOdLdF Newsletters: https://t.co/nWaCxHSKuU Podcasts: https://t.co/096e9xMbPz"/>
    <n v="1125277"/>
    <s v="https://pbs.twimg.com/profile_images/1631723279676317709/-fjgaR2p_normal.jpg"/>
    <n v="93"/>
    <b v="0"/>
    <n v="1"/>
    <n v="12"/>
    <s v="{&quot;post_id&quot;:null,&quot;profile_id&quot;:null,&quot;profile_name&quot;:null}"/>
    <s v="[&quot;https://pbs.twimg.com/card_img/1867641735066619906/XxBg6DhS?format=jpg&amp;name=orig&quot;]"/>
    <s v="null"/>
    <s v="{&quot;data_posted&quot;:null,&quot;description&quot;:null,&quot;photos&quot;:null,&quot;post_id&quot;:null,&quot;profile_id&quot;:null,&quot;profile_name&quot;:null,&quot;url&quot;:null,&quot;videos&quot;:null}"/>
    <n v="52"/>
    <n v="1.6805093235949973E-3"/>
    <d v="2024-12-15T00:00:00"/>
    <n v="0.50906249999999997"/>
    <x v="0"/>
    <x v="0"/>
    <x v="0"/>
    <x v="1"/>
    <x v="0"/>
    <x v="0"/>
    <n v="80"/>
    <x v="0"/>
  </r>
  <r>
    <n v="1.8684405018604134E+18"/>
    <s v="nyp███"/>
    <s v="New███rk ███t"/>
    <s v="Isaiah Simmons lauds Shedeur Sanders’ ability to ‘transform things’ if Giants draft him"/>
    <s v="&quot;2024-12-15T23:38:24.000Z&quot;"/>
    <s v="[&quot;https://pbs.twimg.com/media/Ge4IvDEWYAAX_qN.jpg&quot;]"/>
    <s v="https://x.com/nypost/status/1868440501860413557"/>
    <s v="null"/>
    <n v="14"/>
    <n v="3"/>
    <n v="24"/>
    <n v="26203"/>
    <s v="https://trib.al/J8fmwsb"/>
    <s v="null"/>
    <n v="3313886"/>
    <s v="Breaking news &amp; features from The New York Post. Follow your favorite sections: @pagesix, @nypmetro, @nypostbiz, @nypostsports, @nypfashion, @nypostopinion"/>
    <n v="706459"/>
    <s v="https://pbs.twimg.com/profile_images/966372680306868224/60wfGe9e_normal.jpg"/>
    <n v="10308"/>
    <b v="0"/>
    <n v="1"/>
    <n v="2"/>
    <s v="{&quot;post_id&quot;:null,&quot;profile_id&quot;:null,&quot;profile_name&quot;:null}"/>
    <s v="null"/>
    <s v="null"/>
    <s v="{&quot;data_posted&quot;:null,&quot;description&quot;:null,&quot;photos&quot;:null,&quot;post_id&quot;:null,&quot;profile_id&quot;:null,&quot;profile_name&quot;:null,&quot;url&quot;:null,&quot;videos&quot;:null}"/>
    <n v="44"/>
    <n v="1.6791970385070412E-3"/>
    <d v="2024-12-15T00:00:00"/>
    <n v="0.98499999999999999"/>
    <x v="0"/>
    <x v="7"/>
    <x v="0"/>
    <x v="0"/>
    <x v="0"/>
    <x v="0"/>
    <n v="87"/>
    <x v="0"/>
  </r>
  <r>
    <n v="1.8681191536907264E+18"/>
    <s v="ESP███asi███"/>
    <s v="ESP███ras███"/>
    <s v="Zubeldia define Luciano: 'Seu vínculo é com o gol'_x000a_#FutebolNaESPN"/>
    <s v="&quot;2024-12-15T02:21:28.000Z&quot;"/>
    <s v="null"/>
    <s v="https://x.com/ESPNBrasil/status/1868119153690726472"/>
    <s v="null"/>
    <n v="2"/>
    <n v="2"/>
    <n v="14"/>
    <n v="11382"/>
    <s v="https://buff.ly/3OXslpw"/>
    <s v="[&quot;FutebolNaESPN&quot;]"/>
    <n v="3768943"/>
    <s v="ESPN: o melhor do esporte você assiste aqui!"/>
    <n v="897934"/>
    <s v="https://pbs.twimg.com/profile_images/1224436194152345608/dCEm_D7K_normal.jpg"/>
    <n v="28"/>
    <b v="0"/>
    <n v="0"/>
    <n v="1"/>
    <s v="{&quot;post_id&quot;:null,&quot;profile_id&quot;:null,&quot;profile_name&quot;:null}"/>
    <s v="[&quot;https://pbs.twimg.com/card_img/1868119155573915648/SHhM4dzK?format=jpg&amp;name=orig&quot;]"/>
    <s v="null"/>
    <s v="{&quot;data_posted&quot;:null,&quot;description&quot;:null,&quot;photos&quot;:null,&quot;post_id&quot;:null,&quot;profile_id&quot;:null,&quot;profile_name&quot;:null,&quot;url&quot;:null,&quot;videos&quot;:null}"/>
    <n v="19"/>
    <n v="1.6693024073097874E-3"/>
    <d v="2024-12-15T00:00:00"/>
    <n v="9.824074074074074E-2"/>
    <x v="0"/>
    <x v="2"/>
    <x v="0"/>
    <x v="1"/>
    <x v="1"/>
    <x v="0"/>
    <n v="65"/>
    <x v="0"/>
  </r>
  <r>
    <n v="1.8681126310110986E+18"/>
    <s v="bus███ss"/>
    <s v="Blo███erg███"/>
    <s v="Reform UK is prepared to name an alleged Chinese spy linked to the Duke of York - despite a court order protecting his identity, Nigel Farage has said."/>
    <s v="&quot;2024-12-15T01:55:33.000Z&quot;"/>
    <s v="null"/>
    <s v="https://x.com/business/status/1868112631011098721"/>
    <s v="null"/>
    <n v="9"/>
    <n v="14"/>
    <n v="36"/>
    <n v="38177"/>
    <s v="https://trib.al/1Yy2lYk"/>
    <s v="null"/>
    <n v="9564156"/>
    <s v="The first word in business news. Singapore newsletter: https://t.co/RtyaUOdLdF Newsletters: https://t.co/nWaCxHSKuU Podcasts: https://t.co/096e9xMbPz"/>
    <n v="1125277"/>
    <s v="https://pbs.twimg.com/profile_images/1631723279676317709/-fjgaR2p_normal.jpg"/>
    <n v="93"/>
    <b v="0"/>
    <n v="2"/>
    <n v="2"/>
    <s v="{&quot;post_id&quot;:null,&quot;profile_id&quot;:null,&quot;profile_name&quot;:null}"/>
    <s v="[&quot;https://pbs.twimg.com/card_img/1868112068219457536/M_8rLrUh?format=jpg&amp;name=orig&quot;]"/>
    <s v="null"/>
    <s v="{&quot;data_posted&quot;:null,&quot;description&quot;:null,&quot;photos&quot;:null,&quot;post_id&quot;:null,&quot;profile_id&quot;:null,&quot;profile_name&quot;:null,&quot;url&quot;:null,&quot;videos&quot;:null}"/>
    <n v="63"/>
    <n v="1.6502082405636901E-3"/>
    <d v="2024-12-15T00:00:00"/>
    <n v="8.0243055555555554E-2"/>
    <x v="0"/>
    <x v="19"/>
    <x v="0"/>
    <x v="1"/>
    <x v="0"/>
    <x v="0"/>
    <n v="151"/>
    <x v="0"/>
  </r>
  <r>
    <n v="1.8682161997518892E+18"/>
    <s v="The███nom███"/>
    <s v="The███ono███t"/>
    <s v="Cryptocurrencies are being increasingly institutionalised. _x000a__x000a_In turn the asset class will become more ordinary, and more linked to the ups and downs of the regular financial world, which advocates had hoped to replace"/>
    <s v="&quot;2024-12-15T08:47:06.000Z&quot;"/>
    <s v="null"/>
    <s v="https://x.com/TheEconomist/status/1868216199751889180"/>
    <s v="null"/>
    <n v="12"/>
    <n v="10"/>
    <n v="45"/>
    <n v="47177"/>
    <s v="https://econ.st/3DeqCK0"/>
    <s v="null"/>
    <n v="27123001"/>
    <s v="News and analysis with a global perspective. We’re here to help you understand the world around you. Subscribe here: https://t.co/RpUQAAnhog"/>
    <n v="402760"/>
    <s v="https://pbs.twimg.com/profile_images/1847280770743750656/0DkLNOPG_normal.jpg"/>
    <n v="155"/>
    <b v="0"/>
    <n v="2"/>
    <n v="8"/>
    <s v="{&quot;post_id&quot;:null,&quot;profile_id&quot;:null,&quot;profile_name&quot;:null}"/>
    <s v="[&quot;https://pbs.twimg.com/card_img/1867164609297457152/jM4jFDfi?format=jpg&amp;name=orig&quot;]"/>
    <s v="null"/>
    <s v="{&quot;data_posted&quot;:null,&quot;description&quot;:null,&quot;photos&quot;:null,&quot;post_id&quot;:null,&quot;profile_id&quot;:null,&quot;profile_name&quot;:null,&quot;url&quot;:null,&quot;videos&quot;:null}"/>
    <n v="77"/>
    <n v="1.6321512601479534E-3"/>
    <d v="2024-12-15T00:00:00"/>
    <n v="0.36604166666666665"/>
    <x v="0"/>
    <x v="6"/>
    <x v="0"/>
    <x v="1"/>
    <x v="0"/>
    <x v="0"/>
    <n v="217"/>
    <x v="1"/>
  </r>
  <r>
    <n v="1.8682393362289298E+18"/>
    <s v="bus███ss"/>
    <s v="Blo███erg███"/>
    <s v="The 50 best wines under $50, as chosen by our critic, who tasted 4,223 this year"/>
    <s v="&quot;2024-12-15T10:19:02.000Z&quot;"/>
    <s v="null"/>
    <s v="https://x.com/business/status/1868239336228929665"/>
    <s v="null"/>
    <n v="8"/>
    <n v="5"/>
    <n v="18"/>
    <n v="27145"/>
    <s v="https://trib.al/ogT0y9d"/>
    <s v="null"/>
    <n v="9564155"/>
    <s v="The first word in business news. Singapore newsletter: https://t.co/RtyaUOdLdF Newsletters: https://t.co/nWaCxHSKuU Podcasts: https://t.co/096e9xMbPz"/>
    <n v="1125277"/>
    <s v="https://pbs.twimg.com/profile_images/1631723279676317709/-fjgaR2p_normal.jpg"/>
    <n v="93"/>
    <b v="0"/>
    <n v="1"/>
    <n v="12"/>
    <s v="{&quot;post_id&quot;:null,&quot;profile_id&quot;:null,&quot;profile_name&quot;:null}"/>
    <s v="[&quot;https://pbs.twimg.com/card_img/1867641735066619906/XxBg6DhS?format=jpg&amp;name=orig&quot;]"/>
    <s v="null"/>
    <s v="{&quot;data_posted&quot;:null,&quot;description&quot;:null,&quot;photos&quot;:null,&quot;post_id&quot;:null,&quot;profile_id&quot;:null,&quot;profile_name&quot;:null,&quot;url&quot;:null,&quot;videos&quot;:null}"/>
    <n v="44"/>
    <n v="1.6209246638423283E-3"/>
    <d v="2024-12-15T00:00:00"/>
    <n v="0.42988425925925927"/>
    <x v="0"/>
    <x v="17"/>
    <x v="0"/>
    <x v="1"/>
    <x v="0"/>
    <x v="0"/>
    <n v="80"/>
    <x v="0"/>
  </r>
  <r>
    <n v="1.8681304257065782E+18"/>
    <s v="bus███ss"/>
    <s v="Blo███erg███"/>
    <s v="South Korea’s main opposition leader Lee Jae-myung said there are no plans for now to impeach Acting President Han Duck-soo, who’s facing investigations over his role in the martial law decision."/>
    <s v="&quot;2024-12-15T03:06:16.000Z&quot;"/>
    <s v="null"/>
    <s v="https://x.com/business/status/1868130425706578121"/>
    <s v="null"/>
    <n v="17"/>
    <n v="12"/>
    <n v="25"/>
    <n v="35800"/>
    <s v="https://trib.al/RIlGaMO"/>
    <s v="null"/>
    <n v="9564155"/>
    <s v="The first word in business news. Singapore newsletter: https://t.co/RtyaUOdLdF Newsletters: https://t.co/nWaCxHSKuU Podcasts: https://t.co/096e9xMbPz"/>
    <n v="1125277"/>
    <s v="https://pbs.twimg.com/profile_images/1631723279676317709/-fjgaR2p_normal.jpg"/>
    <n v="93"/>
    <b v="0"/>
    <n v="1"/>
    <n v="3"/>
    <s v="{&quot;post_id&quot;:null,&quot;profile_id&quot;:null,&quot;profile_name&quot;:null}"/>
    <s v="[&quot;https://pbs.twimg.com/card_img/1868130427195535360/pbPiVFYR?format=jpg&amp;name=orig&quot;]"/>
    <s v="null"/>
    <s v="{&quot;data_posted&quot;:null,&quot;description&quot;:null,&quot;photos&quot;:null,&quot;post_id&quot;:null,&quot;profile_id&quot;:null,&quot;profile_name&quot;:null,&quot;url&quot;:null,&quot;videos&quot;:null}"/>
    <n v="58"/>
    <n v="1.6201117318435754E-3"/>
    <d v="2024-12-15T00:00:00"/>
    <n v="0.12935185185185186"/>
    <x v="0"/>
    <x v="21"/>
    <x v="0"/>
    <x v="1"/>
    <x v="0"/>
    <x v="0"/>
    <n v="195"/>
    <x v="0"/>
  </r>
  <r>
    <n v="1.868416186024641E+18"/>
    <s v="nyp███"/>
    <s v="New███rk ███t"/>
    <s v="‘Kraven the Hunter’ flops while ‘Moana 2’ tops the box office again"/>
    <s v="&quot;2024-12-15T22:01:46.000Z&quot;"/>
    <s v="[&quot;https://pbs.twimg.com/media/Ge3ynnhXoAA5LCB.jpg&quot;]"/>
    <s v="https://x.com/nypost/status/1868416186024640976"/>
    <s v="null"/>
    <n v="9"/>
    <n v="3"/>
    <n v="20"/>
    <n v="21800"/>
    <s v="https://trib.al/Mn9ejYa"/>
    <s v="null"/>
    <n v="3313886"/>
    <s v="Breaking news &amp; features from The New York Post. Follow your favorite sections: @pagesix, @nypmetro, @nypostbiz, @nypostsports, @nypfashion, @nypostopinion"/>
    <n v="706459"/>
    <s v="https://pbs.twimg.com/profile_images/966372680306868224/60wfGe9e_normal.jpg"/>
    <n v="10308"/>
    <b v="0"/>
    <n v="1"/>
    <n v="2"/>
    <s v="{&quot;post_id&quot;:null,&quot;profile_id&quot;:null,&quot;profile_name&quot;:null}"/>
    <s v="null"/>
    <s v="null"/>
    <s v="{&quot;data_posted&quot;:null,&quot;description&quot;:null,&quot;photos&quot;:null,&quot;post_id&quot;:null,&quot;profile_id&quot;:null,&quot;profile_name&quot;:null,&quot;url&quot;:null,&quot;videos&quot;:null}"/>
    <n v="35"/>
    <n v="1.6055045871559634E-3"/>
    <d v="2024-12-15T00:00:00"/>
    <n v="0.91789351851851853"/>
    <x v="0"/>
    <x v="11"/>
    <x v="0"/>
    <x v="0"/>
    <x v="0"/>
    <x v="0"/>
    <n v="67"/>
    <x v="0"/>
  </r>
  <r>
    <n v="1.8682252551241979E+18"/>
    <s v="bus███ss"/>
    <s v="Blo███erg███"/>
    <s v="Countries hit by severe storms and droughts are buying parametric insurance to help with recovery._x000a__x000a_But it doesn’t always pay out — and it’s no substitute for climate compensation withheld by the rich world"/>
    <s v="&quot;2024-12-15T09:23:05.000Z&quot;"/>
    <s v="null"/>
    <s v="https://x.com/business/status/1868225255124197866"/>
    <s v="null"/>
    <n v="15"/>
    <n v="3"/>
    <n v="23"/>
    <n v="27699"/>
    <s v="https://trib.al/yAe9k6h"/>
    <s v="null"/>
    <n v="9564155"/>
    <s v="The first word in business news. Singapore newsletter: https://t.co/RtyaUOdLdF Newsletters: https://t.co/nWaCxHSKuU Podcasts: https://t.co/096e9xMbPz"/>
    <n v="1125277"/>
    <s v="https://pbs.twimg.com/profile_images/1631723279676317709/-fjgaR2p_normal.jpg"/>
    <n v="93"/>
    <b v="0"/>
    <n v="1"/>
    <n v="2"/>
    <s v="{&quot;post_id&quot;:null,&quot;profile_id&quot;:null,&quot;profile_name&quot;:null}"/>
    <s v="[&quot;https://pbs.twimg.com/card_img/1867087425002000384/Zx-Lo66-?format=jpg&amp;name=orig&quot;]"/>
    <s v="null"/>
    <s v="{&quot;data_posted&quot;:null,&quot;description&quot;:null,&quot;photos&quot;:null,&quot;post_id&quot;:null,&quot;profile_id&quot;:null,&quot;profile_name&quot;:null,&quot;url&quot;:null,&quot;videos&quot;:null}"/>
    <n v="44"/>
    <n v="1.5885050001805119E-3"/>
    <d v="2024-12-15T00:00:00"/>
    <n v="0.39103009259259258"/>
    <x v="0"/>
    <x v="18"/>
    <x v="0"/>
    <x v="1"/>
    <x v="0"/>
    <x v="0"/>
    <n v="206"/>
    <x v="0"/>
  </r>
  <r>
    <n v="1.8685121374059971E+18"/>
    <s v="bus███ss"/>
    <s v="Blo███erg███"/>
    <s v="The president is in good condition, walking and eating, his doctors said."/>
    <s v="&quot;2024-12-16T04:23:03.000Z&quot;"/>
    <s v="null"/>
    <s v="https://x.com/business/status/1868512137405997162"/>
    <s v="null"/>
    <n v="5"/>
    <n v="6"/>
    <n v="17"/>
    <n v="20167"/>
    <s v="https://trib.al/cB0io0T"/>
    <s v="null"/>
    <n v="9564156"/>
    <s v="The first word in business news. Singapore newsletter: https://t.co/RtyaUOdLdF Newsletters: https://t.co/nWaCxHSKuU Podcasts: https://t.co/096e9xMbPz"/>
    <n v="1125277"/>
    <s v="https://pbs.twimg.com/profile_images/1631723279676317709/-fjgaR2p_normal.jpg"/>
    <n v="93"/>
    <b v="0"/>
    <n v="1"/>
    <n v="3"/>
    <s v="{&quot;post_id&quot;:null,&quot;profile_id&quot;:null,&quot;profile_name&quot;:null}"/>
    <s v="[&quot;https://pbs.twimg.com/card_img/1868332557584007168/QI6MZefK?format=jpg&amp;name=orig&quot;]"/>
    <s v="null"/>
    <s v="{&quot;data_posted&quot;:null,&quot;description&quot;:null,&quot;photos&quot;:null,&quot;post_id&quot;:null,&quot;profile_id&quot;:null,&quot;profile_name&quot;:null,&quot;url&quot;:null,&quot;videos&quot;:null}"/>
    <n v="32"/>
    <n v="1.5867506322209551E-3"/>
    <d v="2024-12-16T00:00:00"/>
    <n v="0.18267361111111111"/>
    <x v="2"/>
    <x v="9"/>
    <x v="0"/>
    <x v="1"/>
    <x v="0"/>
    <x v="0"/>
    <n v="73"/>
    <x v="0"/>
  </r>
  <r>
    <n v="1.86825620016221E+18"/>
    <s v="bus███ss"/>
    <s v="Blo███erg███"/>
    <s v="Singapore has embraced cryptocurrency more than any other country - but it's been a bumpy ride. _x000a__x000a_Find out why in this week's free Singapore Edition newsletter."/>
    <s v="&quot;2024-12-15T11:26:03.000Z&quot;"/>
    <s v="null"/>
    <s v="https://x.com/business/status/1868256200162209998"/>
    <s v="null"/>
    <n v="15"/>
    <n v="3"/>
    <n v="27"/>
    <n v="30435"/>
    <s v="https://trib.al/yeJqUEE"/>
    <s v="null"/>
    <n v="9564155"/>
    <s v="The first word in business news. Singapore newsletter: https://t.co/RtyaUOdLdF Newsletters: https://t.co/nWaCxHSKuU Podcasts: https://t.co/096e9xMbPz"/>
    <n v="1125277"/>
    <s v="https://pbs.twimg.com/profile_images/1631723279676317709/-fjgaR2p_normal.jpg"/>
    <n v="93"/>
    <b v="0"/>
    <n v="2"/>
    <n v="1"/>
    <s v="{&quot;post_id&quot;:null,&quot;profile_id&quot;:null,&quot;profile_name&quot;:null}"/>
    <s v="[&quot;https://pbs.twimg.com/card_img/1867736560818425857/DeBFyDU7?format=jpg&amp;name=orig&quot;]"/>
    <s v="null"/>
    <s v="{&quot;data_posted&quot;:null,&quot;description&quot;:null,&quot;photos&quot;:null,&quot;post_id&quot;:null,&quot;profile_id&quot;:null,&quot;profile_name&quot;:null,&quot;url&quot;:null,&quot;videos&quot;:null}"/>
    <n v="48"/>
    <n v="1.5771315919172006E-3"/>
    <d v="2024-12-15T00:00:00"/>
    <n v="0.47642361111111109"/>
    <x v="0"/>
    <x v="16"/>
    <x v="0"/>
    <x v="1"/>
    <x v="0"/>
    <x v="0"/>
    <n v="160"/>
    <x v="0"/>
  </r>
  <r>
    <n v="1.8685202112482798E+18"/>
    <s v="bus███ss"/>
    <s v="Blo███erg███"/>
    <s v="The operation by the Palestinian Authority, targeting Hamas and Islamic Jihad militants in the city of Jenin, was launched on Dec. 5."/>
    <s v="&quot;2024-12-16T04:55:08.000Z&quot;"/>
    <s v="null"/>
    <s v="https://x.com/business/status/1868520211248279840"/>
    <s v="null"/>
    <n v="3"/>
    <n v="4"/>
    <n v="13"/>
    <n v="15491"/>
    <s v="https://trib.al/RK1S3C4"/>
    <s v="null"/>
    <n v="9564153"/>
    <s v="The first word in business news. Singapore newsletter: https://t.co/RtyaUOdLdF Newsletters: https://t.co/nWaCxHSKuU Podcasts: https://t.co/096e9xMbPz"/>
    <n v="1125277"/>
    <s v="https://pbs.twimg.com/profile_images/1631723279676317709/-fjgaR2p_normal.jpg"/>
    <n v="93"/>
    <b v="0"/>
    <n v="2"/>
    <n v="2"/>
    <s v="{&quot;post_id&quot;:null,&quot;profile_id&quot;:null,&quot;profile_name&quot;:null}"/>
    <s v="[&quot;https://pbs.twimg.com/card_img/1868362710066307072/1vuEYq8E?format=jpg&amp;name=orig&quot;]"/>
    <s v="null"/>
    <s v="{&quot;data_posted&quot;:null,&quot;description&quot;:null,&quot;photos&quot;:null,&quot;post_id&quot;:null,&quot;profile_id&quot;:null,&quot;profile_name&quot;:null,&quot;url&quot;:null,&quot;videos&quot;:null}"/>
    <n v="24"/>
    <n v="1.5492866825898908E-3"/>
    <d v="2024-12-16T00:00:00"/>
    <n v="0.20495370370370369"/>
    <x v="2"/>
    <x v="9"/>
    <x v="0"/>
    <x v="1"/>
    <x v="0"/>
    <x v="0"/>
    <n v="133"/>
    <x v="0"/>
  </r>
  <r>
    <n v="1.8680943852309097E+18"/>
    <s v="bus███ss"/>
    <s v="Blo███erg███"/>
    <s v="How the viral success of South Korea's super-spicy Buldak ramen helped make the company's CEO — a former stay-home-mom — a billionaire"/>
    <s v="&quot;2024-12-15T00:43:03.000Z&quot;"/>
    <s v="null"/>
    <s v="https://x.com/business/status/1868094385230909601"/>
    <s v="null"/>
    <n v="3"/>
    <n v="12"/>
    <n v="35"/>
    <n v="36885"/>
    <s v="https://trib.al/N39L21G"/>
    <s v="null"/>
    <n v="9564156"/>
    <s v="The first word in business news. Singapore newsletter: https://t.co/RtyaUOdLdF Newsletters: https://t.co/nWaCxHSKuU Podcasts: https://t.co/096e9xMbPz"/>
    <n v="1125277"/>
    <s v="https://pbs.twimg.com/profile_images/1631723279676317709/-fjgaR2p_normal.jpg"/>
    <n v="93"/>
    <b v="0"/>
    <n v="1"/>
    <n v="6"/>
    <s v="{&quot;post_id&quot;:null,&quot;profile_id&quot;:null,&quot;profile_name&quot;:null}"/>
    <s v="[&quot;https://pbs.twimg.com/card_img/1867300782686588928/2jLGBuRb?format=jpg&amp;name=orig&quot;]"/>
    <s v="null"/>
    <s v="{&quot;data_posted&quot;:null,&quot;description&quot;:null,&quot;photos&quot;:null,&quot;post_id&quot;:null,&quot;profile_id&quot;:null,&quot;profile_name&quot;:null,&quot;url&quot;:null,&quot;videos&quot;:null}"/>
    <n v="57"/>
    <n v="1.5453436356242375E-3"/>
    <d v="2024-12-15T00:00:00"/>
    <n v="2.9895833333333333E-2"/>
    <x v="0"/>
    <x v="5"/>
    <x v="0"/>
    <x v="1"/>
    <x v="0"/>
    <x v="0"/>
    <n v="134"/>
    <x v="0"/>
  </r>
  <r>
    <n v="1.8683888727673042E+18"/>
    <s v="nyp███"/>
    <s v="New███rk ███t"/>
    <s v="Bill Belichick targeting Raiders’ Scott Turner as UNC offensive coordinator"/>
    <s v="&quot;2024-12-15T20:13:14.000Z&quot;"/>
    <s v="[&quot;https://pbs.twimg.com/media/Ge3ZxzeWwAAtOdz.jpg&quot;]"/>
    <s v="https://x.com/nypost/status/1868388872767304118"/>
    <s v="null"/>
    <n v="7"/>
    <n v="4"/>
    <n v="23"/>
    <n v="23766"/>
    <s v="https://trib.al/HxNF5ZY"/>
    <s v="null"/>
    <n v="3313887"/>
    <s v="Breaking news &amp; features from The New York Post. Follow your favorite sections: @pagesix, @nypmetro, @nypostbiz, @nypostsports, @nypfashion, @nypostopinion"/>
    <n v="706459"/>
    <s v="https://pbs.twimg.com/profile_images/966372680306868224/60wfGe9e_normal.jpg"/>
    <n v="10308"/>
    <b v="0"/>
    <n v="1"/>
    <n v="1"/>
    <s v="{&quot;post_id&quot;:null,&quot;profile_id&quot;:null,&quot;profile_name&quot;:null}"/>
    <s v="null"/>
    <s v="null"/>
    <s v="{&quot;data_posted&quot;:null,&quot;description&quot;:null,&quot;photos&quot;:null,&quot;post_id&quot;:null,&quot;profile_id&quot;:null,&quot;profile_name&quot;:null,&quot;url&quot;:null,&quot;videos&quot;:null}"/>
    <n v="36"/>
    <n v="1.5147689977278464E-3"/>
    <d v="2024-12-15T00:00:00"/>
    <n v="0.8425231481481481"/>
    <x v="0"/>
    <x v="3"/>
    <x v="0"/>
    <x v="0"/>
    <x v="0"/>
    <x v="0"/>
    <n v="75"/>
    <x v="0"/>
  </r>
  <r>
    <n v="1.8681559625712806E+18"/>
    <s v="ESP███asi███"/>
    <s v="ESP███ras███"/>
    <s v="THUNDER IMPARÁVEL! ⚡ _x000a__x000a_Eles conseguirão superar os Bucks na final?_x000a__x000a_#NBAnaESPN"/>
    <s v="&quot;2024-12-15T04:47:44.000Z&quot;"/>
    <s v="null"/>
    <s v="https://x.com/ESPNBrasil/status/1868155962571280602"/>
    <s v="null"/>
    <n v="2"/>
    <n v="2"/>
    <n v="10"/>
    <n v="9985"/>
    <s v="https://buff.ly/3ZCAvsz"/>
    <s v="[&quot;NBAnaESPN&quot;]"/>
    <n v="3768943"/>
    <s v="ESPN: o melhor do esporte você assiste aqui!"/>
    <n v="897934"/>
    <s v="https://pbs.twimg.com/profile_images/1224436194152345608/dCEm_D7K_normal.jpg"/>
    <n v="28"/>
    <b v="0"/>
    <n v="0"/>
    <n v="1"/>
    <s v="{&quot;post_id&quot;:null,&quot;profile_id&quot;:null,&quot;profile_name&quot;:null}"/>
    <s v="[&quot;https://pbs.twimg.com/card_img/1868155963397513216/_pkNGLUb?format=jpg&amp;name=orig&quot;]"/>
    <s v="null"/>
    <s v="{&quot;data_posted&quot;:null,&quot;description&quot;:null,&quot;photos&quot;:null,&quot;post_id&quot;:null,&quot;profile_id&quot;:null,&quot;profile_name&quot;:null,&quot;url&quot;:null,&quot;videos&quot;:null}"/>
    <n v="15"/>
    <n v="1.5022533800701052E-3"/>
    <d v="2024-12-15T00:00:00"/>
    <n v="0.19981481481481481"/>
    <x v="0"/>
    <x v="9"/>
    <x v="0"/>
    <x v="1"/>
    <x v="1"/>
    <x v="0"/>
    <n v="78"/>
    <x v="0"/>
  </r>
  <r>
    <n v="1.8684415332145321E+18"/>
    <s v="bus███ss"/>
    <s v="Blo███erg███"/>
    <s v="Former House Speaker Nancy Pelosi, 84, was injured Friday during an official engagement marking 80 years since the Battle of the Bulge."/>
    <s v="&quot;2024-12-15T23:42:30.000Z&quot;"/>
    <s v="null"/>
    <s v="https://x.com/business/status/1868441533214531990"/>
    <s v="null"/>
    <n v="12"/>
    <n v="7"/>
    <n v="21"/>
    <n v="29394"/>
    <s v="https://trib.al/BDn8Pk0"/>
    <s v="null"/>
    <n v="9564156"/>
    <s v="The first word in business news. Singapore newsletter: https://t.co/RtyaUOdLdF Newsletters: https://t.co/nWaCxHSKuU Podcasts: https://t.co/096e9xMbPz"/>
    <n v="1125277"/>
    <s v="https://pbs.twimg.com/profile_images/1631723279676317709/-fjgaR2p_normal.jpg"/>
    <n v="93"/>
    <b v="0"/>
    <n v="3"/>
    <n v="1"/>
    <s v="{&quot;post_id&quot;:null,&quot;profile_id&quot;:null,&quot;profile_name&quot;:null}"/>
    <s v="[&quot;https://pbs.twimg.com/card_img/1868000704645799936/kmLRe4td?format=jpg&amp;name=orig&quot;]"/>
    <s v="null"/>
    <s v="{&quot;data_posted&quot;:null,&quot;description&quot;:null,&quot;photos&quot;:null,&quot;post_id&quot;:null,&quot;profile_id&quot;:null,&quot;profile_name&quot;:null,&quot;url&quot;:null,&quot;videos&quot;:null}"/>
    <n v="44"/>
    <n v="1.4969041300945771E-3"/>
    <d v="2024-12-15T00:00:00"/>
    <n v="0.98784722222222221"/>
    <x v="0"/>
    <x v="7"/>
    <x v="0"/>
    <x v="1"/>
    <x v="0"/>
    <x v="0"/>
    <n v="135"/>
    <x v="0"/>
  </r>
  <r>
    <n v="1.8684700016041331E+18"/>
    <s v="The███nom███"/>
    <s v="The███ono███t"/>
    <s v="A fifth of adults in rich countries do no better in maths and reading than might be expected of a primary-school child, new data suggest._x000a__x000a_What to do? We outline two tasks ahead:"/>
    <s v="&quot;2024-12-16T01:35:37.000Z&quot;"/>
    <s v="null"/>
    <s v="https://x.com/TheEconomist/status/1868470001604133131"/>
    <s v="null"/>
    <n v="12"/>
    <n v="6"/>
    <n v="38"/>
    <n v="43452"/>
    <s v="https://econ.st/3BpBnZq"/>
    <s v="null"/>
    <n v="27122999"/>
    <s v="News and analysis with a global perspective. We’re here to help you understand the world around you. Subscribe here: https://t.co/RpUQAAnhog"/>
    <n v="402761"/>
    <s v="https://pbs.twimg.com/profile_images/1847280770743750656/0DkLNOPG_normal.jpg"/>
    <n v="155"/>
    <b v="0"/>
    <n v="3"/>
    <n v="6"/>
    <s v="{&quot;post_id&quot;:null,&quot;profile_id&quot;:null,&quot;profile_name&quot;:null}"/>
    <s v="[&quot;https://pbs.twimg.com/card_img/1867211469055516672/MgXBiEmn?format=jpg&amp;name=orig&quot;]"/>
    <s v="null"/>
    <s v="{&quot;data_posted&quot;:null,&quot;description&quot;:null,&quot;photos&quot;:null,&quot;post_id&quot;:null,&quot;profile_id&quot;:null,&quot;profile_name&quot;:null,&quot;url&quot;:null,&quot;videos&quot;:null}"/>
    <n v="65"/>
    <n v="1.4959035257295407E-3"/>
    <d v="2024-12-16T00:00:00"/>
    <n v="6.6400462962962967E-2"/>
    <x v="2"/>
    <x v="19"/>
    <x v="0"/>
    <x v="1"/>
    <x v="0"/>
    <x v="0"/>
    <n v="178"/>
    <x v="1"/>
  </r>
  <r>
    <n v="1.8682904198863506E+18"/>
    <s v="The███nom███"/>
    <s v="The███ono███t"/>
    <s v="Since 2020, the global economy has been pummelled by a succession of shocks: the pandemic, a fiscal spending bonanza, an inflation spike, the invasion of Ukraine and more. As the dust settles, what has changed? Read more in The World Ahead"/>
    <s v="&quot;2024-12-15T13:42:01.000Z&quot;"/>
    <s v="null"/>
    <s v="https://x.com/TheEconomist/status/1868290419886350624"/>
    <s v="null"/>
    <n v="7"/>
    <n v="19"/>
    <n v="44"/>
    <n v="53672"/>
    <s v="https://econ.st/4eSiQ5G"/>
    <s v="null"/>
    <n v="27122998"/>
    <s v="News and analysis with a global perspective. We’re here to help you understand the world around you. Subscribe here: https://t.co/RpUQAAnhog"/>
    <n v="402760"/>
    <s v="https://pbs.twimg.com/profile_images/1847280770743750656/0DkLNOPG_normal.jpg"/>
    <n v="155"/>
    <b v="0"/>
    <n v="1"/>
    <n v="9"/>
    <s v="{&quot;post_id&quot;:null,&quot;profile_id&quot;:null,&quot;profile_name&quot;:null}"/>
    <s v="[&quot;https://pbs.twimg.com/card_img/1866731337388003331/y0Y6CHrz?format=jpg&amp;name=orig&quot;]"/>
    <s v="null"/>
    <s v="{&quot;data_posted&quot;:null,&quot;description&quot;:null,&quot;photos&quot;:null,&quot;post_id&quot;:null,&quot;profile_id&quot;:null,&quot;profile_name&quot;:null,&quot;url&quot;:null,&quot;videos&quot;:null}"/>
    <n v="80"/>
    <n v="1.4905351021016545E-3"/>
    <d v="2024-12-15T00:00:00"/>
    <n v="0.57084490740740745"/>
    <x v="0"/>
    <x v="14"/>
    <x v="0"/>
    <x v="1"/>
    <x v="0"/>
    <x v="0"/>
    <n v="239"/>
    <x v="1"/>
  </r>
  <r>
    <n v="1.8683774951011986E+18"/>
    <s v="The███nom███"/>
    <s v="The███ono███t"/>
    <s v="Researchers have found that a competent manager had about twice as much impact on a team’s performance as a competent worker. They also discovered which traits were associated with good and bad managerial performance"/>
    <s v="&quot;2024-12-15T19:28:02.000Z&quot;"/>
    <s v="null"/>
    <s v="https://x.com/TheEconomist/status/1868377495101198592"/>
    <s v="null"/>
    <n v="1"/>
    <n v="8"/>
    <n v="39"/>
    <n v="52486"/>
    <s v="https://econ.st/49DxkoV"/>
    <s v="null"/>
    <n v="27122998"/>
    <s v="News and analysis with a global perspective. We’re here to help you understand the world around you. Subscribe here: https://t.co/RpUQAAnhog"/>
    <n v="402760"/>
    <s v="https://pbs.twimg.com/profile_images/1847280770743750656/0DkLNOPG_normal.jpg"/>
    <n v="155"/>
    <b v="0"/>
    <n v="1"/>
    <n v="29"/>
    <s v="{&quot;post_id&quot;:null,&quot;profile_id&quot;:null,&quot;profile_name&quot;:null}"/>
    <s v="[&quot;https://pbs.twimg.com/card_img/1867232251160805376/5BZnIJ8G?format=jpg&amp;name=orig&quot;]"/>
    <s v="null"/>
    <s v="{&quot;data_posted&quot;:null,&quot;description&quot;:null,&quot;photos&quot;:null,&quot;post_id&quot;:null,&quot;profile_id&quot;:null,&quot;profile_name&quot;:null,&quot;url&quot;:null,&quot;videos&quot;:null}"/>
    <n v="78"/>
    <n v="1.486110581869451E-3"/>
    <d v="2024-12-15T00:00:00"/>
    <n v="0.8111342592592593"/>
    <x v="0"/>
    <x v="4"/>
    <x v="0"/>
    <x v="1"/>
    <x v="0"/>
    <x v="0"/>
    <n v="216"/>
    <x v="1"/>
  </r>
  <r>
    <n v="1.8685237389640379E+18"/>
    <s v="bus███ss"/>
    <s v="Blo███erg███"/>
    <s v="Volkswagen’s stalemate with labor leaders looks increasingly likely to drag into 2025, denying CEO Oliver Blume the fresh start he’s seeking to turn around Europe’s biggest carmaker"/>
    <s v="&quot;2024-12-16T05:09:09.000Z&quot;"/>
    <s v="null"/>
    <s v="https://x.com/business/status/1868523738964037954"/>
    <s v="null"/>
    <n v="4"/>
    <n v="4"/>
    <n v="12"/>
    <n v="14819"/>
    <s v="https://trib.al/AFFxPYS"/>
    <s v="null"/>
    <n v="9564154"/>
    <s v="The first word in business news. Singapore newsletter: https://t.co/RtyaUOdLdF Newsletters: https://t.co/nWaCxHSKuU Podcasts: https://t.co/096e9xMbPz"/>
    <n v="1125277"/>
    <s v="https://pbs.twimg.com/profile_images/1631723279676317709/-fjgaR2p_normal.jpg"/>
    <n v="93"/>
    <b v="0"/>
    <n v="1"/>
    <n v="1"/>
    <s v="{&quot;post_id&quot;:null,&quot;profile_id&quot;:null,&quot;profile_name&quot;:null}"/>
    <s v="[&quot;https://pbs.twimg.com/card_img/1868523743334498304/sN1eE05t?format=jpg&amp;name=orig&quot;]"/>
    <s v="null"/>
    <s v="{&quot;data_posted&quot;:null,&quot;description&quot;:null,&quot;photos&quot;:null,&quot;post_id&quot;:null,&quot;profile_id&quot;:null,&quot;profile_name&quot;:null,&quot;url&quot;:null,&quot;videos&quot;:null}"/>
    <n v="22"/>
    <n v="1.4845806059788111E-3"/>
    <d v="2024-12-16T00:00:00"/>
    <n v="0.2146875"/>
    <x v="2"/>
    <x v="22"/>
    <x v="0"/>
    <x v="1"/>
    <x v="0"/>
    <x v="0"/>
    <n v="181"/>
    <x v="0"/>
  </r>
  <r>
    <n v="1.86820677129617E+18"/>
    <s v="bus███ss"/>
    <s v="Blo███erg███"/>
    <s v="The ECB should lower interest rates further but probably won’t need to take them to levels that would stimulate economic expansion, according to Governing Council member Martins Kazaks"/>
    <s v="&quot;2024-12-15T08:09:38.000Z&quot;"/>
    <s v="null"/>
    <s v="https://x.com/business/status/1868206771296169996"/>
    <s v="null"/>
    <n v="7"/>
    <n v="9"/>
    <n v="24"/>
    <n v="28855"/>
    <s v="https://trib.al/5jffX14"/>
    <s v="null"/>
    <n v="9564155"/>
    <s v="The first word in business news. Singapore newsletter: https://t.co/RtyaUOdLdF Newsletters: https://t.co/nWaCxHSKuU Podcasts: https://t.co/096e9xMbPz"/>
    <n v="1125277"/>
    <s v="https://pbs.twimg.com/profile_images/1631723279676317709/-fjgaR2p_normal.jpg"/>
    <n v="93"/>
    <b v="0"/>
    <n v="1"/>
    <n v="1"/>
    <s v="{&quot;post_id&quot;:null,&quot;profile_id&quot;:null,&quot;profile_name&quot;:null}"/>
    <s v="[&quot;https://pbs.twimg.com/card_img/1868206775515693056/YawBI5hz?format=jpg&amp;name=orig&quot;]"/>
    <s v="null"/>
    <s v="{&quot;data_posted&quot;:null,&quot;description&quot;:null,&quot;photos&quot;:null,&quot;post_id&quot;:null,&quot;profile_id&quot;:null,&quot;profile_name&quot;:null,&quot;url&quot;:null,&quot;videos&quot;:null}"/>
    <n v="42"/>
    <n v="1.4555536302200659E-3"/>
    <d v="2024-12-15T00:00:00"/>
    <n v="0.34002314814814816"/>
    <x v="0"/>
    <x v="6"/>
    <x v="0"/>
    <x v="1"/>
    <x v="0"/>
    <x v="0"/>
    <n v="184"/>
    <x v="0"/>
  </r>
  <r>
    <n v="1.8683017591955251E+18"/>
    <s v="bus███ss"/>
    <s v="Blo███erg███"/>
    <s v="Singapore has embraced cryptocurrency more than any other country - but it's been a bumpy ride. _x000a__x000a_Find out why in this week's free Singapore Edition newsletter."/>
    <s v="&quot;2024-12-15T14:27:05.000Z&quot;"/>
    <s v="null"/>
    <s v="https://x.com/business/status/1868301759195525185"/>
    <s v="null"/>
    <n v="5"/>
    <n v="4"/>
    <n v="26"/>
    <n v="28240"/>
    <s v="https://trib.al/jAVvdQo"/>
    <s v="null"/>
    <n v="9564155"/>
    <s v="The first word in business news. Singapore newsletter: https://t.co/RtyaUOdLdF Newsletters: https://t.co/nWaCxHSKuU Podcasts: https://t.co/096e9xMbPz"/>
    <n v="1125277"/>
    <s v="https://pbs.twimg.com/profile_images/1631723279676317709/-fjgaR2p_normal.jpg"/>
    <n v="93"/>
    <b v="0"/>
    <n v="1"/>
    <n v="5"/>
    <s v="{&quot;post_id&quot;:null,&quot;profile_id&quot;:null,&quot;profile_name&quot;:null}"/>
    <s v="[&quot;https://pbs.twimg.com/card_img/1867736560818425857/DeBFyDU7?format=jpg&amp;name=orig&quot;]"/>
    <s v="null"/>
    <s v="{&quot;data_posted&quot;:null,&quot;description&quot;:null,&quot;photos&quot;:null,&quot;post_id&quot;:null,&quot;profile_id&quot;:null,&quot;profile_name&quot;:null,&quot;url&quot;:null,&quot;videos&quot;:null}"/>
    <n v="41"/>
    <n v="1.4518413597733712E-3"/>
    <d v="2024-12-15T00:00:00"/>
    <n v="0.60214120370370372"/>
    <x v="0"/>
    <x v="1"/>
    <x v="0"/>
    <x v="1"/>
    <x v="0"/>
    <x v="0"/>
    <n v="160"/>
    <x v="0"/>
  </r>
  <r>
    <n v="1.8682242346667461E+18"/>
    <s v="The███nom███"/>
    <s v="The███ono███t"/>
    <s v="Romania’s constitutional court has annulled the country’s presidential election after a crankish candidate illegally exploited social-media algorithms._x000a__x000a_There is little doubt that this was the case, but there were other factors for his success"/>
    <s v="&quot;2024-12-15T09:19:02.000Z&quot;"/>
    <s v="null"/>
    <s v="https://x.com/TheEconomist/status/1868224234666746110"/>
    <s v="null"/>
    <n v="37"/>
    <n v="26"/>
    <n v="83"/>
    <n v="116897"/>
    <s v="https://econ.st/41wSbIo"/>
    <s v="null"/>
    <n v="27122999"/>
    <s v="News and analysis with a global perspective. We’re here to help you understand the world around you. Subscribe here: https://t.co/RpUQAAnhog"/>
    <n v="402760"/>
    <s v="https://pbs.twimg.com/profile_images/1847280770743750656/0DkLNOPG_normal.jpg"/>
    <n v="155"/>
    <b v="0"/>
    <n v="9"/>
    <n v="13"/>
    <s v="{&quot;post_id&quot;:null,&quot;profile_id&quot;:null,&quot;profile_name&quot;:null}"/>
    <s v="[&quot;https://pbs.twimg.com/card_img/1867212227784192001/XhVjkB9Z?format=jpg&amp;name=orig&quot;]"/>
    <s v="null"/>
    <s v="{&quot;data_posted&quot;:null,&quot;description&quot;:null,&quot;photos&quot;:null,&quot;post_id&quot;:null,&quot;profile_id&quot;:null,&quot;profile_name&quot;:null,&quot;url&quot;:null,&quot;videos&quot;:null}"/>
    <n v="168"/>
    <n v="1.4371626303497952E-3"/>
    <d v="2024-12-15T00:00:00"/>
    <n v="0.38821759259259259"/>
    <x v="0"/>
    <x v="18"/>
    <x v="0"/>
    <x v="1"/>
    <x v="0"/>
    <x v="0"/>
    <n v="243"/>
    <x v="1"/>
  </r>
  <r>
    <n v="1.8684108045941555E+18"/>
    <s v="nyp███"/>
    <s v="New███rk ███t"/>
    <s v="MTA’s pop-up store sells MetroCard machines and other strange items — but buyers have to act fast"/>
    <s v="&quot;2024-12-15T21:40:23.000Z&quot;"/>
    <s v="[&quot;https://pbs.twimg.com/media/Ge3tuZgXsAAO7xp.jpg&quot;]"/>
    <s v="https://x.com/nypost/status/1868410804594155593"/>
    <s v="null"/>
    <n v="6"/>
    <n v="3"/>
    <n v="21"/>
    <n v="23102"/>
    <s v="https://trib.al/OhtugZC"/>
    <s v="null"/>
    <n v="3313886"/>
    <s v="Breaking news &amp; features from The New York Post. Follow your favorite sections: @pagesix, @nypmetro, @nypostbiz, @nypostsports, @nypfashion, @nypostopinion"/>
    <n v="706459"/>
    <s v="https://pbs.twimg.com/profile_images/966372680306868224/60wfGe9e_normal.jpg"/>
    <n v="10308"/>
    <b v="0"/>
    <n v="1"/>
    <n v="2"/>
    <s v="{&quot;post_id&quot;:null,&quot;profile_id&quot;:null,&quot;profile_name&quot;:null}"/>
    <s v="null"/>
    <s v="null"/>
    <s v="{&quot;data_posted&quot;:null,&quot;description&quot;:null,&quot;photos&quot;:null,&quot;post_id&quot;:null,&quot;profile_id&quot;:null,&quot;profile_name&quot;:null,&quot;url&quot;:null,&quot;videos&quot;:null}"/>
    <n v="33"/>
    <n v="1.4284477534412606E-3"/>
    <d v="2024-12-15T00:00:00"/>
    <n v="0.90304398148148146"/>
    <x v="0"/>
    <x v="10"/>
    <x v="0"/>
    <x v="0"/>
    <x v="0"/>
    <x v="0"/>
    <n v="97"/>
    <x v="0"/>
  </r>
  <r>
    <n v="1.8684296142482514E+18"/>
    <s v="The███nom███"/>
    <s v="The███ono███t"/>
    <s v="Before Tulsi Gabbard started calling the Democratic Party an “elitist cabal of warmongers”, she belonged to it. Vogue even called her an “embodiment of the Obama era”._x000a__x000a_Now she is Donald Trump’s pick to be his director of national intelligence"/>
    <s v="&quot;2024-12-15T22:55:08.000Z&quot;"/>
    <s v="null"/>
    <s v="https://x.com/TheEconomist/status/1868429614248251398"/>
    <s v="null"/>
    <n v="26"/>
    <n v="4"/>
    <n v="31"/>
    <n v="49428"/>
    <s v="https://econ.st/49Hk56D"/>
    <s v="null"/>
    <n v="27122999"/>
    <s v="News and analysis with a global perspective. We’re here to help you understand the world around you. Subscribe here: https://t.co/RpUQAAnhog"/>
    <n v="402761"/>
    <s v="https://pbs.twimg.com/profile_images/1847280770743750656/0DkLNOPG_normal.jpg"/>
    <n v="155"/>
    <b v="0"/>
    <n v="1"/>
    <n v="8"/>
    <s v="{&quot;post_id&quot;:null,&quot;profile_id&quot;:null,&quot;profile_name&quot;:null}"/>
    <s v="[&quot;https://pbs.twimg.com/card_img/1867932331798913024/fB4Xgwqv?format=jpg&amp;name=orig&quot;]"/>
    <s v="null"/>
    <s v="{&quot;data_posted&quot;:null,&quot;description&quot;:null,&quot;photos&quot;:null,&quot;post_id&quot;:null,&quot;profile_id&quot;:null,&quot;profile_name&quot;:null,&quot;url&quot;:null,&quot;videos&quot;:null}"/>
    <n v="70"/>
    <n v="1.4162013433681314E-3"/>
    <d v="2024-12-15T00:00:00"/>
    <n v="0.95495370370370369"/>
    <x v="0"/>
    <x v="11"/>
    <x v="0"/>
    <x v="1"/>
    <x v="0"/>
    <x v="0"/>
    <n v="243"/>
    <x v="1"/>
  </r>
  <r>
    <n v="1.8684615236113247E+18"/>
    <s v="bus███ss"/>
    <s v="Blo███erg███"/>
    <s v="Donald Trump has threatened tariffs if BRICS countries try to form a dollar rival. He's worrying about the wrong threat, says @mihirssharma"/>
    <s v="&quot;2024-12-16T01:01:56.000Z&quot;"/>
    <s v="null"/>
    <s v="https://x.com/business/status/1868461523611324750"/>
    <s v="[{&quot;biography&quot;:null,&quot;followers&quot;:null,&quot;following&quot;:null,&quot;is_verified&quot;:null,&quot;profile_id&quot;:&quot;4126501&quot;,&quot;profile_name&quot;:&quot;Mihir Sharma&quot;,&quot;url&quot;:&quot;https://x.com/mihirssharma&quot;},{&quot;biography&quot;:null,&quot;followers&quot;:null,&quot;following&quot;:null,&quot;is_verified&quot;:null,&quot;profile_id&quot;:&quot;227682918&quot;,&quot;profile_name&quot;:&quot;Bloomberg Opinion&quot;,&quot;url&quot;:&quot;https://x.com/opinion&quot;}]"/>
    <n v="6"/>
    <n v="5"/>
    <n v="23"/>
    <n v="28979"/>
    <s v="https://trib.al/1tube62"/>
    <s v="null"/>
    <n v="9564156"/>
    <s v="The first word in business news. Singapore newsletter: https://t.co/RtyaUOdLdF Newsletters: https://t.co/nWaCxHSKuU Podcasts: https://t.co/096e9xMbPz"/>
    <n v="1125277"/>
    <s v="https://pbs.twimg.com/profile_images/1631723279676317709/-fjgaR2p_normal.jpg"/>
    <n v="93"/>
    <b v="0"/>
    <n v="1"/>
    <n v="6"/>
    <s v="{&quot;post_id&quot;:null,&quot;profile_id&quot;:null,&quot;profile_name&quot;:null}"/>
    <s v="[&quot;https://pbs.twimg.com/card_img/1868416721284927488/TA1qs2co?format=jpg&amp;name=orig&quot;]"/>
    <s v="null"/>
    <s v="{&quot;data_posted&quot;:null,&quot;description&quot;:null,&quot;photos&quot;:null,&quot;post_id&quot;:null,&quot;profile_id&quot;:null,&quot;profile_name&quot;:null,&quot;url&quot;:null,&quot;videos&quot;:null}"/>
    <n v="41"/>
    <n v="1.4148176265571621E-3"/>
    <d v="2024-12-16T00:00:00"/>
    <n v="4.3009259259259261E-2"/>
    <x v="2"/>
    <x v="19"/>
    <x v="0"/>
    <x v="1"/>
    <x v="0"/>
    <x v="0"/>
    <n v="139"/>
    <x v="0"/>
  </r>
  <r>
    <n v="1.86823835037037E+18"/>
    <s v="bus███ss"/>
    <s v="Blo███erg███"/>
    <s v="The Labour government says 13,500 people with no right to be in the UK have been removed since they took office, the most since 2018."/>
    <s v="&quot;2024-12-15T10:15:07.000Z&quot;"/>
    <s v="null"/>
    <s v="https://x.com/business/status/1868238350370369981"/>
    <s v="null"/>
    <n v="9"/>
    <n v="5"/>
    <n v="19"/>
    <n v="26158"/>
    <s v="https://trib.al/pSkLQf9"/>
    <s v="null"/>
    <n v="9564155"/>
    <s v="The first word in business news. Singapore newsletter: https://t.co/RtyaUOdLdF Newsletters: https://t.co/nWaCxHSKuU Podcasts: https://t.co/096e9xMbPz"/>
    <n v="1125277"/>
    <s v="https://pbs.twimg.com/profile_images/1631723279676317709/-fjgaR2p_normal.jpg"/>
    <n v="93"/>
    <b v="0"/>
    <n v="1"/>
    <n v="3"/>
    <s v="{&quot;post_id&quot;:null,&quot;profile_id&quot;:null,&quot;profile_name&quot;:null}"/>
    <s v="[&quot;https://pbs.twimg.com/card_img/1868088698073489408/6mWmGa5T?format=jpg&amp;name=orig&quot;]"/>
    <s v="null"/>
    <s v="{&quot;data_posted&quot;:null,&quot;description&quot;:null,&quot;photos&quot;:null,&quot;post_id&quot;:null,&quot;profile_id&quot;:null,&quot;profile_name&quot;:null,&quot;url&quot;:null,&quot;videos&quot;:null}"/>
    <n v="37"/>
    <n v="1.4144812294517931E-3"/>
    <d v="2024-12-15T00:00:00"/>
    <n v="0.42716435185185186"/>
    <x v="0"/>
    <x v="17"/>
    <x v="0"/>
    <x v="1"/>
    <x v="0"/>
    <x v="0"/>
    <n v="133"/>
    <x v="0"/>
  </r>
  <r>
    <n v="1.8683112352565455E+18"/>
    <s v="bus███ss"/>
    <s v="Blo███erg███"/>
    <s v="President Joe Biden plans to take action on land protections, clemency and artificial intelligence in the final weeks of his administration, as he looks to codify his legacy before Donald Trump’s inauguration"/>
    <s v="&quot;2024-12-15T15:04:44.000Z&quot;"/>
    <s v="null"/>
    <s v="https://x.com/business/status/1868311235256545429"/>
    <s v="null"/>
    <n v="20"/>
    <n v="5"/>
    <n v="16"/>
    <n v="30511"/>
    <s v="https://trib.al/JD8cKtt"/>
    <s v="null"/>
    <n v="9564155"/>
    <s v="The first word in business news. Singapore newsletter: https://t.co/RtyaUOdLdF Newsletters: https://t.co/nWaCxHSKuU Podcasts: https://t.co/096e9xMbPz"/>
    <n v="1125277"/>
    <s v="https://pbs.twimg.com/profile_images/1631723279676317709/-fjgaR2p_normal.jpg"/>
    <n v="93"/>
    <b v="0"/>
    <n v="1"/>
    <n v="1"/>
    <s v="{&quot;post_id&quot;:null,&quot;profile_id&quot;:null,&quot;profile_name&quot;:null}"/>
    <s v="[&quot;https://pbs.twimg.com/card_img/1868311042129809408/P1eu2K_2?format=jpg&amp;name=orig&quot;]"/>
    <s v="null"/>
    <s v="{&quot;data_posted&quot;:null,&quot;description&quot;:null,&quot;photos&quot;:null,&quot;post_id&quot;:null,&quot;profile_id&quot;:null,&quot;profile_name&quot;:null,&quot;url&quot;:null,&quot;videos&quot;:null}"/>
    <n v="43"/>
    <n v="1.4093277834223723E-3"/>
    <d v="2024-12-15T00:00:00"/>
    <n v="0.62828703703703703"/>
    <x v="0"/>
    <x v="13"/>
    <x v="0"/>
    <x v="1"/>
    <x v="0"/>
    <x v="0"/>
    <n v="208"/>
    <x v="0"/>
  </r>
  <r>
    <n v="1.8685194401715612E+18"/>
    <s v="bus███ss"/>
    <s v="Blo███erg███"/>
    <s v="The steps are the latest as Biden races to tie off key files before a transfer of power that could reverse many of them."/>
    <s v="&quot;2024-12-16T04:52:04.000Z&quot;"/>
    <s v="null"/>
    <s v="https://x.com/business/status/1868519440171561212"/>
    <s v="null"/>
    <n v="5"/>
    <n v="1"/>
    <n v="15"/>
    <n v="16514"/>
    <s v="https://trib.al/b6DrAEd"/>
    <s v="null"/>
    <n v="9564230"/>
    <s v="The first word in business news. Singapore newsletter: https://t.co/RtyaUOdLdF Newsletters: https://t.co/nWaCxHSKuU Podcasts: https://t.co/096e9xMbPz"/>
    <n v="1125277"/>
    <s v="https://pbs.twimg.com/profile_images/1631723279676317709/-fjgaR2p_normal.jpg"/>
    <n v="93"/>
    <b v="0"/>
    <n v="1"/>
    <n v="1"/>
    <s v="{&quot;post_id&quot;:null,&quot;profile_id&quot;:null,&quot;profile_name&quot;:null}"/>
    <s v="[&quot;https://pbs.twimg.com/card_img/1868311042129809408/P1eu2K_2?format=jpg&amp;name=orig&quot;]"/>
    <s v="null"/>
    <s v="{&quot;data_posted&quot;:null,&quot;description&quot;:null,&quot;photos&quot;:null,&quot;post_id&quot;:null,&quot;profile_id&quot;:null,&quot;profile_name&quot;:null,&quot;url&quot;:null,&quot;videos&quot;:null}"/>
    <n v="23"/>
    <n v="1.3927576601671309E-3"/>
    <d v="2024-12-16T00:00:00"/>
    <n v="0.20282407407407407"/>
    <x v="2"/>
    <x v="9"/>
    <x v="0"/>
    <x v="1"/>
    <x v="0"/>
    <x v="0"/>
    <n v="120"/>
    <x v="0"/>
  </r>
  <r>
    <n v="1.8681567941843151E+18"/>
    <s v="bus███ss"/>
    <s v="Blo███erg███"/>
    <s v="President-elect Trump has been handed a playbook for downsizing the National Oceanic and Atmospheric Administration at a time when China is investing heavily in climate research, and could see an opening to being the next global weather superpower."/>
    <s v="&quot;2024-12-15T04:51:03.000Z&quot;"/>
    <s v="null"/>
    <s v="https://x.com/business/status/1868156794184315078"/>
    <s v="null"/>
    <n v="9"/>
    <n v="8"/>
    <n v="23"/>
    <n v="32614"/>
    <s v="https://trib.al/temoKlx"/>
    <s v="null"/>
    <n v="9564155"/>
    <s v="The first word in business news. Singapore newsletter: https://t.co/RtyaUOdLdF Newsletters: https://t.co/nWaCxHSKuU Podcasts: https://t.co/096e9xMbPz"/>
    <n v="1125277"/>
    <s v="https://pbs.twimg.com/profile_images/1631723279676317709/-fjgaR2p_normal.jpg"/>
    <n v="93"/>
    <b v="0"/>
    <n v="1"/>
    <n v="4"/>
    <s v="{&quot;post_id&quot;:null,&quot;profile_id&quot;:null,&quot;profile_name&quot;:null}"/>
    <s v="[&quot;https://pbs.twimg.com/card_img/1866709859590148096/-Qjf_0NR?format=jpg&amp;name=orig&quot;]"/>
    <s v="null"/>
    <s v="{&quot;data_posted&quot;:null,&quot;description&quot;:null,&quot;photos&quot;:null,&quot;post_id&quot;:null,&quot;profile_id&quot;:null,&quot;profile_name&quot;:null,&quot;url&quot;:null,&quot;videos&quot;:null}"/>
    <n v="45"/>
    <n v="1.3797755565094745E-3"/>
    <d v="2024-12-15T00:00:00"/>
    <n v="0.20211805555555556"/>
    <x v="0"/>
    <x v="9"/>
    <x v="0"/>
    <x v="1"/>
    <x v="0"/>
    <x v="0"/>
    <n v="248"/>
    <x v="0"/>
  </r>
  <r>
    <n v="1.8684396576644547E+18"/>
    <s v="The███nom███"/>
    <s v="The███ono███t"/>
    <s v="The number of people in Latin America and the Caribbean opening their first bank account has been growing faster than the global rate in recent years. Financial institutions will aim to keep up the momentum in 2025"/>
    <s v="&quot;2024-12-15T23:35:02.000Z&quot;"/>
    <s v="null"/>
    <s v="https://x.com/TheEconomist/status/1868439657664454710"/>
    <s v="null"/>
    <n v="6"/>
    <n v="13"/>
    <n v="40"/>
    <n v="47859"/>
    <s v="https://econ.st/3CUvrrK"/>
    <s v="null"/>
    <n v="27122998"/>
    <s v="News and analysis with a global perspective. We’re here to help you understand the world around you. Subscribe here: https://t.co/RpUQAAnhog"/>
    <n v="402761"/>
    <s v="https://pbs.twimg.com/profile_images/1847280770743750656/0DkLNOPG_normal.jpg"/>
    <n v="155"/>
    <b v="0"/>
    <n v="1"/>
    <n v="6"/>
    <s v="{&quot;post_id&quot;:null,&quot;profile_id&quot;:null,&quot;profile_name&quot;:null}"/>
    <s v="[&quot;https://pbs.twimg.com/card_img/1866159393764478976/VyFHYRRU?format=jpg&amp;name=orig&quot;]"/>
    <s v="null"/>
    <s v="{&quot;data_posted&quot;:null,&quot;description&quot;:null,&quot;photos&quot;:null,&quot;post_id&quot;:null,&quot;profile_id&quot;:null,&quot;profile_name&quot;:null,&quot;url&quot;:null,&quot;videos&quot;:null}"/>
    <n v="66"/>
    <n v="1.3790509622014669E-3"/>
    <d v="2024-12-15T00:00:00"/>
    <n v="0.98266203703703703"/>
    <x v="0"/>
    <x v="7"/>
    <x v="0"/>
    <x v="1"/>
    <x v="0"/>
    <x v="0"/>
    <n v="214"/>
    <x v="1"/>
  </r>
  <r>
    <n v="1.8683747360880151E+18"/>
    <s v="The███nom███"/>
    <s v="The███ono███t"/>
    <s v="Europeans are hoping they can spend more on defence without giving up the good life. Can it be done?"/>
    <s v="&quot;2024-12-15T19:17:04.000Z&quot;"/>
    <s v="null"/>
    <s v="https://x.com/TheEconomist/status/1868374736088015133"/>
    <s v="null"/>
    <n v="13"/>
    <n v="8"/>
    <n v="45"/>
    <n v="54392"/>
    <s v="https://econ.st/4gvLWZO"/>
    <s v="null"/>
    <n v="27122602"/>
    <s v="News and analysis with a global perspective. We’re here to help you understand the world around you. Subscribe here: https://t.co/RpUQAAnhog"/>
    <n v="402760"/>
    <s v="https://pbs.twimg.com/profile_images/1847280770743750656/0DkLNOPG_normal.jpg"/>
    <n v="155"/>
    <b v="0"/>
    <n v="2"/>
    <n v="7"/>
    <s v="{&quot;post_id&quot;:null,&quot;profile_id&quot;:null,&quot;profile_name&quot;:null}"/>
    <s v="[&quot;https://pbs.twimg.com/card_img/1867212273061638144/nE39ITgh?format=jpg&amp;name=orig&quot;]"/>
    <s v="null"/>
    <s v="{&quot;data_posted&quot;:null,&quot;description&quot;:null,&quot;photos&quot;:null,&quot;post_id&quot;:null,&quot;profile_id&quot;:null,&quot;profile_name&quot;:null,&quot;url&quot;:null,&quot;videos&quot;:null}"/>
    <n v="75"/>
    <n v="1.3788792469480806E-3"/>
    <d v="2024-12-15T00:00:00"/>
    <n v="0.80351851851851852"/>
    <x v="0"/>
    <x v="4"/>
    <x v="0"/>
    <x v="1"/>
    <x v="0"/>
    <x v="0"/>
    <n v="100"/>
    <x v="1"/>
  </r>
  <r>
    <n v="1.8681138148576916E+18"/>
    <s v="The███nom███"/>
    <s v="The███ono███t"/>
    <s v="Why spend time learning a new language when your phone is already fluent in it?"/>
    <s v="&quot;2024-12-15T02:00:15.000Z&quot;"/>
    <s v="[&quot;https://pbs.twimg.com/media/GezfnK-WsAAnApR.jpg&quot;]"/>
    <s v="https://x.com/TheEconomist/status/1868113814857691629"/>
    <s v="null"/>
    <n v="5"/>
    <n v="13"/>
    <n v="59"/>
    <n v="66873"/>
    <s v="https://econ.st/49AGMJO"/>
    <s v="null"/>
    <n v="27123000"/>
    <s v="News and analysis with a global perspective. We’re here to help you understand the world around you. Subscribe here: https://t.co/RpUQAAnhog"/>
    <n v="402760"/>
    <s v="https://pbs.twimg.com/profile_images/1847280770743750656/0DkLNOPG_normal.jpg"/>
    <n v="155"/>
    <b v="0"/>
    <n v="3"/>
    <n v="12"/>
    <s v="{&quot;post_id&quot;:null,&quot;profile_id&quot;:null,&quot;profile_name&quot;:null}"/>
    <s v="null"/>
    <s v="null"/>
    <s v="{&quot;data_posted&quot;:null,&quot;description&quot;:null,&quot;photos&quot;:null,&quot;post_id&quot;:null,&quot;profile_id&quot;:null,&quot;profile_name&quot;:null,&quot;url&quot;:null,&quot;videos&quot;:null}"/>
    <n v="92"/>
    <n v="1.3757420782677613E-3"/>
    <d v="2024-12-15T00:00:00"/>
    <n v="8.3506944444444439E-2"/>
    <x v="0"/>
    <x v="2"/>
    <x v="0"/>
    <x v="0"/>
    <x v="0"/>
    <x v="0"/>
    <n v="79"/>
    <x v="1"/>
  </r>
  <r>
    <n v="1.8681858239605806E+18"/>
    <s v="ESP███asi███"/>
    <s v="ESP███ras███"/>
    <s v="Irreconhecível! Como ficou o rosto de Colby Covington após ser castigado por Buckley no UFC _x000a_#ESPNKnockOut"/>
    <s v="&quot;2024-12-15T06:46:24.000Z&quot;"/>
    <s v="null"/>
    <s v="https://x.com/ESPNBrasil/status/1868185823960580559"/>
    <s v="null"/>
    <n v="2"/>
    <n v="1"/>
    <n v="10"/>
    <n v="11266"/>
    <s v="https://buff.ly/3ZUQ8wT"/>
    <s v="[&quot;ESPNKnockOut&quot;]"/>
    <n v="3768943"/>
    <s v="ESPN: o melhor do esporte você assiste aqui!"/>
    <n v="897934"/>
    <s v="https://pbs.twimg.com/profile_images/1224436194152345608/dCEm_D7K_normal.jpg"/>
    <n v="28"/>
    <b v="0"/>
    <n v="0"/>
    <n v="2"/>
    <s v="{&quot;post_id&quot;:null,&quot;profile_id&quot;:null,&quot;profile_name&quot;:null}"/>
    <s v="[&quot;https://pbs.twimg.com/card_img/1868185824925282304/deaqeOqd?format=jpg&amp;name=orig&quot;]"/>
    <s v="null"/>
    <s v="{&quot;data_posted&quot;:null,&quot;description&quot;:null,&quot;photos&quot;:null,&quot;post_id&quot;:null,&quot;profile_id&quot;:null,&quot;profile_name&quot;:null,&quot;url&quot;:null,&quot;videos&quot;:null}"/>
    <n v="15"/>
    <n v="1.331439730161548E-3"/>
    <d v="2024-12-15T00:00:00"/>
    <n v="0.28222222222222221"/>
    <x v="0"/>
    <x v="23"/>
    <x v="0"/>
    <x v="1"/>
    <x v="1"/>
    <x v="0"/>
    <n v="106"/>
    <x v="0"/>
  </r>
  <r>
    <n v="1.8683420030559524E+18"/>
    <s v="tal███ORT███"/>
    <s v="tal███ORT███"/>
    <s v="Roy Keane swears on live TV in angry Man United rant"/>
    <s v="&quot;2024-12-15T17:07:00.000Z&quot;"/>
    <s v="null"/>
    <s v="https://x.com/talkSPORT/status/1868342003055952348"/>
    <s v="null"/>
    <n v="32"/>
    <n v="4"/>
    <n v="53"/>
    <n v="74110"/>
    <s v="https://talksport.com/football/2382231/roy-keane-man-utd-sky-sports-rant-x-rated/"/>
    <s v="null"/>
    <n v="2356528"/>
    <s v="The world’s biggest sports radio station 📻_x000a__x000a_🚨 Buy talkSPORT Trivia Game here: https://t.co/dQV2AFISP2"/>
    <n v="338240"/>
    <s v="https://pbs.twimg.com/profile_images/1605158550979940360/MUqOEhHq_normal.jpg"/>
    <n v="1981"/>
    <b v="0"/>
    <n v="2"/>
    <n v="7"/>
    <s v="{&quot;post_id&quot;:null,&quot;profile_id&quot;:null,&quot;profile_name&quot;:null}"/>
    <s v="[&quot;https://pbs.twimg.com/card_img/1868339014291353601/8w2bPGu4?format=jpg&amp;name=orig&quot;]"/>
    <s v="null"/>
    <s v="{&quot;data_posted&quot;:null,&quot;description&quot;:null,&quot;photos&quot;:null,&quot;post_id&quot;:null,&quot;profile_id&quot;:null,&quot;profile_name&quot;:null,&quot;url&quot;:null,&quot;videos&quot;:null}"/>
    <n v="98"/>
    <n v="1.3223586560518149E-3"/>
    <d v="2024-12-15T00:00:00"/>
    <n v="0.71319444444444446"/>
    <x v="0"/>
    <x v="12"/>
    <x v="0"/>
    <x v="1"/>
    <x v="0"/>
    <x v="0"/>
    <n v="52"/>
    <x v="0"/>
  </r>
  <r>
    <n v="1.8681089814003878E+18"/>
    <s v="bus███ss"/>
    <s v="Blo███erg███"/>
    <s v="Countries are getting choosier over who gets to become a citizen and how"/>
    <s v="&quot;2024-12-15T01:41:03.000Z&quot;"/>
    <s v="null"/>
    <s v="https://x.com/business/status/1868108981400387817"/>
    <s v="null"/>
    <n v="9"/>
    <n v="5"/>
    <n v="19"/>
    <n v="34880"/>
    <s v="https://trib.al/GdO4ppc"/>
    <s v="null"/>
    <n v="9564233"/>
    <s v="The first word in business news. Singapore newsletter: https://t.co/RtyaUOdLdF Newsletters: https://t.co/nWaCxHSKuU Podcasts: https://t.co/096e9xMbPz"/>
    <n v="1125277"/>
    <s v="https://pbs.twimg.com/profile_images/1631723279676317709/-fjgaR2p_normal.jpg"/>
    <n v="93"/>
    <b v="0"/>
    <n v="2"/>
    <n v="11"/>
    <s v="{&quot;post_id&quot;:null,&quot;profile_id&quot;:null,&quot;profile_name&quot;:null}"/>
    <s v="[&quot;https://pbs.twimg.com/card_img/1867559452347355136/jErnLwKo?format=jpg&amp;name=orig&quot;]"/>
    <s v="null"/>
    <s v="{&quot;data_posted&quot;:null,&quot;description&quot;:null,&quot;photos&quot;:null,&quot;post_id&quot;:null,&quot;profile_id&quot;:null,&quot;profile_name&quot;:null,&quot;url&quot;:null,&quot;videos&quot;:null}"/>
    <n v="46"/>
    <n v="1.3188073394495414E-3"/>
    <d v="2024-12-15T00:00:00"/>
    <n v="7.0173611111111117E-2"/>
    <x v="0"/>
    <x v="19"/>
    <x v="0"/>
    <x v="1"/>
    <x v="0"/>
    <x v="0"/>
    <n v="72"/>
    <x v="0"/>
  </r>
  <r>
    <n v="1.8682812118790554E+18"/>
    <s v="bus███ss"/>
    <s v="Blo███erg███"/>
    <s v="What was supposed to be a comeback year for Boeing has turned into its worst stock-market plunge since 2008. If Wall Street is right, the plane-maker’s shares may have only a modest recovery in store in 2025"/>
    <s v="&quot;2024-12-15T13:05:26.000Z&quot;"/>
    <s v="null"/>
    <s v="https://x.com/business/status/1868281211879055438"/>
    <s v="null"/>
    <n v="7"/>
    <n v="10"/>
    <n v="23"/>
    <n v="32969"/>
    <s v="https://trib.al/HhpOkdV"/>
    <s v="null"/>
    <n v="9564155"/>
    <s v="The first word in business news. Singapore newsletter: https://t.co/RtyaUOdLdF Newsletters: https://t.co/nWaCxHSKuU Podcasts: https://t.co/096e9xMbPz"/>
    <n v="1125277"/>
    <s v="https://pbs.twimg.com/profile_images/1631723279676317709/-fjgaR2p_normal.jpg"/>
    <n v="93"/>
    <b v="0"/>
    <n v="1"/>
    <n v="2"/>
    <s v="{&quot;post_id&quot;:null,&quot;profile_id&quot;:null,&quot;profile_name&quot;:null}"/>
    <s v="[&quot;https://pbs.twimg.com/card_img/1868281212030144512/e5eaVZSo?format=jpg&amp;name=orig&quot;]"/>
    <s v="null"/>
    <s v="{&quot;data_posted&quot;:null,&quot;description&quot;:null,&quot;photos&quot;:null,&quot;post_id&quot;:null,&quot;profile_id&quot;:null,&quot;profile_name&quot;:null,&quot;url&quot;:null,&quot;videos&quot;:null}"/>
    <n v="43"/>
    <n v="1.3042555127544056E-3"/>
    <d v="2024-12-15T00:00:00"/>
    <n v="0.54543981481481485"/>
    <x v="0"/>
    <x v="14"/>
    <x v="0"/>
    <x v="1"/>
    <x v="0"/>
    <x v="0"/>
    <n v="207"/>
    <x v="0"/>
  </r>
  <r>
    <n v="1.8683666655886054E+18"/>
    <s v="tal███ORT███"/>
    <s v="tal███ORT███"/>
    <s v="Troy Deeney tells Man United and Arsenal to avoid signing Viktor Gyokeres at all costs"/>
    <s v="&quot;2024-12-15T18:45:00.000Z&quot;"/>
    <s v="null"/>
    <s v="https://x.com/talkSPORT/status/1868366665588605415"/>
    <s v="null"/>
    <n v="9"/>
    <n v="4"/>
    <n v="25"/>
    <n v="32337"/>
    <s v="https://talksport.com/football/2378039/troy-deeney-viktor-gyokeres-record-arsenal-man-united-transfer/"/>
    <s v="null"/>
    <n v="2356528"/>
    <s v="The world’s biggest sports radio station 📻_x000a__x000a_🚨 Buy talkSPORT Trivia Game here: https://t.co/dQV2AFISP2"/>
    <n v="338240"/>
    <s v="https://pbs.twimg.com/profile_images/1605158550979940360/MUqOEhHq_normal.jpg"/>
    <n v="1981"/>
    <b v="0"/>
    <n v="2"/>
    <n v="2"/>
    <s v="{&quot;post_id&quot;:null,&quot;profile_id&quot;:null,&quot;profile_name&quot;:null}"/>
    <s v="[&quot;https://pbs.twimg.com/card_img/1867886082265681920/bQFuhPDD?format=jpg&amp;name=orig&quot;]"/>
    <s v="null"/>
    <s v="{&quot;data_posted&quot;:null,&quot;description&quot;:null,&quot;photos&quot;:null,&quot;post_id&quot;:null,&quot;profile_id&quot;:null,&quot;profile_name&quot;:null,&quot;url&quot;:null,&quot;videos&quot;:null}"/>
    <n v="42"/>
    <n v="1.2988217830967623E-3"/>
    <d v="2024-12-15T00:00:00"/>
    <n v="0.78125"/>
    <x v="0"/>
    <x v="8"/>
    <x v="0"/>
    <x v="1"/>
    <x v="0"/>
    <x v="0"/>
    <n v="86"/>
    <x v="0"/>
  </r>
  <r>
    <n v="1.8683574856751314E+18"/>
    <s v="spfl"/>
    <s v="SPFL"/>
    <s v="FT AET | 3⃣-3⃣ #CELRAN_x000a__x000a_Nothing to separate the sides after 120 breathless minutes. We go to penalties..._x000a__x000a_🏆 #PremierSportsCup"/>
    <s v="&quot;2024-12-15T18:08:31.000Z&quot;"/>
    <s v="[&quot;https://pbs.twimg.com/media/Ge29JwuXAAAolbv.jpg&quot;]"/>
    <s v="https://x.com/spfl/status/1868357485675131301"/>
    <s v="null"/>
    <n v="3"/>
    <n v="8"/>
    <n v="47"/>
    <n v="48625"/>
    <s v=""/>
    <s v="[&quot;CELRAN&quot;,&quot;PremierSportsCup&quot;]"/>
    <n v="294711"/>
    <s v="Official Twitter/X account for the Scottish Professional Football League, sponsored by @WilliamHill."/>
    <n v="66342"/>
    <s v="https://pbs.twimg.com/profile_images/1798999022348496896/ZZU_hFqY_normal.jpg"/>
    <n v="1449"/>
    <b v="0"/>
    <n v="4"/>
    <n v="1"/>
    <s v="{&quot;post_id&quot;:null,&quot;profile_id&quot;:null,&quot;profile_name&quot;:null}"/>
    <s v="null"/>
    <s v="null"/>
    <s v="{&quot;data_posted&quot;:null,&quot;description&quot;:null,&quot;photos&quot;:null,&quot;post_id&quot;:null,&quot;profile_id&quot;:null,&quot;profile_name&quot;:null,&quot;url&quot;:null,&quot;videos&quot;:null}"/>
    <n v="63"/>
    <n v="1.2956298200514139E-3"/>
    <d v="2024-12-15T00:00:00"/>
    <n v="0.75591435185185185"/>
    <x v="0"/>
    <x v="8"/>
    <x v="0"/>
    <x v="0"/>
    <x v="1"/>
    <x v="0"/>
    <n v="126"/>
    <x v="2"/>
  </r>
  <r>
    <n v="1.8685146544161833E+18"/>
    <s v="bus███ss"/>
    <s v="Blo███erg███"/>
    <s v="HSBC received about 950 reports of unauthorized transactions between 2020 and 2024, resulting in customer losses of about A$23 million ($14.6 million), according to authorities."/>
    <s v="&quot;2024-12-16T04:33:03.000Z&quot;"/>
    <s v="null"/>
    <s v="https://x.com/business/status/1868514654416183387"/>
    <s v="null"/>
    <n v="8"/>
    <n v="4"/>
    <n v="9"/>
    <n v="17850"/>
    <s v="https://trib.al/fS8895z"/>
    <s v="null"/>
    <n v="9564154"/>
    <s v="The first word in business news. Singapore newsletter: https://t.co/RtyaUOdLdF Newsletters: https://t.co/nWaCxHSKuU Podcasts: https://t.co/096e9xMbPz"/>
    <n v="1125277"/>
    <s v="https://pbs.twimg.com/profile_images/1631723279676317709/-fjgaR2p_normal.jpg"/>
    <n v="93"/>
    <b v="0"/>
    <n v="1"/>
    <n v="1"/>
    <s v="{&quot;post_id&quot;:null,&quot;profile_id&quot;:null,&quot;profile_name&quot;:null}"/>
    <s v="[&quot;https://pbs.twimg.com/card_img/1868406164041396224/AcwfQUQk?format=jpg&amp;name=orig&quot;]"/>
    <s v="null"/>
    <s v="{&quot;data_posted&quot;:null,&quot;description&quot;:null,&quot;photos&quot;:null,&quot;post_id&quot;:null,&quot;profile_id&quot;:null,&quot;profile_name&quot;:null,&quot;url&quot;:null,&quot;videos&quot;:null}"/>
    <n v="23"/>
    <n v="1.288515406162465E-3"/>
    <d v="2024-12-16T00:00:00"/>
    <n v="0.18961805555555555"/>
    <x v="2"/>
    <x v="9"/>
    <x v="0"/>
    <x v="1"/>
    <x v="0"/>
    <x v="0"/>
    <n v="177"/>
    <x v="0"/>
  </r>
  <r>
    <n v="1.8683993959698516E+18"/>
    <s v="The███nom███"/>
    <s v="The███ono███t"/>
    <s v="Syrian rebels are restoring order in Damascus after the fall of Bashar al-Assad. Life in the capital is slowly resuming"/>
    <s v="&quot;2024-12-15T20:55:03.000Z&quot;"/>
    <s v="null"/>
    <s v="https://x.com/TheEconomist/status/1868399395969851542"/>
    <s v="null"/>
    <n v="17"/>
    <n v="10"/>
    <n v="37"/>
    <n v="52905"/>
    <s v="https://econ.st/4fiuXZL"/>
    <s v="null"/>
    <n v="27122999"/>
    <s v="News and analysis with a global perspective. We’re here to help you understand the world around you. Subscribe here: https://t.co/RpUQAAnhog"/>
    <n v="402761"/>
    <s v="https://pbs.twimg.com/profile_images/1847280770743750656/0DkLNOPG_normal.jpg"/>
    <n v="155"/>
    <b v="0"/>
    <n v="2"/>
    <n v="2"/>
    <s v="{&quot;post_id&quot;:null,&quot;profile_id&quot;:null,&quot;profile_name&quot;:null}"/>
    <s v="[&quot;https://pbs.twimg.com/card_img/1866568440057610240/T7o2Lan1?format=jpg&amp;name=orig&quot;]"/>
    <s v="null"/>
    <s v="{&quot;data_posted&quot;:null,&quot;description&quot;:null,&quot;photos&quot;:null,&quot;post_id&quot;:null,&quot;profile_id&quot;:null,&quot;profile_name&quot;:null,&quot;url&quot;:null,&quot;videos&quot;:null}"/>
    <n v="68"/>
    <n v="1.2853227483224647E-3"/>
    <d v="2024-12-15T00:00:00"/>
    <n v="0.87156250000000002"/>
    <x v="0"/>
    <x v="3"/>
    <x v="0"/>
    <x v="1"/>
    <x v="0"/>
    <x v="0"/>
    <n v="119"/>
    <x v="1"/>
  </r>
  <r>
    <n v="1.8681525894112873E+18"/>
    <s v="The███nom███"/>
    <s v="The███ono███t"/>
    <s v="Panjim, the capital of the Indian state of Goa, is known for its pretty churches and Indo-Portuguese homes. But 20 years ago it looked filthy. _x000a__x000a_Its waste system is today cited as an example of “best practices” for other cities to follow"/>
    <s v="&quot;2024-12-15T04:34:20.000Z&quot;"/>
    <s v="null"/>
    <s v="https://x.com/TheEconomist/status/1868152589411287197"/>
    <s v="null"/>
    <n v="7"/>
    <n v="14"/>
    <n v="44"/>
    <n v="59265"/>
    <s v="https://econ.st/4ivnaux"/>
    <s v="null"/>
    <n v="27123001"/>
    <s v="News and analysis with a global perspective. We’re here to help you understand the world around you. Subscribe here: https://t.co/RpUQAAnhog"/>
    <n v="402760"/>
    <s v="https://pbs.twimg.com/profile_images/1847280770743750656/0DkLNOPG_normal.jpg"/>
    <n v="155"/>
    <b v="0"/>
    <n v="1"/>
    <n v="10"/>
    <s v="{&quot;post_id&quot;:null,&quot;profile_id&quot;:null,&quot;profile_name&quot;:null}"/>
    <s v="[&quot;https://pbs.twimg.com/card_img/1867203204905107456/VA9cpcRN?format=jpg&amp;name=orig&quot;]"/>
    <s v="null"/>
    <s v="{&quot;data_posted&quot;:null,&quot;description&quot;:null,&quot;photos&quot;:null,&quot;post_id&quot;:null,&quot;profile_id&quot;:null,&quot;profile_name&quot;:null,&quot;url&quot;:null,&quot;videos&quot;:null}"/>
    <n v="76"/>
    <n v="1.282375769847296E-3"/>
    <d v="2024-12-15T00:00:00"/>
    <n v="0.19050925925925927"/>
    <x v="0"/>
    <x v="9"/>
    <x v="0"/>
    <x v="1"/>
    <x v="0"/>
    <x v="0"/>
    <n v="237"/>
    <x v="1"/>
  </r>
  <r>
    <n v="1.8682689954109033E+18"/>
    <s v="nyp███"/>
    <s v="New███rk ███t"/>
    <s v="Jets vs. Jaguars: Preview, prediction, what to watch for"/>
    <s v="&quot;2024-12-15T12:16:53.000Z&quot;"/>
    <s v="[&quot;https://pbs.twimg.com/media/Ge1swB8WgAA7DcW.jpg&quot;]"/>
    <s v="https://x.com/nypost/status/1868268995410903307"/>
    <s v="null"/>
    <n v="18"/>
    <n v="1"/>
    <n v="13"/>
    <n v="26797"/>
    <s v="https://trib.al/83Xq295"/>
    <s v="null"/>
    <n v="3313891"/>
    <s v="Breaking news &amp; features from The New York Post. Follow your favorite sections: @pagesix, @nypmetro, @nypostbiz, @nypostsports, @nypfashion, @nypostopinion"/>
    <n v="706459"/>
    <s v="https://pbs.twimg.com/profile_images/966372680306868224/60wfGe9e_normal.jpg"/>
    <n v="10308"/>
    <b v="0"/>
    <n v="1"/>
    <n v="1"/>
    <s v="{&quot;post_id&quot;:null,&quot;profile_id&quot;:null,&quot;profile_name&quot;:null}"/>
    <s v="null"/>
    <s v="null"/>
    <s v="{&quot;data_posted&quot;:null,&quot;description&quot;:null,&quot;photos&quot;:null,&quot;post_id&quot;:null,&quot;profile_id&quot;:null,&quot;profile_name&quot;:null,&quot;url&quot;:null,&quot;videos&quot;:null}"/>
    <n v="34"/>
    <n v="1.2687987461282978E-3"/>
    <d v="2024-12-15T00:00:00"/>
    <n v="0.51172453703703702"/>
    <x v="0"/>
    <x v="0"/>
    <x v="0"/>
    <x v="0"/>
    <x v="0"/>
    <x v="0"/>
    <n v="56"/>
    <x v="0"/>
  </r>
  <r>
    <n v="1.8681338246446454E+18"/>
    <s v="The███nom███"/>
    <s v="The███ono███t"/>
    <s v="Donald Trump’s picks for the Federal Trade Commission and Department of Justice will mostly make corporate deals easier. _x000a__x000a_Objections to a merger because of its effect on union workers, for example, are less likely to be raised under the new regime"/>
    <s v="&quot;2024-12-15T03:19:46.000Z&quot;"/>
    <s v="null"/>
    <s v="https://x.com/TheEconomist/status/1868133824644645296"/>
    <s v="null"/>
    <n v="18"/>
    <n v="16"/>
    <n v="41"/>
    <n v="64541"/>
    <s v="https://econ.st/3VFB3wn"/>
    <s v="null"/>
    <n v="27122605"/>
    <s v="News and analysis with a global perspective. We’re here to help you understand the world around you. Subscribe here: https://t.co/RpUQAAnhog"/>
    <n v="402760"/>
    <s v="https://pbs.twimg.com/profile_images/1847280770743750656/0DkLNOPG_normal.jpg"/>
    <n v="155"/>
    <b v="0"/>
    <n v="1"/>
    <n v="4"/>
    <s v="{&quot;post_id&quot;:null,&quot;profile_id&quot;:null,&quot;profile_name&quot;:null}"/>
    <s v="[&quot;https://pbs.twimg.com/card_img/1867214175308574720/cFUVY1mU?format=jpg&amp;name=orig&quot;]"/>
    <s v="null"/>
    <s v="{&quot;data_posted&quot;:null,&quot;description&quot;:null,&quot;photos&quot;:null,&quot;post_id&quot;:null,&quot;profile_id&quot;:null,&quot;profile_name&quot;:null,&quot;url&quot;:null,&quot;videos&quot;:null}"/>
    <n v="80"/>
    <n v="1.2395221642056988E-3"/>
    <d v="2024-12-15T00:00:00"/>
    <n v="0.13872685185185185"/>
    <x v="0"/>
    <x v="21"/>
    <x v="0"/>
    <x v="1"/>
    <x v="0"/>
    <x v="0"/>
    <n v="248"/>
    <x v="1"/>
  </r>
  <r>
    <n v="1.8682396488597998E+18"/>
    <s v="The███nom███"/>
    <s v="The███ono███t"/>
    <s v="Things have changed"/>
    <s v="&quot;2024-12-15T10:20:17.000Z&quot;"/>
    <s v="null"/>
    <s v="https://x.com/TheEconomist/status/1868239648859799686"/>
    <s v="null"/>
    <n v="18"/>
    <n v="5"/>
    <n v="25"/>
    <n v="46011"/>
    <s v="https://econ.st/49AuAso"/>
    <s v="null"/>
    <n v="27122999"/>
    <s v="News and analysis with a global perspective. We’re here to help you understand the world around you. Subscribe here: https://t.co/RpUQAAnhog"/>
    <n v="402760"/>
    <s v="https://pbs.twimg.com/profile_images/1847280770743750656/0DkLNOPG_normal.jpg"/>
    <n v="155"/>
    <b v="0"/>
    <n v="2"/>
    <n v="7"/>
    <s v="{&quot;post_id&quot;:null,&quot;profile_id&quot;:null,&quot;profile_name&quot;:null}"/>
    <s v="[&quot;https://pbs.twimg.com/card_img/1865062651006517248/7wDDrHhB?format=jpg&amp;name=orig&quot;]"/>
    <s v="null"/>
    <s v="{&quot;data_posted&quot;:null,&quot;description&quot;:null,&quot;photos&quot;:null,&quot;post_id&quot;:null,&quot;profile_id&quot;:null,&quot;profile_name&quot;:null,&quot;url&quot;:null,&quot;videos&quot;:null}"/>
    <n v="57"/>
    <n v="1.2388341918236944E-3"/>
    <d v="2024-12-15T00:00:00"/>
    <n v="0.4307523148148148"/>
    <x v="0"/>
    <x v="17"/>
    <x v="0"/>
    <x v="1"/>
    <x v="0"/>
    <x v="0"/>
    <n v="19"/>
    <x v="1"/>
  </r>
  <r>
    <n v="1.8684470397652667E+18"/>
    <s v="The███nom███"/>
    <s v="The███ono███t"/>
    <s v="Most autocrats at least pretend to be in the business of democracy. Until recently that was true of Nicaragua’s Daniel Ortega. But last month he ripped off the mask"/>
    <s v="&quot;2024-12-16T00:04:23.000Z&quot;"/>
    <s v="null"/>
    <s v="https://x.com/TheEconomist/status/1868447039765266760"/>
    <s v="null"/>
    <n v="7"/>
    <n v="12"/>
    <n v="32"/>
    <n v="46114"/>
    <s v="https://econ.st/49vXGJv"/>
    <s v="null"/>
    <n v="27122998"/>
    <s v="News and analysis with a global perspective. We’re here to help you understand the world around you. Subscribe here: https://t.co/RpUQAAnhog"/>
    <n v="402761"/>
    <s v="https://pbs.twimg.com/profile_images/1847280770743750656/0DkLNOPG_normal.jpg"/>
    <n v="155"/>
    <b v="0"/>
    <n v="2"/>
    <n v="4"/>
    <s v="{&quot;post_id&quot;:null,&quot;profile_id&quot;:null,&quot;profile_name&quot;:null}"/>
    <s v="[&quot;https://pbs.twimg.com/card_img/1867212973476827136/P51Yg2Tz?format=jpg&amp;name=orig&quot;]"/>
    <s v="null"/>
    <s v="{&quot;data_posted&quot;:null,&quot;description&quot;:null,&quot;photos&quot;:null,&quot;post_id&quot;:null,&quot;profile_id&quot;:null,&quot;profile_name&quot;:null,&quot;url&quot;:null,&quot;videos&quot;:null}"/>
    <n v="57"/>
    <n v="1.2360671379624409E-3"/>
    <d v="2024-12-16T00:00:00"/>
    <n v="3.0439814814814813E-3"/>
    <x v="2"/>
    <x v="5"/>
    <x v="0"/>
    <x v="1"/>
    <x v="0"/>
    <x v="0"/>
    <n v="164"/>
    <x v="1"/>
  </r>
  <r>
    <n v="1.8685156722731663E+18"/>
    <s v="bus███ss"/>
    <s v="Blo███erg███"/>
    <s v="The appointments set up a potential conflict in the next administration — not least with Trump himself."/>
    <s v="&quot;2024-12-16T04:37:06.000Z&quot;"/>
    <s v="null"/>
    <s v="https://x.com/business/status/1868515672273166463"/>
    <s v="null"/>
    <n v="6"/>
    <n v="2"/>
    <n v="10"/>
    <n v="17284"/>
    <s v="https://trib.al/lyLvL63"/>
    <s v="null"/>
    <n v="9564153"/>
    <s v="The first word in business news. Singapore newsletter: https://t.co/RtyaUOdLdF Newsletters: https://t.co/nWaCxHSKuU Podcasts: https://t.co/096e9xMbPz"/>
    <n v="1125277"/>
    <s v="https://pbs.twimg.com/profile_images/1631723279676317709/-fjgaR2p_normal.jpg"/>
    <n v="93"/>
    <b v="0"/>
    <n v="1"/>
    <n v="2"/>
    <s v="{&quot;post_id&quot;:null,&quot;profile_id&quot;:null,&quot;profile_name&quot;:null}"/>
    <s v="[&quot;https://pbs.twimg.com/card_img/1867983201626447872/I2s7PnI1?format=jpg&amp;name=orig&quot;]"/>
    <s v="null"/>
    <s v="{&quot;data_posted&quot;:null,&quot;description&quot;:null,&quot;photos&quot;:null,&quot;post_id&quot;:null,&quot;profile_id&quot;:null,&quot;profile_name&quot;:null,&quot;url&quot;:null,&quot;videos&quot;:null}"/>
    <n v="21"/>
    <n v="1.214996528581347E-3"/>
    <d v="2024-12-16T00:00:00"/>
    <n v="0.19243055555555555"/>
    <x v="2"/>
    <x v="9"/>
    <x v="0"/>
    <x v="1"/>
    <x v="0"/>
    <x v="0"/>
    <n v="103"/>
    <x v="0"/>
  </r>
  <r>
    <n v="1.8683586296796122E+18"/>
    <s v="The███nom███"/>
    <s v="The███ono███t"/>
    <s v="With packed restaurants and throngs of shoppers, Madrid is enjoying a palpable pre-Christmas buzz. The rest of Spain’s economy is basking in it too._x000a__x000a_But how long can the good times last?"/>
    <s v="&quot;2024-12-15T18:13:04.000Z&quot;"/>
    <s v="null"/>
    <s v="https://x.com/TheEconomist/status/1868358629679612260"/>
    <s v="null"/>
    <n v="8"/>
    <n v="9"/>
    <n v="42"/>
    <n v="51046"/>
    <s v="https://econ.st/3VCiZ6s"/>
    <s v="null"/>
    <n v="27122998"/>
    <s v="News and analysis with a global perspective. We’re here to help you understand the world around you. Subscribe here: https://t.co/RpUQAAnhog"/>
    <n v="402760"/>
    <s v="https://pbs.twimg.com/profile_images/1847280770743750656/0DkLNOPG_normal.jpg"/>
    <n v="155"/>
    <b v="0"/>
    <n v="1"/>
    <n v="2"/>
    <s v="{&quot;post_id&quot;:null,&quot;profile_id&quot;:null,&quot;profile_name&quot;:null}"/>
    <s v="[&quot;https://pbs.twimg.com/card_img/1867212076411682816/mLPtxoZl?format=jpg&amp;name=orig&quot;]"/>
    <s v="null"/>
    <s v="{&quot;data_posted&quot;:null,&quot;description&quot;:null,&quot;photos&quot;:null,&quot;post_id&quot;:null,&quot;profile_id&quot;:null,&quot;profile_name&quot;:null,&quot;url&quot;:null,&quot;videos&quot;:null}"/>
    <n v="62"/>
    <n v="1.2145907612741448E-3"/>
    <d v="2024-12-15T00:00:00"/>
    <n v="0.75907407407407412"/>
    <x v="0"/>
    <x v="8"/>
    <x v="0"/>
    <x v="1"/>
    <x v="0"/>
    <x v="0"/>
    <n v="187"/>
    <x v="1"/>
  </r>
  <r>
    <n v="1.8681694822685166E+18"/>
    <s v="bus███ss"/>
    <s v="Blo███erg███"/>
    <s v="South Korea’s central bank vowed to stabilize financial markets and highlighted the importance of “uninterrupted implementation” of key fiscal and economic measures, in its first statement since lawmakers voted to impeach President Yoon Suk Yeol."/>
    <s v="&quot;2024-12-15T05:41:28.000Z&quot;"/>
    <s v="null"/>
    <s v="https://x.com/business/status/1868169482268516715"/>
    <s v="null"/>
    <n v="11"/>
    <n v="7"/>
    <n v="19"/>
    <n v="33021"/>
    <s v="https://trib.al/Px9H9HX"/>
    <s v="null"/>
    <n v="9564155"/>
    <s v="The first word in business news. Singapore newsletter: https://t.co/RtyaUOdLdF Newsletters: https://t.co/nWaCxHSKuU Podcasts: https://t.co/096e9xMbPz"/>
    <n v="1125277"/>
    <s v="https://pbs.twimg.com/profile_images/1631723279676317709/-fjgaR2p_normal.jpg"/>
    <n v="93"/>
    <b v="0"/>
    <n v="1"/>
    <n v="2"/>
    <s v="{&quot;post_id&quot;:null,&quot;profile_id&quot;:null,&quot;profile_name&quot;:null}"/>
    <s v="[&quot;https://pbs.twimg.com/card_img/1868169331365892096/i6NPdOzx?format=jpg&amp;name=orig&quot;]"/>
    <s v="null"/>
    <s v="{&quot;data_posted&quot;:null,&quot;description&quot;:null,&quot;photos&quot;:null,&quot;post_id&quot;:null,&quot;profile_id&quot;:null,&quot;profile_name&quot;:null,&quot;url&quot;:null,&quot;videos&quot;:null}"/>
    <n v="40"/>
    <n v="1.2113503528057902E-3"/>
    <d v="2024-12-15T00:00:00"/>
    <n v="0.23712962962962963"/>
    <x v="0"/>
    <x v="22"/>
    <x v="0"/>
    <x v="1"/>
    <x v="0"/>
    <x v="0"/>
    <n v="246"/>
    <x v="0"/>
  </r>
  <r>
    <n v="1.8683334855611233E+18"/>
    <s v="The███nom███"/>
    <s v="The███ono███t"/>
    <s v="Perhaps the biggest geopolitical question prompted by Bashar al-Assad’s fall is what it means for Israel. The new regime is unlikely to pose a direct threat, says a former military-intelligence chief. Israel seems to be acting on the opposite assumption"/>
    <s v="&quot;2024-12-15T16:33:09.000Z&quot;"/>
    <s v="null"/>
    <s v="https://x.com/TheEconomist/status/1868333485561123210"/>
    <s v="null"/>
    <n v="19"/>
    <n v="10"/>
    <n v="25"/>
    <n v="47198"/>
    <s v="https://econ.st/4gAmfHI"/>
    <s v="null"/>
    <n v="27122998"/>
    <s v="News and analysis with a global perspective. We’re here to help you understand the world around you. Subscribe here: https://t.co/RpUQAAnhog"/>
    <n v="402760"/>
    <s v="https://pbs.twimg.com/profile_images/1847280770743750656/0DkLNOPG_normal.jpg"/>
    <n v="155"/>
    <b v="0"/>
    <n v="2"/>
    <n v="1"/>
    <s v="{&quot;post_id&quot;:null,&quot;profile_id&quot;:null,&quot;profile_name&quot;:null}"/>
    <s v="[&quot;https://pbs.twimg.com/card_img/1867211587712405504/rWVKMQeG?format=jpg&amp;name=orig&quot;]"/>
    <s v="null"/>
    <s v="{&quot;data_posted&quot;:null,&quot;description&quot;:null,&quot;photos&quot;:null,&quot;post_id&quot;:null,&quot;profile_id&quot;:null,&quot;profile_name&quot;:null,&quot;url&quot;:null,&quot;videos&quot;:null}"/>
    <n v="57"/>
    <n v="1.2076782914530277E-3"/>
    <d v="2024-12-15T00:00:00"/>
    <n v="0.68968750000000001"/>
    <x v="0"/>
    <x v="15"/>
    <x v="0"/>
    <x v="1"/>
    <x v="0"/>
    <x v="0"/>
    <n v="253"/>
    <x v="1"/>
  </r>
  <r>
    <n v="1.8683253036904366E+18"/>
    <s v="bus███ss"/>
    <s v="Blo███erg███"/>
    <s v="Palm Springs has finally decided to compensate Black and Latino families for property taken in the 1960s and 70s, writes @Erika_D_Smith. It’s a model that should work elsewhere"/>
    <s v="&quot;2024-12-15T16:00:38.000Z&quot;"/>
    <s v="null"/>
    <s v="https://x.com/business/status/1868325303690436639"/>
    <s v="[{&quot;biography&quot;:null,&quot;followers&quot;:null,&quot;following&quot;:null,&quot;is_verified&quot;:null,&quot;profile_id&quot;:&quot;17001628&quot;,&quot;profile_name&quot;:&quot;Erika D. Smith&quot;,&quot;url&quot;:&quot;https://x.com/Erika_D_Smith&quot;},{&quot;biography&quot;:null,&quot;followers&quot;:null,&quot;following&quot;:null,&quot;is_verified&quot;:null,&quot;profile_id&quot;:&quot;227682918&quot;,&quot;profile_name&quot;:&quot;Bloomberg Opinion&quot;,&quot;url&quot;:&quot;https://x.com/opinion&quot;}]"/>
    <n v="9"/>
    <n v="5"/>
    <n v="15"/>
    <n v="26505"/>
    <s v="https://trib.al/tJqXnSe"/>
    <s v="null"/>
    <n v="9564155"/>
    <s v="The first word in business news. Singapore newsletter: https://t.co/RtyaUOdLdF Newsletters: https://t.co/nWaCxHSKuU Podcasts: https://t.co/096e9xMbPz"/>
    <n v="1125277"/>
    <s v="https://pbs.twimg.com/profile_images/1631723279676317709/-fjgaR2p_normal.jpg"/>
    <n v="93"/>
    <b v="0"/>
    <n v="0"/>
    <n v="3"/>
    <s v="{&quot;post_id&quot;:null,&quot;profile_id&quot;:null,&quot;profile_name&quot;:null}"/>
    <s v="[&quot;https://pbs.twimg.com/card_img/1868295671503110144/MlunivtA?format=jpg&amp;name=orig&quot;]"/>
    <s v="null"/>
    <s v="{&quot;data_posted&quot;:null,&quot;description&quot;:null,&quot;photos&quot;:null,&quot;post_id&quot;:null,&quot;profile_id&quot;:null,&quot;profile_name&quot;:null,&quot;url&quot;:null,&quot;videos&quot;:null}"/>
    <n v="32"/>
    <n v="1.2073193737030749E-3"/>
    <d v="2024-12-15T00:00:00"/>
    <n v="0.66710648148148144"/>
    <x v="0"/>
    <x v="15"/>
    <x v="0"/>
    <x v="1"/>
    <x v="0"/>
    <x v="0"/>
    <n v="176"/>
    <x v="0"/>
  </r>
  <r>
    <n v="1.8685128845247613E+18"/>
    <s v="bus███ss"/>
    <s v="Blo███erg███"/>
    <s v="Morgan Stanley sees the value of the dollar below current levels by Dec. 2025."/>
    <s v="&quot;2024-12-16T04:26:01.000Z&quot;"/>
    <s v="null"/>
    <s v="https://x.com/business/status/1868512884524761335"/>
    <s v="null"/>
    <n v="3"/>
    <n v="3"/>
    <n v="12"/>
    <n v="19108"/>
    <s v="https://trib.al/iARuOhG"/>
    <s v="null"/>
    <n v="9564154"/>
    <s v="The first word in business news. Singapore newsletter: https://t.co/RtyaUOdLdF Newsletters: https://t.co/nWaCxHSKuU Podcasts: https://t.co/096e9xMbPz"/>
    <n v="1125277"/>
    <s v="https://pbs.twimg.com/profile_images/1631723279676317709/-fjgaR2p_normal.jpg"/>
    <n v="93"/>
    <b v="0"/>
    <n v="2"/>
    <n v="3"/>
    <s v="{&quot;post_id&quot;:null,&quot;profile_id&quot;:null,&quot;profile_name&quot;:null}"/>
    <s v="[&quot;https://pbs.twimg.com/card_img/1868348216262946816/Na7QeRLO?format=jpg&amp;name=orig&quot;]"/>
    <s v="null"/>
    <s v="{&quot;data_posted&quot;:null,&quot;description&quot;:null,&quot;photos&quot;:null,&quot;post_id&quot;:null,&quot;profile_id&quot;:null,&quot;profile_name&quot;:null,&quot;url&quot;:null,&quot;videos&quot;:null}"/>
    <n v="23"/>
    <n v="1.2036843207033703E-3"/>
    <d v="2024-12-16T00:00:00"/>
    <n v="0.1847337962962963"/>
    <x v="2"/>
    <x v="9"/>
    <x v="0"/>
    <x v="1"/>
    <x v="0"/>
    <x v="0"/>
    <n v="78"/>
    <x v="0"/>
  </r>
  <r>
    <n v="1.8684761786438003E+18"/>
    <s v="The███nom███"/>
    <s v="The███ono███t"/>
    <s v="India’s rise will probably not shock the world economy like China did. Learn why in The World Ahead"/>
    <s v="&quot;2024-12-16T02:00:10.000Z&quot;"/>
    <s v="[&quot;https://pbs.twimg.com/media/Ge4pLqDWgAAu8Ov.jpg&quot;]"/>
    <s v="https://x.com/TheEconomist/status/1868476178643800236"/>
    <s v="null"/>
    <n v="9"/>
    <n v="8"/>
    <n v="26"/>
    <n v="37553"/>
    <s v="https://econ.st/3ZrS920"/>
    <s v="null"/>
    <n v="27122999"/>
    <s v="News and analysis with a global perspective. We’re here to help you understand the world around you. Subscribe here: https://t.co/RpUQAAnhog"/>
    <n v="402761"/>
    <s v="https://pbs.twimg.com/profile_images/1847280770743750656/0DkLNOPG_normal.jpg"/>
    <n v="155"/>
    <b v="0"/>
    <n v="1"/>
    <n v="1"/>
    <s v="{&quot;post_id&quot;:null,&quot;profile_id&quot;:null,&quot;profile_name&quot;:null}"/>
    <s v="null"/>
    <s v="null"/>
    <s v="{&quot;data_posted&quot;:null,&quot;description&quot;:null,&quot;photos&quot;:null,&quot;post_id&quot;:null,&quot;profile_id&quot;:null,&quot;profile_name&quot;:null,&quot;url&quot;:null,&quot;videos&quot;:null}"/>
    <n v="45"/>
    <n v="1.1983063936303357E-3"/>
    <d v="2024-12-16T00:00:00"/>
    <n v="8.3449074074074078E-2"/>
    <x v="2"/>
    <x v="2"/>
    <x v="0"/>
    <x v="0"/>
    <x v="0"/>
    <x v="0"/>
    <n v="99"/>
    <x v="1"/>
  </r>
  <r>
    <n v="1.8684232556330598E+18"/>
    <s v="bus███ss"/>
    <s v="Blo███erg███"/>
    <s v="Following five years of stagnation, Germany’s economy is now 5% smaller than it would have been and the bulk of the shortfall will be tough to recover"/>
    <s v="&quot;2024-12-15T22:29:52.000Z&quot;"/>
    <s v="null"/>
    <s v="https://x.com/business/status/1868423255633059960"/>
    <s v="null"/>
    <n v="8"/>
    <n v="4"/>
    <n v="20"/>
    <n v="28515"/>
    <s v="https://trib.al/i2xaEJJ"/>
    <s v="null"/>
    <n v="9564156"/>
    <s v="The first word in business news. Singapore newsletter: https://t.co/RtyaUOdLdF Newsletters: https://t.co/nWaCxHSKuU Podcasts: https://t.co/096e9xMbPz"/>
    <n v="1125277"/>
    <s v="https://pbs.twimg.com/profile_images/1631723279676317709/-fjgaR2p_normal.jpg"/>
    <n v="93"/>
    <b v="0"/>
    <n v="1"/>
    <n v="1"/>
    <s v="{&quot;post_id&quot;:null,&quot;profile_id&quot;:null,&quot;profile_name&quot;:null}"/>
    <s v="[&quot;https://pbs.twimg.com/card_img/1868416113454764032/5k5IzvuW?format=jpg&amp;name=orig&quot;]"/>
    <s v="null"/>
    <s v="{&quot;data_posted&quot;:null,&quot;description&quot;:null,&quot;photos&quot;:null,&quot;post_id&quot;:null,&quot;profile_id&quot;:null,&quot;profile_name&quot;:null,&quot;url&quot;:null,&quot;videos&quot;:null}"/>
    <n v="34"/>
    <n v="1.1923549009293355E-3"/>
    <d v="2024-12-15T00:00:00"/>
    <n v="0.93740740740740736"/>
    <x v="0"/>
    <x v="11"/>
    <x v="0"/>
    <x v="1"/>
    <x v="0"/>
    <x v="0"/>
    <n v="150"/>
    <x v="0"/>
  </r>
  <r>
    <n v="1.8684874938650588E+18"/>
    <s v="bus███ss"/>
    <s v="Blo███erg███"/>
    <s v="Indian tycoons Ambani and Adani have tumbled out of the elite centibillionaires club._x000a__x000a_Here's the outlook for their fortunes ⤵"/>
    <s v="&quot;2024-12-16T02:45:08.000Z&quot;"/>
    <s v="null"/>
    <s v="https://x.com/business/status/1868487493865058746"/>
    <s v="null"/>
    <n v="2"/>
    <n v="6"/>
    <n v="27"/>
    <n v="31103"/>
    <s v="https://trib.al/LLQUo0e"/>
    <s v="null"/>
    <n v="9564156"/>
    <s v="The first word in business news. Singapore newsletter: https://t.co/RtyaUOdLdF Newsletters: https://t.co/nWaCxHSKuU Podcasts: https://t.co/096e9xMbPz"/>
    <n v="1125277"/>
    <s v="https://pbs.twimg.com/profile_images/1631723279676317709/-fjgaR2p_normal.jpg"/>
    <n v="93"/>
    <b v="0"/>
    <n v="1"/>
    <n v="1"/>
    <s v="{&quot;post_id&quot;:null,&quot;profile_id&quot;:null,&quot;profile_name&quot;:null}"/>
    <s v="[&quot;https://pbs.twimg.com/card_img/1868436167965696001/CYxlWNxn?format=jpg&amp;name=orig&quot;]"/>
    <s v="null"/>
    <s v="{&quot;data_posted&quot;:null,&quot;description&quot;:null,&quot;photos&quot;:null,&quot;post_id&quot;:null,&quot;profile_id&quot;:null,&quot;profile_name&quot;:null,&quot;url&quot;:null,&quot;videos&quot;:null}"/>
    <n v="37"/>
    <n v="1.1895958589203614E-3"/>
    <d v="2024-12-16T00:00:00"/>
    <n v="0.11467592592592593"/>
    <x v="2"/>
    <x v="2"/>
    <x v="0"/>
    <x v="1"/>
    <x v="0"/>
    <x v="0"/>
    <n v="126"/>
    <x v="0"/>
  </r>
  <r>
    <n v="1.8682305324980636E+18"/>
    <s v="bus███ss"/>
    <s v="Blo███erg███"/>
    <s v="At Britain’s election in July, populist Reform UK Party leader Nigel Farage finally won a seat in parliament at the eighth time of asking. Now he’s setting his sights on upturning the country’s traditional two-party duopoly."/>
    <s v="&quot;2024-12-15T09:44:03.000Z&quot;"/>
    <s v="null"/>
    <s v="https://x.com/business/status/1868230532498063701"/>
    <s v="null"/>
    <n v="9"/>
    <n v="5"/>
    <n v="24"/>
    <n v="35431"/>
    <s v="https://trib.al/72pQIjW"/>
    <s v="null"/>
    <n v="9564231"/>
    <s v="The first word in business news. Singapore newsletter: https://t.co/RtyaUOdLdF Newsletters: https://t.co/nWaCxHSKuU Podcasts: https://t.co/096e9xMbPz"/>
    <n v="1125277"/>
    <s v="https://pbs.twimg.com/profile_images/1631723279676317709/-fjgaR2p_normal.jpg"/>
    <n v="93"/>
    <b v="0"/>
    <n v="1"/>
    <n v="3"/>
    <s v="{&quot;post_id&quot;:null,&quot;profile_id&quot;:null,&quot;profile_name&quot;:null}"/>
    <s v="[&quot;https://pbs.twimg.com/card_img/1867813221647650819/B5ygyVe8?format=jpg&amp;name=orig&quot;]"/>
    <s v="null"/>
    <s v="{&quot;data_posted&quot;:null,&quot;description&quot;:null,&quot;photos&quot;:null,&quot;post_id&quot;:null,&quot;profile_id&quot;:null,&quot;profile_name&quot;:null,&quot;url&quot;:null,&quot;videos&quot;:null}"/>
    <n v="42"/>
    <n v="1.185402613530524E-3"/>
    <d v="2024-12-15T00:00:00"/>
    <n v="0.40559027777777779"/>
    <x v="0"/>
    <x v="18"/>
    <x v="0"/>
    <x v="1"/>
    <x v="0"/>
    <x v="0"/>
    <n v="224"/>
    <x v="0"/>
  </r>
  <r>
    <n v="1.8681705490855037E+18"/>
    <s v="The███nom███"/>
    <s v="The███ono███t"/>
    <s v="Generative AI can write copy and draw images; the technology is also making it easier to target consumers with the right ad. _x000a__x000a_It could eliminate 7.5% of America’s advertising jobs by 2030, one research firm predicts"/>
    <s v="&quot;2024-12-15T05:45:42.000Z&quot;"/>
    <s v="null"/>
    <s v="https://x.com/TheEconomist/status/1868170549085503771"/>
    <s v="null"/>
    <n v="11"/>
    <n v="9"/>
    <n v="31"/>
    <n v="54146"/>
    <s v="https://econ.st/3DbtQxP"/>
    <s v="null"/>
    <n v="27122605"/>
    <s v="News and analysis with a global perspective. We’re here to help you understand the world around you. Subscribe here: https://t.co/RpUQAAnhog"/>
    <n v="402760"/>
    <s v="https://pbs.twimg.com/profile_images/1847280770743750656/0DkLNOPG_normal.jpg"/>
    <n v="155"/>
    <b v="0"/>
    <n v="4"/>
    <n v="9"/>
    <s v="{&quot;post_id&quot;:null,&quot;profile_id&quot;:null,&quot;profile_name&quot;:null}"/>
    <s v="[&quot;https://pbs.twimg.com/card_img/1867213932110168064/S3x4JBLF?format=jpg&amp;name=orig&quot;]"/>
    <s v="null"/>
    <s v="{&quot;data_posted&quot;:null,&quot;description&quot;:null,&quot;photos&quot;:null,&quot;post_id&quot;:null,&quot;profile_id&quot;:null,&quot;profile_name&quot;:null,&quot;url&quot;:null,&quot;videos&quot;:null}"/>
    <n v="64"/>
    <n v="1.181989435969416E-3"/>
    <d v="2024-12-15T00:00:00"/>
    <n v="0.24006944444444445"/>
    <x v="0"/>
    <x v="22"/>
    <x v="0"/>
    <x v="1"/>
    <x v="0"/>
    <x v="0"/>
    <n v="216"/>
    <x v="1"/>
  </r>
  <r>
    <n v="1.8683347141273439E+18"/>
    <s v="bus███ss"/>
    <s v="Blo███erg███"/>
    <s v="The impeachment of South Korean President Yoon Suk Yeol is giving his biggest political rival, Lee Jae-myung, a chance to finally take the top role in running the country."/>
    <s v="&quot;2024-12-15T16:38:02.000Z&quot;"/>
    <s v="null"/>
    <s v="https://x.com/business/status/1868334714127343811"/>
    <s v="null"/>
    <n v="9"/>
    <n v="6"/>
    <n v="13"/>
    <n v="28831"/>
    <s v="https://trib.al/nzBHp41"/>
    <s v="null"/>
    <n v="9564155"/>
    <s v="The first word in business news. Singapore newsletter: https://t.co/RtyaUOdLdF Newsletters: https://t.co/nWaCxHSKuU Podcasts: https://t.co/096e9xMbPz"/>
    <n v="1125277"/>
    <s v="https://pbs.twimg.com/profile_images/1631723279676317709/-fjgaR2p_normal.jpg"/>
    <n v="93"/>
    <b v="0"/>
    <n v="3"/>
    <n v="3"/>
    <s v="{&quot;post_id&quot;:null,&quot;profile_id&quot;:null,&quot;profile_name&quot;:null}"/>
    <s v="[&quot;https://pbs.twimg.com/card_img/1868244637263003648/_OIVQuTh?format=jpg&amp;name=orig&quot;]"/>
    <s v="null"/>
    <s v="{&quot;data_posted&quot;:null,&quot;description&quot;:null,&quot;photos&quot;:null,&quot;post_id&quot;:null,&quot;profile_id&quot;:null,&quot;profile_name&quot;:null,&quot;url&quot;:null,&quot;videos&quot;:null}"/>
    <n v="34"/>
    <n v="1.1792861850091914E-3"/>
    <d v="2024-12-15T00:00:00"/>
    <n v="0.69307870370370372"/>
    <x v="0"/>
    <x v="15"/>
    <x v="0"/>
    <x v="1"/>
    <x v="0"/>
    <x v="0"/>
    <n v="171"/>
    <x v="0"/>
  </r>
  <r>
    <n v="1.8685174202619453E+18"/>
    <s v="bus███ss"/>
    <s v="Blo███erg███"/>
    <s v="International Finance Corp. sees this year’s annual funding commitments to Singapore remaining near a record level, according to a regional executive."/>
    <s v="&quot;2024-12-16T04:44:03.000Z&quot;"/>
    <s v="null"/>
    <s v="https://x.com/business/status/1868517420261945401"/>
    <s v="null"/>
    <n v="2"/>
    <n v="3"/>
    <n v="10"/>
    <n v="15293"/>
    <s v="https://trib.al/M2dr521"/>
    <s v="null"/>
    <n v="9564155"/>
    <s v="The first word in business news. Singapore newsletter: https://t.co/RtyaUOdLdF Newsletters: https://t.co/nWaCxHSKuU Podcasts: https://t.co/096e9xMbPz"/>
    <n v="1125277"/>
    <s v="https://pbs.twimg.com/profile_images/1631723279676317709/-fjgaR2p_normal.jpg"/>
    <n v="93"/>
    <b v="0"/>
    <n v="1"/>
    <n v="2"/>
    <s v="{&quot;post_id&quot;:null,&quot;profile_id&quot;:null,&quot;profile_name&quot;:null}"/>
    <s v="[&quot;https://pbs.twimg.com/card_img/1868517421654441984/LuTMeyKm?format=jpg&amp;name=orig&quot;]"/>
    <s v="null"/>
    <s v="{&quot;data_posted&quot;:null,&quot;description&quot;:null,&quot;photos&quot;:null,&quot;post_id&quot;:null,&quot;profile_id&quot;:null,&quot;profile_name&quot;:null,&quot;url&quot;:null,&quot;videos&quot;:null}"/>
    <n v="18"/>
    <n v="1.1770090891257438E-3"/>
    <d v="2024-12-16T00:00:00"/>
    <n v="0.19725694444444444"/>
    <x v="2"/>
    <x v="9"/>
    <x v="0"/>
    <x v="1"/>
    <x v="0"/>
    <x v="0"/>
    <n v="150"/>
    <x v="0"/>
  </r>
  <r>
    <n v="1.8685181848080061E+18"/>
    <s v="bus███ss"/>
    <s v="Blo███erg███"/>
    <s v="The central bank, looking to increase financial inclusion, encouraged the proliferation of agents — but regulators now fear they are consuming the monetary system and pushing the naira further from their control."/>
    <s v="&quot;2024-12-16T04:47:05.000Z&quot;"/>
    <s v="null"/>
    <s v="https://x.com/business/status/1868518184808006042"/>
    <s v="null"/>
    <n v="5"/>
    <n v="3"/>
    <n v="8"/>
    <n v="16574"/>
    <s v="https://trib.al/PfNl3OP"/>
    <s v="null"/>
    <n v="9564153"/>
    <s v="The first word in business news. Singapore newsletter: https://t.co/RtyaUOdLdF Newsletters: https://t.co/nWaCxHSKuU Podcasts: https://t.co/096e9xMbPz"/>
    <n v="1125277"/>
    <s v="https://pbs.twimg.com/profile_images/1631723279676317709/-fjgaR2p_normal.jpg"/>
    <n v="93"/>
    <b v="0"/>
    <n v="1"/>
    <n v="2"/>
    <s v="{&quot;post_id&quot;:null,&quot;profile_id&quot;:null,&quot;profile_name&quot;:null}"/>
    <s v="[&quot;https://pbs.twimg.com/card_img/1867796951455932416/7klrcqJv?format=jpg&amp;name=orig&quot;]"/>
    <s v="null"/>
    <s v="{&quot;data_posted&quot;:null,&quot;description&quot;:null,&quot;photos&quot;:null,&quot;post_id&quot;:null,&quot;profile_id&quot;:null,&quot;profile_name&quot;:null,&quot;url&quot;:null,&quot;videos&quot;:null}"/>
    <n v="19"/>
    <n v="1.1463738385422951E-3"/>
    <d v="2024-12-16T00:00:00"/>
    <n v="0.19936342592592593"/>
    <x v="2"/>
    <x v="9"/>
    <x v="0"/>
    <x v="1"/>
    <x v="0"/>
    <x v="0"/>
    <n v="212"/>
    <x v="0"/>
  </r>
  <r>
    <n v="1.8684175005656479E+18"/>
    <s v="tal███ORT███"/>
    <s v="tal███ORT███"/>
    <s v="Jobe Bellingham swears as late winner gets Sunderland promotion charge back on track"/>
    <s v="&quot;2024-12-15T22:07:00.000Z&quot;"/>
    <s v="null"/>
    <s v="https://x.com/talkSPORT/status/1868417500565647762"/>
    <s v="null"/>
    <n v="3"/>
    <n v="2"/>
    <n v="35"/>
    <n v="36697"/>
    <s v="https://talksport.com/football/2380742/jobe-bellingham-sunderland-fans-message/"/>
    <s v="null"/>
    <n v="2356528"/>
    <s v="The world’s biggest sports radio station 📻_x000a__x000a_🚨 Buy talkSPORT Trivia Game here: https://t.co/dQV2AFISP2"/>
    <n v="338240"/>
    <s v="https://pbs.twimg.com/profile_images/1605158550979940360/MUqOEhHq_normal.jpg"/>
    <n v="1981"/>
    <b v="0"/>
    <n v="1"/>
    <n v="1"/>
    <s v="{&quot;post_id&quot;:null,&quot;profile_id&quot;:null,&quot;profile_name&quot;:null}"/>
    <s v="[&quot;https://pbs.twimg.com/card_img/1867999428348383232/8sNpotZt?format=jpg&amp;name=orig&quot;]"/>
    <s v="null"/>
    <s v="{&quot;data_posted&quot;:null,&quot;description&quot;:null,&quot;photos&quot;:null,&quot;post_id&quot;:null,&quot;profile_id&quot;:null,&quot;profile_name&quot;:null,&quot;url&quot;:null,&quot;videos&quot;:null}"/>
    <n v="42"/>
    <n v="1.1445077254271466E-3"/>
    <d v="2024-12-15T00:00:00"/>
    <n v="0.92152777777777772"/>
    <x v="0"/>
    <x v="11"/>
    <x v="0"/>
    <x v="1"/>
    <x v="0"/>
    <x v="0"/>
    <n v="84"/>
    <x v="0"/>
  </r>
  <r>
    <n v="1.8685008280608893E+18"/>
    <s v="bus███ss"/>
    <s v="Blo███erg███"/>
    <s v="China’s 10-year sovereign yield slumped to a fresh record low Monday, as a string of sluggish economic data boosted demand for haven assets"/>
    <s v="&quot;2024-12-16T03:38:07.000Z&quot;"/>
    <s v="null"/>
    <s v="https://x.com/business/status/1868500828060889377"/>
    <s v="null"/>
    <n v="2"/>
    <n v="8"/>
    <n v="21"/>
    <n v="34093"/>
    <s v="https://trib.al/sUXfc8m"/>
    <s v="null"/>
    <n v="9564156"/>
    <s v="The first word in business news. Singapore newsletter: https://t.co/RtyaUOdLdF Newsletters: https://t.co/nWaCxHSKuU Podcasts: https://t.co/096e9xMbPz"/>
    <n v="1125277"/>
    <s v="https://pbs.twimg.com/profile_images/1631723279676317709/-fjgaR2p_normal.jpg"/>
    <n v="93"/>
    <b v="0"/>
    <n v="3"/>
    <n v="5"/>
    <s v="{&quot;post_id&quot;:null,&quot;profile_id&quot;:null,&quot;profile_name&quot;:null}"/>
    <s v="[&quot;https://pbs.twimg.com/card_img/1868500122545295360/OfmJ-u4G?format=jpg&amp;name=orig&quot;]"/>
    <s v="null"/>
    <s v="{&quot;data_posted&quot;:null,&quot;description&quot;:null,&quot;photos&quot;:null,&quot;post_id&quot;:null,&quot;profile_id&quot;:null,&quot;profile_name&quot;:null,&quot;url&quot;:null,&quot;videos&quot;:null}"/>
    <n v="39"/>
    <n v="1.1439298389698766E-3"/>
    <d v="2024-12-16T00:00:00"/>
    <n v="0.1514699074074074"/>
    <x v="2"/>
    <x v="21"/>
    <x v="0"/>
    <x v="1"/>
    <x v="0"/>
    <x v="0"/>
    <n v="139"/>
    <x v="0"/>
  </r>
  <r>
    <n v="1.868373978110153E+18"/>
    <s v="The███nom███"/>
    <s v="The███ono███t"/>
    <s v="Syria will fail if it becomes an arena for the rivalries of outside powers. It is more likely to prosper if it is left alone. And only if it prospers will millions of refugees choose to return home"/>
    <s v="&quot;2024-12-15T19:14:03.000Z&quot;"/>
    <s v="null"/>
    <s v="https://x.com/TheEconomist/status/1868373978110153028"/>
    <s v="null"/>
    <n v="11"/>
    <n v="8"/>
    <n v="34"/>
    <n v="50273"/>
    <s v="https://econ.st/3ORQ1vz"/>
    <s v="null"/>
    <n v="27122999"/>
    <s v="News and analysis with a global perspective. We’re here to help you understand the world around you. Subscribe here: https://t.co/RpUQAAnhog"/>
    <n v="402760"/>
    <s v="https://pbs.twimg.com/profile_images/1847280770743750656/0DkLNOPG_normal.jpg"/>
    <n v="155"/>
    <b v="0"/>
    <n v="3"/>
    <n v="1"/>
    <s v="{&quot;post_id&quot;:null,&quot;profile_id&quot;:null,&quot;profile_name&quot;:null}"/>
    <s v="[&quot;https://pbs.twimg.com/card_img/1867211283080052736/EC2fJPDy?format=jpg&amp;name=orig&quot;]"/>
    <s v="null"/>
    <s v="{&quot;data_posted&quot;:null,&quot;description&quot;:null,&quot;photos&quot;:null,&quot;post_id&quot;:null,&quot;profile_id&quot;:null,&quot;profile_name&quot;:null,&quot;url&quot;:null,&quot;videos&quot;:null}"/>
    <n v="57"/>
    <n v="1.133809400672329E-3"/>
    <d v="2024-12-15T00:00:00"/>
    <n v="0.80142361111111116"/>
    <x v="0"/>
    <x v="4"/>
    <x v="0"/>
    <x v="1"/>
    <x v="0"/>
    <x v="0"/>
    <n v="197"/>
    <x v="1"/>
  </r>
  <r>
    <n v="1.8682124282001408E+18"/>
    <s v="The███nom███"/>
    <s v="The███ono███t"/>
    <s v="Some once hoped that “cricket diplomacy” could thaw India-Pakistan relations, replicating the success of “ping-pong diplomacy” between America and China. Now, that seems unthinkable"/>
    <s v="&quot;2024-12-15T08:32:07.000Z&quot;"/>
    <s v="null"/>
    <s v="https://x.com/TheEconomist/status/1868212428200140810"/>
    <s v="null"/>
    <n v="10"/>
    <n v="9"/>
    <n v="28"/>
    <n v="44524"/>
    <s v="https://econ.st/3BtMHDW"/>
    <s v="null"/>
    <n v="27123001"/>
    <s v="News and analysis with a global perspective. We’re here to help you understand the world around you. Subscribe here: https://t.co/RpUQAAnhog"/>
    <n v="402760"/>
    <s v="https://pbs.twimg.com/profile_images/1847280770743750656/0DkLNOPG_normal.jpg"/>
    <n v="155"/>
    <b v="0"/>
    <n v="1"/>
    <n v="2"/>
    <s v="{&quot;post_id&quot;:null,&quot;profile_id&quot;:null,&quot;profile_name&quot;:null}"/>
    <s v="[&quot;https://pbs.twimg.com/card_img/1867197848694951936/vqtLtEvZ?format=jpg&amp;name=orig&quot;]"/>
    <s v="null"/>
    <s v="{&quot;data_posted&quot;:null,&quot;description&quot;:null,&quot;photos&quot;:null,&quot;post_id&quot;:null,&quot;profile_id&quot;:null,&quot;profile_name&quot;:null,&quot;url&quot;:null,&quot;videos&quot;:null}"/>
    <n v="50"/>
    <n v="1.1229898481717726E-3"/>
    <d v="2024-12-15T00:00:00"/>
    <n v="0.35563657407407406"/>
    <x v="0"/>
    <x v="6"/>
    <x v="0"/>
    <x v="1"/>
    <x v="0"/>
    <x v="0"/>
    <n v="181"/>
    <x v="1"/>
  </r>
  <r>
    <n v="1.8682179624542047E+18"/>
    <s v="The███nom███"/>
    <s v="The███ono███t"/>
    <s v="Some economists now worry that inflation, having come down sharply since mid-2022, is stalling at around 3% in America._x000a__x000a_Optimists blame these uncomfortable figures on inevitable volatility. But the case for concern is broader"/>
    <s v="&quot;2024-12-15T08:54:06.000Z&quot;"/>
    <s v="null"/>
    <s v="https://x.com/TheEconomist/status/1868217962454204731"/>
    <s v="null"/>
    <n v="8"/>
    <n v="7"/>
    <n v="23"/>
    <n v="41169"/>
    <s v="https://econ.st/3DhwLVN"/>
    <s v="null"/>
    <n v="27123000"/>
    <s v="News and analysis with a global perspective. We’re here to help you understand the world around you. Subscribe here: https://t.co/RpUQAAnhog"/>
    <n v="402760"/>
    <s v="https://pbs.twimg.com/profile_images/1847280770743750656/0DkLNOPG_normal.jpg"/>
    <n v="155"/>
    <b v="0"/>
    <n v="1"/>
    <n v="7"/>
    <s v="{&quot;post_id&quot;:null,&quot;profile_id&quot;:null,&quot;profile_name&quot;:null}"/>
    <s v="[&quot;https://pbs.twimg.com/card_img/1867214451583176704/0S4QHM-U?format=jpg&amp;name=orig&quot;]"/>
    <s v="null"/>
    <s v="{&quot;data_posted&quot;:null,&quot;description&quot;:null,&quot;photos&quot;:null,&quot;post_id&quot;:null,&quot;profile_id&quot;:null,&quot;profile_name&quot;:null,&quot;url&quot;:null,&quot;videos&quot;:null}"/>
    <n v="46"/>
    <n v="1.1173455755544221E-3"/>
    <d v="2024-12-15T00:00:00"/>
    <n v="0.3709027777777778"/>
    <x v="0"/>
    <x v="6"/>
    <x v="0"/>
    <x v="1"/>
    <x v="0"/>
    <x v="0"/>
    <n v="226"/>
    <x v="1"/>
  </r>
  <r>
    <n v="1.8680882161646717E+18"/>
    <s v="The███nom███"/>
    <s v="The███ono███t"/>
    <s v="These are the world’s most expensive cities"/>
    <s v="&quot;2024-12-15T00:18:32.000Z&quot;"/>
    <s v="null"/>
    <s v="https://x.com/TheEconomist/status/1868088216164671670"/>
    <s v="null"/>
    <n v="12"/>
    <n v="12"/>
    <n v="33"/>
    <n v="64864"/>
    <s v="https://econ.st/49DVShr"/>
    <s v="null"/>
    <n v="27123001"/>
    <s v="News and analysis with a global perspective. We’re here to help you understand the world around you. Subscribe here: https://t.co/RpUQAAnhog"/>
    <n v="402760"/>
    <s v="https://pbs.twimg.com/profile_images/1847280770743750656/0DkLNOPG_normal.jpg"/>
    <n v="155"/>
    <b v="0"/>
    <n v="2"/>
    <n v="13"/>
    <s v="{&quot;post_id&quot;:null,&quot;profile_id&quot;:null,&quot;profile_name&quot;:null}"/>
    <s v="[&quot;https://pbs.twimg.com/card_img/1866979866568167428/R2fahqqv?format=png&amp;name=orig&quot;]"/>
    <s v="null"/>
    <s v="{&quot;data_posted&quot;:null,&quot;description&quot;:null,&quot;photos&quot;:null,&quot;post_id&quot;:null,&quot;profile_id&quot;:null,&quot;profile_name&quot;:null,&quot;url&quot;:null,&quot;videos&quot;:null}"/>
    <n v="72"/>
    <n v="1.110014800197336E-3"/>
    <d v="2024-12-15T00:00:00"/>
    <n v="1.2870370370370371E-2"/>
    <x v="0"/>
    <x v="5"/>
    <x v="0"/>
    <x v="1"/>
    <x v="0"/>
    <x v="0"/>
    <n v="43"/>
    <x v="1"/>
  </r>
  <r>
    <n v="1.8682736484290481E+18"/>
    <s v="bus███ss"/>
    <s v="Blo███erg███"/>
    <s v="Ghana’s President-elect John Mahama is considering appointing Cassiel Ato Forson, an accountant, as the West African nation’s finance minister"/>
    <s v="&quot;2024-12-15T12:35:23.000Z&quot;"/>
    <s v="null"/>
    <s v="https://x.com/business/status/1868273648429048029"/>
    <s v="null"/>
    <n v="6"/>
    <n v="6"/>
    <n v="25"/>
    <n v="36381"/>
    <s v="https://trib.al/P45eVmu"/>
    <s v="null"/>
    <n v="9564231"/>
    <s v="The first word in business news. Singapore newsletter: https://t.co/RtyaUOdLdF Newsletters: https://t.co/nWaCxHSKuU Podcasts: https://t.co/096e9xMbPz"/>
    <n v="1125277"/>
    <s v="https://pbs.twimg.com/profile_images/1631723279676317709/-fjgaR2p_normal.jpg"/>
    <n v="93"/>
    <b v="0"/>
    <n v="1"/>
    <n v="2"/>
    <s v="{&quot;post_id&quot;:null,&quot;profile_id&quot;:null,&quot;profile_name&quot;:null}"/>
    <s v="[&quot;https://pbs.twimg.com/card_img/1868273649746141184/SaxXw5BK?format=jpg&amp;name=orig&quot;]"/>
    <s v="null"/>
    <s v="{&quot;data_posted&quot;:null,&quot;description&quot;:null,&quot;photos&quot;:null,&quot;post_id&quot;:null,&quot;profile_id&quot;:null,&quot;profile_name&quot;:null,&quot;url&quot;:null,&quot;videos&quot;:null}"/>
    <n v="40"/>
    <n v="1.0994750006871718E-3"/>
    <d v="2024-12-15T00:00:00"/>
    <n v="0.52457175925925925"/>
    <x v="0"/>
    <x v="0"/>
    <x v="0"/>
    <x v="1"/>
    <x v="0"/>
    <x v="0"/>
    <n v="142"/>
    <x v="0"/>
  </r>
  <r>
    <n v="1.8680963940886162E+18"/>
    <s v="bus███ss"/>
    <s v="Blo███erg███"/>
    <s v="President-elect Trump has been handed a playbook for downsizing the National Oceanic and Atmospheric Administration at a time when China is investing heavily in climate research, and could see an opening to being the next global weather superpower."/>
    <s v="&quot;2024-12-15T00:51:02.000Z&quot;"/>
    <s v="null"/>
    <s v="https://x.com/business/status/1868096394088616305"/>
    <s v="null"/>
    <n v="8"/>
    <n v="4"/>
    <n v="21"/>
    <n v="35071"/>
    <s v="https://trib.al/pUbGUQC"/>
    <s v="null"/>
    <n v="9564157"/>
    <s v="The first word in business news. Singapore newsletter: https://t.co/RtyaUOdLdF Newsletters: https://t.co/nWaCxHSKuU Podcasts: https://t.co/096e9xMbPz"/>
    <n v="1125277"/>
    <s v="https://pbs.twimg.com/profile_images/1631723279676317709/-fjgaR2p_normal.jpg"/>
    <n v="93"/>
    <b v="0"/>
    <n v="1"/>
    <n v="4"/>
    <s v="{&quot;post_id&quot;:null,&quot;profile_id&quot;:null,&quot;profile_name&quot;:null}"/>
    <s v="[&quot;https://pbs.twimg.com/card_img/1866709859590148096/-Qjf_0NR?format=jpg&amp;name=orig&quot;]"/>
    <s v="null"/>
    <s v="{&quot;data_posted&quot;:null,&quot;description&quot;:null,&quot;photos&quot;:null,&quot;post_id&quot;:null,&quot;profile_id&quot;:null,&quot;profile_name&quot;:null,&quot;url&quot;:null,&quot;videos&quot;:null}"/>
    <n v="38"/>
    <n v="1.0835162955148128E-3"/>
    <d v="2024-12-15T00:00:00"/>
    <n v="3.5439814814814813E-2"/>
    <x v="0"/>
    <x v="5"/>
    <x v="0"/>
    <x v="1"/>
    <x v="0"/>
    <x v="0"/>
    <n v="248"/>
    <x v="0"/>
  </r>
  <r>
    <n v="1.8683261645377208E+18"/>
    <s v="bus███ss"/>
    <s v="Blo███erg███"/>
    <s v="With a trade war looming over China, President Xi wants Chinese consumers to go on a spending spree._x000a__x000a_@RChoongWilkins explains why that might be an uphill battle"/>
    <s v="&quot;2024-12-15T16:04:04.000Z&quot;"/>
    <s v="null"/>
    <s v="https://x.com/business/status/1868326164537720940"/>
    <s v="[{&quot;biography&quot;:null,&quot;followers&quot;:null,&quot;following&quot;:null,&quot;is_verified&quot;:null,&quot;profile_id&quot;:&quot;1655336281&quot;,&quot;profile_name&quot;:&quot;Rebecca Choong Wilkins 钟碧琪&quot;,&quot;url&quot;:&quot;https://x.com/RChoongWilkins&quot;}]"/>
    <n v="5"/>
    <n v="5"/>
    <n v="18"/>
    <n v="29656"/>
    <s v="https://trib.al/NqxDqhQ"/>
    <s v="null"/>
    <n v="9564155"/>
    <s v="The first word in business news. Singapore newsletter: https://t.co/RtyaUOdLdF Newsletters: https://t.co/nWaCxHSKuU Podcasts: https://t.co/096e9xMbPz"/>
    <n v="1125277"/>
    <s v="https://pbs.twimg.com/profile_images/1631723279676317709/-fjgaR2p_normal.jpg"/>
    <n v="93"/>
    <b v="0"/>
    <n v="0"/>
    <n v="4"/>
    <s v="{&quot;post_id&quot;:null,&quot;profile_id&quot;:null,&quot;profile_name&quot;:null}"/>
    <s v="null"/>
    <s v="[{&quot;duration&quot;:71533,&quot;video_url&quot;:&quot;https://video.twimg.com/amplify_video/1867556524236640256/vid/avc1/1080x1920/74gwo76ul8HIDHZx.mp4?tag=16&quot;}]"/>
    <s v="{&quot;data_posted&quot;:null,&quot;description&quot;:null,&quot;photos&quot;:null,&quot;post_id&quot;:null,&quot;profile_id&quot;:null,&quot;profile_name&quot;:null,&quot;url&quot;:null,&quot;videos&quot;:null}"/>
    <n v="32"/>
    <n v="1.0790396547073105E-3"/>
    <d v="2024-12-15T00:00:00"/>
    <n v="0.66949074074074078"/>
    <x v="0"/>
    <x v="15"/>
    <x v="1"/>
    <x v="1"/>
    <x v="0"/>
    <x v="0"/>
    <n v="161"/>
    <x v="0"/>
  </r>
  <r>
    <n v="1.86825604684782E+18"/>
    <s v="The███nom███"/>
    <s v="The███ono███t"/>
    <s v="Much like voters in the rest of the world, Germans are fed up with their government. Three charts help explain the situation in Europe’s largest economy"/>
    <s v="&quot;2024-12-15T11:25:26.000Z&quot;"/>
    <s v="null"/>
    <s v="https://x.com/TheEconomist/status/1868256046847820114"/>
    <s v="null"/>
    <n v="6"/>
    <n v="13"/>
    <n v="32"/>
    <n v="51286"/>
    <s v="https://econ.st/49AwGZk"/>
    <s v="null"/>
    <n v="27122998"/>
    <s v="News and analysis with a global perspective. We’re here to help you understand the world around you. Subscribe here: https://t.co/RpUQAAnhog"/>
    <n v="402760"/>
    <s v="https://pbs.twimg.com/profile_images/1847280770743750656/0DkLNOPG_normal.jpg"/>
    <n v="155"/>
    <b v="0"/>
    <n v="1"/>
    <n v="3"/>
    <s v="{&quot;post_id&quot;:null,&quot;profile_id&quot;:null,&quot;profile_name&quot;:null}"/>
    <s v="[&quot;https://pbs.twimg.com/card_img/1867819837428215808/TMjENkGg?format=png&amp;name=orig&quot;]"/>
    <s v="null"/>
    <s v="{&quot;data_posted&quot;:null,&quot;description&quot;:null,&quot;photos&quot;:null,&quot;post_id&quot;:null,&quot;profile_id&quot;:null,&quot;profile_name&quot;:null,&quot;url&quot;:null,&quot;videos&quot;:null}"/>
    <n v="55"/>
    <n v="1.0724174238583629E-3"/>
    <d v="2024-12-15T00:00:00"/>
    <n v="0.47599537037037037"/>
    <x v="0"/>
    <x v="16"/>
    <x v="0"/>
    <x v="1"/>
    <x v="0"/>
    <x v="0"/>
    <n v="152"/>
    <x v="1"/>
  </r>
  <r>
    <n v="1.8683105580819622E+18"/>
    <s v="bus███ss"/>
    <s v="Blo███erg███"/>
    <s v="South Korea’s central bank vowed to stabilize financial markets and highlighted the importance of “uninterrupted implementation” of key fiscal and economic measures, in its first statement since lawmakers voted to impeach President Yoon Suk Yeol."/>
    <s v="&quot;2024-12-15T15:02:03.000Z&quot;"/>
    <s v="null"/>
    <s v="https://x.com/business/status/1868310558081962136"/>
    <s v="null"/>
    <n v="4"/>
    <n v="6"/>
    <n v="17"/>
    <n v="28156"/>
    <s v="https://trib.al/jRj3JSV"/>
    <s v="null"/>
    <n v="9564155"/>
    <s v="The first word in business news. Singapore newsletter: https://t.co/RtyaUOdLdF Newsletters: https://t.co/nWaCxHSKuU Podcasts: https://t.co/096e9xMbPz"/>
    <n v="1125277"/>
    <s v="https://pbs.twimg.com/profile_images/1631723279676317709/-fjgaR2p_normal.jpg"/>
    <n v="93"/>
    <b v="0"/>
    <n v="1"/>
    <n v="2"/>
    <s v="{&quot;post_id&quot;:null,&quot;profile_id&quot;:null,&quot;profile_name&quot;:null}"/>
    <s v="[&quot;https://pbs.twimg.com/card_img/1868169331365892096/i6NPdOzx?format=jpg&amp;name=orig&quot;]"/>
    <s v="null"/>
    <s v="{&quot;data_posted&quot;:null,&quot;description&quot;:null,&quot;photos&quot;:null,&quot;post_id&quot;:null,&quot;profile_id&quot;:null,&quot;profile_name&quot;:null,&quot;url&quot;:null,&quot;videos&quot;:null}"/>
    <n v="30"/>
    <n v="1.0654922574229295E-3"/>
    <d v="2024-12-15T00:00:00"/>
    <n v="0.62642361111111111"/>
    <x v="0"/>
    <x v="13"/>
    <x v="0"/>
    <x v="1"/>
    <x v="0"/>
    <x v="0"/>
    <n v="246"/>
    <x v="0"/>
  </r>
  <r>
    <n v="1.8682277620974349E+18"/>
    <s v="The███nom███"/>
    <s v="The███ono███t"/>
    <s v="Excuses are running out for the British economy. Growth has been sluggish for over a decade. But now the tumult appears to be over. Will the country be able to sustain its recovery throughout 2025? We explain"/>
    <s v="&quot;2024-12-15T09:33:03.000Z&quot;"/>
    <s v="null"/>
    <s v="https://x.com/TheEconomist/status/1868227762097434843"/>
    <s v="null"/>
    <n v="16"/>
    <n v="6"/>
    <n v="26"/>
    <n v="47941"/>
    <s v="https://econ.st/3ZylxVn"/>
    <s v="null"/>
    <n v="27122999"/>
    <s v="News and analysis with a global perspective. We’re here to help you understand the world around you. Subscribe here: https://t.co/RpUQAAnhog"/>
    <n v="402760"/>
    <s v="https://pbs.twimg.com/profile_images/1847280770743750656/0DkLNOPG_normal.jpg"/>
    <n v="155"/>
    <b v="0"/>
    <n v="1"/>
    <n v="2"/>
    <s v="{&quot;post_id&quot;:null,&quot;profile_id&quot;:null,&quot;profile_name&quot;:null}"/>
    <s v="[&quot;https://pbs.twimg.com/card_img/1867427153693810688/PFjueUNa?format=jpg&amp;name=orig&quot;]"/>
    <s v="null"/>
    <s v="{&quot;data_posted&quot;:null,&quot;description&quot;:null,&quot;photos&quot;:null,&quot;post_id&quot;:null,&quot;profile_id&quot;:null,&quot;profile_name&quot;:null,&quot;url&quot;:null,&quot;videos&quot;:null}"/>
    <n v="51"/>
    <n v="1.0638075968377797E-3"/>
    <d v="2024-12-15T00:00:00"/>
    <n v="0.39795138888888887"/>
    <x v="0"/>
    <x v="18"/>
    <x v="0"/>
    <x v="1"/>
    <x v="0"/>
    <x v="0"/>
    <n v="208"/>
    <x v="1"/>
  </r>
  <r>
    <n v="1.868281193692607E+18"/>
    <s v="The███nom███"/>
    <s v="The███ono███t"/>
    <s v="British politics is in danger. Many parties are facing poor approval ratings. Denial is common"/>
    <s v="&quot;2024-12-15T13:05:22.000Z&quot;"/>
    <s v="null"/>
    <s v="https://x.com/TheEconomist/status/1868281193692606872"/>
    <s v="null"/>
    <n v="7"/>
    <n v="12"/>
    <n v="34"/>
    <n v="54717"/>
    <s v="https://econ.st/4gixhRZ"/>
    <s v="null"/>
    <n v="27122998"/>
    <s v="News and analysis with a global perspective. We’re here to help you understand the world around you. Subscribe here: https://t.co/RpUQAAnhog"/>
    <n v="402760"/>
    <s v="https://pbs.twimg.com/profile_images/1847280770743750656/0DkLNOPG_normal.jpg"/>
    <n v="155"/>
    <b v="0"/>
    <n v="1"/>
    <n v="4"/>
    <s v="{&quot;post_id&quot;:null,&quot;profile_id&quot;:null,&quot;profile_name&quot;:null}"/>
    <s v="[&quot;https://pbs.twimg.com/card_img/1866910791821074432/BlYoBAHW?format=jpg&amp;name=orig&quot;]"/>
    <s v="null"/>
    <s v="{&quot;data_posted&quot;:null,&quot;description&quot;:null,&quot;photos&quot;:null,&quot;post_id&quot;:null,&quot;profile_id&quot;:null,&quot;profile_name&quot;:null,&quot;url&quot;:null,&quot;videos&quot;:null}"/>
    <n v="58"/>
    <n v="1.0599996344828847E-3"/>
    <d v="2024-12-15T00:00:00"/>
    <n v="0.54539351851851847"/>
    <x v="0"/>
    <x v="14"/>
    <x v="0"/>
    <x v="1"/>
    <x v="0"/>
    <x v="0"/>
    <n v="94"/>
    <x v="1"/>
  </r>
  <r>
    <n v="1.8683817550293036E+18"/>
    <s v="PGA███R"/>
    <s v="PGA███UR"/>
    <s v="Locked in._x000a_ _x000a_@AleTostiOK grabs another birdie to jump to T2 with one hole to play at PGA TOUR Q-School presented by Korn Ferry._x000a_ _x000a_📺: GOLF Channel"/>
    <s v="&quot;2024-12-15T19:44:57.000Z&quot;"/>
    <s v="null"/>
    <s v="https://x.com/PGATOUR/status/1868381755029303459"/>
    <s v="[{&quot;biography&quot;:null,&quot;followers&quot;:null,&quot;following&quot;:null,&quot;is_verified&quot;:null,&quot;profile_id&quot;:&quot;1650676296&quot;,&quot;profile_name&quot;:&quot;Ale L. Tosti&quot;,&quot;url&quot;:&quot;https://x.com/AleTostiOK&quot;}]"/>
    <n v="9"/>
    <n v="11"/>
    <n v="69"/>
    <n v="85891"/>
    <s v=""/>
    <s v="null"/>
    <n v="2999631"/>
    <s v="🏌️‍♂️ @KornFerryTour | 🏌️ @ChampionsTour | 📝 @PGATOURComms | 🖥 @PGATOURLIVE | 🎓 @PGATOURU | 🌎 @PGATOURAmericas | 🇪🇸 @PGATOUREsp"/>
    <n v="183050"/>
    <s v="https://pbs.twimg.com/profile_images/1749466889376473090/4nPDWTqB_normal.jpg"/>
    <n v="920"/>
    <b v="0"/>
    <n v="1"/>
    <n v="1"/>
    <s v="{&quot;post_id&quot;:null,&quot;profile_id&quot;:null,&quot;profile_name&quot;:null}"/>
    <s v="null"/>
    <s v="[{&quot;duration&quot;:13596,&quot;video_url&quot;:&quot;https://video.twimg.com/amplify_video/1868381521284857857/vid/avc1/720x900/aCCkq6XfSYaAhNi3.mp4?tag=14&quot;}]"/>
    <s v="{&quot;data_posted&quot;:null,&quot;description&quot;:null,&quot;photos&quot;:null,&quot;post_id&quot;:null,&quot;profile_id&quot;:null,&quot;profile_name&quot;:null,&quot;url&quot;:null,&quot;videos&quot;:null}"/>
    <n v="91"/>
    <n v="1.0594823671863176E-3"/>
    <d v="2024-12-15T00:00:00"/>
    <n v="0.8228819444444444"/>
    <x v="0"/>
    <x v="4"/>
    <x v="1"/>
    <x v="1"/>
    <x v="0"/>
    <x v="0"/>
    <n v="145"/>
    <x v="0"/>
  </r>
  <r>
    <n v="1.8682689228074642E+18"/>
    <s v="The███nom███"/>
    <s v="The███ono███t"/>
    <s v="China has already removed a few rags-to-riches micro-dramas from streaming platforms. But the industry could still find ways to skirt the regulations"/>
    <s v="&quot;2024-12-15T12:16:36.000Z&quot;"/>
    <s v="null"/>
    <s v="https://x.com/TheEconomist/status/1868268922807464102"/>
    <s v="null"/>
    <n v="14"/>
    <n v="9"/>
    <n v="28"/>
    <n v="53683"/>
    <s v="https://econ.st/4ffO72I"/>
    <s v="null"/>
    <n v="27122998"/>
    <s v="News and analysis with a global perspective. We’re here to help you understand the world around you. Subscribe here: https://t.co/RpUQAAnhog"/>
    <n v="402760"/>
    <s v="https://pbs.twimg.com/profile_images/1847280770743750656/0DkLNOPG_normal.jpg"/>
    <n v="155"/>
    <b v="0"/>
    <n v="1"/>
    <n v="4"/>
    <s v="{&quot;post_id&quot;:null,&quot;profile_id&quot;:null,&quot;profile_name&quot;:null}"/>
    <s v="[&quot;https://pbs.twimg.com/card_img/1867488382697582592/xCtsaoro?format=jpg&amp;name=orig&quot;]"/>
    <s v="null"/>
    <s v="{&quot;data_posted&quot;:null,&quot;description&quot;:null,&quot;photos&quot;:null,&quot;post_id&quot;:null,&quot;profile_id&quot;:null,&quot;profile_name&quot;:null,&quot;url&quot;:null,&quot;videos&quot;:null}"/>
    <n v="56"/>
    <n v="1.0431607771547789E-3"/>
    <d v="2024-12-15T00:00:00"/>
    <n v="0.5115277777777778"/>
    <x v="0"/>
    <x v="0"/>
    <x v="0"/>
    <x v="1"/>
    <x v="0"/>
    <x v="0"/>
    <n v="149"/>
    <x v="1"/>
  </r>
  <r>
    <n v="1.8684469884227994E+18"/>
    <s v="bus███ss"/>
    <s v="Blo███erg███"/>
    <s v="Where are all the women in the chip industry, asks @cathythorbecke. The sector, which is facing a global labor shortage, needs to engage the other half of the world's population"/>
    <s v="&quot;2024-12-16T00:04:10.000Z&quot;"/>
    <s v="null"/>
    <s v="https://x.com/business/status/1868446988422799470"/>
    <s v="[{&quot;biography&quot;:null,&quot;followers&quot;:null,&quot;following&quot;:null,&quot;is_verified&quot;:null,&quot;profile_id&quot;:&quot;3018443086&quot;,&quot;profile_name&quot;:&quot;Catherine Thorbecke&quot;,&quot;url&quot;:&quot;https://x.com/cathythorbecke&quot;},{&quot;biography&quot;:null,&quot;followers&quot;:null,&quot;following&quot;:null,&quot;is_verified&quot;:null,&quot;profile_id&quot;:&quot;227682918&quot;,&quot;profile_name&quot;:&quot;Bloomberg Opinion&quot;,&quot;url&quot;:&quot;https://x.com/opinion&quot;}]"/>
    <n v="7"/>
    <n v="3"/>
    <n v="17"/>
    <n v="27025"/>
    <s v="https://trib.al/w0lW9MF"/>
    <s v="null"/>
    <n v="9564232"/>
    <s v="The first word in business news. Singapore newsletter: https://t.co/RtyaUOdLdF Newsletters: https://t.co/nWaCxHSKuU Podcasts: https://t.co/096e9xMbPz"/>
    <n v="1125277"/>
    <s v="https://pbs.twimg.com/profile_images/1631723279676317709/-fjgaR2p_normal.jpg"/>
    <n v="93"/>
    <b v="0"/>
    <n v="0"/>
    <n v="1"/>
    <s v="{&quot;post_id&quot;:null,&quot;profile_id&quot;:null,&quot;profile_name&quot;:null}"/>
    <s v="[&quot;https://pbs.twimg.com/card_img/1868404268933234688/Dkb9woQj?format=jpg&amp;name=orig&quot;]"/>
    <s v="null"/>
    <s v="{&quot;data_posted&quot;:null,&quot;description&quot;:null,&quot;photos&quot;:null,&quot;post_id&quot;:null,&quot;profile_id&quot;:null,&quot;profile_name&quot;:null,&quot;url&quot;:null,&quot;videos&quot;:null}"/>
    <n v="28"/>
    <n v="1.0360777058279372E-3"/>
    <d v="2024-12-16T00:00:00"/>
    <n v="2.8935185185185184E-3"/>
    <x v="2"/>
    <x v="5"/>
    <x v="0"/>
    <x v="1"/>
    <x v="0"/>
    <x v="0"/>
    <n v="177"/>
    <x v="0"/>
  </r>
  <r>
    <n v="1.8682544295661202E+18"/>
    <s v="bus███ss"/>
    <s v="Blo███erg███"/>
    <s v="South Korea’s main opposition leader says there are no plans for now to impeach Acting President Han Duck-soo, who stepped in as interim leader after President Yoon Suk Yeol’s impeachment on Saturday"/>
    <s v="&quot;2024-12-15T11:19:01.000Z&quot;"/>
    <s v="null"/>
    <s v="https://x.com/business/status/1868254429566120145"/>
    <s v="null"/>
    <n v="6"/>
    <n v="2"/>
    <n v="18"/>
    <n v="30919"/>
    <s v="https://trib.al/GI7g29q"/>
    <s v="null"/>
    <n v="9564155"/>
    <s v="The first word in business news. Singapore newsletter: https://t.co/RtyaUOdLdF Newsletters: https://t.co/nWaCxHSKuU Podcasts: https://t.co/096e9xMbPz"/>
    <n v="1125277"/>
    <s v="https://pbs.twimg.com/profile_images/1631723279676317709/-fjgaR2p_normal.jpg"/>
    <n v="93"/>
    <b v="0"/>
    <n v="1"/>
    <n v="5"/>
    <s v="{&quot;post_id&quot;:null,&quot;profile_id&quot;:null,&quot;profile_name&quot;:null}"/>
    <s v="[&quot;https://pbs.twimg.com/card_img/1868130427195535360/pbPiVFYR?format=jpg&amp;name=orig&quot;]"/>
    <s v="null"/>
    <s v="{&quot;data_posted&quot;:null,&quot;description&quot;:null,&quot;photos&quot;:null,&quot;post_id&quot;:null,&quot;profile_id&quot;:null,&quot;profile_name&quot;:null,&quot;url&quot;:null,&quot;videos&quot;:null}"/>
    <n v="32"/>
    <n v="1.0349623209030046E-3"/>
    <d v="2024-12-15T00:00:00"/>
    <n v="0.47153935185185186"/>
    <x v="0"/>
    <x v="16"/>
    <x v="0"/>
    <x v="1"/>
    <x v="0"/>
    <x v="0"/>
    <n v="199"/>
    <x v="0"/>
  </r>
  <r>
    <n v="1.8681390225701563E+18"/>
    <s v="The███nom███"/>
    <s v="The███ono███t"/>
    <s v="The U-bend of life—and why it begins at 46"/>
    <s v="&quot;2024-12-15T03:40:25.000Z&quot;"/>
    <s v="null"/>
    <s v="https://x.com/TheEconomist/status/1868139022570156415"/>
    <s v="null"/>
    <n v="6"/>
    <n v="7"/>
    <n v="29"/>
    <n v="59964"/>
    <s v="https://econ.st/49IZ4Zl"/>
    <s v="null"/>
    <n v="27123001"/>
    <s v="News and analysis with a global perspective. We’re here to help you understand the world around you. Subscribe here: https://t.co/RpUQAAnhog"/>
    <n v="402760"/>
    <s v="https://pbs.twimg.com/profile_images/1847280770743750656/0DkLNOPG_normal.jpg"/>
    <n v="155"/>
    <b v="0"/>
    <n v="2"/>
    <n v="18"/>
    <s v="{&quot;post_id&quot;:null,&quot;profile_id&quot;:null,&quot;profile_name&quot;:null}"/>
    <s v="[&quot;https://pbs.twimg.com/card_img/1867082384450998272/I7pnUSBV?format=jpg&amp;name=orig&quot;]"/>
    <s v="null"/>
    <s v="{&quot;data_posted&quot;:null,&quot;description&quot;:null,&quot;photos&quot;:null,&quot;post_id&quot;:null,&quot;profile_id&quot;:null,&quot;profile_name&quot;:null,&quot;url&quot;:null,&quot;videos&quot;:null}"/>
    <n v="62"/>
    <n v="1.0339537055566673E-3"/>
    <d v="2024-12-15T00:00:00"/>
    <n v="0.15306712962962962"/>
    <x v="0"/>
    <x v="21"/>
    <x v="0"/>
    <x v="1"/>
    <x v="0"/>
    <x v="0"/>
    <n v="42"/>
    <x v="1"/>
  </r>
  <r>
    <n v="1.865999768633111E+18"/>
    <s v="afc███anc███"/>
    <s v="#As███Qua███ier███"/>
    <s v="1️⃣ 𝗛𝗢𝗨𝗥 𝗧𝗢 𝗚𝗢_x000a__x000a_Tune in to #ACQ2027 Final Round Draw as 2️⃣4️⃣ sides learn their opponents en route to #AsianCup2027 🇸🇦 Saudi Arabia! _x000a__x000a_Watch Live 👇"/>
    <s v="&quot;2024-12-09T05:59:48.000Z&quot;"/>
    <s v="null"/>
    <s v="https://x.com/afcasiancup/status/1865999768633110985"/>
    <s v="null"/>
    <n v="4"/>
    <n v="14"/>
    <n v="69"/>
    <n v="93098"/>
    <s v="https://www.youtube.com/live/P_28DFZ5mVA?si=uk5kUDEMQzjj2twC"/>
    <s v="[&quot;ACQ2027&quot;,&quot;AsianCup2027&quot;]"/>
    <n v="290284"/>
    <s v="The Official AFC Asian Cup™ account on X"/>
    <n v="28025"/>
    <s v="https://pbs.twimg.com/profile_images/1809143655313403904/RWIK5xaC_normal.jpg"/>
    <n v="102"/>
    <b v="0"/>
    <n v="5"/>
    <n v="4"/>
    <s v="{&quot;post_id&quot;:null,&quot;profile_id&quot;:null,&quot;profile_name&quot;:null}"/>
    <s v="null"/>
    <s v="null"/>
    <s v="{&quot;data_posted&quot;:null,&quot;description&quot;:null,&quot;photos&quot;:null,&quot;post_id&quot;:null,&quot;profile_id&quot;:null,&quot;profile_name&quot;:null,&quot;url&quot;:null,&quot;videos&quot;:null}"/>
    <n v="96"/>
    <n v="1.0311714537369224E-3"/>
    <d v="2024-12-09T00:00:00"/>
    <n v="0.24986111111111112"/>
    <x v="2"/>
    <x v="22"/>
    <x v="0"/>
    <x v="1"/>
    <x v="1"/>
    <x v="0"/>
    <n v="148"/>
    <x v="2"/>
  </r>
  <r>
    <n v="1.8683223885316874E+18"/>
    <s v="The███nom███"/>
    <s v="The███ono███t"/>
    <s v="“It made me want to basically smash my phone.” _x000a__x000a_How a Chinese hacking group reportedly targeted American politicians:"/>
    <s v="&quot;2024-12-15T15:49:03.000Z&quot;"/>
    <s v="null"/>
    <s v="https://x.com/TheEconomist/status/1868322388531687504"/>
    <s v="null"/>
    <n v="6"/>
    <n v="6"/>
    <n v="32"/>
    <n v="46570"/>
    <s v="https://econ.st/4ggyYzw"/>
    <s v="null"/>
    <n v="27122998"/>
    <s v="News and analysis with a global perspective. We’re here to help you understand the world around you. Subscribe here: https://t.co/RpUQAAnhog"/>
    <n v="402760"/>
    <s v="https://pbs.twimg.com/profile_images/1847280770743750656/0DkLNOPG_normal.jpg"/>
    <n v="155"/>
    <b v="0"/>
    <n v="1"/>
    <n v="3"/>
    <s v="{&quot;post_id&quot;:null,&quot;profile_id&quot;:null,&quot;profile_name&quot;:null}"/>
    <s v="[&quot;https://pbs.twimg.com/card_img/1867213393800622080/C0o_v-ty?format=jpg&amp;name=orig&quot;]"/>
    <s v="null"/>
    <s v="{&quot;data_posted&quot;:null,&quot;description&quot;:null,&quot;photos&quot;:null,&quot;post_id&quot;:null,&quot;profile_id&quot;:null,&quot;profile_name&quot;:null,&quot;url&quot;:null,&quot;videos&quot;:null}"/>
    <n v="48"/>
    <n v="1.0307064633884476E-3"/>
    <d v="2024-12-15T00:00:00"/>
    <n v="0.6590625"/>
    <x v="0"/>
    <x v="13"/>
    <x v="0"/>
    <x v="1"/>
    <x v="0"/>
    <x v="0"/>
    <n v="118"/>
    <x v="1"/>
  </r>
  <r>
    <n v="1.8684768047568817E+18"/>
    <s v="bus███ss"/>
    <s v="Blo███erg███"/>
    <s v="China’s home-price declines eased for a third month in November, pointing to a mixed picture for the property market after stimulus measures failed to sustain a rebound in sales"/>
    <s v="&quot;2024-12-16T02:02:39.000Z&quot;"/>
    <s v="null"/>
    <s v="https://x.com/business/status/1868476804756881580"/>
    <s v="null"/>
    <n v="4"/>
    <n v="9"/>
    <n v="20"/>
    <n v="36034"/>
    <s v="https://trib.al/FE56M97"/>
    <s v="null"/>
    <n v="9564154"/>
    <s v="The first word in business news. Singapore newsletter: https://t.co/RtyaUOdLdF Newsletters: https://t.co/nWaCxHSKuU Podcasts: https://t.co/096e9xMbPz"/>
    <n v="1125277"/>
    <s v="https://pbs.twimg.com/profile_images/1631723279676317709/-fjgaR2p_normal.jpg"/>
    <n v="93"/>
    <b v="0"/>
    <n v="1"/>
    <n v="3"/>
    <s v="{&quot;post_id&quot;:null,&quot;profile_id&quot;:null,&quot;profile_name&quot;:null}"/>
    <s v="[&quot;https://pbs.twimg.com/card_img/1868476342150303744/F0CQb-zt?format=jpg&amp;name=orig&quot;]"/>
    <s v="null"/>
    <s v="{&quot;data_posted&quot;:null,&quot;description&quot;:null,&quot;photos&quot;:null,&quot;post_id&quot;:null,&quot;profile_id&quot;:null,&quot;profile_name&quot;:null,&quot;url&quot;:null,&quot;videos&quot;:null}"/>
    <n v="37"/>
    <n v="1.0268080146528279E-3"/>
    <d v="2024-12-16T00:00:00"/>
    <n v="8.5173611111111117E-2"/>
    <x v="2"/>
    <x v="2"/>
    <x v="0"/>
    <x v="1"/>
    <x v="0"/>
    <x v="0"/>
    <n v="177"/>
    <x v="0"/>
  </r>
  <r>
    <n v="1.8681693989570153E+18"/>
    <s v="bus███ss"/>
    <s v="Blo███erg███"/>
    <s v="Countries are getting choosier over who gets to become a citizen and how"/>
    <s v="&quot;2024-12-15T05:41:08.000Z&quot;"/>
    <s v="null"/>
    <s v="https://x.com/business/status/1868169398957015210"/>
    <s v="null"/>
    <n v="6"/>
    <n v="6"/>
    <n v="18"/>
    <n v="32267"/>
    <s v="https://trib.al/ZwM9ydV"/>
    <s v="null"/>
    <n v="9564155"/>
    <s v="The first word in business news. Singapore newsletter: https://t.co/RtyaUOdLdF Newsletters: https://t.co/nWaCxHSKuU Podcasts: https://t.co/096e9xMbPz"/>
    <n v="1125277"/>
    <s v="https://pbs.twimg.com/profile_images/1631723279676317709/-fjgaR2p_normal.jpg"/>
    <n v="93"/>
    <b v="0"/>
    <n v="1"/>
    <n v="2"/>
    <s v="{&quot;post_id&quot;:null,&quot;profile_id&quot;:null,&quot;profile_name&quot;:null}"/>
    <s v="[&quot;https://pbs.twimg.com/card_img/1867559452347355136/jErnLwKo?format=jpg&amp;name=orig&quot;]"/>
    <s v="null"/>
    <s v="{&quot;data_posted&quot;:null,&quot;description&quot;:null,&quot;photos&quot;:null,&quot;post_id&quot;:null,&quot;profile_id&quot;:null,&quot;profile_name&quot;:null,&quot;url&quot;:null,&quot;videos&quot;:null}"/>
    <n v="33"/>
    <n v="1.0227167074720303E-3"/>
    <d v="2024-12-15T00:00:00"/>
    <n v="0.23689814814814814"/>
    <x v="0"/>
    <x v="22"/>
    <x v="0"/>
    <x v="1"/>
    <x v="0"/>
    <x v="0"/>
    <n v="72"/>
    <x v="0"/>
  </r>
  <r>
    <n v="1.8682826268149924E+18"/>
    <s v="bus███ss"/>
    <s v="Blo███erg███"/>
    <s v="Watch these 50 companies in 2025"/>
    <s v="&quot;2024-12-15T13:11:03.000Z&quot;"/>
    <s v="null"/>
    <s v="https://x.com/business/status/1868282626814992424"/>
    <s v="null"/>
    <n v="6"/>
    <n v="4"/>
    <n v="17"/>
    <n v="32534"/>
    <s v="https://trib.al/U7IQYjf"/>
    <s v="null"/>
    <n v="9564155"/>
    <s v="The first word in business news. Singapore newsletter: https://t.co/RtyaUOdLdF Newsletters: https://t.co/nWaCxHSKuU Podcasts: https://t.co/096e9xMbPz"/>
    <n v="1125277"/>
    <s v="https://pbs.twimg.com/profile_images/1631723279676317709/-fjgaR2p_normal.jpg"/>
    <n v="93"/>
    <b v="0"/>
    <n v="1"/>
    <n v="5"/>
    <s v="{&quot;post_id&quot;:null,&quot;profile_id&quot;:null,&quot;profile_name&quot;:null}"/>
    <s v="[&quot;https://pbs.twimg.com/card_img/1866710732672311296/KldWxvHF?format=jpg&amp;name=orig&quot;]"/>
    <s v="null"/>
    <s v="{&quot;data_posted&quot;:null,&quot;description&quot;:null,&quot;photos&quot;:null,&quot;post_id&quot;:null,&quot;profile_id&quot;:null,&quot;profile_name&quot;:null,&quot;url&quot;:null,&quot;videos&quot;:null}"/>
    <n v="33"/>
    <n v="1.0143234769779308E-3"/>
    <d v="2024-12-15T00:00:00"/>
    <n v="0.54934027777777783"/>
    <x v="0"/>
    <x v="14"/>
    <x v="0"/>
    <x v="1"/>
    <x v="0"/>
    <x v="0"/>
    <n v="32"/>
    <x v="0"/>
  </r>
  <r>
    <n v="1.8682768014510451E+18"/>
    <s v="bus███ss"/>
    <s v="Blo███erg███"/>
    <s v="Two Russian oil tankers have taken heavy damage amid a storm in the Kerch Strait, spilling oil and sparking an emergency rescue operation, Russian officials told state news outlets Sunday. Via @AP"/>
    <s v="&quot;2024-12-15T12:47:55.000Z&quot;"/>
    <s v="null"/>
    <s v="https://x.com/business/status/1868276801451045133"/>
    <s v="[{&quot;biography&quot;:null,&quot;followers&quot;:null,&quot;following&quot;:null,&quot;is_verified&quot;:null,&quot;profile_id&quot;:&quot;51241574&quot;,&quot;profile_name&quot;:&quot;The Associated Press&quot;,&quot;url&quot;:&quot;https://x.com/AP&quot;}]"/>
    <n v="4"/>
    <n v="2"/>
    <n v="22"/>
    <n v="30879"/>
    <s v="https://trib.al/jlOMyrZ"/>
    <s v="null"/>
    <n v="9564155"/>
    <s v="The first word in business news. Singapore newsletter: https://t.co/RtyaUOdLdF Newsletters: https://t.co/nWaCxHSKuU Podcasts: https://t.co/096e9xMbPz"/>
    <n v="1125277"/>
    <s v="https://pbs.twimg.com/profile_images/1631723279676317709/-fjgaR2p_normal.jpg"/>
    <n v="93"/>
    <b v="0"/>
    <n v="0"/>
    <n v="3"/>
    <s v="{&quot;post_id&quot;:null,&quot;profile_id&quot;:null,&quot;profile_name&quot;:null}"/>
    <s v="[&quot;https://pbs.twimg.com/card_img/1868276802784759808/ixVViYIW?format=jpg&amp;name=orig&quot;]"/>
    <s v="null"/>
    <s v="{&quot;data_posted&quot;:null,&quot;description&quot;:null,&quot;photos&quot;:null,&quot;post_id&quot;:null,&quot;profile_id&quot;:null,&quot;profile_name&quot;:null,&quot;url&quot;:null,&quot;videos&quot;:null}"/>
    <n v="31"/>
    <n v="1.003918520677483E-3"/>
    <d v="2024-12-15T00:00:00"/>
    <n v="0.53327546296296291"/>
    <x v="0"/>
    <x v="0"/>
    <x v="0"/>
    <x v="1"/>
    <x v="0"/>
    <x v="0"/>
    <n v="196"/>
    <x v="0"/>
  </r>
  <r>
    <n v="1.8684245834112699E+18"/>
    <s v="PGA███R"/>
    <s v="PGA███UR"/>
    <s v="One shot short … again._x000a_ _x000a_Alistair Docherty was T1 entering the final round of PGA TOUR Q-School presented by Korn Ferry._x000a_ _x000a_A tough Sunday resulted in him falling one stroke short of his TOUR card, the same fate he suffered @KornFerryTour Championship in October."/>
    <s v="&quot;2024-12-15T22:35:08.000Z&quot;"/>
    <s v="null"/>
    <s v="https://x.com/PGATOUR/status/1868424583411269763"/>
    <s v="[{&quot;biography&quot;:null,&quot;followers&quot;:null,&quot;following&quot;:null,&quot;is_verified&quot;:null,&quot;profile_id&quot;:&quot;32078122&quot;,&quot;profile_name&quot;:&quot;Korn Ferry Tour&quot;,&quot;url&quot;:&quot;https://x.com/KornFerryTour&quot;}]"/>
    <n v="14"/>
    <n v="10"/>
    <n v="208"/>
    <n v="241905"/>
    <s v=""/>
    <s v="null"/>
    <n v="2999631"/>
    <s v="🏌️‍♂️ @KornFerryTour | 🏌️ @ChampionsTour | 📝 @PGATOURComms | 🖥 @PGATOURLIVE | 🎓 @PGATOURU | 🌎 @PGATOURAmericas | 🇪🇸 @PGATOUREsp"/>
    <n v="183050"/>
    <s v="https://pbs.twimg.com/profile_images/1749466889376473090/4nPDWTqB_normal.jpg"/>
    <n v="920"/>
    <b v="0"/>
    <n v="2"/>
    <n v="8"/>
    <s v="{&quot;post_id&quot;:null,&quot;profile_id&quot;:null,&quot;profile_name&quot;:null}"/>
    <s v="null"/>
    <s v="[{&quot;duration&quot;:26526,&quot;video_url&quot;:&quot;https://video.twimg.com/amplify_video/1868421793830055936/vid/avc1/1280x720/b3x01fmrGLXD1uug.mp4?tag=14&quot;}]"/>
    <s v="{&quot;data_posted&quot;:null,&quot;description&quot;:null,&quot;photos&quot;:null,&quot;post_id&quot;:null,&quot;profile_id&quot;:null,&quot;profile_name&quot;:null,&quot;url&quot;:null,&quot;videos&quot;:null}"/>
    <n v="242"/>
    <n v="1.0003927161489014E-3"/>
    <d v="2024-12-15T00:00:00"/>
    <n v="0.94106481481481485"/>
    <x v="0"/>
    <x v="11"/>
    <x v="1"/>
    <x v="1"/>
    <x v="0"/>
    <x v="0"/>
    <n v="263"/>
    <x v="0"/>
  </r>
  <r>
    <n v="1.8684311424345705E+18"/>
    <s v="bus███ss"/>
    <s v="Blo███erg███"/>
    <s v="Trump may be what China needs to get out of the economic rut, says @shuli_ren. It might force Xi to deepen reforms"/>
    <s v="&quot;2024-12-15T23:01:12.000Z&quot;"/>
    <s v="null"/>
    <s v="https://x.com/business/status/1868431142434570432"/>
    <s v="[{&quot;biography&quot;:null,&quot;followers&quot;:null,&quot;following&quot;:null,&quot;is_verified&quot;:null,&quot;profile_id&quot;:&quot;1666651962&quot;,&quot;profile_name&quot;:&quot;Shuli Ren&quot;,&quot;url&quot;:&quot;https://x.com/shuli_ren&quot;},{&quot;biography&quot;:null,&quot;followers&quot;:null,&quot;following&quot;:null,&quot;is_verified&quot;:null,&quot;profile_id&quot;:&quot;227682918&quot;,&quot;profile_name&quot;:&quot;Bloomberg Opinion&quot;,&quot;url&quot;:&quot;https://x.com/opinion&quot;}]"/>
    <n v="3"/>
    <n v="3"/>
    <n v="20"/>
    <n v="29398"/>
    <s v="https://trib.al/LjwSwQi"/>
    <s v="null"/>
    <n v="9564156"/>
    <s v="The first word in business news. Singapore newsletter: https://t.co/RtyaUOdLdF Newsletters: https://t.co/nWaCxHSKuU Podcasts: https://t.co/096e9xMbPz"/>
    <n v="1125277"/>
    <s v="https://pbs.twimg.com/profile_images/1631723279676317709/-fjgaR2p_normal.jpg"/>
    <n v="93"/>
    <b v="0"/>
    <n v="1"/>
    <n v="2"/>
    <s v="{&quot;post_id&quot;:null,&quot;profile_id&quot;:null,&quot;profile_name&quot;:null}"/>
    <s v="[&quot;https://pbs.twimg.com/card_img/1868389602832056320/nuoMsDOq?format=jpg&amp;name=orig&quot;]"/>
    <s v="null"/>
    <s v="{&quot;data_posted&quot;:null,&quot;description&quot;:null,&quot;photos&quot;:null,&quot;post_id&quot;:null,&quot;profile_id&quot;:null,&quot;profile_name&quot;:null,&quot;url&quot;:null,&quot;videos&quot;:null}"/>
    <n v="29"/>
    <n v="9.8646166405877943E-4"/>
    <d v="2024-12-15T00:00:00"/>
    <n v="0.95916666666666661"/>
    <x v="0"/>
    <x v="7"/>
    <x v="0"/>
    <x v="1"/>
    <x v="0"/>
    <x v="0"/>
    <n v="114"/>
    <x v="0"/>
  </r>
  <r>
    <n v="1.8682091477301248E+18"/>
    <s v="The███nom███"/>
    <s v="The███ono███t"/>
    <s v="Does an elusive handshake await Donald Trump and Ayatollah Ali Khamenei in 2025? _x000a__x000a_The question may depend on whether Iran’s supreme leader can stomach such a photo-op"/>
    <s v="&quot;2024-12-15T08:19:05.000Z&quot;"/>
    <s v="null"/>
    <s v="https://x.com/TheEconomist/status/1868209147730124877"/>
    <s v="null"/>
    <n v="16"/>
    <n v="8"/>
    <n v="16"/>
    <n v="46183"/>
    <s v="https://econ.st/3Zw2oDv"/>
    <s v="null"/>
    <n v="27123001"/>
    <s v="News and analysis with a global perspective. We’re here to help you understand the world around you. Subscribe here: https://t.co/RpUQAAnhog"/>
    <n v="402760"/>
    <s v="https://pbs.twimg.com/profile_images/1847280770743750656/0DkLNOPG_normal.jpg"/>
    <n v="155"/>
    <b v="0"/>
    <n v="2"/>
    <n v="3"/>
    <s v="{&quot;post_id&quot;:null,&quot;profile_id&quot;:null,&quot;profile_name&quot;:null}"/>
    <s v="[&quot;https://pbs.twimg.com/card_img/1866491678732738560/5bqvuArg?format=jpg&amp;name=orig&quot;]"/>
    <s v="null"/>
    <s v="{&quot;data_posted&quot;:null,&quot;description&quot;:null,&quot;photos&quot;:null,&quot;post_id&quot;:null,&quot;profile_id&quot;:null,&quot;profile_name&quot;:null,&quot;url&quot;:null,&quot;videos&quot;:null}"/>
    <n v="45"/>
    <n v="9.7438451378212764E-4"/>
    <d v="2024-12-15T00:00:00"/>
    <n v="0.34658564814814813"/>
    <x v="0"/>
    <x v="6"/>
    <x v="0"/>
    <x v="1"/>
    <x v="0"/>
    <x v="0"/>
    <n v="167"/>
    <x v="1"/>
  </r>
  <r>
    <n v="1.8684848271391708E+18"/>
    <s v="The███nom███"/>
    <s v="The███ono███t"/>
    <s v="People in Asia sleep later, shorter and less well"/>
    <s v="&quot;2024-12-16T02:34:32.000Z&quot;"/>
    <s v="null"/>
    <s v="https://x.com/TheEconomist/status/1868484827139170738"/>
    <s v="null"/>
    <n v="4"/>
    <n v="3"/>
    <n v="16"/>
    <n v="30218"/>
    <s v="https://econ.st/3VEEljs"/>
    <s v="null"/>
    <n v="27122603"/>
    <s v="News and analysis with a global perspective. We’re here to help you understand the world around you. Subscribe here: https://t.co/RpUQAAnhog"/>
    <n v="402761"/>
    <s v="https://pbs.twimg.com/profile_images/1847280770743750656/0DkLNOPG_normal.jpg"/>
    <n v="155"/>
    <b v="0"/>
    <n v="1"/>
    <n v="5"/>
    <s v="{&quot;post_id&quot;:null,&quot;profile_id&quot;:null,&quot;profile_name&quot;:null}"/>
    <s v="[&quot;https://pbs.twimg.com/card_img/1867680014910550016/u6_OPuIR?format=png&amp;name=orig&quot;]"/>
    <s v="null"/>
    <s v="{&quot;data_posted&quot;:null,&quot;description&quot;:null,&quot;photos&quot;:null,&quot;post_id&quot;:null,&quot;profile_id&quot;:null,&quot;profile_name&quot;:null,&quot;url&quot;:null,&quot;videos&quot;:null}"/>
    <n v="29"/>
    <n v="9.5969289827255275E-4"/>
    <d v="2024-12-16T00:00:00"/>
    <n v="0.10731481481481482"/>
    <x v="2"/>
    <x v="2"/>
    <x v="0"/>
    <x v="1"/>
    <x v="0"/>
    <x v="0"/>
    <n v="49"/>
    <x v="1"/>
  </r>
  <r>
    <n v="1.8683253058001841E+18"/>
    <s v="bus███ss"/>
    <s v="Blo███erg███"/>
    <s v="Democrats should spend less time debating abstract ideas like &quot;predistributionism,&quot; says @mattyglesias, and focus on concrete policies to raise living standards"/>
    <s v="&quot;2024-12-15T16:00:39.000Z&quot;"/>
    <s v="null"/>
    <s v="https://x.com/business/status/1868325305800184176"/>
    <s v="[{&quot;biography&quot;:null,&quot;followers&quot;:null,&quot;following&quot;:null,&quot;is_verified&quot;:null,&quot;profile_id&quot;:&quot;15446531&quot;,&quot;profile_name&quot;:&quot;Matthew Yglesias&quot;,&quot;url&quot;:&quot;https://x.com/mattyglesias&quot;},{&quot;biography&quot;:null,&quot;followers&quot;:null,&quot;following&quot;:null,&quot;is_verified&quot;:null,&quot;profile_id&quot;:&quot;227682918&quot;,&quot;profile_name&quot;:&quot;Bloomberg Opinion&quot;,&quot;url&quot;:&quot;https://x.com/opinion&quot;}]"/>
    <n v="9"/>
    <n v="5"/>
    <n v="11"/>
    <n v="27237"/>
    <s v="https://trib.al/9iriAJH"/>
    <s v="null"/>
    <n v="9564155"/>
    <s v="The first word in business news. Singapore newsletter: https://t.co/RtyaUOdLdF Newsletters: https://t.co/nWaCxHSKuU Podcasts: https://t.co/096e9xMbPz"/>
    <n v="1125277"/>
    <s v="https://pbs.twimg.com/profile_images/1631723279676317709/-fjgaR2p_normal.jpg"/>
    <n v="93"/>
    <b v="0"/>
    <n v="0"/>
    <n v="1"/>
    <s v="{&quot;post_id&quot;:null,&quot;profile_id&quot;:null,&quot;profile_name&quot;:null}"/>
    <s v="[&quot;https://pbs.twimg.com/card_img/1868298838642925568/TEhSCEPf?format=jpg&amp;name=orig&quot;]"/>
    <s v="null"/>
    <s v="{&quot;data_posted&quot;:null,&quot;description&quot;:null,&quot;photos&quot;:null,&quot;post_id&quot;:null,&quot;profile_id&quot;:null,&quot;profile_name&quot;:null,&quot;url&quot;:null,&quot;videos&quot;:null}"/>
    <n v="26"/>
    <n v="9.5458383816132469E-4"/>
    <d v="2024-12-15T00:00:00"/>
    <n v="0.66711805555555559"/>
    <x v="0"/>
    <x v="15"/>
    <x v="0"/>
    <x v="1"/>
    <x v="0"/>
    <x v="0"/>
    <n v="160"/>
    <x v="0"/>
  </r>
  <r>
    <n v="1.8683088036843277E+18"/>
    <s v="bus███ss"/>
    <s v="Blo███erg███"/>
    <s v="ABC has agreed to donate $15 million to Donald Trump’s future presidential foundation or museum to settle claims that one of its anchors defamed the president-elect in describing a past court verdict against him."/>
    <s v="&quot;2024-12-15T14:55:04.000Z&quot;"/>
    <s v="null"/>
    <s v="https://x.com/business/status/1868308803684327590"/>
    <s v="null"/>
    <n v="53"/>
    <n v="25"/>
    <n v="94"/>
    <n v="204533"/>
    <s v="https://trib.al/k8qlL1S"/>
    <s v="null"/>
    <n v="9564155"/>
    <s v="The first word in business news. Singapore newsletter: https://t.co/RtyaUOdLdF Newsletters: https://t.co/nWaCxHSKuU Podcasts: https://t.co/096e9xMbPz"/>
    <n v="1125277"/>
    <s v="https://pbs.twimg.com/profile_images/1631723279676317709/-fjgaR2p_normal.jpg"/>
    <n v="93"/>
    <b v="0"/>
    <n v="8"/>
    <n v="15"/>
    <s v="{&quot;post_id&quot;:null,&quot;profile_id&quot;:null,&quot;profile_name&quot;:null}"/>
    <s v="[&quot;https://pbs.twimg.com/card_img/1868055945072312320/AZYsZu8j?format=jpg&amp;name=orig&quot;]"/>
    <s v="null"/>
    <s v="{&quot;data_posted&quot;:null,&quot;description&quot;:null,&quot;photos&quot;:null,&quot;post_id&quot;:null,&quot;profile_id&quot;:null,&quot;profile_name&quot;:null,&quot;url&quot;:null,&quot;videos&quot;:null}"/>
    <n v="195"/>
    <n v="9.5339138427539812E-4"/>
    <d v="2024-12-15T00:00:00"/>
    <n v="0.62157407407407406"/>
    <x v="0"/>
    <x v="1"/>
    <x v="0"/>
    <x v="1"/>
    <x v="0"/>
    <x v="0"/>
    <n v="212"/>
    <x v="0"/>
  </r>
  <r>
    <n v="1.868243451684311E+18"/>
    <s v="The███nom███"/>
    <s v="The███ono███t"/>
    <s v="The rise of emasculated directors is coinciding with that of absentee ones. Most are physically present at board meetings but too many appear disengaged. One reason for this might be overcommitment"/>
    <s v="&quot;2024-12-15T10:35:23.000Z&quot;"/>
    <s v="null"/>
    <s v="https://x.com/TheEconomist/status/1868243451684311151"/>
    <s v="null"/>
    <n v="5"/>
    <n v="6"/>
    <n v="27"/>
    <n v="47438"/>
    <s v="https://econ.st/4giw11q"/>
    <s v="null"/>
    <n v="27122998"/>
    <s v="News and analysis with a global perspective. We’re here to help you understand the world around you. Subscribe here: https://t.co/RpUQAAnhog"/>
    <n v="402760"/>
    <s v="https://pbs.twimg.com/profile_images/1847280770743750656/0DkLNOPG_normal.jpg"/>
    <n v="155"/>
    <b v="0"/>
    <n v="2"/>
    <n v="5"/>
    <s v="{&quot;post_id&quot;:null,&quot;profile_id&quot;:null,&quot;profile_name&quot;:null}"/>
    <s v="[&quot;https://pbs.twimg.com/card_img/1867214175308574720/cFUVY1mU?format=jpg&amp;name=orig&quot;]"/>
    <s v="null"/>
    <s v="{&quot;data_posted&quot;:null,&quot;description&quot;:null,&quot;photos&quot;:null,&quot;post_id&quot;:null,&quot;profile_id&quot;:null,&quot;profile_name&quot;:null,&quot;url&quot;:null,&quot;videos&quot;:null}"/>
    <n v="45"/>
    <n v="9.4860660230195197E-4"/>
    <d v="2024-12-15T00:00:00"/>
    <n v="0.44123842592592594"/>
    <x v="0"/>
    <x v="17"/>
    <x v="0"/>
    <x v="1"/>
    <x v="0"/>
    <x v="0"/>
    <n v="197"/>
    <x v="1"/>
  </r>
  <r>
    <n v="1.868204947692458E+18"/>
    <s v="bus███ss"/>
    <s v="Blo███erg███"/>
    <s v="Five of the so-called “Bali Nine” prisoners were returned to Australia, more than 19 years after their arrests in a drug smuggling case that periodically damaged ties with Indonesia"/>
    <s v="&quot;2024-12-15T08:02:23.000Z&quot;"/>
    <s v="null"/>
    <s v="https://x.com/business/status/1868204947692458112"/>
    <s v="null"/>
    <n v="3"/>
    <n v="5"/>
    <n v="15"/>
    <n v="31312"/>
    <s v="https://trib.al/pJJYwyu"/>
    <s v="null"/>
    <n v="9564155"/>
    <s v="The first word in business news. Singapore newsletter: https://t.co/RtyaUOdLdF Newsletters: https://t.co/nWaCxHSKuU Podcasts: https://t.co/096e9xMbPz"/>
    <n v="1125277"/>
    <s v="https://pbs.twimg.com/profile_images/1631723279676317709/-fjgaR2p_normal.jpg"/>
    <n v="93"/>
    <b v="0"/>
    <n v="3"/>
    <n v="3"/>
    <s v="{&quot;post_id&quot;:null,&quot;profile_id&quot;:null,&quot;profile_name&quot;:null}"/>
    <s v="[&quot;https://pbs.twimg.com/card_img/1868204949655408640/Z_-U0BLs?format=jpg&amp;name=orig&quot;]"/>
    <s v="null"/>
    <s v="{&quot;data_posted&quot;:null,&quot;description&quot;:null,&quot;photos&quot;:null,&quot;post_id&quot;:null,&quot;profile_id&quot;:null,&quot;profile_name&quot;:null,&quot;url&quot;:null,&quot;videos&quot;:null}"/>
    <n v="29"/>
    <n v="9.2616249361267245E-4"/>
    <d v="2024-12-15T00:00:00"/>
    <n v="0.33498842592592593"/>
    <x v="0"/>
    <x v="6"/>
    <x v="0"/>
    <x v="1"/>
    <x v="0"/>
    <x v="0"/>
    <n v="181"/>
    <x v="0"/>
  </r>
  <r>
    <n v="1.8684518422433142E+18"/>
    <s v="The███nom███"/>
    <s v="The███ono███t"/>
    <s v="“Just because the messenger is kooky doesn't mean there aren't any good ideas.”_x000a__x000a_@SachaNauta says it’s worth taking Robert F. Kennedy junior seriously, on our “Checks and Balance” podcast"/>
    <s v="&quot;2024-12-16T00:23:28.000Z&quot;"/>
    <s v="null"/>
    <s v="https://x.com/TheEconomist/status/1868451842243314160"/>
    <s v="[{&quot;biography&quot;:null,&quot;followers&quot;:null,&quot;following&quot;:null,&quot;is_verified&quot;:null,&quot;profile_id&quot;:&quot;938895739&quot;,&quot;profile_name&quot;:&quot;Sacha Nauta&quot;,&quot;url&quot;:&quot;https://x.com/SachaNauta&quot;}]"/>
    <n v="6"/>
    <n v="5"/>
    <n v="23"/>
    <n v="44137"/>
    <s v="https://econ.st/4iw3zdH"/>
    <s v="null"/>
    <n v="27122998"/>
    <s v="News and analysis with a global perspective. We’re here to help you understand the world around you. Subscribe here: https://t.co/RpUQAAnhog"/>
    <n v="402761"/>
    <s v="https://pbs.twimg.com/profile_images/1847280770743750656/0DkLNOPG_normal.jpg"/>
    <n v="155"/>
    <b v="0"/>
    <n v="2"/>
    <n v="4"/>
    <s v="{&quot;post_id&quot;:null,&quot;profile_id&quot;:null,&quot;profile_name&quot;:null}"/>
    <s v="[&quot;https://pbs.twimg.com/card_img/1867639652561129472/vNUO_8XG?format=jpg&amp;name=orig&quot;]"/>
    <s v="null"/>
    <s v="{&quot;data_posted&quot;:null,&quot;description&quot;:null,&quot;photos&quot;:null,&quot;post_id&quot;:null,&quot;profile_id&quot;:null,&quot;profile_name&quot;:null,&quot;url&quot;:null,&quot;videos&quot;:null}"/>
    <n v="40"/>
    <n v="9.0626911661417862E-4"/>
    <d v="2024-12-16T00:00:00"/>
    <n v="1.6296296296296295E-2"/>
    <x v="2"/>
    <x v="5"/>
    <x v="0"/>
    <x v="1"/>
    <x v="0"/>
    <x v="0"/>
    <n v="187"/>
    <x v="1"/>
  </r>
  <r>
    <n v="1.8684087135827272E+18"/>
    <s v="The███nom███"/>
    <s v="The███ono███t"/>
    <s v="Health and long life correlate unsurprisingly with GDP per capita. But southern Europe is outperforming the usual link between wealth and health"/>
    <s v="&quot;2024-12-15T21:32:05.000Z&quot;"/>
    <s v="null"/>
    <s v="https://x.com/TheEconomist/status/1868408713582727202"/>
    <s v="null"/>
    <n v="6"/>
    <n v="5"/>
    <n v="26"/>
    <n v="54722"/>
    <s v="https://econ.st/49AfH9E"/>
    <s v="null"/>
    <n v="27122999"/>
    <s v="News and analysis with a global perspective. We’re here to help you understand the world around you. Subscribe here: https://t.co/RpUQAAnhog"/>
    <n v="402761"/>
    <s v="https://pbs.twimg.com/profile_images/1847280770743750656/0DkLNOPG_normal.jpg"/>
    <n v="155"/>
    <b v="0"/>
    <n v="1"/>
    <n v="10"/>
    <s v="{&quot;post_id&quot;:null,&quot;profile_id&quot;:null,&quot;profile_name&quot;:null}"/>
    <s v="[&quot;https://pbs.twimg.com/card_img/1866656571553468416/rmNcN8KD?format=jpg&amp;name=orig&quot;]"/>
    <s v="null"/>
    <s v="{&quot;data_posted&quot;:null,&quot;description&quot;:null,&quot;photos&quot;:null,&quot;post_id&quot;:null,&quot;profile_id&quot;:null,&quot;profile_name&quot;:null,&quot;url&quot;:null,&quot;videos&quot;:null}"/>
    <n v="48"/>
    <n v="8.771609224809035E-4"/>
    <d v="2024-12-15T00:00:00"/>
    <n v="0.89728009259259256"/>
    <x v="0"/>
    <x v="10"/>
    <x v="0"/>
    <x v="1"/>
    <x v="0"/>
    <x v="0"/>
    <n v="144"/>
    <x v="1"/>
  </r>
  <r>
    <n v="1.8684338792430717E+18"/>
    <s v="The███nom███"/>
    <s v="The███ono███t"/>
    <s v="What happens at a Christmas bash organised by America’s right-wing tech bros? The Economist went to find out, before being thrown out"/>
    <s v="&quot;2024-12-15T23:12:05.000Z&quot;"/>
    <s v="null"/>
    <s v="https://x.com/TheEconomist/status/1868433879243071683"/>
    <s v="null"/>
    <n v="9"/>
    <n v="5"/>
    <n v="21"/>
    <n v="47291"/>
    <s v="https://econ.st/4iuwvTk"/>
    <s v="null"/>
    <n v="27122999"/>
    <s v="News and analysis with a global perspective. We’re here to help you understand the world around you. Subscribe here: https://t.co/RpUQAAnhog"/>
    <n v="402761"/>
    <s v="https://pbs.twimg.com/profile_images/1847280770743750656/0DkLNOPG_normal.jpg"/>
    <n v="155"/>
    <b v="0"/>
    <n v="1"/>
    <n v="5"/>
    <s v="{&quot;post_id&quot;:null,&quot;profile_id&quot;:null,&quot;profile_name&quot;:null}"/>
    <s v="[&quot;https://pbs.twimg.com/card_img/1866551968270872576/W3gzMrO5?format=jpg&amp;name=orig&quot;]"/>
    <s v="null"/>
    <s v="{&quot;data_posted&quot;:null,&quot;description&quot;:null,&quot;photos&quot;:null,&quot;post_id&quot;:null,&quot;profile_id&quot;:null,&quot;profile_name&quot;:null,&quot;url&quot;:null,&quot;videos&quot;:null}"/>
    <n v="41"/>
    <n v="8.6697257406271808E-4"/>
    <d v="2024-12-15T00:00:00"/>
    <n v="0.96672453703703709"/>
    <x v="0"/>
    <x v="7"/>
    <x v="0"/>
    <x v="1"/>
    <x v="0"/>
    <x v="0"/>
    <n v="133"/>
    <x v="1"/>
  </r>
  <r>
    <n v="1.8684195140244728E+18"/>
    <s v="tal███ORT███"/>
    <s v="tal███ORT███"/>
    <s v="Troy Deeney names two teams Jack Grealish must join 'to save his legacy'"/>
    <s v="&quot;2024-12-15T22:15:00.000Z&quot;"/>
    <s v="null"/>
    <s v="https://x.com/talkSPORT/status/1868419514024472884"/>
    <s v="null"/>
    <n v="9"/>
    <n v="1"/>
    <n v="16"/>
    <n v="32434"/>
    <s v="https://talksport.com/football/2378799/troy-deeney-jack-grealish-man-city/"/>
    <s v="null"/>
    <n v="2356528"/>
    <s v="The world’s biggest sports radio station 📻_x000a__x000a_🚨 Buy talkSPORT Trivia Game here: https://t.co/dQV2AFISP2"/>
    <n v="338240"/>
    <s v="https://pbs.twimg.com/profile_images/1605158550979940360/MUqOEhHq_normal.jpg"/>
    <n v="1981"/>
    <b v="0"/>
    <n v="1"/>
    <n v="1"/>
    <s v="{&quot;post_id&quot;:null,&quot;profile_id&quot;:null,&quot;profile_name&quot;:null}"/>
    <s v="[&quot;https://pbs.twimg.com/card_img/1868234860592037889/A5dNH-t8?format=jpg&amp;name=orig&quot;]"/>
    <s v="null"/>
    <s v="{&quot;data_posted&quot;:null,&quot;description&quot;:null,&quot;photos&quot;:null,&quot;post_id&quot;:null,&quot;profile_id&quot;:null,&quot;profile_name&quot;:null,&quot;url&quot;:null,&quot;videos&quot;:null}"/>
    <n v="28"/>
    <n v="8.6329160757230071E-4"/>
    <d v="2024-12-15T00:00:00"/>
    <n v="0.92708333333333337"/>
    <x v="0"/>
    <x v="11"/>
    <x v="0"/>
    <x v="1"/>
    <x v="0"/>
    <x v="0"/>
    <n v="72"/>
    <x v="0"/>
  </r>
  <r>
    <n v="1.8684361646689897E+18"/>
    <s v="bus███ss"/>
    <s v="Blo███erg███"/>
    <s v="Indian tycoons Ambani and Adani have tumbled out of the elite centibillionaires club. Here's the outlook for their fortunes."/>
    <s v="&quot;2024-12-15T23:21:10.000Z&quot;"/>
    <s v="null"/>
    <s v="https://x.com/business/status/1868436164668989786"/>
    <s v="null"/>
    <n v="1"/>
    <n v="3"/>
    <n v="17"/>
    <n v="28982"/>
    <s v="https://trib.al/BeoTuAl"/>
    <s v="null"/>
    <n v="9564156"/>
    <s v="The first word in business news. Singapore newsletter: https://t.co/RtyaUOdLdF Newsletters: https://t.co/nWaCxHSKuU Podcasts: https://t.co/096e9xMbPz"/>
    <n v="1125277"/>
    <s v="https://pbs.twimg.com/profile_images/1631723279676317709/-fjgaR2p_normal.jpg"/>
    <n v="93"/>
    <b v="0"/>
    <n v="1"/>
    <n v="2"/>
    <s v="{&quot;post_id&quot;:null,&quot;profile_id&quot;:null,&quot;profile_name&quot;:null}"/>
    <s v="[&quot;https://pbs.twimg.com/card_img/1868436167965696001/CYxlWNxn?format=jpg&amp;name=orig&quot;]"/>
    <s v="null"/>
    <s v="{&quot;data_posted&quot;:null,&quot;description&quot;:null,&quot;photos&quot;:null,&quot;post_id&quot;:null,&quot;profile_id&quot;:null,&quot;profile_name&quot;:null,&quot;url&quot;:null,&quot;videos&quot;:null}"/>
    <n v="24"/>
    <n v="8.2810020012421507E-4"/>
    <d v="2024-12-15T00:00:00"/>
    <n v="0.97303240740740737"/>
    <x v="0"/>
    <x v="7"/>
    <x v="0"/>
    <x v="1"/>
    <x v="0"/>
    <x v="0"/>
    <n v="124"/>
    <x v="0"/>
  </r>
  <r>
    <n v="1.8685106425350067E+18"/>
    <s v="bus███ss"/>
    <s v="Blo███erg███"/>
    <s v="The UK and Australia plan to underscore their resolve to maintain a defense pact with the US at a meeting on Monday amid concern about President-elect Donald Trump’s commitment to the agreement."/>
    <s v="&quot;2024-12-16T04:17:07.000Z&quot;"/>
    <s v="null"/>
    <s v="https://x.com/business/status/1868510642535006666"/>
    <s v="null"/>
    <n v="2"/>
    <n v="3"/>
    <n v="9"/>
    <n v="19744"/>
    <s v="https://trib.al/bxB081j"/>
    <s v="null"/>
    <n v="9564155"/>
    <s v="The first word in business news. Singapore newsletter: https://t.co/RtyaUOdLdF Newsletters: https://t.co/nWaCxHSKuU Podcasts: https://t.co/096e9xMbPz"/>
    <n v="1125277"/>
    <s v="https://pbs.twimg.com/profile_images/1631723279676317709/-fjgaR2p_normal.jpg"/>
    <n v="93"/>
    <b v="0"/>
    <n v="1"/>
    <n v="1"/>
    <s v="{&quot;post_id&quot;:null,&quot;profile_id&quot;:null,&quot;profile_name&quot;:null}"/>
    <s v="[&quot;https://pbs.twimg.com/card_img/1868419644911915008/_Fs2kJ09?format=jpg&amp;name=orig&quot;]"/>
    <s v="null"/>
    <s v="{&quot;data_posted&quot;:null,&quot;description&quot;:null,&quot;photos&quot;:null,&quot;post_id&quot;:null,&quot;profile_id&quot;:null,&quot;profile_name&quot;:null,&quot;url&quot;:null,&quot;videos&quot;:null}"/>
    <n v="16"/>
    <n v="8.1037277147487841E-4"/>
    <d v="2024-12-16T00:00:00"/>
    <n v="0.17855324074074075"/>
    <x v="2"/>
    <x v="9"/>
    <x v="0"/>
    <x v="1"/>
    <x v="0"/>
    <x v="0"/>
    <n v="194"/>
    <x v="0"/>
  </r>
  <r>
    <n v="1.868303110046667E+18"/>
    <s v="bus███ss"/>
    <s v="Blo███erg███"/>
    <s v="Bizarre and personal photos of ousted Syrian President Bashar Assad have surfaced from his abandoned residences, sparking ridicule among Syrians, via @AP"/>
    <s v="&quot;2024-12-15T14:32:27.000Z&quot;"/>
    <s v="null"/>
    <s v="https://x.com/business/status/1868303110046667056"/>
    <s v="[{&quot;biography&quot;:null,&quot;followers&quot;:null,&quot;following&quot;:null,&quot;is_verified&quot;:null,&quot;profile_id&quot;:&quot;51241574&quot;,&quot;profile_name&quot;:&quot;The Associated Press&quot;,&quot;url&quot;:&quot;https://x.com/AP&quot;}]"/>
    <n v="2"/>
    <n v="5"/>
    <n v="13"/>
    <n v="29831"/>
    <s v="https://trib.al/14SSEB6"/>
    <s v="null"/>
    <n v="9564155"/>
    <s v="The first word in business news. Singapore newsletter: https://t.co/RtyaUOdLdF Newsletters: https://t.co/nWaCxHSKuU Podcasts: https://t.co/096e9xMbPz"/>
    <n v="1125277"/>
    <s v="https://pbs.twimg.com/profile_images/1631723279676317709/-fjgaR2p_normal.jpg"/>
    <n v="93"/>
    <b v="0"/>
    <n v="1"/>
    <n v="3"/>
    <s v="{&quot;post_id&quot;:null,&quot;profile_id&quot;:null,&quot;profile_name&quot;:null}"/>
    <s v="[&quot;https://pbs.twimg.com/card_img/1868302994338455552/84bu7T1R?format=jpg&amp;name=orig&quot;]"/>
    <s v="null"/>
    <s v="{&quot;data_posted&quot;:null,&quot;description&quot;:null,&quot;photos&quot;:null,&quot;post_id&quot;:null,&quot;profile_id&quot;:null,&quot;profile_name&quot;:null,&quot;url&quot;:null,&quot;videos&quot;:null}"/>
    <n v="24"/>
    <n v="8.0453219804900943E-4"/>
    <d v="2024-12-15T00:00:00"/>
    <n v="0.60586805555555556"/>
    <x v="0"/>
    <x v="1"/>
    <x v="0"/>
    <x v="1"/>
    <x v="0"/>
    <x v="0"/>
    <n v="153"/>
    <x v="0"/>
  </r>
  <r>
    <n v="1.8680873250176942E+18"/>
    <s v="tal███ORT███"/>
    <s v="tal███ORT███"/>
    <s v="Ryan Reynolds brings Hollywood superstar to pub before Wrexham's 2-2 draw vs Cambridge"/>
    <s v="&quot;2024-12-15T00:15:00.000Z&quot;"/>
    <s v="null"/>
    <s v="https://x.com/talkSPORT/status/1868087325017694336"/>
    <s v="null"/>
    <n v="6"/>
    <n v="3"/>
    <n v="18"/>
    <n v="36071"/>
    <s v="https://talksport.com/football/2380046/ryan-reynolds-wrexham-pub-hollywood-channing-tatum/"/>
    <s v="null"/>
    <n v="2356528"/>
    <s v="The world’s biggest sports radio station 📻_x000a__x000a_🚨 Buy talkSPORT Trivia Game here: https://t.co/dQV2AFISP2"/>
    <n v="338240"/>
    <s v="https://pbs.twimg.com/profile_images/1605158550979940360/MUqOEhHq_normal.jpg"/>
    <n v="1981"/>
    <b v="0"/>
    <n v="1"/>
    <n v="1"/>
    <s v="{&quot;post_id&quot;:null,&quot;profile_id&quot;:null,&quot;profile_name&quot;:null}"/>
    <s v="[&quot;https://pbs.twimg.com/card_img/1867958932376784897/yiZwIHx6?format=jpg&amp;name=orig&quot;]"/>
    <s v="null"/>
    <s v="{&quot;data_posted&quot;:null,&quot;description&quot;:null,&quot;photos&quot;:null,&quot;post_id&quot;:null,&quot;profile_id&quot;:null,&quot;profile_name&quot;:null,&quot;url&quot;:null,&quot;videos&quot;:null}"/>
    <n v="29"/>
    <n v="8.0396994815779986E-4"/>
    <d v="2024-12-15T00:00:00"/>
    <n v="1.0416666666666666E-2"/>
    <x v="0"/>
    <x v="5"/>
    <x v="0"/>
    <x v="1"/>
    <x v="0"/>
    <x v="0"/>
    <n v="86"/>
    <x v="0"/>
  </r>
  <r>
    <n v="1.8683953097489574E+18"/>
    <s v="tal███ORT███"/>
    <s v="tal███ORT███"/>
    <s v="🚨 The ULTIMATE Usyk vs Fury 2 Preview in partnership with @DAZNBoxing 🥊 _x000a__x000a_A headcam exclusive with @McGuigans_Gym and @SpencerOliver reveals where the fight will be won and lost._x000a__x000a_WATCH in full HERE:"/>
    <s v="&quot;2024-12-15T20:38:49.000Z&quot;"/>
    <s v="null"/>
    <s v="https://x.com/talkSPORT/status/1868395309748957363"/>
    <s v="[{&quot;biography&quot;:null,&quot;followers&quot;:null,&quot;following&quot;:null,&quot;is_verified&quot;:null,&quot;profile_id&quot;:&quot;737964408354287616&quot;,&quot;profile_name&quot;:&quot;DAZN Boxing&quot;,&quot;url&quot;:&quot;https://x.com/DAZNBoxing&quot;},{&quot;biography&quot;:null,&quot;followers&quot;:null,&quot;following&quot;:null,&quot;is_verified&quot;:null,&quot;profile_id&quot;:&quot;880430796&quot;,&quot;profile_name&quot;:&quot;Shane McGuigan&quot;,&quot;url&quot;:&quot;https://x.com/McGuigans_Gym&quot;},{&quot;biography&quot;:null,&quot;followers&quot;:null,&quot;following&quot;:null,&quot;is_verified&quot;:null,&quot;profile_id&quot;:&quot;202697395&quot;,&quot;profile_name&quot;:&quot;Spencer Oliver&quot;,&quot;url&quot;:&quot;https://x.com/SpencerOliver&quot;}]"/>
    <n v="4"/>
    <n v="5"/>
    <n v="21"/>
    <n v="41355"/>
    <s v="https://www.youtube.com/watch?v=LHxzhG-wCCQ"/>
    <s v="[&quot;ad&quot;]"/>
    <n v="2356524"/>
    <s v="The world’s biggest sports radio station 📻_x000a__x000a_🚨 Buy talkSPORT Trivia Game here: https://t.co/dQV2AFISP2"/>
    <n v="338240"/>
    <s v="https://pbs.twimg.com/profile_images/1605158550979940360/MUqOEhHq_normal.jpg"/>
    <n v="1981"/>
    <b v="0"/>
    <n v="0"/>
    <n v="2"/>
    <s v="{&quot;post_id&quot;:null,&quot;profile_id&quot;:null,&quot;profile_name&quot;:null}"/>
    <s v="null"/>
    <s v="[{&quot;duration&quot;:40560,&quot;video_url&quot;:&quot;https://video.twimg.com/amplify_video/1868393176005742593/vid/avc1/1280x720/fmcYzN6C8kCHZ38M.mp4?tag=14&quot;}]"/>
    <s v="{&quot;data_posted&quot;:null,&quot;description&quot;:null,&quot;photos&quot;:null,&quot;post_id&quot;:null,&quot;profile_id&quot;:null,&quot;profile_name&quot;:null,&quot;url&quot;:null,&quot;videos&quot;:null}"/>
    <n v="32"/>
    <n v="7.7378793374440814E-4"/>
    <d v="2024-12-15T00:00:00"/>
    <n v="0.86028935185185185"/>
    <x v="0"/>
    <x v="3"/>
    <x v="1"/>
    <x v="1"/>
    <x v="1"/>
    <x v="0"/>
    <n v="199"/>
    <x v="0"/>
  </r>
  <r>
    <n v="1.8683253020168893E+18"/>
    <s v="bus███ss"/>
    <s v="Blo███erg███"/>
    <s v="What is the worst mistake a company ever made? @tobinharshaw says Netflix, Macy’s and JetBlue are giving AskJeeves a run for its money"/>
    <s v="&quot;2024-12-15T16:00:38.000Z&quot;"/>
    <s v="null"/>
    <s v="https://x.com/business/status/1868325302016889270"/>
    <s v="[{&quot;biography&quot;:null,&quot;followers&quot;:null,&quot;following&quot;:null,&quot;is_verified&quot;:null,&quot;profile_id&quot;:&quot;47657283&quot;,&quot;profile_name&quot;:&quot;Toby Harshaw&quot;,&quot;url&quot;:&quot;https://x.com/tobinharshaw&quot;},{&quot;biography&quot;:null,&quot;followers&quot;:null,&quot;following&quot;:null,&quot;is_verified&quot;:null,&quot;profile_id&quot;:&quot;227682918&quot;,&quot;profile_name&quot;:&quot;Bloomberg Opinion&quot;,&quot;url&quot;:&quot;https://x.com/opinion&quot;}]"/>
    <n v="6"/>
    <n v="1"/>
    <n v="8"/>
    <n v="24946"/>
    <s v="https://trib.al/uZ8Vp9o"/>
    <s v="null"/>
    <n v="9564155"/>
    <s v="The first word in business news. Singapore newsletter: https://t.co/RtyaUOdLdF Newsletters: https://t.co/nWaCxHSKuU Podcasts: https://t.co/096e9xMbPz"/>
    <n v="1125277"/>
    <s v="https://pbs.twimg.com/profile_images/1631723279676317709/-fjgaR2p_normal.jpg"/>
    <n v="93"/>
    <b v="0"/>
    <n v="0"/>
    <n v="4"/>
    <s v="{&quot;post_id&quot;:null,&quot;profile_id&quot;:null,&quot;profile_name&quot;:null}"/>
    <s v="[&quot;https://pbs.twimg.com/card_img/1868282181505687552/mck5KnTc?format=jpg&amp;name=orig&quot;]"/>
    <s v="null"/>
    <s v="{&quot;data_posted&quot;:null,&quot;description&quot;:null,&quot;photos&quot;:null,&quot;post_id&quot;:null,&quot;profile_id&quot;:null,&quot;profile_name&quot;:null,&quot;url&quot;:null,&quot;videos&quot;:null}"/>
    <n v="19"/>
    <n v="7.616451535316283E-4"/>
    <d v="2024-12-15T00:00:00"/>
    <n v="0.66710648148148144"/>
    <x v="0"/>
    <x v="15"/>
    <x v="0"/>
    <x v="1"/>
    <x v="0"/>
    <x v="0"/>
    <n v="134"/>
    <x v="0"/>
  </r>
  <r>
    <n v="1.8684726550089731E+18"/>
    <s v="bus███ss"/>
    <s v="Blo███erg███"/>
    <s v="President Yoon Suk Yeol’s demise may have been swift and shocking, but he is just the latest in a growing list of South Korean leaders who’ve seen their fortunes turn after rising to power._x000a__x000a_A look at the former heads of state and what happened to them ⤵"/>
    <s v="&quot;2024-12-16T01:46:10.000Z&quot;"/>
    <s v="null"/>
    <s v="https://x.com/business/status/1868472655008973166"/>
    <s v="null"/>
    <n v="2"/>
    <n v="4"/>
    <n v="13"/>
    <n v="30055"/>
    <s v="https://trib.al/NCEcVTi"/>
    <s v="null"/>
    <n v="9564232"/>
    <s v="The first word in business news. Singapore newsletter: https://t.co/RtyaUOdLdF Newsletters: https://t.co/nWaCxHSKuU Podcasts: https://t.co/096e9xMbPz"/>
    <n v="1125277"/>
    <s v="https://pbs.twimg.com/profile_images/1631723279676317709/-fjgaR2p_normal.jpg"/>
    <n v="93"/>
    <b v="0"/>
    <n v="2"/>
    <n v="1"/>
    <s v="{&quot;post_id&quot;:null,&quot;profile_id&quot;:null,&quot;profile_name&quot;:null}"/>
    <s v="[&quot;https://pbs.twimg.com/card_img/1868466954454872064/Dtd1IgQf?format=jpg&amp;name=orig&quot;]"/>
    <s v="null"/>
    <s v="{&quot;data_posted&quot;:null,&quot;description&quot;:null,&quot;photos&quot;:null,&quot;post_id&quot;:null,&quot;profile_id&quot;:null,&quot;profile_name&quot;:null,&quot;url&quot;:null,&quot;videos&quot;:null}"/>
    <n v="22"/>
    <n v="7.3199134919314595E-4"/>
    <d v="2024-12-16T00:00:00"/>
    <n v="7.3726851851851849E-2"/>
    <x v="2"/>
    <x v="19"/>
    <x v="0"/>
    <x v="1"/>
    <x v="0"/>
    <x v="0"/>
    <n v="254"/>
    <x v="0"/>
  </r>
  <r>
    <n v="1.8681932964570849E+18"/>
    <s v="bus███ss"/>
    <s v="Blo███erg███"/>
    <s v="Sanjay Malhotra has a new mandate in a new city, while facing an old challenge. As the new RBI governor swaps his Delhi-ness for Mumbai swag, here’s how he could do it while having fun, writes @menakadoshi in this week's India Edition (Free read)"/>
    <s v="&quot;2024-12-15T07:16:05.000Z&quot;"/>
    <s v="null"/>
    <s v="https://x.com/business/status/1868193296457084977"/>
    <s v="[{&quot;biography&quot;:null,&quot;followers&quot;:null,&quot;following&quot;:null,&quot;is_verified&quot;:null,&quot;profile_id&quot;:&quot;111416258&quot;,&quot;profile_name&quot;:&quot;menaka doshi&quot;,&quot;url&quot;:&quot;https://x.com/menakadoshi&quot;}]"/>
    <n v="0"/>
    <n v="4"/>
    <n v="11"/>
    <n v="24837"/>
    <s v="https://trib.al/ax09TYR"/>
    <s v="null"/>
    <n v="9564155"/>
    <s v="The first word in business news. Singapore newsletter: https://t.co/RtyaUOdLdF Newsletters: https://t.co/nWaCxHSKuU Podcasts: https://t.co/096e9xMbPz"/>
    <n v="1125277"/>
    <s v="https://pbs.twimg.com/profile_images/1631723279676317709/-fjgaR2p_normal.jpg"/>
    <n v="93"/>
    <b v="0"/>
    <n v="1"/>
    <n v="2"/>
    <s v="{&quot;post_id&quot;:null,&quot;profile_id&quot;:null,&quot;profile_name&quot;:null}"/>
    <s v="[&quot;https://pbs.twimg.com/card_img/1867090979833909248/bIIo_ZsR?format=jpg&amp;name=orig&quot;]"/>
    <s v="null"/>
    <s v="{&quot;data_posted&quot;:null,&quot;description&quot;:null,&quot;photos&quot;:null,&quot;post_id&quot;:null,&quot;profile_id&quot;:null,&quot;profile_name&quot;:null,&quot;url&quot;:null,&quot;videos&quot;:null}"/>
    <n v="18"/>
    <n v="7.247252083584974E-4"/>
    <d v="2024-12-15T00:00:00"/>
    <n v="0.30283564814814817"/>
    <x v="0"/>
    <x v="20"/>
    <x v="0"/>
    <x v="1"/>
    <x v="0"/>
    <x v="0"/>
    <n v="246"/>
    <x v="0"/>
  </r>
  <r>
    <n v="1.868325302302028E+18"/>
    <s v="bus███ss"/>
    <s v="Blo███erg███"/>
    <s v="Two Republicans who stood up to Stop the Steal — and lost their careers as a result — talk to @fsbarry about the future of their party"/>
    <s v="&quot;2024-12-15T16:00:38.000Z&quot;"/>
    <s v="null"/>
    <s v="https://x.com/business/status/1868325302302027970"/>
    <s v="[{&quot;biography&quot;:null,&quot;followers&quot;:null,&quot;following&quot;:null,&quot;is_verified&quot;:null,&quot;profile_id&quot;:&quot;232215385&quot;,&quot;profile_name&quot;:&quot;Frank Barry&quot;,&quot;url&quot;:&quot;https://x.com/FSBarry&quot;},{&quot;biography&quot;:null,&quot;followers&quot;:null,&quot;following&quot;:null,&quot;is_verified&quot;:null,&quot;profile_id&quot;:&quot;227682918&quot;,&quot;profile_name&quot;:&quot;Bloomberg Opinion&quot;,&quot;url&quot;:&quot;https://x.com/opinion&quot;}]"/>
    <n v="5"/>
    <n v="1"/>
    <n v="9"/>
    <n v="25129"/>
    <s v="https://trib.al/yWj7v6S"/>
    <s v="null"/>
    <n v="9564155"/>
    <s v="The first word in business news. Singapore newsletter: https://t.co/RtyaUOdLdF Newsletters: https://t.co/nWaCxHSKuU Podcasts: https://t.co/096e9xMbPz"/>
    <n v="1125277"/>
    <s v="https://pbs.twimg.com/profile_images/1631723279676317709/-fjgaR2p_normal.jpg"/>
    <n v="93"/>
    <b v="0"/>
    <n v="0"/>
    <n v="2"/>
    <s v="{&quot;post_id&quot;:null,&quot;profile_id&quot;:null,&quot;profile_name&quot;:null}"/>
    <s v="[&quot;https://pbs.twimg.com/card_img/1868297845469532160/rp6E0TBr?format=jpg&amp;name=orig&quot;]"/>
    <s v="null"/>
    <s v="{&quot;data_posted&quot;:null,&quot;description&quot;:null,&quot;photos&quot;:null,&quot;post_id&quot;:null,&quot;profile_id&quot;:null,&quot;profile_name&quot;:null,&quot;url&quot;:null,&quot;videos&quot;:null}"/>
    <n v="17"/>
    <n v="6.7650921246368732E-4"/>
    <d v="2024-12-15T00:00:00"/>
    <n v="0.66710648148148144"/>
    <x v="0"/>
    <x v="15"/>
    <x v="0"/>
    <x v="1"/>
    <x v="0"/>
    <x v="0"/>
    <n v="134"/>
    <x v="0"/>
  </r>
  <r>
    <n v="1.8684571605117624E+18"/>
    <s v="bus███ss"/>
    <s v="Blo███erg███"/>
    <s v="NEW: Indian tycoons Ambani and Adani have tumbled out of the elite centibillionaires club._x000a__x000a_Here's the outlook for their fortunes ⤵"/>
    <s v="&quot;2024-12-16T00:44:35.000Z&quot;"/>
    <s v="null"/>
    <s v="https://x.com/business/status/1868457160511762502"/>
    <s v="null"/>
    <n v="3"/>
    <n v="2"/>
    <n v="11"/>
    <n v="29195"/>
    <s v="https://trib.al/7RZVBcu"/>
    <s v="null"/>
    <n v="9564231"/>
    <s v="The first word in business news. Singapore newsletter: https://t.co/RtyaUOdLdF Newsletters: https://t.co/nWaCxHSKuU Podcasts: https://t.co/096e9xMbPz"/>
    <n v="1125277"/>
    <s v="https://pbs.twimg.com/profile_images/1631723279676317709/-fjgaR2p_normal.jpg"/>
    <n v="93"/>
    <b v="0"/>
    <n v="1"/>
    <n v="2"/>
    <s v="{&quot;post_id&quot;:null,&quot;profile_id&quot;:null,&quot;profile_name&quot;:null}"/>
    <s v="[&quot;https://pbs.twimg.com/card_img/1868436167965696001/CYxlWNxn?format=jpg&amp;name=orig&quot;]"/>
    <s v="null"/>
    <s v="{&quot;data_posted&quot;:null,&quot;description&quot;:null,&quot;photos&quot;:null,&quot;post_id&quot;:null,&quot;profile_id&quot;:null,&quot;profile_name&quot;:null,&quot;url&quot;:null,&quot;videos&quot;:null}"/>
    <n v="19"/>
    <n v="6.5079636924130846E-4"/>
    <d v="2024-12-16T00:00:00"/>
    <n v="3.0960648148148147E-2"/>
    <x v="2"/>
    <x v="5"/>
    <x v="0"/>
    <x v="1"/>
    <x v="0"/>
    <x v="0"/>
    <n v="131"/>
    <x v="0"/>
  </r>
  <r>
    <n v="1.86820731486541E+18"/>
    <s v="The███nom███"/>
    <s v="The███ono███t"/>
    <s v="A turn away from youthful idealism towards tough-on-crime candidates seems likely in Chile’s upcoming general election. It is not the only country where stronger security policies are gaining growing support"/>
    <s v="&quot;2024-12-15T08:11:48.000Z&quot;"/>
    <s v="null"/>
    <s v="https://x.com/TheEconomist/status/1868207314865410145"/>
    <s v="null"/>
    <n v="4"/>
    <n v="4"/>
    <n v="17"/>
    <n v="44946"/>
    <s v="https://econ.st/3Bjv7lU"/>
    <s v="null"/>
    <n v="27123001"/>
    <s v="News and analysis with a global perspective. We’re here to help you understand the world around you. Subscribe here: https://t.co/RpUQAAnhog"/>
    <n v="402760"/>
    <s v="https://pbs.twimg.com/profile_images/1847280770743750656/0DkLNOPG_normal.jpg"/>
    <n v="155"/>
    <b v="0"/>
    <n v="1"/>
    <n v="3"/>
    <s v="{&quot;post_id&quot;:null,&quot;profile_id&quot;:null,&quot;profile_name&quot;:null}"/>
    <s v="[&quot;https://pbs.twimg.com/card_img/1866497418461589504/NiGyvuDC?format=jpg&amp;name=orig&quot;]"/>
    <s v="null"/>
    <s v="{&quot;data_posted&quot;:null,&quot;description&quot;:null,&quot;photos&quot;:null,&quot;post_id&quot;:null,&quot;profile_id&quot;:null,&quot;profile_name&quot;:null,&quot;url&quot;:null,&quot;videos&quot;:null}"/>
    <n v="29"/>
    <n v="6.4521870689271572E-4"/>
    <d v="2024-12-15T00:00:00"/>
    <n v="0.34152777777777776"/>
    <x v="0"/>
    <x v="6"/>
    <x v="0"/>
    <x v="1"/>
    <x v="0"/>
    <x v="0"/>
    <n v="207"/>
    <x v="1"/>
  </r>
  <r>
    <n v="1.8684286510599334E+18"/>
    <s v="bus███ss"/>
    <s v="Blo███erg███"/>
    <s v="Here's all you need to know about what's moving markets"/>
    <s v="&quot;2024-12-15T22:51:18.000Z&quot;"/>
    <s v="null"/>
    <s v="https://x.com/business/status/1868428651059933567"/>
    <s v="null"/>
    <n v="1"/>
    <n v="3"/>
    <n v="12"/>
    <n v="29536"/>
    <s v="https://trib.al/e19Z9DP"/>
    <s v="null"/>
    <n v="9564157"/>
    <s v="The first word in business news. Singapore newsletter: https://t.co/RtyaUOdLdF Newsletters: https://t.co/nWaCxHSKuU Podcasts: https://t.co/096e9xMbPz"/>
    <n v="1125277"/>
    <s v="https://pbs.twimg.com/profile_images/1631723279676317709/-fjgaR2p_normal.jpg"/>
    <n v="93"/>
    <b v="0"/>
    <n v="1"/>
    <n v="2"/>
    <s v="{&quot;post_id&quot;:null,&quot;profile_id&quot;:null,&quot;profile_name&quot;:null}"/>
    <s v="[&quot;https://pbs.twimg.com/card_img/1868428480158765056/IxT-Yt5r?format=jpg&amp;name=orig&quot;]"/>
    <s v="null"/>
    <s v="{&quot;data_posted&quot;:null,&quot;description&quot;:null,&quot;photos&quot;:null,&quot;post_id&quot;:null,&quot;profile_id&quot;:null,&quot;profile_name&quot;:null,&quot;url&quot;:null,&quot;videos&quot;:null}"/>
    <n v="19"/>
    <n v="6.4328277356446369E-4"/>
    <d v="2024-12-15T00:00:00"/>
    <n v="0.95229166666666665"/>
    <x v="0"/>
    <x v="11"/>
    <x v="0"/>
    <x v="1"/>
    <x v="0"/>
    <x v="0"/>
    <n v="55"/>
    <x v="0"/>
  </r>
  <r>
    <n v="1.8681661619777536E+18"/>
    <s v="The███nom███"/>
    <s v="The███ono███t"/>
    <s v="Tales of corruption are not new to Bangladesh. But never before has it been so widespread and pervasive, one expert reckons._x000a__x000a_Fixing things, while the country rebuilds its institutions, will be tricky"/>
    <s v="&quot;2024-12-15T05:28:16.000Z&quot;"/>
    <s v="null"/>
    <s v="https://x.com/TheEconomist/status/1868166161977753652"/>
    <s v="null"/>
    <n v="5"/>
    <n v="6"/>
    <n v="20"/>
    <n v="51909"/>
    <s v="https://econ.st/4fcfLgN"/>
    <s v="null"/>
    <n v="27123001"/>
    <s v="News and analysis with a global perspective. We’re here to help you understand the world around you. Subscribe here: https://t.co/RpUQAAnhog"/>
    <n v="402760"/>
    <s v="https://pbs.twimg.com/profile_images/1847280770743750656/0DkLNOPG_normal.jpg"/>
    <n v="155"/>
    <b v="0"/>
    <n v="1"/>
    <n v="1"/>
    <s v="{&quot;post_id&quot;:null,&quot;profile_id&quot;:null,&quot;profile_name&quot;:null}"/>
    <s v="[&quot;https://pbs.twimg.com/card_img/1867213055412584448/HhnvhH12?format=jpg&amp;name=orig&quot;]"/>
    <s v="null"/>
    <s v="{&quot;data_posted&quot;:null,&quot;description&quot;:null,&quot;photos&quot;:null,&quot;post_id&quot;:null,&quot;profile_id&quot;:null,&quot;profile_name&quot;:null,&quot;url&quot;:null,&quot;videos&quot;:null}"/>
    <n v="33"/>
    <n v="6.3572790845518119E-4"/>
    <d v="2024-12-15T00:00:00"/>
    <n v="0.22796296296296295"/>
    <x v="0"/>
    <x v="22"/>
    <x v="0"/>
    <x v="1"/>
    <x v="0"/>
    <x v="0"/>
    <n v="200"/>
    <x v="1"/>
  </r>
  <r>
    <n v="1.8683699683806822E+18"/>
    <s v="The███nom███"/>
    <s v="The███ono███t"/>
    <s v="Georgia’s pro-Russia government is walking a fine line as it tries to crack down on protesters, but not so brutally as to provoke an uprising"/>
    <s v="&quot;2024-12-15T18:58:07.000Z&quot;"/>
    <s v="null"/>
    <s v="https://x.com/TheEconomist/status/1868369968380682330"/>
    <s v="null"/>
    <n v="1"/>
    <n v="6"/>
    <n v="21"/>
    <n v="48463"/>
    <s v="https://econ.st/4fs7beg"/>
    <s v="null"/>
    <n v="27122998"/>
    <s v="News and analysis with a global perspective. We’re here to help you understand the world around you. Subscribe here: https://t.co/RpUQAAnhog"/>
    <n v="402760"/>
    <s v="https://pbs.twimg.com/profile_images/1847280770743750656/0DkLNOPG_normal.jpg"/>
    <n v="155"/>
    <b v="0"/>
    <n v="1"/>
    <n v="1"/>
    <s v="{&quot;post_id&quot;:null,&quot;profile_id&quot;:null,&quot;profile_name&quot;:null}"/>
    <s v="[&quot;https://pbs.twimg.com/card_img/1868366080705490944/735kZbE2?format=jpg&amp;name=orig&quot;]"/>
    <s v="null"/>
    <s v="{&quot;data_posted&quot;:null,&quot;description&quot;:null,&quot;photos&quot;:null,&quot;post_id&quot;:null,&quot;profile_id&quot;:null,&quot;profile_name&quot;:null,&quot;url&quot;:null,&quot;videos&quot;:null}"/>
    <n v="30"/>
    <n v="6.1902894992055799E-4"/>
    <d v="2024-12-15T00:00:00"/>
    <n v="0.79035879629629635"/>
    <x v="0"/>
    <x v="8"/>
    <x v="0"/>
    <x v="1"/>
    <x v="0"/>
    <x v="0"/>
    <n v="141"/>
    <x v="1"/>
  </r>
  <r>
    <n v="1.8682950174851891E+18"/>
    <s v="The███nom███"/>
    <s v="The███ono███t"/>
    <s v="The unbelievable has become commonplace in recent years. What could happen in 2025? Here are a few scenarios to get you thinking:"/>
    <s v="&quot;2024-12-15T14:00:18.000Z&quot;"/>
    <s v="[&quot;https://pbs.twimg.com/media/Ge2EagsXMAAF4NW.png&quot;]"/>
    <s v="https://x.com/TheEconomist/status/1868295017485189120"/>
    <s v="null"/>
    <n v="4"/>
    <n v="5"/>
    <n v="19"/>
    <n v="52230"/>
    <s v="https://econ.st/3ZPCYRD"/>
    <s v="null"/>
    <n v="27122998"/>
    <s v="News and analysis with a global perspective. We’re here to help you understand the world around you. Subscribe here: https://t.co/RpUQAAnhog"/>
    <n v="402760"/>
    <s v="https://pbs.twimg.com/profile_images/1847280770743750656/0DkLNOPG_normal.jpg"/>
    <n v="155"/>
    <b v="0"/>
    <n v="1"/>
    <n v="3"/>
    <s v="{&quot;post_id&quot;:null,&quot;profile_id&quot;:null,&quot;profile_name&quot;:null}"/>
    <s v="null"/>
    <s v="null"/>
    <s v="{&quot;data_posted&quot;:null,&quot;description&quot;:null,&quot;photos&quot;:null,&quot;post_id&quot;:null,&quot;profile_id&quot;:null,&quot;profile_name&quot;:null,&quot;url&quot;:null,&quot;videos&quot;:null}"/>
    <n v="32"/>
    <n v="6.1267470802220945E-4"/>
    <d v="2024-12-15T00:00:00"/>
    <n v="0.58354166666666663"/>
    <x v="0"/>
    <x v="1"/>
    <x v="0"/>
    <x v="0"/>
    <x v="0"/>
    <x v="0"/>
    <n v="129"/>
    <x v="1"/>
  </r>
  <r>
    <n v="1.8683774956842028E+18"/>
    <s v="The███nom███"/>
    <s v="The███ono███t"/>
    <s v="Abu Hassan al-Hamawi is largely responsible for his group’s sweeping conquest of much of Syria in recent weeks. _x000a__x000a_Sipping tea and wearing a Kalashnikov, the military commander sat down to speak with us:"/>
    <s v="&quot;2024-12-15T19:28:02.000Z&quot;"/>
    <s v="null"/>
    <s v="https://x.com/TheEconomist/status/1868377495684202695"/>
    <s v="null"/>
    <n v="2"/>
    <n v="3"/>
    <n v="18"/>
    <n v="50107"/>
    <s v="https://econ.st/49DRlvr"/>
    <s v="null"/>
    <n v="27122999"/>
    <s v="News and analysis with a global perspective. We’re here to help you understand the world around you. Subscribe here: https://t.co/RpUQAAnhog"/>
    <n v="402760"/>
    <s v="https://pbs.twimg.com/profile_images/1847280770743750656/0DkLNOPG_normal.jpg"/>
    <n v="155"/>
    <b v="0"/>
    <n v="2"/>
    <n v="5"/>
    <s v="{&quot;post_id&quot;:null,&quot;profile_id&quot;:null,&quot;profile_name&quot;:null}"/>
    <s v="[&quot;https://pbs.twimg.com/card_img/1867590955462754304/Q2z4rW-N?format=jpg&amp;name=orig&quot;]"/>
    <s v="null"/>
    <s v="{&quot;data_posted&quot;:null,&quot;description&quot;:null,&quot;photos&quot;:null,&quot;post_id&quot;:null,&quot;profile_id&quot;:null,&quot;profile_name&quot;:null,&quot;url&quot;:null,&quot;videos&quot;:null}"/>
    <n v="30"/>
    <n v="5.9871874189235032E-4"/>
    <d v="2024-12-15T00:00:00"/>
    <n v="0.8111342592592593"/>
    <x v="0"/>
    <x v="4"/>
    <x v="0"/>
    <x v="1"/>
    <x v="0"/>
    <x v="0"/>
    <n v="202"/>
    <x v="1"/>
  </r>
  <r>
    <n v="1.8684801782019978E+18"/>
    <s v="The███nom███"/>
    <s v="The███ono███t"/>
    <s v="On “The Weekend Intelligence” podcast @studersc travels across America in search of what it means to be a Good Samaritan. On the way, she speaks to philosopher @agnescallard, as well as a pastor and a lawyer"/>
    <s v="&quot;2024-12-16T02:16:03.000Z&quot;"/>
    <s v="null"/>
    <s v="https://x.com/TheEconomist/status/1868480178201997805"/>
    <s v="[{&quot;biography&quot;:null,&quot;followers&quot;:null,&quot;following&quot;:null,&quot;is_verified&quot;:null,&quot;profile_id&quot;:&quot;867668142&quot;,&quot;profile_name&quot;:&quot;Stephanie Studer&quot;,&quot;url&quot;:&quot;https://x.com/studersc&quot;},{&quot;biography&quot;:null,&quot;followers&quot;:null,&quot;following&quot;:null,&quot;is_verified&quot;:null,&quot;profile_id&quot;:&quot;990004572964999168&quot;,&quot;profile_name&quot;:&quot;Agnes Callard&quot;,&quot;url&quot;:&quot;https://x.com/AgnesCallard&quot;}]"/>
    <n v="7"/>
    <n v="1"/>
    <n v="10"/>
    <n v="35594"/>
    <s v="https://econ.st/41zU7Ab"/>
    <s v="null"/>
    <n v="27122997"/>
    <s v="News and analysis with a global perspective. We’re here to help you understand the world around you. Subscribe here: https://t.co/RpUQAAnhog"/>
    <n v="402761"/>
    <s v="https://pbs.twimg.com/profile_images/1847280770743750656/0DkLNOPG_normal.jpg"/>
    <n v="155"/>
    <b v="0"/>
    <n v="0"/>
    <n v="3"/>
    <s v="{&quot;post_id&quot;:null,&quot;profile_id&quot;:null,&quot;profile_name&quot;:null}"/>
    <s v="[&quot;https://pbs.twimg.com/card_img/1867872043514970112/Wm04khOV?format=jpg&amp;name=orig&quot;]"/>
    <s v="null"/>
    <s v="{&quot;data_posted&quot;:null,&quot;description&quot;:null,&quot;photos&quot;:null,&quot;post_id&quot;:null,&quot;profile_id&quot;:null,&quot;profile_name&quot;:null,&quot;url&quot;:null,&quot;videos&quot;:null}"/>
    <n v="21"/>
    <n v="5.8998707647356298E-4"/>
    <d v="2024-12-16T00:00:00"/>
    <n v="9.447916666666667E-2"/>
    <x v="2"/>
    <x v="2"/>
    <x v="0"/>
    <x v="1"/>
    <x v="0"/>
    <x v="0"/>
    <n v="207"/>
    <x v="1"/>
  </r>
  <r>
    <n v="1.8681167795133153E+18"/>
    <s v="The███nom███"/>
    <s v="The███ono███t"/>
    <s v="Indonesia’s growth rate has been around 5% for most of the past three decades. Unless reforms can gain momentum, it may remain stuck at that level in the coming years. We explain why in “The World Ahead”"/>
    <s v="&quot;2024-12-15T02:12:02.000Z&quot;"/>
    <s v="null"/>
    <s v="https://x.com/TheEconomist/status/1868116779513315389"/>
    <s v="null"/>
    <n v="4"/>
    <n v="5"/>
    <n v="18"/>
    <n v="56482"/>
    <s v="https://econ.st/4f85lin"/>
    <s v="null"/>
    <n v="27123001"/>
    <s v="News and analysis with a global perspective. We’re here to help you understand the world around you. Subscribe here: https://t.co/RpUQAAnhog"/>
    <n v="402760"/>
    <s v="https://pbs.twimg.com/profile_images/1847280770743750656/0DkLNOPG_normal.jpg"/>
    <n v="155"/>
    <b v="0"/>
    <n v="1"/>
    <n v="4"/>
    <s v="{&quot;post_id&quot;:null,&quot;profile_id&quot;:null,&quot;profile_name&quot;:null}"/>
    <s v="[&quot;https://pbs.twimg.com/card_img/1867524049120972800/RLJsmfDn?format=jpg&amp;name=orig&quot;]"/>
    <s v="null"/>
    <s v="{&quot;data_posted&quot;:null,&quot;description&quot;:null,&quot;photos&quot;:null,&quot;post_id&quot;:null,&quot;profile_id&quot;:null,&quot;profile_name&quot;:null,&quot;url&quot;:null,&quot;videos&quot;:null}"/>
    <n v="32"/>
    <n v="5.6655217591445066E-4"/>
    <d v="2024-12-15T00:00:00"/>
    <n v="9.1689814814814821E-2"/>
    <x v="0"/>
    <x v="2"/>
    <x v="0"/>
    <x v="1"/>
    <x v="0"/>
    <x v="0"/>
    <n v="203"/>
    <x v="1"/>
  </r>
  <r>
    <n v="1.8684765003720461E+18"/>
    <s v="bus███ss"/>
    <s v="Blo███erg███"/>
    <s v="While analysts have turned more bullish on Mukesh Ambani's Reliance recently, institutional investors are expressing concerns over increasing debt and its ability to generate positive cash flows"/>
    <s v="&quot;2024-12-16T02:01:26.000Z&quot;"/>
    <s v="null"/>
    <s v="https://x.com/business/status/1868476500372045983"/>
    <s v="null"/>
    <n v="1"/>
    <n v="2"/>
    <n v="11"/>
    <n v="29774"/>
    <s v="https://trib.al/bjNW6cQ"/>
    <s v="null"/>
    <n v="9564154"/>
    <s v="The first word in business news. Singapore newsletter: https://t.co/RtyaUOdLdF Newsletters: https://t.co/nWaCxHSKuU Podcasts: https://t.co/096e9xMbPz"/>
    <n v="1125277"/>
    <s v="https://pbs.twimg.com/profile_images/1631723279676317709/-fjgaR2p_normal.jpg"/>
    <n v="93"/>
    <b v="0"/>
    <n v="1"/>
    <n v="1"/>
    <s v="{&quot;post_id&quot;:null,&quot;profile_id&quot;:null,&quot;profile_name&quot;:null}"/>
    <s v="[&quot;https://pbs.twimg.com/card_img/1868469285288398848/jXMhEA-d?format=jpg&amp;name=orig&quot;]"/>
    <s v="null"/>
    <s v="{&quot;data_posted&quot;:null,&quot;description&quot;:null,&quot;photos&quot;:null,&quot;post_id&quot;:null,&quot;profile_id&quot;:null,&quot;profile_name&quot;:null,&quot;url&quot;:null,&quot;videos&quot;:null}"/>
    <n v="16"/>
    <n v="5.3738160811446229E-4"/>
    <d v="2024-12-16T00:00:00"/>
    <n v="8.4328703703703697E-2"/>
    <x v="2"/>
    <x v="2"/>
    <x v="0"/>
    <x v="1"/>
    <x v="0"/>
    <x v="0"/>
    <n v="194"/>
    <x v="0"/>
  </r>
  <r>
    <n v="1.8683878208987709E+18"/>
    <s v="The███nom███"/>
    <s v="The███ono███t"/>
    <s v="On Monday Germany’s chancellor will hold a parliamentary confidence vote that he is almost certain to lose. Here’s what you need to know"/>
    <s v="&quot;2024-12-15T20:09:04.000Z&quot;"/>
    <s v="null"/>
    <s v="https://x.com/TheEconomist/status/1868387820898771023"/>
    <s v="null"/>
    <n v="2"/>
    <n v="9"/>
    <n v="16"/>
    <n v="55884"/>
    <s v="https://econ.st/3ZSexmF"/>
    <s v="null"/>
    <n v="27122999"/>
    <s v="News and analysis with a global perspective. We’re here to help you understand the world around you. Subscribe here: https://t.co/RpUQAAnhog"/>
    <n v="402760"/>
    <s v="https://pbs.twimg.com/profile_images/1847280770743750656/0DkLNOPG_normal.jpg"/>
    <n v="155"/>
    <b v="0"/>
    <n v="1"/>
    <n v="1"/>
    <s v="{&quot;post_id&quot;:null,&quot;profile_id&quot;:null,&quot;profile_name&quot;:null}"/>
    <s v="[&quot;https://pbs.twimg.com/card_img/1867819837428215808/TMjENkGg?format=png&amp;name=orig&quot;]"/>
    <s v="null"/>
    <s v="{&quot;data_posted&quot;:null,&quot;description&quot;:null,&quot;photos&quot;:null,&quot;post_id&quot;:null,&quot;profile_id&quot;:null,&quot;profile_name&quot;:null,&quot;url&quot;:null,&quot;videos&quot;:null}"/>
    <n v="29"/>
    <n v="5.1893207358098923E-4"/>
    <d v="2024-12-15T00:00:00"/>
    <n v="0.83962962962962961"/>
    <x v="0"/>
    <x v="3"/>
    <x v="0"/>
    <x v="1"/>
    <x v="0"/>
    <x v="0"/>
    <n v="136"/>
    <x v="1"/>
  </r>
  <r>
    <n v="1.8683779966267354E+18"/>
    <s v="The███nom███"/>
    <s v="The███ono███t"/>
    <s v="France’s president made his choice after, reportedly, François Bayrou threatened to pull out of the centrist coalition. But he is likely to find it just as difficult as his predecessor did to produce a new budget for 2025"/>
    <s v="&quot;2024-12-15T19:30:01.000Z&quot;"/>
    <s v="null"/>
    <s v="https://x.com/TheEconomist/status/1868377996626735370"/>
    <s v="null"/>
    <n v="4"/>
    <n v="4"/>
    <n v="17"/>
    <n v="52539"/>
    <s v="https://econ.st/4fn5L4l"/>
    <s v="null"/>
    <n v="27122998"/>
    <s v="News and analysis with a global perspective. We’re here to help you understand the world around you. Subscribe here: https://t.co/RpUQAAnhog"/>
    <n v="402760"/>
    <s v="https://pbs.twimg.com/profile_images/1847280770743750656/0DkLNOPG_normal.jpg"/>
    <n v="155"/>
    <b v="0"/>
    <n v="1"/>
    <n v="1"/>
    <s v="{&quot;post_id&quot;:null,&quot;profile_id&quot;:null,&quot;profile_name&quot;:null}"/>
    <s v="[&quot;https://pbs.twimg.com/card_img/1867572759020097536/FrM0qulW?format=jpg&amp;name=orig&quot;]"/>
    <s v="null"/>
    <s v="{&quot;data_posted&quot;:null,&quot;description&quot;:null,&quot;photos&quot;:null,&quot;post_id&quot;:null,&quot;profile_id&quot;:null,&quot;profile_name&quot;:null,&quot;url&quot;:null,&quot;videos&quot;:null}"/>
    <n v="27"/>
    <n v="5.1390395706046941E-4"/>
    <d v="2024-12-15T00:00:00"/>
    <n v="0.81251157407407404"/>
    <x v="0"/>
    <x v="4"/>
    <x v="0"/>
    <x v="1"/>
    <x v="0"/>
    <x v="0"/>
    <n v="221"/>
    <x v="1"/>
  </r>
  <r>
    <n v="1.8681093601754931E+18"/>
    <s v="The███nom███"/>
    <s v="The███ono███t"/>
    <s v="The fight over reproductive rights in America looks set to shift from political to legal arenas. Most likely, access to abortion will continue to diverge in 2025"/>
    <s v="&quot;2024-12-15T01:42:33.000Z&quot;"/>
    <s v="null"/>
    <s v="https://x.com/TheEconomist/status/1868109360175493145"/>
    <s v="null"/>
    <n v="4"/>
    <n v="5"/>
    <n v="14"/>
    <n v="53069"/>
    <s v="https://econ.st/4f83nyv"/>
    <s v="null"/>
    <n v="27123001"/>
    <s v="News and analysis with a global perspective. We’re here to help you understand the world around you. Subscribe here: https://t.co/RpUQAAnhog"/>
    <n v="402760"/>
    <s v="https://pbs.twimg.com/profile_images/1847280770743750656/0DkLNOPG_normal.jpg"/>
    <n v="155"/>
    <b v="0"/>
    <n v="2"/>
    <n v="2"/>
    <s v="{&quot;post_id&quot;:null,&quot;profile_id&quot;:null,&quot;profile_name&quot;:null}"/>
    <s v="[&quot;https://pbs.twimg.com/card_img/1866539132811345921/1Uy1liJx?format=jpg&amp;name=orig&quot;]"/>
    <s v="null"/>
    <s v="{&quot;data_posted&quot;:null,&quot;description&quot;:null,&quot;photos&quot;:null,&quot;post_id&quot;:null,&quot;profile_id&quot;:null,&quot;profile_name&quot;:null,&quot;url&quot;:null,&quot;videos&quot;:null}"/>
    <n v="27"/>
    <n v="5.0877159923872698E-4"/>
    <d v="2024-12-15T00:00:00"/>
    <n v="7.121527777777778E-2"/>
    <x v="0"/>
    <x v="19"/>
    <x v="0"/>
    <x v="1"/>
    <x v="0"/>
    <x v="0"/>
    <n v="161"/>
    <x v="1"/>
  </r>
  <r>
    <n v="1.8685146966024561E+18"/>
    <s v="bus███ss"/>
    <s v="Blo███erg███"/>
    <s v="Singapore home sales jumped to their highest level in more than a decade, confirming a property market revival that’s raising expectations of further government curbs"/>
    <s v="&quot;2024-12-16T04:33:13.000Z&quot;"/>
    <s v="null"/>
    <s v="https://x.com/business/status/1868514696602456133"/>
    <s v="null"/>
    <n v="3"/>
    <n v="2"/>
    <n v="2"/>
    <n v="18442"/>
    <s v="https://trib.al/aw84iG3"/>
    <s v="null"/>
    <n v="9564155"/>
    <s v="The first word in business news. Singapore newsletter: https://t.co/RtyaUOdLdF Newsletters: https://t.co/nWaCxHSKuU Podcasts: https://t.co/096e9xMbPz"/>
    <n v="1125277"/>
    <s v="https://pbs.twimg.com/profile_images/1631723279676317709/-fjgaR2p_normal.jpg"/>
    <n v="93"/>
    <b v="0"/>
    <n v="1"/>
    <n v="1"/>
    <s v="{&quot;post_id&quot;:null,&quot;profile_id&quot;:null,&quot;profile_name&quot;:null}"/>
    <s v="[&quot;https://pbs.twimg.com/card_img/1868514277021147136/xbZXLKWJ?format=jpg&amp;name=orig&quot;]"/>
    <s v="null"/>
    <s v="{&quot;data_posted&quot;:null,&quot;description&quot;:null,&quot;photos&quot;:null,&quot;post_id&quot;:null,&quot;profile_id&quot;:null,&quot;profile_name&quot;:null,&quot;url&quot;:null,&quot;videos&quot;:null}"/>
    <n v="9"/>
    <n v="4.8801648411235223E-4"/>
    <d v="2024-12-16T00:00:00"/>
    <n v="0.1897337962962963"/>
    <x v="2"/>
    <x v="9"/>
    <x v="0"/>
    <x v="1"/>
    <x v="0"/>
    <x v="0"/>
    <n v="166"/>
    <x v="0"/>
  </r>
  <r>
    <n v="1.86841477922995E+18"/>
    <s v="bus███ss"/>
    <s v="Blo███erg███"/>
    <s v="The Bezos Learning Center is taking shape (like a spiral galaxy) on the National Mall"/>
    <s v="&quot;2024-12-15T21:56:11.000Z&quot;"/>
    <s v="null"/>
    <s v="https://x.com/business/status/1868414779229950038"/>
    <s v="[{&quot;biography&quot;:null,&quot;followers&quot;:null,&quot;following&quot;:null,&quot;is_verified&quot;:null,&quot;profile_id&quot;:&quot;331803536&quot;,&quot;profile_name&quot;:&quot;Bloomberg CityLab&quot;,&quot;url&quot;:&quot;https://x.com/CityLab&quot;}]"/>
    <n v="2"/>
    <n v="1"/>
    <n v="8"/>
    <n v="28756"/>
    <s v="https://trib.al/4KCmUZx"/>
    <s v="null"/>
    <n v="9564156"/>
    <s v="The first word in business news. Singapore newsletter: https://t.co/RtyaUOdLdF Newsletters: https://t.co/nWaCxHSKuU Podcasts: https://t.co/096e9xMbPz"/>
    <n v="1125277"/>
    <s v="https://pbs.twimg.com/profile_images/1631723279676317709/-fjgaR2p_normal.jpg"/>
    <n v="93"/>
    <b v="0"/>
    <n v="0"/>
    <n v="3"/>
    <s v="{&quot;post_id&quot;:null,&quot;profile_id&quot;:null,&quot;profile_name&quot;:null}"/>
    <s v="[&quot;https://pbs.twimg.com/card_img/1868385152310644736/UQR1RooC?format=jpg&amp;name=orig&quot;]"/>
    <s v="null"/>
    <s v="{&quot;data_posted&quot;:null,&quot;description&quot;:null,&quot;photos&quot;:null,&quot;post_id&quot;:null,&quot;profile_id&quot;:null,&quot;profile_name&quot;:null,&quot;url&quot;:null,&quot;videos&quot;:null}"/>
    <n v="14"/>
    <n v="4.8685491723466409E-4"/>
    <d v="2024-12-15T00:00:00"/>
    <n v="0.91401620370370373"/>
    <x v="0"/>
    <x v="10"/>
    <x v="0"/>
    <x v="1"/>
    <x v="0"/>
    <x v="0"/>
    <n v="85"/>
    <x v="0"/>
  </r>
  <r>
    <n v="1.8683974620014636E+18"/>
    <s v="bus███ss"/>
    <s v="Blo███erg███"/>
    <s v="Read today's Australia Briefing, by @ainsley_thomson, for your daily dose of the best of Bloomberg."/>
    <s v="&quot;2024-12-15T20:47:22.000Z&quot;"/>
    <s v="null"/>
    <s v="https://x.com/business/status/1868397462001463499"/>
    <s v="[{&quot;biography&quot;:null,&quot;followers&quot;:null,&quot;following&quot;:null,&quot;is_verified&quot;:null,&quot;profile_id&quot;:&quot;200030190&quot;,&quot;profile_name&quot;:&quot;Ainsley Thomson&quot;,&quot;url&quot;:&quot;https://x.com/Ainsley_Thomson&quot;}]"/>
    <n v="4"/>
    <n v="2"/>
    <n v="7"/>
    <n v="29900"/>
    <s v="https://trib.al/I9UgeEz"/>
    <s v="null"/>
    <n v="9564156"/>
    <s v="The first word in business news. Singapore newsletter: https://t.co/RtyaUOdLdF Newsletters: https://t.co/nWaCxHSKuU Podcasts: https://t.co/096e9xMbPz"/>
    <n v="1125277"/>
    <s v="https://pbs.twimg.com/profile_images/1631723279676317709/-fjgaR2p_normal.jpg"/>
    <n v="93"/>
    <b v="0"/>
    <n v="0"/>
    <n v="1"/>
    <s v="{&quot;post_id&quot;:null,&quot;profile_id&quot;:null,&quot;profile_name&quot;:null}"/>
    <s v="[&quot;https://pbs.twimg.com/card_img/1868397463473729536/vxU1aqQh?format=jpg&amp;name=orig&quot;]"/>
    <s v="null"/>
    <s v="{&quot;data_posted&quot;:null,&quot;description&quot;:null,&quot;photos&quot;:null,&quot;post_id&quot;:null,&quot;profile_id&quot;:null,&quot;profile_name&quot;:null,&quot;url&quot;:null,&quot;videos&quot;:null}"/>
    <n v="14"/>
    <n v="4.6822742474916389E-4"/>
    <d v="2024-12-15T00:00:00"/>
    <n v="0.86622685185185189"/>
    <x v="0"/>
    <x v="3"/>
    <x v="0"/>
    <x v="1"/>
    <x v="0"/>
    <x v="0"/>
    <n v="99"/>
    <x v="0"/>
  </r>
  <r>
    <n v="1.8683111925669115E+18"/>
    <s v="bus███ss"/>
    <s v="Blo███erg███"/>
    <s v="Read the top CityLab stories of the week"/>
    <s v="&quot;2024-12-15T15:04:34.000Z&quot;"/>
    <s v="null"/>
    <s v="https://x.com/business/status/1868311192566911448"/>
    <s v="[{&quot;biography&quot;:null,&quot;followers&quot;:null,&quot;following&quot;:null,&quot;is_verified&quot;:null,&quot;profile_id&quot;:&quot;331803536&quot;,&quot;profile_name&quot;:&quot;Bloomberg CityLab&quot;,&quot;url&quot;:&quot;https://x.com/CityLab&quot;}]"/>
    <n v="3"/>
    <n v="2"/>
    <n v="5"/>
    <n v="26664"/>
    <s v="https://trib.al/bCDq4Y6"/>
    <s v="null"/>
    <n v="9564155"/>
    <s v="The first word in business news. Singapore newsletter: https://t.co/RtyaUOdLdF Newsletters: https://t.co/nWaCxHSKuU Podcasts: https://t.co/096e9xMbPz"/>
    <n v="1125277"/>
    <s v="https://pbs.twimg.com/profile_images/1631723279676317709/-fjgaR2p_normal.jpg"/>
    <n v="93"/>
    <b v="0"/>
    <n v="0"/>
    <n v="2"/>
    <s v="{&quot;post_id&quot;:null,&quot;profile_id&quot;:null,&quot;profile_name&quot;:null}"/>
    <s v="[&quot;https://pbs.twimg.com/card_img/1868281212860596224/1S9ESUuU?format=jpg&amp;name=orig&quot;]"/>
    <s v="null"/>
    <s v="{&quot;data_posted&quot;:null,&quot;description&quot;:null,&quot;photos&quot;:null,&quot;post_id&quot;:null,&quot;profile_id&quot;:null,&quot;profile_name&quot;:null,&quot;url&quot;:null,&quot;videos&quot;:null}"/>
    <n v="12"/>
    <n v="4.5004500450045003E-4"/>
    <d v="2024-12-15T00:00:00"/>
    <n v="0.62817129629629631"/>
    <x v="0"/>
    <x v="13"/>
    <x v="0"/>
    <x v="1"/>
    <x v="0"/>
    <x v="0"/>
    <n v="40"/>
    <x v="0"/>
  </r>
  <r>
    <n v="1.8683432962185585E+18"/>
    <s v="The███nom███"/>
    <s v="The███ono███t"/>
    <s v="In 2025, how might President Donald Trump face up to an increasingly dangerous world? Find out in “The World Ahead”"/>
    <s v="&quot;2024-12-15T17:12:08.000Z&quot;"/>
    <s v="null"/>
    <s v="https://x.com/TheEconomist/status/1868343296218558507"/>
    <s v="null"/>
    <n v="6"/>
    <n v="2"/>
    <n v="10"/>
    <n v="51203"/>
    <s v="https://econ.st/4gj7uZv"/>
    <s v="null"/>
    <n v="27122998"/>
    <s v="News and analysis with a global perspective. We’re here to help you understand the world around you. Subscribe here: https://t.co/RpUQAAnhog"/>
    <n v="402760"/>
    <s v="https://pbs.twimg.com/profile_images/1847280770743750656/0DkLNOPG_normal.jpg"/>
    <n v="155"/>
    <b v="0"/>
    <n v="1"/>
    <n v="2"/>
    <s v="{&quot;post_id&quot;:null,&quot;profile_id&quot;:null,&quot;profile_name&quot;:null}"/>
    <s v="[&quot;https://pbs.twimg.com/card_img/1864094689399320576/r66DS-a7?format=jpg&amp;name=orig&quot;]"/>
    <s v="null"/>
    <s v="{&quot;data_posted&quot;:null,&quot;description&quot;:null,&quot;photos&quot;:null,&quot;post_id&quot;:null,&quot;profile_id&quot;:null,&quot;profile_name&quot;:null,&quot;url&quot;:null,&quot;videos&quot;:null}"/>
    <n v="21"/>
    <n v="4.1013221881530378E-4"/>
    <d v="2024-12-15T00:00:00"/>
    <n v="0.71675925925925921"/>
    <x v="0"/>
    <x v="12"/>
    <x v="0"/>
    <x v="1"/>
    <x v="0"/>
    <x v="0"/>
    <n v="115"/>
    <x v="1"/>
  </r>
  <r>
    <n v="1.8683966323975455E+18"/>
    <s v="The███nom███"/>
    <s v="The███ono███t"/>
    <s v="“It’s hard to be moral in three seconds.”  _x000a__x000a_On “The Weekend Intelligence”, @studersc asks Pastor Julian Lowe and philosopher @agnescallard: what happens when morality comes at a price?"/>
    <s v="&quot;2024-12-15T20:44:04.000Z&quot;"/>
    <s v="null"/>
    <s v="https://x.com/TheEconomist/status/1868396632397545516"/>
    <s v="[{&quot;biography&quot;:null,&quot;followers&quot;:null,&quot;following&quot;:null,&quot;is_verified&quot;:null,&quot;profile_id&quot;:&quot;867668142&quot;,&quot;profile_name&quot;:&quot;Stephanie Studer&quot;,&quot;url&quot;:&quot;https://x.com/studersc&quot;},{&quot;biography&quot;:null,&quot;followers&quot;:null,&quot;following&quot;:null,&quot;is_verified&quot;:null,&quot;profile_id&quot;:&quot;990004572964999168&quot;,&quot;profile_name&quot;:&quot;Agnes Callard&quot;,&quot;url&quot;:&quot;https://x.com/AgnesCallard&quot;}]"/>
    <n v="5"/>
    <n v="3"/>
    <n v="10"/>
    <n v="53994"/>
    <s v="https://econ.st/4fAgEQN"/>
    <s v="null"/>
    <n v="27122999"/>
    <s v="News and analysis with a global perspective. We’re here to help you understand the world around you. Subscribe here: https://t.co/RpUQAAnhog"/>
    <n v="402761"/>
    <s v="https://pbs.twimg.com/profile_images/1847280770743750656/0DkLNOPG_normal.jpg"/>
    <n v="155"/>
    <b v="0"/>
    <n v="0"/>
    <n v="3"/>
    <s v="{&quot;post_id&quot;:null,&quot;profile_id&quot;:null,&quot;profile_name&quot;:null}"/>
    <s v="[&quot;https://pbs.twimg.com/card_img/1867872043514970112/Wm04khOV?format=jpg&amp;name=orig&quot;]"/>
    <s v="null"/>
    <s v="{&quot;data_posted&quot;:null,&quot;description&quot;:null,&quot;photos&quot;:null,&quot;post_id&quot;:null,&quot;profile_id&quot;:null,&quot;profile_name&quot;:null,&quot;url&quot;:null,&quot;videos&quot;:null}"/>
    <n v="21"/>
    <n v="3.88932103567063E-4"/>
    <d v="2024-12-15T00:00:00"/>
    <n v="0.86393518518518519"/>
    <x v="0"/>
    <x v="3"/>
    <x v="0"/>
    <x v="1"/>
    <x v="0"/>
    <x v="0"/>
    <n v="18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9D89F1-4271-4850-962D-CBB9890672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ost_Hour">
  <location ref="B15:E40" firstHeaderRow="0" firstDataRow="1" firstDataCol="1"/>
  <pivotFields count="38">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0" showAll="0"/>
    <pivotField numFmtId="14" showAll="0"/>
    <pivotField showAll="0"/>
    <pivotField showAll="0"/>
    <pivotField axis="axisRow" showAll="0">
      <items count="25">
        <item x="5"/>
        <item x="19"/>
        <item x="2"/>
        <item x="21"/>
        <item x="9"/>
        <item x="22"/>
        <item x="23"/>
        <item x="20"/>
        <item x="6"/>
        <item x="18"/>
        <item x="17"/>
        <item x="16"/>
        <item x="0"/>
        <item x="14"/>
        <item x="1"/>
        <item x="13"/>
        <item x="15"/>
        <item x="12"/>
        <item x="8"/>
        <item x="4"/>
        <item x="3"/>
        <item x="10"/>
        <item x="11"/>
        <item x="7"/>
        <item t="default"/>
      </items>
    </pivotField>
    <pivotField showAll="0">
      <items count="3">
        <item x="0"/>
        <item x="1"/>
        <item t="default"/>
      </items>
    </pivotField>
    <pivotField showAll="0"/>
    <pivotField showAll="0"/>
    <pivotField showAll="0"/>
    <pivotField showAll="0"/>
    <pivotField showAll="0"/>
  </pivotFields>
  <rowFields count="1">
    <field x="3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Posts" fld="0" subtotal="count" baseField="31" baseItem="0"/>
    <dataField name="Avg Engagement_Rate" fld="27" subtotal="average" baseField="31" baseItem="0" numFmtId="10"/>
    <dataField name="Avg views" fld="11" subtotal="average" baseField="31" baseItem="0"/>
  </dataFields>
  <chartFormats count="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E84BC2-D856-4FB6-9EA9-F9ABA82A06A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ollower Bucket">
  <location ref="I24:M29" firstHeaderRow="0" firstDataRow="1" firstDataCol="1"/>
  <pivotFields count="38">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numFmtId="10" showAll="0"/>
    <pivotField numFmtId="14" showAll="0"/>
    <pivotField showAll="0"/>
    <pivotField showAll="0"/>
    <pivotField showAll="0"/>
    <pivotField showAll="0">
      <items count="3">
        <item x="0"/>
        <item x="1"/>
        <item t="default"/>
      </items>
    </pivotField>
    <pivotField showAll="0"/>
    <pivotField showAll="0"/>
    <pivotField showAll="0"/>
    <pivotField showAll="0"/>
    <pivotField axis="axisRow" showAll="0">
      <items count="5">
        <item x="3"/>
        <item x="2"/>
        <item x="1"/>
        <item x="0"/>
        <item t="default"/>
      </items>
    </pivotField>
  </pivotFields>
  <rowFields count="1">
    <field x="37"/>
  </rowFields>
  <rowItems count="5">
    <i>
      <x/>
    </i>
    <i>
      <x v="1"/>
    </i>
    <i>
      <x v="2"/>
    </i>
    <i>
      <x v="3"/>
    </i>
    <i t="grand">
      <x/>
    </i>
  </rowItems>
  <colFields count="1">
    <field x="-2"/>
  </colFields>
  <colItems count="4">
    <i>
      <x/>
    </i>
    <i i="1">
      <x v="1"/>
    </i>
    <i i="2">
      <x v="2"/>
    </i>
    <i i="3">
      <x v="3"/>
    </i>
  </colItems>
  <dataFields count="4">
    <dataField name="Posts" fld="0" subtotal="count" baseField="37" baseItem="0"/>
    <dataField name="Avg views" fld="11" subtotal="average" baseField="37" baseItem="0"/>
    <dataField name="Avg Engagements" fld="26" subtotal="average" baseField="37" baseItem="0"/>
    <dataField name="Avg Engagement Rate" fld="27" subtotal="average" baseField="3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3E5E5A-C581-408B-A7E9-8946F79DCC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as_Hashtag">
  <location ref="I17:M20" firstHeaderRow="0" firstDataRow="1" firstDataCol="1"/>
  <pivotFields count="38">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numFmtId="10" showAll="0"/>
    <pivotField numFmtId="14" showAll="0"/>
    <pivotField showAll="0"/>
    <pivotField showAll="0"/>
    <pivotField showAll="0"/>
    <pivotField showAll="0">
      <items count="3">
        <item x="0"/>
        <item x="1"/>
        <item t="default"/>
      </items>
    </pivotField>
    <pivotField showAll="0"/>
    <pivotField axis="axisRow" showAll="0">
      <items count="3">
        <item x="0"/>
        <item x="1"/>
        <item t="default"/>
      </items>
    </pivotField>
    <pivotField showAll="0"/>
    <pivotField showAll="0"/>
    <pivotField showAll="0"/>
  </pivotFields>
  <rowFields count="1">
    <field x="34"/>
  </rowFields>
  <rowItems count="3">
    <i>
      <x/>
    </i>
    <i>
      <x v="1"/>
    </i>
    <i t="grand">
      <x/>
    </i>
  </rowItems>
  <colFields count="1">
    <field x="-2"/>
  </colFields>
  <colItems count="4">
    <i>
      <x/>
    </i>
    <i i="1">
      <x v="1"/>
    </i>
    <i i="2">
      <x v="2"/>
    </i>
    <i i="3">
      <x v="3"/>
    </i>
  </colItems>
  <dataFields count="4">
    <dataField name="Posts" fld="0" subtotal="count" baseField="34" baseItem="0"/>
    <dataField name="Avg views" fld="11" subtotal="average" baseField="34" baseItem="0"/>
    <dataField name="Avg Engagements" fld="26" subtotal="average" baseField="34" baseItem="0"/>
    <dataField name="Avg Engagement Rate" fld="27" subtotal="average" baseField="3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E2018F-C5BB-44E2-B4E3-F55DDEA2B9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as_Photo">
  <location ref="I10:M13" firstHeaderRow="0" firstDataRow="1" firstDataCol="1"/>
  <pivotFields count="38">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numFmtId="10" showAll="0"/>
    <pivotField numFmtId="14" showAll="0"/>
    <pivotField showAll="0"/>
    <pivotField showAll="0"/>
    <pivotField showAll="0"/>
    <pivotField showAll="0">
      <items count="3">
        <item x="0"/>
        <item x="1"/>
        <item t="default"/>
      </items>
    </pivotField>
    <pivotField axis="axisRow" showAll="0">
      <items count="3">
        <item x="1"/>
        <item x="0"/>
        <item t="default"/>
      </items>
    </pivotField>
    <pivotField showAll="0"/>
    <pivotField showAll="0"/>
    <pivotField showAll="0"/>
    <pivotField showAll="0"/>
  </pivotFields>
  <rowFields count="1">
    <field x="33"/>
  </rowFields>
  <rowItems count="3">
    <i>
      <x/>
    </i>
    <i>
      <x v="1"/>
    </i>
    <i t="grand">
      <x/>
    </i>
  </rowItems>
  <colFields count="1">
    <field x="-2"/>
  </colFields>
  <colItems count="4">
    <i>
      <x/>
    </i>
    <i i="1">
      <x v="1"/>
    </i>
    <i i="2">
      <x v="2"/>
    </i>
    <i i="3">
      <x v="3"/>
    </i>
  </colItems>
  <dataFields count="4">
    <dataField name="Posts" fld="0" subtotal="count" baseField="33" baseItem="0"/>
    <dataField name="Avg views" fld="11" subtotal="average" baseField="33" baseItem="0"/>
    <dataField name="Avg Engagements" fld="26" subtotal="average" baseField="33" baseItem="0"/>
    <dataField name="Avg Engagement Rate" fld="27" subtotal="average" baseField="3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A32FA1-60CC-486D-BED5-D58C9D9096A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as_Video">
  <location ref="I3:M6" firstHeaderRow="0" firstDataRow="1" firstDataCol="1"/>
  <pivotFields count="38">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numFmtId="10" showAll="0"/>
    <pivotField numFmtId="14" showAll="0"/>
    <pivotField showAll="0"/>
    <pivotField showAll="0"/>
    <pivotField showAll="0"/>
    <pivotField axis="axisRow" showAll="0">
      <items count="3">
        <item x="0"/>
        <item x="1"/>
        <item t="default"/>
      </items>
    </pivotField>
    <pivotField showAll="0"/>
    <pivotField showAll="0"/>
    <pivotField showAll="0"/>
    <pivotField showAll="0"/>
    <pivotField showAll="0"/>
  </pivotFields>
  <rowFields count="1">
    <field x="32"/>
  </rowFields>
  <rowItems count="3">
    <i>
      <x/>
    </i>
    <i>
      <x v="1"/>
    </i>
    <i t="grand">
      <x/>
    </i>
  </rowItems>
  <colFields count="1">
    <field x="-2"/>
  </colFields>
  <colItems count="4">
    <i>
      <x/>
    </i>
    <i i="1">
      <x v="1"/>
    </i>
    <i i="2">
      <x v="2"/>
    </i>
    <i i="3">
      <x v="3"/>
    </i>
  </colItems>
  <dataFields count="4">
    <dataField name="Posts" fld="0" subtotal="count" baseField="32" baseItem="0"/>
    <dataField name="Avg views" fld="11" subtotal="average" baseField="32" baseItem="0"/>
    <dataField name="Avg Engagements" fld="26" subtotal="average" baseField="32" baseItem="0"/>
    <dataField name="Avg Engagement_Rate" fld="27" subtotal="average" baseField="3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501F57-DA9B-45E4-8BB5-C143C3B146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s">
  <location ref="B3:F11" firstHeaderRow="0" firstDataRow="1" firstDataCol="1"/>
  <pivotFields count="38">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numFmtId="10" showAll="0"/>
    <pivotField numFmtId="14" showAll="0"/>
    <pivotField showAll="0"/>
    <pivotField axis="axisRow" multipleItemSelectionAllowed="1" showAll="0">
      <items count="8">
        <item x="0"/>
        <item x="2"/>
        <item x="3"/>
        <item x="4"/>
        <item x="6"/>
        <item x="1"/>
        <item x="5"/>
        <item t="default"/>
      </items>
    </pivotField>
    <pivotField showAll="0"/>
    <pivotField showAll="0">
      <items count="3">
        <item x="0"/>
        <item x="1"/>
        <item t="default"/>
      </items>
    </pivotField>
    <pivotField showAll="0">
      <items count="3">
        <item x="1"/>
        <item h="1" x="0"/>
        <item t="default"/>
      </items>
    </pivotField>
    <pivotField showAll="0"/>
    <pivotField showAll="0"/>
    <pivotField showAll="0"/>
    <pivotField showAll="0"/>
  </pivotFields>
  <rowFields count="1">
    <field x="30"/>
  </rowFields>
  <rowItems count="8">
    <i>
      <x/>
    </i>
    <i>
      <x v="1"/>
    </i>
    <i>
      <x v="2"/>
    </i>
    <i>
      <x v="3"/>
    </i>
    <i>
      <x v="4"/>
    </i>
    <i>
      <x v="5"/>
    </i>
    <i>
      <x v="6"/>
    </i>
    <i t="grand">
      <x/>
    </i>
  </rowItems>
  <colFields count="1">
    <field x="-2"/>
  </colFields>
  <colItems count="4">
    <i>
      <x/>
    </i>
    <i i="1">
      <x v="1"/>
    </i>
    <i i="2">
      <x v="2"/>
    </i>
    <i i="3">
      <x v="3"/>
    </i>
  </colItems>
  <dataFields count="4">
    <dataField name="Posts" fld="0" subtotal="count" baseField="0" baseItem="1"/>
    <dataField name="Total Views" fld="11" baseField="0" baseItem="1"/>
    <dataField name="Total Engagements" fld="26" baseField="0" baseItem="2"/>
    <dataField name="Avg Engagement_Rate" fld="27" subtotal="average" baseField="0" baseItem="3"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4B3FD66-349D-4C4A-A08D-40C455AF7AFF}" autoFormatId="16" applyNumberFormats="0" applyBorderFormats="0" applyFontFormats="0" applyPatternFormats="0" applyAlignmentFormats="0" applyWidthHeightFormats="0">
  <queryTableRefresh nextId="27">
    <queryTableFields count="26">
      <queryTableField id="1" name="id" tableColumnId="1"/>
      <queryTableField id="2" name="user_posted" tableColumnId="2"/>
      <queryTableField id="3" name="name" tableColumnId="3"/>
      <queryTableField id="4" name="description" tableColumnId="4"/>
      <queryTableField id="5" name="date_posted" tableColumnId="5"/>
      <queryTableField id="6" name="photos" tableColumnId="6"/>
      <queryTableField id="7" name="url" tableColumnId="7"/>
      <queryTableField id="8" name="tagged_users" tableColumnId="8"/>
      <queryTableField id="9" name="replies" tableColumnId="9"/>
      <queryTableField id="10" name="reposts" tableColumnId="10"/>
      <queryTableField id="11" name="likes" tableColumnId="11"/>
      <queryTableField id="12" name="views" tableColumnId="12"/>
      <queryTableField id="13" name="external_url" tableColumnId="13"/>
      <queryTableField id="14" name="hashtags" tableColumnId="14"/>
      <queryTableField id="15" name="followers" tableColumnId="15"/>
      <queryTableField id="16" name="biography" tableColumnId="16"/>
      <queryTableField id="17" name="posts_count" tableColumnId="17"/>
      <queryTableField id="18" name="profile_image_link" tableColumnId="18"/>
      <queryTableField id="19" name="following" tableColumnId="19"/>
      <queryTableField id="20" name="is_verified" tableColumnId="20"/>
      <queryTableField id="21" name="quotes" tableColumnId="21"/>
      <queryTableField id="22" name="bookmarks" tableColumnId="22"/>
      <queryTableField id="23" name="parent_post_details" tableColumnId="23"/>
      <queryTableField id="24" name="external_image_urls" tableColumnId="24"/>
      <queryTableField id="25" name="videos" tableColumnId="25"/>
      <queryTableField id="26" name="quoted_pos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9FAD287-1A5C-4758-B1D8-97FB45E36FA7}" autoFormatId="16" applyNumberFormats="0" applyBorderFormats="0" applyFontFormats="0" applyPatternFormats="0" applyAlignmentFormats="0" applyWidthHeightFormats="0">
  <queryTableRefresh nextId="39" unboundColumnsRight="12">
    <queryTableFields count="38">
      <queryTableField id="1" name="id" tableColumnId="1"/>
      <queryTableField id="2" name="user_posted" tableColumnId="2"/>
      <queryTableField id="3" name="name" tableColumnId="3"/>
      <queryTableField id="4" name="description" tableColumnId="4"/>
      <queryTableField id="5" name="date_posted" tableColumnId="5"/>
      <queryTableField id="6" name="photos" tableColumnId="6"/>
      <queryTableField id="7" name="url" tableColumnId="7"/>
      <queryTableField id="8" name="tagged_users" tableColumnId="8"/>
      <queryTableField id="9" name="replies" tableColumnId="9"/>
      <queryTableField id="10" name="reposts" tableColumnId="10"/>
      <queryTableField id="11" name="likes" tableColumnId="11"/>
      <queryTableField id="12" name="views" tableColumnId="12"/>
      <queryTableField id="13" name="external_url" tableColumnId="13"/>
      <queryTableField id="14" name="hashtags" tableColumnId="14"/>
      <queryTableField id="15" name="followers" tableColumnId="15"/>
      <queryTableField id="16" name="biography" tableColumnId="16"/>
      <queryTableField id="17" name="posts_count" tableColumnId="17"/>
      <queryTableField id="18" name="profile_image_link" tableColumnId="18"/>
      <queryTableField id="19" name="following" tableColumnId="19"/>
      <queryTableField id="20" name="is_verified" tableColumnId="20"/>
      <queryTableField id="21" name="quotes" tableColumnId="21"/>
      <queryTableField id="22" name="bookmarks" tableColumnId="22"/>
      <queryTableField id="23" name="parent_post_details" tableColumnId="23"/>
      <queryTableField id="24" name="external_image_urls" tableColumnId="24"/>
      <queryTableField id="25" name="videos" tableColumnId="25"/>
      <queryTableField id="26" name="quoted_post"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 id="33" dataBound="0" tableColumnId="33"/>
      <queryTableField id="34" dataBound="0" tableColumnId="34"/>
      <queryTableField id="35" dataBound="0" tableColumnId="35"/>
      <queryTableField id="36" dataBound="0" tableColumnId="36"/>
      <queryTableField id="37" dataBound="0" tableColumnId="37"/>
      <queryTableField id="38" dataBound="0"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Video" xr10:uid="{5F7B7786-3C92-4627-9461-AA59AFD331C6}" sourceName="Has_Video">
  <pivotTables>
    <pivotTable tabId="4" name="PivotTable1"/>
    <pivotTable tabId="4" name="PivotTable2"/>
    <pivotTable tabId="4" name="PivotTable3"/>
    <pivotTable tabId="4" name="PivotTable4"/>
    <pivotTable tabId="4" name="PivotTable6"/>
    <pivotTable tabId="4" name="PivotTable7"/>
  </pivotTables>
  <data>
    <tabular pivotCacheId="183085788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s_Video" xr10:uid="{ADE1ADF1-324B-438A-95FC-E8187B275701}" cache="Slicer_Has_Video" caption="Has_Video"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1ED481-421C-4BD8-A29F-E372159F4B6C}" name="TwitterRaw3" displayName="TwitterRaw3" ref="A1:Z1001" tableType="queryTable" totalsRowShown="0">
  <autoFilter ref="A1:Z1001" xr:uid="{1562C67A-A5D6-4F9D-9DAD-34F1BB15B212}"/>
  <tableColumns count="26">
    <tableColumn id="1" xr3:uid="{73324C99-2E9D-45C7-9163-4D9BAE7C7212}" uniqueName="1" name="id" queryTableFieldId="1"/>
    <tableColumn id="2" xr3:uid="{93BE4EC8-89B4-466F-9990-DC02E47005B9}" uniqueName="2" name="user_posted" queryTableFieldId="2" dataDxfId="41"/>
    <tableColumn id="3" xr3:uid="{03D3EF7B-5B5E-44A8-967E-2B4AC93BED56}" uniqueName="3" name="name" queryTableFieldId="3" dataDxfId="40"/>
    <tableColumn id="4" xr3:uid="{9F0FB211-94A4-4094-97BE-CF582B9F8710}" uniqueName="4" name="description" queryTableFieldId="4" dataDxfId="39"/>
    <tableColumn id="5" xr3:uid="{1C0FB6DF-2E92-4B76-A8BC-2906752CB2D2}" uniqueName="5" name="date_posted" queryTableFieldId="5" dataDxfId="38"/>
    <tableColumn id="6" xr3:uid="{E76C1E4D-2DE3-4FA9-8963-1DF1B47E722B}" uniqueName="6" name="photos" queryTableFieldId="6" dataDxfId="37"/>
    <tableColumn id="7" xr3:uid="{4FD9E62A-63E3-4620-8165-33BD50A04D32}" uniqueName="7" name="url" queryTableFieldId="7" dataDxfId="36"/>
    <tableColumn id="8" xr3:uid="{F7A328B6-F0B7-41CF-B5FC-417DB0CC192E}" uniqueName="8" name="tagged_users" queryTableFieldId="8" dataDxfId="35"/>
    <tableColumn id="9" xr3:uid="{FB422922-0C36-40E7-9624-82690A2B8F6D}" uniqueName="9" name="replies" queryTableFieldId="9"/>
    <tableColumn id="10" xr3:uid="{43C1EE75-6B9B-4B47-8A0F-594DEA24962A}" uniqueName="10" name="reposts" queryTableFieldId="10"/>
    <tableColumn id="11" xr3:uid="{68532D8E-E4F0-4DB9-B196-FA8DC27FA469}" uniqueName="11" name="likes" queryTableFieldId="11"/>
    <tableColumn id="12" xr3:uid="{9573A4D4-E973-441B-977A-92C4241A1AAF}" uniqueName="12" name="views" queryTableFieldId="12"/>
    <tableColumn id="13" xr3:uid="{01F4F1DB-255F-4714-A430-C31AF1EC12A0}" uniqueName="13" name="external_url" queryTableFieldId="13" dataDxfId="34"/>
    <tableColumn id="14" xr3:uid="{2EBECCB4-B245-4177-AD70-D05411C9B89D}" uniqueName="14" name="hashtags" queryTableFieldId="14" dataDxfId="33"/>
    <tableColumn id="15" xr3:uid="{DCE017D6-A04C-4E24-AB43-2DFE21B43E61}" uniqueName="15" name="followers" queryTableFieldId="15"/>
    <tableColumn id="16" xr3:uid="{2F954C93-3930-4C9B-B3C5-97FFD7F06ED2}" uniqueName="16" name="biography" queryTableFieldId="16" dataDxfId="32"/>
    <tableColumn id="17" xr3:uid="{CEAD3550-E6F6-456C-A675-2A1211072436}" uniqueName="17" name="posts_count" queryTableFieldId="17"/>
    <tableColumn id="18" xr3:uid="{CDFD0185-56BE-4B42-886C-DFF313B91E98}" uniqueName="18" name="profile_image_link" queryTableFieldId="18" dataDxfId="31"/>
    <tableColumn id="19" xr3:uid="{3E671736-8F0D-4575-99A2-ECEA16649298}" uniqueName="19" name="following" queryTableFieldId="19"/>
    <tableColumn id="20" xr3:uid="{14A4DAD4-F7A5-452C-83CA-BC5DB0BA65AD}" uniqueName="20" name="is_verified" queryTableFieldId="20"/>
    <tableColumn id="21" xr3:uid="{AA6CF361-1381-41BC-B5B1-4BBFD7DAF9BA}" uniqueName="21" name="quotes" queryTableFieldId="21"/>
    <tableColumn id="22" xr3:uid="{E28F5A8B-8AE6-43B3-9B03-770045609347}" uniqueName="22" name="bookmarks" queryTableFieldId="22"/>
    <tableColumn id="23" xr3:uid="{D1D41669-9719-47EF-AA4E-F5735DEAC0C5}" uniqueName="23" name="parent_post_details" queryTableFieldId="23" dataDxfId="30"/>
    <tableColumn id="24" xr3:uid="{956EE534-EC37-44EB-8C73-AAB7537B1DAF}" uniqueName="24" name="external_image_urls" queryTableFieldId="24" dataDxfId="29"/>
    <tableColumn id="25" xr3:uid="{53F22F76-7536-4DE1-B2D5-87D5F65B8EB7}" uniqueName="25" name="videos" queryTableFieldId="25" dataDxfId="28"/>
    <tableColumn id="26" xr3:uid="{C6CF65CB-0C55-4694-9C55-4D73BE9CE526}" uniqueName="26" name="quoted_post" queryTableFieldId="26" dataDxfId="2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62C67A-A5D6-4F9D-9DAD-34F1BB15B212}" name="TwitterClean" displayName="TwitterClean" ref="A1:AL1001" tableType="queryTable" totalsRowShown="0">
  <autoFilter ref="A1:AL1001" xr:uid="{1562C67A-A5D6-4F9D-9DAD-34F1BB15B212}"/>
  <sortState xmlns:xlrd2="http://schemas.microsoft.com/office/spreadsheetml/2017/richdata2" ref="A2:AL1001">
    <sortCondition descending="1" ref="AB1:AB1001"/>
  </sortState>
  <tableColumns count="38">
    <tableColumn id="1" xr3:uid="{5FA908D5-D381-428A-BDEE-A76FF47603F8}" uniqueName="1" name="id" queryTableFieldId="1"/>
    <tableColumn id="2" xr3:uid="{3785AA88-5CBA-47A3-A8D4-FC71B394D0EE}" uniqueName="2" name="user_posted" queryTableFieldId="2" dataDxfId="26"/>
    <tableColumn id="3" xr3:uid="{6AD0CFB7-802D-45DF-B8D4-1AF296342019}" uniqueName="3" name="name" queryTableFieldId="3" dataDxfId="25"/>
    <tableColumn id="4" xr3:uid="{0E1E6CFA-D8DD-4345-BEBD-7EEB46D82822}" uniqueName="4" name="description" queryTableFieldId="4" dataDxfId="24"/>
    <tableColumn id="5" xr3:uid="{8EC3E921-8B27-4115-B14B-47D4D5CC1EA2}" uniqueName="5" name="date_posted" queryTableFieldId="5" dataDxfId="23"/>
    <tableColumn id="6" xr3:uid="{B340C46A-CC89-4753-B347-318C4FB08E75}" uniqueName="6" name="photos" queryTableFieldId="6" dataDxfId="22"/>
    <tableColumn id="7" xr3:uid="{7F1AC2CE-7D2F-4FFE-9F36-497E08BA0C5D}" uniqueName="7" name="url" queryTableFieldId="7" dataDxfId="21"/>
    <tableColumn id="8" xr3:uid="{471ACB9D-CD19-402D-AF44-AA55299375BD}" uniqueName="8" name="tagged_users" queryTableFieldId="8" dataDxfId="20"/>
    <tableColumn id="9" xr3:uid="{96AA799C-7047-495D-A821-436A415C89BD}" uniqueName="9" name="replies" queryTableFieldId="9"/>
    <tableColumn id="10" xr3:uid="{C6AC6346-DAF0-47B1-BFA8-EA077CFB334A}" uniqueName="10" name="reposts" queryTableFieldId="10"/>
    <tableColumn id="11" xr3:uid="{1B771E64-D734-4467-9F61-F64E6595F474}" uniqueName="11" name="likes" queryTableFieldId="11"/>
    <tableColumn id="12" xr3:uid="{A413A8A2-3B93-419A-8A57-DA24458723FA}" uniqueName="12" name="views" queryTableFieldId="12"/>
    <tableColumn id="13" xr3:uid="{C4A894D2-DF73-4831-A297-44DE3E6E3FE7}" uniqueName="13" name="external_url" queryTableFieldId="13" dataDxfId="19"/>
    <tableColumn id="14" xr3:uid="{935EB2E2-2380-43D3-A707-0CF9BD84D8E8}" uniqueName="14" name="hashtags" queryTableFieldId="14" dataDxfId="18"/>
    <tableColumn id="15" xr3:uid="{359836EA-D859-4427-9865-D54F1EC359A3}" uniqueName="15" name="followers" queryTableFieldId="15"/>
    <tableColumn id="16" xr3:uid="{EDD77076-AD86-4537-8E46-7DD50BDEF6C4}" uniqueName="16" name="biography" queryTableFieldId="16" dataDxfId="17"/>
    <tableColumn id="17" xr3:uid="{B6BD3755-4C57-4990-8343-8A8602BE79BE}" uniqueName="17" name="posts_count" queryTableFieldId="17"/>
    <tableColumn id="18" xr3:uid="{1BFDA080-85BD-47EB-8879-51BE65704023}" uniqueName="18" name="profile_image_link" queryTableFieldId="18" dataDxfId="16"/>
    <tableColumn id="19" xr3:uid="{7173FCFF-B127-41A6-9045-DDEC0EDA4086}" uniqueName="19" name="following" queryTableFieldId="19"/>
    <tableColumn id="20" xr3:uid="{81F39203-D49C-4749-AA16-071D5FF275A0}" uniqueName="20" name="is_verified" queryTableFieldId="20"/>
    <tableColumn id="21" xr3:uid="{3F7395C3-8286-47CA-B05D-B62EB9D69B46}" uniqueName="21" name="quotes" queryTableFieldId="21"/>
    <tableColumn id="22" xr3:uid="{778B4265-4578-4417-974A-683703278CCC}" uniqueName="22" name="bookmarks" queryTableFieldId="22"/>
    <tableColumn id="23" xr3:uid="{A7BD2D03-0D39-4127-86B9-38175CC197A0}" uniqueName="23" name="parent_post_details" queryTableFieldId="23" dataDxfId="15"/>
    <tableColumn id="24" xr3:uid="{DD6907FA-5154-497D-BFC6-A79C91EB22FE}" uniqueName="24" name="external_image_urls" queryTableFieldId="24" dataDxfId="14"/>
    <tableColumn id="25" xr3:uid="{1298755C-0B10-4E8D-B93F-E978E92E6EC4}" uniqueName="25" name="videos" queryTableFieldId="25" dataDxfId="13"/>
    <tableColumn id="26" xr3:uid="{8DB63496-9F89-4D57-9437-B718445AA456}" uniqueName="26" name="quoted_post" queryTableFieldId="26" dataDxfId="12"/>
    <tableColumn id="27" xr3:uid="{1FFE770E-1ADF-4F22-A7AF-EA1918029162}" uniqueName="27" name="Total_Engagements" queryTableFieldId="27" dataDxfId="11">
      <calculatedColumnFormula>TwitterClean[[#This Row],[likes]]+TwitterClean[[#This Row],[replies]]+TwitterClean[[#This Row],[reposts]]+TwitterClean[[#This Row],[quotes]]+TwitterClean[[#This Row],[bookmarks]]</calculatedColumnFormula>
    </tableColumn>
    <tableColumn id="28" xr3:uid="{D825102C-E509-44A4-B595-468078E53B33}" uniqueName="28" name="Engagement_Rate" queryTableFieldId="28" dataDxfId="10">
      <calculatedColumnFormula>TwitterClean[[#This Row],[Total_Engagements]]/TwitterClean[[#This Row],[views]]</calculatedColumnFormula>
    </tableColumn>
    <tableColumn id="29" xr3:uid="{CF99A72D-77EC-4814-AFB2-6D14111832E1}" uniqueName="29" name="Post_Date" queryTableFieldId="29" dataDxfId="9">
      <calculatedColumnFormula>DATEVALUE(MID(TwitterClean[[#This Row],[date_posted]],2,10))</calculatedColumnFormula>
    </tableColumn>
    <tableColumn id="30" xr3:uid="{0705F8C8-E19C-4C76-8C88-CCCB0F8C05EF}" uniqueName="30" name="Post_Time" queryTableFieldId="30" dataDxfId="8">
      <calculatedColumnFormula>TIMEVALUE(MID(TwitterClean[[#This Row],[date_posted]],13,8))</calculatedColumnFormula>
    </tableColumn>
    <tableColumn id="31" xr3:uid="{6AA01FBB-8320-4FAA-8FCA-B21D83FCACA8}" uniqueName="31" name="Day_of_Week" queryTableFieldId="31" dataDxfId="7">
      <calculatedColumnFormula>TEXT(TwitterClean[[#This Row],[Post_Date]],"dddd")</calculatedColumnFormula>
    </tableColumn>
    <tableColumn id="32" xr3:uid="{F6D6F416-F885-4700-9F1A-39D8C977D971}" uniqueName="32" name="Post_Hour" queryTableFieldId="32" dataDxfId="6">
      <calculatedColumnFormula>HOUR(TwitterClean[[#This Row],[Post_Time]])</calculatedColumnFormula>
    </tableColumn>
    <tableColumn id="33" xr3:uid="{4B47F487-7EFE-40F9-8674-89C69D6A3E9D}" uniqueName="33" name="Has_Video" queryTableFieldId="33" dataDxfId="5">
      <calculatedColumnFormula>IF(TwitterClean[[#This Row],[videos]]="Null","No","Yes")</calculatedColumnFormula>
    </tableColumn>
    <tableColumn id="34" xr3:uid="{0DA148CB-E138-42E3-BC2E-DA3FC133BB7F}" uniqueName="34" name="Has_Photo" queryTableFieldId="34" dataDxfId="4">
      <calculatedColumnFormula>IF(TwitterClean[[#This Row],[photos]]="null","No","Yes")</calculatedColumnFormula>
    </tableColumn>
    <tableColumn id="35" xr3:uid="{276E2FC5-4283-49B7-B49F-0EDD93F4FD75}" uniqueName="35" name="Has_Hashtag" queryTableFieldId="35" dataDxfId="3">
      <calculatedColumnFormula>IF(TwitterClean[[#This Row],[hashtags]]="null","No","Yes")</calculatedColumnFormula>
    </tableColumn>
    <tableColumn id="36" xr3:uid="{53EF6129-CA4F-48C3-92C1-831B172711E3}" uniqueName="36" name="Has_External_Link" queryTableFieldId="36" dataDxfId="2">
      <calculatedColumnFormula>IF(TwitterClean[[#This Row],[external_url]]="null","Yes","No")</calculatedColumnFormula>
    </tableColumn>
    <tableColumn id="37" xr3:uid="{2302FEF5-0115-482B-A7D0-C7DA74E0B535}" uniqueName="37" name="Post_Length" queryTableFieldId="37" dataDxfId="1">
      <calculatedColumnFormula>LEN(TwitterClean[[#This Row],[description]])</calculatedColumnFormula>
    </tableColumn>
    <tableColumn id="38" xr3:uid="{F2FD4712-E02C-4D4C-BCF7-1272E278CF5E}" uniqueName="38" name="Follower_Bucket" queryTableFieldId="38" dataDxfId="0">
      <calculatedColumnFormula>IF(TwitterClean[[#This Row],[followers]]&lt;100000,"&lt;100K",IF(TwitterClean[[#This Row],[followers]]&lt;1000000,"100K-1M",IF(TwitterClean[[#This Row],[followers]]&lt;10000000,"1M-10M","10M+")))</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C0DC5-B138-4D39-B485-BCB7AF594034}">
  <dimension ref="A1:Z1001"/>
  <sheetViews>
    <sheetView workbookViewId="0">
      <selection activeCell="D4" sqref="D4"/>
    </sheetView>
  </sheetViews>
  <sheetFormatPr defaultRowHeight="14.4"/>
  <cols>
    <col min="1" max="1" width="12" bestFit="1" customWidth="1"/>
    <col min="2" max="2" width="24" bestFit="1" customWidth="1"/>
    <col min="3" max="3" width="47.44140625" bestFit="1" customWidth="1"/>
    <col min="4" max="4" width="80.88671875" bestFit="1" customWidth="1"/>
    <col min="5" max="5" width="24.44140625" bestFit="1" customWidth="1"/>
    <col min="6" max="6" width="80.88671875" bestFit="1" customWidth="1"/>
    <col min="7" max="7" width="54.6640625" bestFit="1" customWidth="1"/>
    <col min="8" max="8" width="80.88671875" bestFit="1" customWidth="1"/>
    <col min="9" max="9" width="9" bestFit="1" customWidth="1"/>
    <col min="10" max="10" width="9.44140625" bestFit="1" customWidth="1"/>
    <col min="11" max="11" width="7.21875" bestFit="1" customWidth="1"/>
    <col min="12" max="12" width="9" bestFit="1" customWidth="1"/>
    <col min="13" max="13" width="80.88671875" bestFit="1" customWidth="1"/>
    <col min="14" max="14" width="78.109375" bestFit="1" customWidth="1"/>
    <col min="15" max="15" width="10.77734375" bestFit="1" customWidth="1"/>
    <col min="16" max="16" width="80.88671875" bestFit="1" customWidth="1"/>
    <col min="17" max="17" width="13.21875" bestFit="1" customWidth="1"/>
    <col min="18" max="18" width="72.6640625" bestFit="1" customWidth="1"/>
    <col min="19" max="19" width="10.6640625" bestFit="1" customWidth="1"/>
    <col min="20" max="20" width="11.77734375" bestFit="1" customWidth="1"/>
    <col min="22" max="22" width="12.5546875" bestFit="1" customWidth="1"/>
    <col min="23" max="23" width="76.5546875" bestFit="1" customWidth="1"/>
    <col min="24" max="26" width="80.88671875" bestFit="1" customWidth="1"/>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v>1.8684286074518001E+18</v>
      </c>
      <c r="B2" t="s">
        <v>26</v>
      </c>
      <c r="C2" t="s">
        <v>26</v>
      </c>
      <c r="D2" t="s">
        <v>27</v>
      </c>
      <c r="E2" t="s">
        <v>28</v>
      </c>
      <c r="F2" t="s">
        <v>29</v>
      </c>
      <c r="G2" t="s">
        <v>30</v>
      </c>
      <c r="H2" t="s">
        <v>29</v>
      </c>
      <c r="I2">
        <v>2</v>
      </c>
      <c r="J2">
        <v>1</v>
      </c>
      <c r="K2">
        <v>33</v>
      </c>
      <c r="L2">
        <v>8369</v>
      </c>
      <c r="M2" t="s">
        <v>31</v>
      </c>
      <c r="N2" t="s">
        <v>32</v>
      </c>
      <c r="O2">
        <v>5771758</v>
      </c>
      <c r="P2" t="s">
        <v>33</v>
      </c>
      <c r="Q2">
        <v>222223</v>
      </c>
      <c r="R2" t="s">
        <v>34</v>
      </c>
      <c r="S2">
        <v>122</v>
      </c>
      <c r="T2" t="b">
        <v>0</v>
      </c>
      <c r="U2">
        <v>1</v>
      </c>
      <c r="V2">
        <v>1</v>
      </c>
      <c r="W2" t="s">
        <v>35</v>
      </c>
      <c r="X2" t="s">
        <v>29</v>
      </c>
      <c r="Y2" t="s">
        <v>36</v>
      </c>
      <c r="Z2" t="s">
        <v>37</v>
      </c>
    </row>
    <row r="3" spans="1:26">
      <c r="A3">
        <v>1.8681590945671212E+18</v>
      </c>
      <c r="B3" t="s">
        <v>38</v>
      </c>
      <c r="C3" t="s">
        <v>38</v>
      </c>
      <c r="D3" t="s">
        <v>39</v>
      </c>
      <c r="E3" t="s">
        <v>40</v>
      </c>
      <c r="F3" t="s">
        <v>29</v>
      </c>
      <c r="G3" t="s">
        <v>41</v>
      </c>
      <c r="H3" t="s">
        <v>29</v>
      </c>
      <c r="I3">
        <v>7</v>
      </c>
      <c r="J3">
        <v>3</v>
      </c>
      <c r="K3">
        <v>43</v>
      </c>
      <c r="L3">
        <v>25007</v>
      </c>
      <c r="M3" t="s">
        <v>42</v>
      </c>
      <c r="N3" t="s">
        <v>29</v>
      </c>
      <c r="O3">
        <v>14257909</v>
      </c>
      <c r="P3" t="s">
        <v>43</v>
      </c>
      <c r="Q3">
        <v>357584</v>
      </c>
      <c r="R3" t="s">
        <v>44</v>
      </c>
      <c r="S3">
        <v>3784</v>
      </c>
      <c r="T3" t="b">
        <v>0</v>
      </c>
      <c r="U3">
        <v>1</v>
      </c>
      <c r="V3">
        <v>2</v>
      </c>
      <c r="W3" t="s">
        <v>35</v>
      </c>
      <c r="X3" t="s">
        <v>45</v>
      </c>
      <c r="Y3" t="s">
        <v>29</v>
      </c>
      <c r="Z3" t="s">
        <v>37</v>
      </c>
    </row>
    <row r="4" spans="1:26">
      <c r="A4">
        <v>1.8684515347088837E+18</v>
      </c>
      <c r="B4" t="s">
        <v>46</v>
      </c>
      <c r="C4" t="s">
        <v>47</v>
      </c>
      <c r="D4" t="s">
        <v>48</v>
      </c>
      <c r="E4" t="s">
        <v>49</v>
      </c>
      <c r="F4" t="s">
        <v>29</v>
      </c>
      <c r="G4" t="s">
        <v>50</v>
      </c>
      <c r="H4" t="s">
        <v>51</v>
      </c>
      <c r="I4">
        <v>2</v>
      </c>
      <c r="J4">
        <v>1</v>
      </c>
      <c r="K4">
        <v>33</v>
      </c>
      <c r="L4">
        <v>15497</v>
      </c>
      <c r="M4" t="s">
        <v>52</v>
      </c>
      <c r="N4" t="s">
        <v>53</v>
      </c>
      <c r="O4">
        <v>8293189</v>
      </c>
      <c r="P4" t="s">
        <v>54</v>
      </c>
      <c r="Q4">
        <v>456734</v>
      </c>
      <c r="R4" t="s">
        <v>55</v>
      </c>
      <c r="S4">
        <v>859</v>
      </c>
      <c r="T4" t="b">
        <v>0</v>
      </c>
      <c r="U4">
        <v>0</v>
      </c>
      <c r="V4">
        <v>1</v>
      </c>
      <c r="W4" t="s">
        <v>35</v>
      </c>
      <c r="X4" t="s">
        <v>29</v>
      </c>
      <c r="Y4" t="s">
        <v>56</v>
      </c>
      <c r="Z4" t="s">
        <v>37</v>
      </c>
    </row>
    <row r="5" spans="1:26">
      <c r="A5">
        <v>1.8684413820227174E+18</v>
      </c>
      <c r="B5" t="s">
        <v>46</v>
      </c>
      <c r="C5" t="s">
        <v>47</v>
      </c>
      <c r="D5" t="s">
        <v>57</v>
      </c>
      <c r="E5" t="s">
        <v>58</v>
      </c>
      <c r="F5" t="s">
        <v>59</v>
      </c>
      <c r="G5" t="s">
        <v>60</v>
      </c>
      <c r="H5" t="s">
        <v>61</v>
      </c>
      <c r="I5">
        <v>6</v>
      </c>
      <c r="J5">
        <v>5</v>
      </c>
      <c r="K5">
        <v>230</v>
      </c>
      <c r="L5">
        <v>18267</v>
      </c>
      <c r="M5" t="s">
        <v>52</v>
      </c>
      <c r="N5" t="s">
        <v>29</v>
      </c>
      <c r="O5">
        <v>8293189</v>
      </c>
      <c r="P5" t="s">
        <v>54</v>
      </c>
      <c r="Q5">
        <v>456734</v>
      </c>
      <c r="R5" t="s">
        <v>55</v>
      </c>
      <c r="S5">
        <v>859</v>
      </c>
      <c r="T5" t="b">
        <v>0</v>
      </c>
      <c r="U5">
        <v>1</v>
      </c>
      <c r="V5">
        <v>3</v>
      </c>
      <c r="W5" t="s">
        <v>35</v>
      </c>
      <c r="X5" t="s">
        <v>29</v>
      </c>
      <c r="Y5" t="s">
        <v>29</v>
      </c>
      <c r="Z5" t="s">
        <v>37</v>
      </c>
    </row>
    <row r="6" spans="1:26">
      <c r="A6">
        <v>1.868418260892566E+18</v>
      </c>
      <c r="B6" t="s">
        <v>26</v>
      </c>
      <c r="C6" t="s">
        <v>26</v>
      </c>
      <c r="D6" t="s">
        <v>62</v>
      </c>
      <c r="E6" t="s">
        <v>63</v>
      </c>
      <c r="F6" t="s">
        <v>29</v>
      </c>
      <c r="G6" t="s">
        <v>64</v>
      </c>
      <c r="H6" t="s">
        <v>65</v>
      </c>
      <c r="I6">
        <v>50</v>
      </c>
      <c r="J6">
        <v>4</v>
      </c>
      <c r="K6">
        <v>84</v>
      </c>
      <c r="L6">
        <v>9569</v>
      </c>
      <c r="M6" t="s">
        <v>31</v>
      </c>
      <c r="N6" t="s">
        <v>66</v>
      </c>
      <c r="O6">
        <v>5771758</v>
      </c>
      <c r="P6" t="s">
        <v>33</v>
      </c>
      <c r="Q6">
        <v>222223</v>
      </c>
      <c r="R6" t="s">
        <v>34</v>
      </c>
      <c r="S6">
        <v>122</v>
      </c>
      <c r="T6" t="b">
        <v>0</v>
      </c>
      <c r="U6">
        <v>3</v>
      </c>
      <c r="V6">
        <v>3</v>
      </c>
      <c r="W6" t="s">
        <v>35</v>
      </c>
      <c r="X6" t="s">
        <v>29</v>
      </c>
      <c r="Y6" t="s">
        <v>67</v>
      </c>
      <c r="Z6" t="s">
        <v>37</v>
      </c>
    </row>
    <row r="7" spans="1:26">
      <c r="A7">
        <v>1.8683809329624187E+18</v>
      </c>
      <c r="B7" t="s">
        <v>26</v>
      </c>
      <c r="C7" t="s">
        <v>26</v>
      </c>
      <c r="D7" t="s">
        <v>68</v>
      </c>
      <c r="E7" t="s">
        <v>69</v>
      </c>
      <c r="F7" t="s">
        <v>29</v>
      </c>
      <c r="G7" t="s">
        <v>70</v>
      </c>
      <c r="H7" t="s">
        <v>29</v>
      </c>
      <c r="I7">
        <v>1</v>
      </c>
      <c r="J7">
        <v>1</v>
      </c>
      <c r="K7">
        <v>27</v>
      </c>
      <c r="L7">
        <v>8158</v>
      </c>
      <c r="M7" t="s">
        <v>31</v>
      </c>
      <c r="N7" t="s">
        <v>71</v>
      </c>
      <c r="O7">
        <v>5771760</v>
      </c>
      <c r="P7" t="s">
        <v>33</v>
      </c>
      <c r="Q7">
        <v>222223</v>
      </c>
      <c r="R7" t="s">
        <v>34</v>
      </c>
      <c r="S7">
        <v>122</v>
      </c>
      <c r="T7" t="b">
        <v>0</v>
      </c>
      <c r="U7">
        <v>0</v>
      </c>
      <c r="V7">
        <v>1</v>
      </c>
      <c r="W7" t="s">
        <v>35</v>
      </c>
      <c r="X7" t="s">
        <v>29</v>
      </c>
      <c r="Y7" t="s">
        <v>72</v>
      </c>
      <c r="Z7" t="s">
        <v>37</v>
      </c>
    </row>
    <row r="8" spans="1:26">
      <c r="A8">
        <v>1.8683860526347843E+18</v>
      </c>
      <c r="B8" t="s">
        <v>38</v>
      </c>
      <c r="C8" t="s">
        <v>38</v>
      </c>
      <c r="D8" t="s">
        <v>73</v>
      </c>
      <c r="E8" t="s">
        <v>74</v>
      </c>
      <c r="F8" t="s">
        <v>29</v>
      </c>
      <c r="G8" t="s">
        <v>75</v>
      </c>
      <c r="H8" t="s">
        <v>29</v>
      </c>
      <c r="I8">
        <v>9</v>
      </c>
      <c r="J8">
        <v>64</v>
      </c>
      <c r="K8">
        <v>524</v>
      </c>
      <c r="L8">
        <v>63114</v>
      </c>
      <c r="M8" t="s">
        <v>76</v>
      </c>
      <c r="N8" t="s">
        <v>29</v>
      </c>
      <c r="O8">
        <v>14257907</v>
      </c>
      <c r="P8" t="s">
        <v>43</v>
      </c>
      <c r="Q8">
        <v>357584</v>
      </c>
      <c r="R8" t="s">
        <v>44</v>
      </c>
      <c r="S8">
        <v>3784</v>
      </c>
      <c r="T8" t="b">
        <v>0</v>
      </c>
      <c r="U8">
        <v>6</v>
      </c>
      <c r="V8">
        <v>9</v>
      </c>
      <c r="W8" t="s">
        <v>35</v>
      </c>
      <c r="X8" t="s">
        <v>77</v>
      </c>
      <c r="Y8" t="s">
        <v>29</v>
      </c>
      <c r="Z8" t="s">
        <v>37</v>
      </c>
    </row>
    <row r="9" spans="1:26">
      <c r="A9">
        <v>1.8683620112533015E+18</v>
      </c>
      <c r="B9" t="s">
        <v>26</v>
      </c>
      <c r="C9" t="s">
        <v>26</v>
      </c>
      <c r="D9" t="s">
        <v>78</v>
      </c>
      <c r="E9" t="s">
        <v>79</v>
      </c>
      <c r="F9" t="s">
        <v>29</v>
      </c>
      <c r="G9" t="s">
        <v>80</v>
      </c>
      <c r="H9" t="s">
        <v>29</v>
      </c>
      <c r="I9">
        <v>23</v>
      </c>
      <c r="J9">
        <v>28</v>
      </c>
      <c r="K9">
        <v>208</v>
      </c>
      <c r="L9">
        <v>11057</v>
      </c>
      <c r="M9" t="s">
        <v>31</v>
      </c>
      <c r="N9" t="s">
        <v>71</v>
      </c>
      <c r="O9">
        <v>5771762</v>
      </c>
      <c r="P9" t="s">
        <v>33</v>
      </c>
      <c r="Q9">
        <v>222223</v>
      </c>
      <c r="R9" t="s">
        <v>34</v>
      </c>
      <c r="S9">
        <v>122</v>
      </c>
      <c r="T9" t="b">
        <v>0</v>
      </c>
      <c r="U9">
        <v>1</v>
      </c>
      <c r="V9">
        <v>6</v>
      </c>
      <c r="W9" t="s">
        <v>35</v>
      </c>
      <c r="X9" t="s">
        <v>29</v>
      </c>
      <c r="Y9" t="s">
        <v>81</v>
      </c>
      <c r="Z9" t="s">
        <v>37</v>
      </c>
    </row>
    <row r="10" spans="1:26">
      <c r="A10">
        <v>1.8684535329295524E+18</v>
      </c>
      <c r="B10" t="s">
        <v>38</v>
      </c>
      <c r="C10" t="s">
        <v>38</v>
      </c>
      <c r="D10" t="s">
        <v>82</v>
      </c>
      <c r="E10" t="s">
        <v>83</v>
      </c>
      <c r="F10" t="s">
        <v>29</v>
      </c>
      <c r="G10" t="s">
        <v>84</v>
      </c>
      <c r="H10" t="s">
        <v>29</v>
      </c>
      <c r="I10">
        <v>4</v>
      </c>
      <c r="J10">
        <v>5</v>
      </c>
      <c r="K10">
        <v>19</v>
      </c>
      <c r="L10">
        <v>12635</v>
      </c>
      <c r="M10" t="s">
        <v>85</v>
      </c>
      <c r="N10" t="s">
        <v>29</v>
      </c>
      <c r="O10">
        <v>14258370</v>
      </c>
      <c r="P10" t="s">
        <v>43</v>
      </c>
      <c r="Q10">
        <v>357584</v>
      </c>
      <c r="R10" t="s">
        <v>44</v>
      </c>
      <c r="S10">
        <v>3784</v>
      </c>
      <c r="T10" t="b">
        <v>0</v>
      </c>
      <c r="U10">
        <v>1</v>
      </c>
      <c r="V10">
        <v>1</v>
      </c>
      <c r="W10" t="s">
        <v>35</v>
      </c>
      <c r="X10" t="s">
        <v>86</v>
      </c>
      <c r="Y10" t="s">
        <v>29</v>
      </c>
      <c r="Z10" t="s">
        <v>37</v>
      </c>
    </row>
    <row r="11" spans="1:26">
      <c r="A11">
        <v>1.8684309293891054E+18</v>
      </c>
      <c r="B11" t="s">
        <v>38</v>
      </c>
      <c r="C11" t="s">
        <v>38</v>
      </c>
      <c r="D11" t="s">
        <v>87</v>
      </c>
      <c r="E11" t="s">
        <v>88</v>
      </c>
      <c r="F11" t="s">
        <v>29</v>
      </c>
      <c r="G11" t="s">
        <v>89</v>
      </c>
      <c r="H11" t="s">
        <v>29</v>
      </c>
      <c r="I11">
        <v>3</v>
      </c>
      <c r="J11">
        <v>7</v>
      </c>
      <c r="K11">
        <v>51</v>
      </c>
      <c r="L11">
        <v>14229</v>
      </c>
      <c r="M11" t="s">
        <v>90</v>
      </c>
      <c r="N11" t="s">
        <v>29</v>
      </c>
      <c r="O11">
        <v>14257907</v>
      </c>
      <c r="P11" t="s">
        <v>43</v>
      </c>
      <c r="Q11">
        <v>357584</v>
      </c>
      <c r="R11" t="s">
        <v>44</v>
      </c>
      <c r="S11">
        <v>3784</v>
      </c>
      <c r="T11" t="b">
        <v>0</v>
      </c>
      <c r="U11">
        <v>1</v>
      </c>
      <c r="V11">
        <v>3</v>
      </c>
      <c r="W11" t="s">
        <v>35</v>
      </c>
      <c r="X11" t="s">
        <v>91</v>
      </c>
      <c r="Y11" t="s">
        <v>29</v>
      </c>
      <c r="Z11" t="s">
        <v>37</v>
      </c>
    </row>
    <row r="12" spans="1:26">
      <c r="A12">
        <v>1.8680837224712358E+18</v>
      </c>
      <c r="B12" t="s">
        <v>38</v>
      </c>
      <c r="C12" t="s">
        <v>38</v>
      </c>
      <c r="D12" t="s">
        <v>92</v>
      </c>
      <c r="E12" t="s">
        <v>93</v>
      </c>
      <c r="F12" t="s">
        <v>29</v>
      </c>
      <c r="G12" t="s">
        <v>94</v>
      </c>
      <c r="H12" t="s">
        <v>29</v>
      </c>
      <c r="I12">
        <v>6</v>
      </c>
      <c r="J12">
        <v>721</v>
      </c>
      <c r="K12">
        <v>1945</v>
      </c>
      <c r="L12">
        <v>32803</v>
      </c>
      <c r="M12" t="s">
        <v>95</v>
      </c>
      <c r="N12" t="s">
        <v>29</v>
      </c>
      <c r="O12">
        <v>14257909</v>
      </c>
      <c r="P12" t="s">
        <v>43</v>
      </c>
      <c r="Q12">
        <v>357584</v>
      </c>
      <c r="R12" t="s">
        <v>44</v>
      </c>
      <c r="S12">
        <v>3784</v>
      </c>
      <c r="T12" t="b">
        <v>0</v>
      </c>
      <c r="U12">
        <v>2</v>
      </c>
      <c r="V12">
        <v>33</v>
      </c>
      <c r="W12" t="s">
        <v>35</v>
      </c>
      <c r="X12" t="s">
        <v>96</v>
      </c>
      <c r="Y12" t="s">
        <v>29</v>
      </c>
      <c r="Z12" t="s">
        <v>37</v>
      </c>
    </row>
    <row r="13" spans="1:26">
      <c r="A13">
        <v>1.8681213734255168E+18</v>
      </c>
      <c r="B13" t="s">
        <v>38</v>
      </c>
      <c r="C13" t="s">
        <v>38</v>
      </c>
      <c r="D13" t="s">
        <v>97</v>
      </c>
      <c r="E13" t="s">
        <v>98</v>
      </c>
      <c r="F13" t="s">
        <v>29</v>
      </c>
      <c r="G13" t="s">
        <v>99</v>
      </c>
      <c r="H13" t="s">
        <v>29</v>
      </c>
      <c r="I13">
        <v>5</v>
      </c>
      <c r="J13">
        <v>848</v>
      </c>
      <c r="K13">
        <v>2162</v>
      </c>
      <c r="L13">
        <v>36042</v>
      </c>
      <c r="M13" t="s">
        <v>100</v>
      </c>
      <c r="N13" t="s">
        <v>29</v>
      </c>
      <c r="O13">
        <v>14257910</v>
      </c>
      <c r="P13" t="s">
        <v>43</v>
      </c>
      <c r="Q13">
        <v>357584</v>
      </c>
      <c r="R13" t="s">
        <v>44</v>
      </c>
      <c r="S13">
        <v>3784</v>
      </c>
      <c r="T13" t="b">
        <v>0</v>
      </c>
      <c r="U13">
        <v>4</v>
      </c>
      <c r="V13">
        <v>46</v>
      </c>
      <c r="W13" t="s">
        <v>35</v>
      </c>
      <c r="X13" t="s">
        <v>101</v>
      </c>
      <c r="Y13" t="s">
        <v>29</v>
      </c>
      <c r="Z13" t="s">
        <v>37</v>
      </c>
    </row>
    <row r="14" spans="1:26">
      <c r="A14">
        <v>1.8684076723760581E+18</v>
      </c>
      <c r="B14" t="s">
        <v>26</v>
      </c>
      <c r="C14" t="s">
        <v>26</v>
      </c>
      <c r="D14" t="s">
        <v>102</v>
      </c>
      <c r="E14" t="s">
        <v>103</v>
      </c>
      <c r="F14" t="s">
        <v>29</v>
      </c>
      <c r="G14" t="s">
        <v>104</v>
      </c>
      <c r="H14" t="s">
        <v>29</v>
      </c>
      <c r="I14">
        <v>43</v>
      </c>
      <c r="J14">
        <v>47</v>
      </c>
      <c r="K14">
        <v>247</v>
      </c>
      <c r="L14">
        <v>13987</v>
      </c>
      <c r="M14" t="s">
        <v>31</v>
      </c>
      <c r="N14" t="s">
        <v>66</v>
      </c>
      <c r="O14">
        <v>5771760</v>
      </c>
      <c r="P14" t="s">
        <v>33</v>
      </c>
      <c r="Q14">
        <v>222223</v>
      </c>
      <c r="R14" t="s">
        <v>34</v>
      </c>
      <c r="S14">
        <v>122</v>
      </c>
      <c r="T14" t="b">
        <v>0</v>
      </c>
      <c r="U14">
        <v>2</v>
      </c>
      <c r="V14">
        <v>9</v>
      </c>
      <c r="W14" t="s">
        <v>35</v>
      </c>
      <c r="X14" t="s">
        <v>29</v>
      </c>
      <c r="Y14" t="s">
        <v>105</v>
      </c>
      <c r="Z14" t="s">
        <v>37</v>
      </c>
    </row>
    <row r="15" spans="1:26">
      <c r="A15">
        <v>1.8683835894207081E+18</v>
      </c>
      <c r="B15" t="s">
        <v>26</v>
      </c>
      <c r="C15" t="s">
        <v>26</v>
      </c>
      <c r="D15" t="s">
        <v>106</v>
      </c>
      <c r="E15" t="s">
        <v>107</v>
      </c>
      <c r="F15" t="s">
        <v>29</v>
      </c>
      <c r="G15" t="s">
        <v>108</v>
      </c>
      <c r="H15" t="s">
        <v>29</v>
      </c>
      <c r="I15">
        <v>18</v>
      </c>
      <c r="J15">
        <v>17</v>
      </c>
      <c r="K15">
        <v>111</v>
      </c>
      <c r="L15">
        <v>11871</v>
      </c>
      <c r="M15" t="s">
        <v>31</v>
      </c>
      <c r="N15" t="s">
        <v>71</v>
      </c>
      <c r="O15">
        <v>5771760</v>
      </c>
      <c r="P15" t="s">
        <v>33</v>
      </c>
      <c r="Q15">
        <v>222223</v>
      </c>
      <c r="R15" t="s">
        <v>34</v>
      </c>
      <c r="S15">
        <v>122</v>
      </c>
      <c r="T15" t="b">
        <v>0</v>
      </c>
      <c r="U15">
        <v>3</v>
      </c>
      <c r="V15">
        <v>3</v>
      </c>
      <c r="W15" t="s">
        <v>35</v>
      </c>
      <c r="X15" t="s">
        <v>29</v>
      </c>
      <c r="Y15" t="s">
        <v>109</v>
      </c>
      <c r="Z15" t="s">
        <v>37</v>
      </c>
    </row>
    <row r="16" spans="1:26">
      <c r="A16">
        <v>1.8683521934991974E+18</v>
      </c>
      <c r="B16" t="s">
        <v>26</v>
      </c>
      <c r="C16" t="s">
        <v>26</v>
      </c>
      <c r="D16" t="s">
        <v>110</v>
      </c>
      <c r="E16" t="s">
        <v>111</v>
      </c>
      <c r="F16" t="s">
        <v>29</v>
      </c>
      <c r="G16" t="s">
        <v>112</v>
      </c>
      <c r="H16" t="s">
        <v>29</v>
      </c>
      <c r="I16">
        <v>64</v>
      </c>
      <c r="J16">
        <v>21</v>
      </c>
      <c r="K16">
        <v>263</v>
      </c>
      <c r="L16">
        <v>12074</v>
      </c>
      <c r="M16" t="s">
        <v>31</v>
      </c>
      <c r="N16" t="s">
        <v>71</v>
      </c>
      <c r="O16">
        <v>5771761</v>
      </c>
      <c r="P16" t="s">
        <v>33</v>
      </c>
      <c r="Q16">
        <v>222223</v>
      </c>
      <c r="R16" t="s">
        <v>34</v>
      </c>
      <c r="S16">
        <v>122</v>
      </c>
      <c r="T16" t="b">
        <v>0</v>
      </c>
      <c r="U16">
        <v>0</v>
      </c>
      <c r="V16">
        <v>3</v>
      </c>
      <c r="W16" t="s">
        <v>35</v>
      </c>
      <c r="X16" t="s">
        <v>29</v>
      </c>
      <c r="Y16" t="s">
        <v>113</v>
      </c>
      <c r="Z16" t="s">
        <v>37</v>
      </c>
    </row>
    <row r="17" spans="1:26">
      <c r="A17">
        <v>1.868113795878462E+18</v>
      </c>
      <c r="B17" t="s">
        <v>38</v>
      </c>
      <c r="C17" t="s">
        <v>38</v>
      </c>
      <c r="D17" t="s">
        <v>114</v>
      </c>
      <c r="E17" t="s">
        <v>115</v>
      </c>
      <c r="F17" t="s">
        <v>29</v>
      </c>
      <c r="G17" t="s">
        <v>116</v>
      </c>
      <c r="H17" t="s">
        <v>29</v>
      </c>
      <c r="I17">
        <v>12</v>
      </c>
      <c r="J17">
        <v>1219</v>
      </c>
      <c r="K17">
        <v>4997</v>
      </c>
      <c r="L17">
        <v>53724</v>
      </c>
      <c r="M17" t="s">
        <v>117</v>
      </c>
      <c r="N17" t="s">
        <v>29</v>
      </c>
      <c r="O17">
        <v>14257910</v>
      </c>
      <c r="P17" t="s">
        <v>43</v>
      </c>
      <c r="Q17">
        <v>357584</v>
      </c>
      <c r="R17" t="s">
        <v>44</v>
      </c>
      <c r="S17">
        <v>3784</v>
      </c>
      <c r="T17" t="b">
        <v>0</v>
      </c>
      <c r="U17">
        <v>4</v>
      </c>
      <c r="V17">
        <v>88</v>
      </c>
      <c r="W17" t="s">
        <v>35</v>
      </c>
      <c r="X17" t="s">
        <v>118</v>
      </c>
      <c r="Y17" t="s">
        <v>29</v>
      </c>
      <c r="Z17" t="s">
        <v>37</v>
      </c>
    </row>
    <row r="18" spans="1:26">
      <c r="A18">
        <v>1.86846314285618E+18</v>
      </c>
      <c r="B18" t="s">
        <v>46</v>
      </c>
      <c r="C18" t="s">
        <v>47</v>
      </c>
      <c r="D18" t="s">
        <v>119</v>
      </c>
      <c r="E18" t="s">
        <v>120</v>
      </c>
      <c r="F18" t="s">
        <v>29</v>
      </c>
      <c r="G18" t="s">
        <v>121</v>
      </c>
      <c r="H18" t="s">
        <v>122</v>
      </c>
      <c r="I18">
        <v>2</v>
      </c>
      <c r="J18">
        <v>2</v>
      </c>
      <c r="K18">
        <v>40</v>
      </c>
      <c r="L18">
        <v>15594</v>
      </c>
      <c r="M18" t="s">
        <v>52</v>
      </c>
      <c r="N18" t="s">
        <v>123</v>
      </c>
      <c r="O18">
        <v>8293187</v>
      </c>
      <c r="P18" t="s">
        <v>54</v>
      </c>
      <c r="Q18">
        <v>456734</v>
      </c>
      <c r="R18" t="s">
        <v>55</v>
      </c>
      <c r="S18">
        <v>859</v>
      </c>
      <c r="T18" t="b">
        <v>0</v>
      </c>
      <c r="U18">
        <v>0</v>
      </c>
      <c r="V18">
        <v>2</v>
      </c>
      <c r="W18" t="s">
        <v>35</v>
      </c>
      <c r="X18" t="s">
        <v>29</v>
      </c>
      <c r="Y18" t="s">
        <v>124</v>
      </c>
      <c r="Z18" t="s">
        <v>37</v>
      </c>
    </row>
    <row r="19" spans="1:26">
      <c r="A19">
        <v>1.868421338333078E+18</v>
      </c>
      <c r="B19" t="s">
        <v>46</v>
      </c>
      <c r="C19" t="s">
        <v>47</v>
      </c>
      <c r="D19" t="s">
        <v>125</v>
      </c>
      <c r="E19" t="s">
        <v>126</v>
      </c>
      <c r="F19" t="s">
        <v>127</v>
      </c>
      <c r="G19" t="s">
        <v>128</v>
      </c>
      <c r="H19" t="s">
        <v>29</v>
      </c>
      <c r="I19">
        <v>21</v>
      </c>
      <c r="J19">
        <v>189</v>
      </c>
      <c r="K19">
        <v>2737</v>
      </c>
      <c r="L19">
        <v>48418</v>
      </c>
      <c r="M19" t="s">
        <v>52</v>
      </c>
      <c r="N19" t="s">
        <v>129</v>
      </c>
      <c r="O19">
        <v>8293192</v>
      </c>
      <c r="P19" t="s">
        <v>54</v>
      </c>
      <c r="Q19">
        <v>456734</v>
      </c>
      <c r="R19" t="s">
        <v>55</v>
      </c>
      <c r="S19">
        <v>859</v>
      </c>
      <c r="T19" t="b">
        <v>0</v>
      </c>
      <c r="U19">
        <v>10</v>
      </c>
      <c r="V19">
        <v>21</v>
      </c>
      <c r="W19" t="s">
        <v>35</v>
      </c>
      <c r="X19" t="s">
        <v>29</v>
      </c>
      <c r="Y19" t="s">
        <v>29</v>
      </c>
      <c r="Z19" t="s">
        <v>37</v>
      </c>
    </row>
    <row r="20" spans="1:26">
      <c r="A20">
        <v>1.8684299671779574E+18</v>
      </c>
      <c r="B20" t="s">
        <v>26</v>
      </c>
      <c r="C20" t="s">
        <v>26</v>
      </c>
      <c r="D20" t="s">
        <v>130</v>
      </c>
      <c r="E20" t="s">
        <v>131</v>
      </c>
      <c r="F20" t="s">
        <v>29</v>
      </c>
      <c r="G20" t="s">
        <v>132</v>
      </c>
      <c r="H20" t="s">
        <v>29</v>
      </c>
      <c r="I20">
        <v>1</v>
      </c>
      <c r="J20">
        <v>1</v>
      </c>
      <c r="K20">
        <v>21</v>
      </c>
      <c r="L20">
        <v>8306</v>
      </c>
      <c r="M20" t="s">
        <v>31</v>
      </c>
      <c r="N20" t="s">
        <v>32</v>
      </c>
      <c r="O20">
        <v>5771758</v>
      </c>
      <c r="P20" t="s">
        <v>33</v>
      </c>
      <c r="Q20">
        <v>222223</v>
      </c>
      <c r="R20" t="s">
        <v>34</v>
      </c>
      <c r="S20">
        <v>122</v>
      </c>
      <c r="T20" t="b">
        <v>0</v>
      </c>
      <c r="U20">
        <v>1</v>
      </c>
      <c r="V20">
        <v>2</v>
      </c>
      <c r="W20" t="s">
        <v>35</v>
      </c>
      <c r="X20" t="s">
        <v>29</v>
      </c>
      <c r="Y20" t="s">
        <v>133</v>
      </c>
      <c r="Z20" t="s">
        <v>37</v>
      </c>
    </row>
    <row r="21" spans="1:26">
      <c r="A21">
        <v>1.868401245876085E+18</v>
      </c>
      <c r="B21" t="s">
        <v>26</v>
      </c>
      <c r="C21" t="s">
        <v>26</v>
      </c>
      <c r="D21" t="s">
        <v>134</v>
      </c>
      <c r="E21" t="s">
        <v>135</v>
      </c>
      <c r="F21" t="s">
        <v>29</v>
      </c>
      <c r="G21" t="s">
        <v>136</v>
      </c>
      <c r="H21" t="s">
        <v>29</v>
      </c>
      <c r="I21">
        <v>8</v>
      </c>
      <c r="J21">
        <v>2</v>
      </c>
      <c r="K21">
        <v>32</v>
      </c>
      <c r="L21">
        <v>8239</v>
      </c>
      <c r="M21" t="s">
        <v>31</v>
      </c>
      <c r="N21" t="s">
        <v>137</v>
      </c>
      <c r="O21">
        <v>5771760</v>
      </c>
      <c r="P21" t="s">
        <v>33</v>
      </c>
      <c r="Q21">
        <v>222223</v>
      </c>
      <c r="R21" t="s">
        <v>34</v>
      </c>
      <c r="S21">
        <v>122</v>
      </c>
      <c r="T21" t="b">
        <v>0</v>
      </c>
      <c r="U21">
        <v>1</v>
      </c>
      <c r="V21">
        <v>1</v>
      </c>
      <c r="W21" t="s">
        <v>35</v>
      </c>
      <c r="X21" t="s">
        <v>29</v>
      </c>
      <c r="Y21" t="s">
        <v>138</v>
      </c>
      <c r="Z21" t="s">
        <v>37</v>
      </c>
    </row>
    <row r="22" spans="1:26">
      <c r="A22">
        <v>1.8684687401716739E+18</v>
      </c>
      <c r="B22" t="s">
        <v>46</v>
      </c>
      <c r="C22" t="s">
        <v>47</v>
      </c>
      <c r="D22" t="s">
        <v>139</v>
      </c>
      <c r="E22" t="s">
        <v>140</v>
      </c>
      <c r="F22" t="s">
        <v>141</v>
      </c>
      <c r="G22" t="s">
        <v>142</v>
      </c>
      <c r="H22" t="s">
        <v>29</v>
      </c>
      <c r="I22">
        <v>27</v>
      </c>
      <c r="J22">
        <v>25</v>
      </c>
      <c r="K22">
        <v>931</v>
      </c>
      <c r="L22">
        <v>30000</v>
      </c>
      <c r="M22" t="s">
        <v>52</v>
      </c>
      <c r="N22" t="s">
        <v>143</v>
      </c>
      <c r="O22">
        <v>8293187</v>
      </c>
      <c r="P22" t="s">
        <v>54</v>
      </c>
      <c r="Q22">
        <v>456734</v>
      </c>
      <c r="R22" t="s">
        <v>55</v>
      </c>
      <c r="S22">
        <v>859</v>
      </c>
      <c r="T22" t="b">
        <v>0</v>
      </c>
      <c r="U22">
        <v>8</v>
      </c>
      <c r="V22">
        <v>14</v>
      </c>
      <c r="W22" t="s">
        <v>35</v>
      </c>
      <c r="X22" t="s">
        <v>29</v>
      </c>
      <c r="Y22" t="s">
        <v>29</v>
      </c>
      <c r="Z22" t="s">
        <v>37</v>
      </c>
    </row>
    <row r="23" spans="1:26">
      <c r="A23">
        <v>1.8684535424002542E+18</v>
      </c>
      <c r="B23" t="s">
        <v>46</v>
      </c>
      <c r="C23" t="s">
        <v>47</v>
      </c>
      <c r="D23" t="s">
        <v>144</v>
      </c>
      <c r="E23" t="s">
        <v>145</v>
      </c>
      <c r="F23" t="s">
        <v>146</v>
      </c>
      <c r="G23" t="s">
        <v>147</v>
      </c>
      <c r="H23" t="s">
        <v>29</v>
      </c>
      <c r="I23">
        <v>10</v>
      </c>
      <c r="J23">
        <v>11</v>
      </c>
      <c r="K23">
        <v>341</v>
      </c>
      <c r="L23">
        <v>22090</v>
      </c>
      <c r="M23" t="s">
        <v>52</v>
      </c>
      <c r="N23" t="s">
        <v>148</v>
      </c>
      <c r="O23">
        <v>8293187</v>
      </c>
      <c r="P23" t="s">
        <v>54</v>
      </c>
      <c r="Q23">
        <v>456734</v>
      </c>
      <c r="R23" t="s">
        <v>55</v>
      </c>
      <c r="S23">
        <v>859</v>
      </c>
      <c r="T23" t="b">
        <v>0</v>
      </c>
      <c r="U23">
        <v>2</v>
      </c>
      <c r="V23">
        <v>2</v>
      </c>
      <c r="W23" t="s">
        <v>35</v>
      </c>
      <c r="X23" t="s">
        <v>29</v>
      </c>
      <c r="Y23" t="s">
        <v>29</v>
      </c>
      <c r="Z23" t="s">
        <v>37</v>
      </c>
    </row>
    <row r="24" spans="1:26">
      <c r="A24">
        <v>1.8684459393603218E+18</v>
      </c>
      <c r="B24" t="s">
        <v>46</v>
      </c>
      <c r="C24" t="s">
        <v>47</v>
      </c>
      <c r="D24" t="s">
        <v>149</v>
      </c>
      <c r="E24" t="s">
        <v>150</v>
      </c>
      <c r="F24" t="s">
        <v>151</v>
      </c>
      <c r="G24" t="s">
        <v>152</v>
      </c>
      <c r="H24" t="s">
        <v>153</v>
      </c>
      <c r="I24">
        <v>2</v>
      </c>
      <c r="J24">
        <v>1</v>
      </c>
      <c r="K24">
        <v>33</v>
      </c>
      <c r="L24">
        <v>14818</v>
      </c>
      <c r="M24" t="s">
        <v>154</v>
      </c>
      <c r="N24" t="s">
        <v>155</v>
      </c>
      <c r="O24">
        <v>8293187</v>
      </c>
      <c r="P24" t="s">
        <v>54</v>
      </c>
      <c r="Q24">
        <v>456734</v>
      </c>
      <c r="R24" t="s">
        <v>55</v>
      </c>
      <c r="S24">
        <v>859</v>
      </c>
      <c r="T24" t="b">
        <v>0</v>
      </c>
      <c r="U24">
        <v>0</v>
      </c>
      <c r="V24">
        <v>0</v>
      </c>
      <c r="W24" t="s">
        <v>35</v>
      </c>
      <c r="X24" t="s">
        <v>29</v>
      </c>
      <c r="Y24" t="s">
        <v>29</v>
      </c>
      <c r="Z24" t="s">
        <v>37</v>
      </c>
    </row>
    <row r="25" spans="1:26">
      <c r="A25">
        <v>1.8684182000080123E+18</v>
      </c>
      <c r="B25" t="s">
        <v>26</v>
      </c>
      <c r="C25" t="s">
        <v>26</v>
      </c>
      <c r="D25" t="s">
        <v>156</v>
      </c>
      <c r="E25" t="s">
        <v>157</v>
      </c>
      <c r="F25" t="s">
        <v>29</v>
      </c>
      <c r="G25" t="s">
        <v>158</v>
      </c>
      <c r="H25" t="s">
        <v>159</v>
      </c>
      <c r="I25">
        <v>95</v>
      </c>
      <c r="J25">
        <v>8</v>
      </c>
      <c r="K25">
        <v>107</v>
      </c>
      <c r="L25">
        <v>13597</v>
      </c>
      <c r="M25" t="s">
        <v>31</v>
      </c>
      <c r="N25" t="s">
        <v>66</v>
      </c>
      <c r="O25">
        <v>5771758</v>
      </c>
      <c r="P25" t="s">
        <v>33</v>
      </c>
      <c r="Q25">
        <v>222223</v>
      </c>
      <c r="R25" t="s">
        <v>34</v>
      </c>
      <c r="S25">
        <v>122</v>
      </c>
      <c r="T25" t="b">
        <v>0</v>
      </c>
      <c r="U25">
        <v>3</v>
      </c>
      <c r="V25">
        <v>6</v>
      </c>
      <c r="W25" t="s">
        <v>35</v>
      </c>
      <c r="X25" t="s">
        <v>29</v>
      </c>
      <c r="Y25" t="s">
        <v>160</v>
      </c>
      <c r="Z25" t="s">
        <v>37</v>
      </c>
    </row>
    <row r="26" spans="1:26">
      <c r="A26">
        <v>1.8684151588186033E+18</v>
      </c>
      <c r="B26" t="s">
        <v>26</v>
      </c>
      <c r="C26" t="s">
        <v>26</v>
      </c>
      <c r="D26" t="s">
        <v>161</v>
      </c>
      <c r="E26" t="s">
        <v>162</v>
      </c>
      <c r="F26" t="s">
        <v>29</v>
      </c>
      <c r="G26" t="s">
        <v>163</v>
      </c>
      <c r="H26" t="s">
        <v>29</v>
      </c>
      <c r="I26">
        <v>51</v>
      </c>
      <c r="J26">
        <v>14</v>
      </c>
      <c r="K26">
        <v>117</v>
      </c>
      <c r="L26">
        <v>14127</v>
      </c>
      <c r="M26" t="s">
        <v>31</v>
      </c>
      <c r="N26" t="s">
        <v>66</v>
      </c>
      <c r="O26">
        <v>5771758</v>
      </c>
      <c r="P26" t="s">
        <v>33</v>
      </c>
      <c r="Q26">
        <v>222223</v>
      </c>
      <c r="R26" t="s">
        <v>34</v>
      </c>
      <c r="S26">
        <v>122</v>
      </c>
      <c r="T26" t="b">
        <v>0</v>
      </c>
      <c r="U26">
        <v>2</v>
      </c>
      <c r="V26">
        <v>5</v>
      </c>
      <c r="W26" t="s">
        <v>35</v>
      </c>
      <c r="X26" t="s">
        <v>29</v>
      </c>
      <c r="Y26" t="s">
        <v>164</v>
      </c>
      <c r="Z26" t="s">
        <v>37</v>
      </c>
    </row>
    <row r="27" spans="1:26">
      <c r="A27">
        <v>1.8684141459739405E+18</v>
      </c>
      <c r="B27" t="s">
        <v>26</v>
      </c>
      <c r="C27" t="s">
        <v>26</v>
      </c>
      <c r="D27" t="s">
        <v>165</v>
      </c>
      <c r="E27" t="s">
        <v>166</v>
      </c>
      <c r="F27" t="s">
        <v>29</v>
      </c>
      <c r="G27" t="s">
        <v>167</v>
      </c>
      <c r="H27" t="s">
        <v>159</v>
      </c>
      <c r="I27">
        <v>136</v>
      </c>
      <c r="J27">
        <v>142</v>
      </c>
      <c r="K27">
        <v>922</v>
      </c>
      <c r="L27">
        <v>26775</v>
      </c>
      <c r="M27" t="s">
        <v>31</v>
      </c>
      <c r="N27" t="s">
        <v>29</v>
      </c>
      <c r="O27">
        <v>5771757</v>
      </c>
      <c r="P27" t="s">
        <v>33</v>
      </c>
      <c r="Q27">
        <v>222223</v>
      </c>
      <c r="R27" t="s">
        <v>34</v>
      </c>
      <c r="S27">
        <v>122</v>
      </c>
      <c r="T27" t="b">
        <v>0</v>
      </c>
      <c r="U27">
        <v>4</v>
      </c>
      <c r="V27">
        <v>20</v>
      </c>
      <c r="W27" t="s">
        <v>35</v>
      </c>
      <c r="X27" t="s">
        <v>29</v>
      </c>
      <c r="Y27" t="s">
        <v>168</v>
      </c>
      <c r="Z27" t="s">
        <v>37</v>
      </c>
    </row>
    <row r="28" spans="1:26">
      <c r="A28">
        <v>1.8684067790860744E+18</v>
      </c>
      <c r="B28" t="s">
        <v>26</v>
      </c>
      <c r="C28" t="s">
        <v>26</v>
      </c>
      <c r="D28" t="s">
        <v>169</v>
      </c>
      <c r="E28" t="s">
        <v>170</v>
      </c>
      <c r="F28" t="s">
        <v>29</v>
      </c>
      <c r="G28" t="s">
        <v>171</v>
      </c>
      <c r="H28" t="s">
        <v>159</v>
      </c>
      <c r="I28">
        <v>148</v>
      </c>
      <c r="J28">
        <v>105</v>
      </c>
      <c r="K28">
        <v>572</v>
      </c>
      <c r="L28">
        <v>22414</v>
      </c>
      <c r="M28" t="s">
        <v>52</v>
      </c>
      <c r="N28" t="s">
        <v>71</v>
      </c>
      <c r="O28">
        <v>5771760</v>
      </c>
      <c r="P28" t="s">
        <v>33</v>
      </c>
      <c r="Q28">
        <v>222223</v>
      </c>
      <c r="R28" t="s">
        <v>34</v>
      </c>
      <c r="S28">
        <v>122</v>
      </c>
      <c r="T28" t="b">
        <v>0</v>
      </c>
      <c r="U28">
        <v>16</v>
      </c>
      <c r="V28">
        <v>16</v>
      </c>
      <c r="W28" t="s">
        <v>35</v>
      </c>
      <c r="X28" t="s">
        <v>29</v>
      </c>
      <c r="Y28" t="s">
        <v>172</v>
      </c>
      <c r="Z28" t="s">
        <v>37</v>
      </c>
    </row>
    <row r="29" spans="1:26">
      <c r="A29">
        <v>1.868151532622955E+18</v>
      </c>
      <c r="B29" t="s">
        <v>38</v>
      </c>
      <c r="C29" t="s">
        <v>38</v>
      </c>
      <c r="D29" t="s">
        <v>173</v>
      </c>
      <c r="E29" t="s">
        <v>174</v>
      </c>
      <c r="F29" t="s">
        <v>29</v>
      </c>
      <c r="G29" t="s">
        <v>175</v>
      </c>
      <c r="H29" t="s">
        <v>29</v>
      </c>
      <c r="I29">
        <v>9</v>
      </c>
      <c r="J29">
        <v>463</v>
      </c>
      <c r="K29">
        <v>1977</v>
      </c>
      <c r="L29">
        <v>35672</v>
      </c>
      <c r="M29" t="s">
        <v>176</v>
      </c>
      <c r="N29" t="s">
        <v>29</v>
      </c>
      <c r="O29">
        <v>14257909</v>
      </c>
      <c r="P29" t="s">
        <v>43</v>
      </c>
      <c r="Q29">
        <v>357584</v>
      </c>
      <c r="R29" t="s">
        <v>44</v>
      </c>
      <c r="S29">
        <v>3784</v>
      </c>
      <c r="T29" t="b">
        <v>0</v>
      </c>
      <c r="U29">
        <v>2</v>
      </c>
      <c r="V29">
        <v>26</v>
      </c>
      <c r="W29" t="s">
        <v>35</v>
      </c>
      <c r="X29" t="s">
        <v>177</v>
      </c>
      <c r="Y29" t="s">
        <v>29</v>
      </c>
      <c r="Z29" t="s">
        <v>37</v>
      </c>
    </row>
    <row r="30" spans="1:26">
      <c r="A30">
        <v>1.8684016093546701E+18</v>
      </c>
      <c r="B30" t="s">
        <v>46</v>
      </c>
      <c r="C30" t="s">
        <v>47</v>
      </c>
      <c r="D30" t="s">
        <v>178</v>
      </c>
      <c r="E30" t="s">
        <v>179</v>
      </c>
      <c r="F30" t="s">
        <v>180</v>
      </c>
      <c r="G30" t="s">
        <v>181</v>
      </c>
      <c r="H30" t="s">
        <v>29</v>
      </c>
      <c r="I30">
        <v>4</v>
      </c>
      <c r="J30">
        <v>5</v>
      </c>
      <c r="K30">
        <v>105</v>
      </c>
      <c r="L30">
        <v>15796</v>
      </c>
      <c r="M30" t="s">
        <v>52</v>
      </c>
      <c r="N30" t="s">
        <v>182</v>
      </c>
      <c r="O30">
        <v>8293200</v>
      </c>
      <c r="P30" t="s">
        <v>54</v>
      </c>
      <c r="Q30">
        <v>456734</v>
      </c>
      <c r="R30" t="s">
        <v>55</v>
      </c>
      <c r="S30">
        <v>859</v>
      </c>
      <c r="T30" t="b">
        <v>0</v>
      </c>
      <c r="U30">
        <v>1</v>
      </c>
      <c r="V30">
        <v>3</v>
      </c>
      <c r="W30" t="s">
        <v>35</v>
      </c>
      <c r="X30" t="s">
        <v>29</v>
      </c>
      <c r="Y30" t="s">
        <v>29</v>
      </c>
      <c r="Z30" t="s">
        <v>37</v>
      </c>
    </row>
    <row r="31" spans="1:26">
      <c r="A31">
        <v>1.8683966323975455E+18</v>
      </c>
      <c r="B31" t="s">
        <v>183</v>
      </c>
      <c r="C31" t="s">
        <v>184</v>
      </c>
      <c r="D31" t="s">
        <v>185</v>
      </c>
      <c r="E31" t="s">
        <v>186</v>
      </c>
      <c r="F31" t="s">
        <v>29</v>
      </c>
      <c r="G31" t="s">
        <v>187</v>
      </c>
      <c r="H31" t="s">
        <v>188</v>
      </c>
      <c r="I31">
        <v>5</v>
      </c>
      <c r="J31">
        <v>3</v>
      </c>
      <c r="K31">
        <v>10</v>
      </c>
      <c r="L31">
        <v>53994</v>
      </c>
      <c r="M31" t="s">
        <v>189</v>
      </c>
      <c r="N31" t="s">
        <v>29</v>
      </c>
      <c r="O31">
        <v>27122999</v>
      </c>
      <c r="P31" t="s">
        <v>190</v>
      </c>
      <c r="Q31">
        <v>402761</v>
      </c>
      <c r="R31" t="s">
        <v>191</v>
      </c>
      <c r="S31">
        <v>155</v>
      </c>
      <c r="T31" t="b">
        <v>0</v>
      </c>
      <c r="U31">
        <v>0</v>
      </c>
      <c r="V31">
        <v>3</v>
      </c>
      <c r="W31" t="s">
        <v>35</v>
      </c>
      <c r="X31" t="s">
        <v>192</v>
      </c>
      <c r="Y31" t="s">
        <v>29</v>
      </c>
      <c r="Z31" t="s">
        <v>37</v>
      </c>
    </row>
    <row r="32" spans="1:26">
      <c r="A32">
        <v>1.8682950174851891E+18</v>
      </c>
      <c r="B32" t="s">
        <v>183</v>
      </c>
      <c r="C32" t="s">
        <v>184</v>
      </c>
      <c r="D32" t="s">
        <v>193</v>
      </c>
      <c r="E32" t="s">
        <v>194</v>
      </c>
      <c r="F32" t="s">
        <v>195</v>
      </c>
      <c r="G32" t="s">
        <v>196</v>
      </c>
      <c r="H32" t="s">
        <v>29</v>
      </c>
      <c r="I32">
        <v>4</v>
      </c>
      <c r="J32">
        <v>5</v>
      </c>
      <c r="K32">
        <v>19</v>
      </c>
      <c r="L32">
        <v>52230</v>
      </c>
      <c r="M32" t="s">
        <v>197</v>
      </c>
      <c r="N32" t="s">
        <v>29</v>
      </c>
      <c r="O32">
        <v>27122998</v>
      </c>
      <c r="P32" t="s">
        <v>190</v>
      </c>
      <c r="Q32">
        <v>402760</v>
      </c>
      <c r="R32" t="s">
        <v>191</v>
      </c>
      <c r="S32">
        <v>155</v>
      </c>
      <c r="T32" t="b">
        <v>0</v>
      </c>
      <c r="U32">
        <v>1</v>
      </c>
      <c r="V32">
        <v>3</v>
      </c>
      <c r="W32" t="s">
        <v>35</v>
      </c>
      <c r="X32" t="s">
        <v>29</v>
      </c>
      <c r="Y32" t="s">
        <v>29</v>
      </c>
      <c r="Z32" t="s">
        <v>37</v>
      </c>
    </row>
    <row r="33" spans="1:26">
      <c r="A33">
        <v>1.86825604684782E+18</v>
      </c>
      <c r="B33" t="s">
        <v>183</v>
      </c>
      <c r="C33" t="s">
        <v>184</v>
      </c>
      <c r="D33" t="s">
        <v>198</v>
      </c>
      <c r="E33" t="s">
        <v>199</v>
      </c>
      <c r="F33" t="s">
        <v>29</v>
      </c>
      <c r="G33" t="s">
        <v>200</v>
      </c>
      <c r="H33" t="s">
        <v>29</v>
      </c>
      <c r="I33">
        <v>6</v>
      </c>
      <c r="J33">
        <v>13</v>
      </c>
      <c r="K33">
        <v>32</v>
      </c>
      <c r="L33">
        <v>51286</v>
      </c>
      <c r="M33" t="s">
        <v>201</v>
      </c>
      <c r="N33" t="s">
        <v>29</v>
      </c>
      <c r="O33">
        <v>27122998</v>
      </c>
      <c r="P33" t="s">
        <v>190</v>
      </c>
      <c r="Q33">
        <v>402760</v>
      </c>
      <c r="R33" t="s">
        <v>191</v>
      </c>
      <c r="S33">
        <v>155</v>
      </c>
      <c r="T33" t="b">
        <v>0</v>
      </c>
      <c r="U33">
        <v>1</v>
      </c>
      <c r="V33">
        <v>3</v>
      </c>
      <c r="W33" t="s">
        <v>35</v>
      </c>
      <c r="X33" t="s">
        <v>202</v>
      </c>
      <c r="Y33" t="s">
        <v>29</v>
      </c>
      <c r="Z33" t="s">
        <v>37</v>
      </c>
    </row>
    <row r="34" spans="1:26">
      <c r="A34">
        <v>1.8682472539844201E+18</v>
      </c>
      <c r="B34" t="s">
        <v>183</v>
      </c>
      <c r="C34" t="s">
        <v>184</v>
      </c>
      <c r="D34" t="s">
        <v>203</v>
      </c>
      <c r="E34" t="s">
        <v>204</v>
      </c>
      <c r="F34" t="s">
        <v>29</v>
      </c>
      <c r="G34" t="s">
        <v>205</v>
      </c>
      <c r="H34" t="s">
        <v>29</v>
      </c>
      <c r="I34">
        <v>31</v>
      </c>
      <c r="J34">
        <v>109</v>
      </c>
      <c r="K34">
        <v>229</v>
      </c>
      <c r="L34">
        <v>61827</v>
      </c>
      <c r="M34" t="s">
        <v>206</v>
      </c>
      <c r="N34" t="s">
        <v>29</v>
      </c>
      <c r="O34">
        <v>27122998</v>
      </c>
      <c r="P34" t="s">
        <v>190</v>
      </c>
      <c r="Q34">
        <v>402760</v>
      </c>
      <c r="R34" t="s">
        <v>191</v>
      </c>
      <c r="S34">
        <v>155</v>
      </c>
      <c r="T34" t="b">
        <v>0</v>
      </c>
      <c r="U34">
        <v>15</v>
      </c>
      <c r="V34">
        <v>29</v>
      </c>
      <c r="W34" t="s">
        <v>35</v>
      </c>
      <c r="X34" t="s">
        <v>207</v>
      </c>
      <c r="Y34" t="s">
        <v>29</v>
      </c>
      <c r="Z34" t="s">
        <v>37</v>
      </c>
    </row>
    <row r="35" spans="1:26">
      <c r="A35">
        <v>1.8682161997518892E+18</v>
      </c>
      <c r="B35" t="s">
        <v>183</v>
      </c>
      <c r="C35" t="s">
        <v>184</v>
      </c>
      <c r="D35" t="s">
        <v>208</v>
      </c>
      <c r="E35" t="s">
        <v>209</v>
      </c>
      <c r="F35" t="s">
        <v>29</v>
      </c>
      <c r="G35" t="s">
        <v>210</v>
      </c>
      <c r="H35" t="s">
        <v>29</v>
      </c>
      <c r="I35">
        <v>12</v>
      </c>
      <c r="J35">
        <v>10</v>
      </c>
      <c r="K35">
        <v>45</v>
      </c>
      <c r="L35">
        <v>47177</v>
      </c>
      <c r="M35" t="s">
        <v>211</v>
      </c>
      <c r="N35" t="s">
        <v>29</v>
      </c>
      <c r="O35">
        <v>27123001</v>
      </c>
      <c r="P35" t="s">
        <v>190</v>
      </c>
      <c r="Q35">
        <v>402760</v>
      </c>
      <c r="R35" t="s">
        <v>191</v>
      </c>
      <c r="S35">
        <v>155</v>
      </c>
      <c r="T35" t="b">
        <v>0</v>
      </c>
      <c r="U35">
        <v>2</v>
      </c>
      <c r="V35">
        <v>8</v>
      </c>
      <c r="W35" t="s">
        <v>35</v>
      </c>
      <c r="X35" t="s">
        <v>212</v>
      </c>
      <c r="Y35" t="s">
        <v>29</v>
      </c>
      <c r="Z35" t="s">
        <v>37</v>
      </c>
    </row>
    <row r="36" spans="1:26">
      <c r="A36">
        <v>1.8681893050148132E+18</v>
      </c>
      <c r="B36" t="s">
        <v>183</v>
      </c>
      <c r="C36" t="s">
        <v>184</v>
      </c>
      <c r="D36" t="s">
        <v>213</v>
      </c>
      <c r="E36" t="s">
        <v>214</v>
      </c>
      <c r="F36" t="s">
        <v>215</v>
      </c>
      <c r="G36" t="s">
        <v>216</v>
      </c>
      <c r="H36" t="s">
        <v>29</v>
      </c>
      <c r="I36">
        <v>13</v>
      </c>
      <c r="J36">
        <v>17</v>
      </c>
      <c r="K36">
        <v>59</v>
      </c>
      <c r="L36">
        <v>49641</v>
      </c>
      <c r="M36" t="s">
        <v>217</v>
      </c>
      <c r="N36" t="s">
        <v>29</v>
      </c>
      <c r="O36">
        <v>27123001</v>
      </c>
      <c r="P36" t="s">
        <v>190</v>
      </c>
      <c r="Q36">
        <v>402760</v>
      </c>
      <c r="R36" t="s">
        <v>191</v>
      </c>
      <c r="S36">
        <v>155</v>
      </c>
      <c r="T36" t="b">
        <v>0</v>
      </c>
      <c r="U36">
        <v>3</v>
      </c>
      <c r="V36">
        <v>9</v>
      </c>
      <c r="W36" t="s">
        <v>35</v>
      </c>
      <c r="X36" t="s">
        <v>29</v>
      </c>
      <c r="Y36" t="s">
        <v>29</v>
      </c>
      <c r="Z36" t="s">
        <v>37</v>
      </c>
    </row>
    <row r="37" spans="1:26">
      <c r="A37">
        <v>1.8681338246446454E+18</v>
      </c>
      <c r="B37" t="s">
        <v>183</v>
      </c>
      <c r="C37" t="s">
        <v>184</v>
      </c>
      <c r="D37" t="s">
        <v>218</v>
      </c>
      <c r="E37" t="s">
        <v>219</v>
      </c>
      <c r="F37" t="s">
        <v>29</v>
      </c>
      <c r="G37" t="s">
        <v>220</v>
      </c>
      <c r="H37" t="s">
        <v>29</v>
      </c>
      <c r="I37">
        <v>18</v>
      </c>
      <c r="J37">
        <v>16</v>
      </c>
      <c r="K37">
        <v>41</v>
      </c>
      <c r="L37">
        <v>64541</v>
      </c>
      <c r="M37" t="s">
        <v>221</v>
      </c>
      <c r="N37" t="s">
        <v>29</v>
      </c>
      <c r="O37">
        <v>27122605</v>
      </c>
      <c r="P37" t="s">
        <v>190</v>
      </c>
      <c r="Q37">
        <v>402760</v>
      </c>
      <c r="R37" t="s">
        <v>191</v>
      </c>
      <c r="S37">
        <v>155</v>
      </c>
      <c r="T37" t="b">
        <v>0</v>
      </c>
      <c r="U37">
        <v>1</v>
      </c>
      <c r="V37">
        <v>4</v>
      </c>
      <c r="W37" t="s">
        <v>35</v>
      </c>
      <c r="X37" t="s">
        <v>222</v>
      </c>
      <c r="Y37" t="s">
        <v>29</v>
      </c>
      <c r="Z37" t="s">
        <v>37</v>
      </c>
    </row>
    <row r="38" spans="1:26">
      <c r="A38">
        <v>1.8680882161646717E+18</v>
      </c>
      <c r="B38" t="s">
        <v>183</v>
      </c>
      <c r="C38" t="s">
        <v>184</v>
      </c>
      <c r="D38" t="s">
        <v>223</v>
      </c>
      <c r="E38" t="s">
        <v>224</v>
      </c>
      <c r="F38" t="s">
        <v>29</v>
      </c>
      <c r="G38" t="s">
        <v>225</v>
      </c>
      <c r="H38" t="s">
        <v>29</v>
      </c>
      <c r="I38">
        <v>12</v>
      </c>
      <c r="J38">
        <v>12</v>
      </c>
      <c r="K38">
        <v>33</v>
      </c>
      <c r="L38">
        <v>64864</v>
      </c>
      <c r="M38" t="s">
        <v>226</v>
      </c>
      <c r="N38" t="s">
        <v>29</v>
      </c>
      <c r="O38">
        <v>27123001</v>
      </c>
      <c r="P38" t="s">
        <v>190</v>
      </c>
      <c r="Q38">
        <v>402760</v>
      </c>
      <c r="R38" t="s">
        <v>191</v>
      </c>
      <c r="S38">
        <v>155</v>
      </c>
      <c r="T38" t="b">
        <v>0</v>
      </c>
      <c r="U38">
        <v>2</v>
      </c>
      <c r="V38">
        <v>13</v>
      </c>
      <c r="W38" t="s">
        <v>35</v>
      </c>
      <c r="X38" t="s">
        <v>227</v>
      </c>
      <c r="Y38" t="s">
        <v>29</v>
      </c>
      <c r="Z38" t="s">
        <v>37</v>
      </c>
    </row>
    <row r="39" spans="1:26">
      <c r="A39">
        <v>1.8684346136827372E+18</v>
      </c>
      <c r="B39" t="s">
        <v>228</v>
      </c>
      <c r="C39" t="s">
        <v>228</v>
      </c>
      <c r="D39" t="s">
        <v>229</v>
      </c>
      <c r="E39" t="s">
        <v>230</v>
      </c>
      <c r="F39" t="s">
        <v>231</v>
      </c>
      <c r="G39" t="s">
        <v>232</v>
      </c>
      <c r="H39" t="s">
        <v>233</v>
      </c>
      <c r="I39">
        <v>62</v>
      </c>
      <c r="J39">
        <v>12</v>
      </c>
      <c r="K39">
        <v>114</v>
      </c>
      <c r="L39">
        <v>11681</v>
      </c>
      <c r="M39" t="s">
        <v>234</v>
      </c>
      <c r="N39" t="s">
        <v>29</v>
      </c>
      <c r="O39">
        <v>1239616</v>
      </c>
      <c r="P39" t="s">
        <v>235</v>
      </c>
      <c r="Q39">
        <v>402839</v>
      </c>
      <c r="R39" t="s">
        <v>236</v>
      </c>
      <c r="S39">
        <v>1644</v>
      </c>
      <c r="T39" t="b">
        <v>0</v>
      </c>
      <c r="U39">
        <v>3</v>
      </c>
      <c r="V39">
        <v>4</v>
      </c>
      <c r="W39" t="s">
        <v>35</v>
      </c>
      <c r="X39" t="s">
        <v>29</v>
      </c>
      <c r="Y39" t="s">
        <v>29</v>
      </c>
      <c r="Z39" t="s">
        <v>37</v>
      </c>
    </row>
    <row r="40" spans="1:26">
      <c r="A40">
        <v>1.8683930909368855E+18</v>
      </c>
      <c r="B40" t="s">
        <v>228</v>
      </c>
      <c r="C40" t="s">
        <v>228</v>
      </c>
      <c r="D40" t="s">
        <v>237</v>
      </c>
      <c r="E40" t="s">
        <v>238</v>
      </c>
      <c r="F40" t="s">
        <v>239</v>
      </c>
      <c r="G40" t="s">
        <v>240</v>
      </c>
      <c r="H40" t="s">
        <v>241</v>
      </c>
      <c r="I40">
        <v>20</v>
      </c>
      <c r="J40">
        <v>4</v>
      </c>
      <c r="K40">
        <v>20</v>
      </c>
      <c r="L40">
        <v>5118</v>
      </c>
      <c r="M40" t="s">
        <v>242</v>
      </c>
      <c r="N40" t="s">
        <v>29</v>
      </c>
      <c r="O40">
        <v>1239616</v>
      </c>
      <c r="P40" t="s">
        <v>235</v>
      </c>
      <c r="Q40">
        <v>402839</v>
      </c>
      <c r="R40" t="s">
        <v>236</v>
      </c>
      <c r="S40">
        <v>1644</v>
      </c>
      <c r="T40" t="b">
        <v>0</v>
      </c>
      <c r="U40">
        <v>2</v>
      </c>
      <c r="V40">
        <v>0</v>
      </c>
      <c r="W40" t="s">
        <v>35</v>
      </c>
      <c r="X40" t="s">
        <v>29</v>
      </c>
      <c r="Y40" t="s">
        <v>29</v>
      </c>
      <c r="Z40" t="s">
        <v>37</v>
      </c>
    </row>
    <row r="41" spans="1:26">
      <c r="A41">
        <v>1.8683926132605381E+18</v>
      </c>
      <c r="B41" t="s">
        <v>228</v>
      </c>
      <c r="C41" t="s">
        <v>228</v>
      </c>
      <c r="D41" t="s">
        <v>243</v>
      </c>
      <c r="E41" t="s">
        <v>244</v>
      </c>
      <c r="F41" t="s">
        <v>29</v>
      </c>
      <c r="G41" t="s">
        <v>245</v>
      </c>
      <c r="H41" t="s">
        <v>246</v>
      </c>
      <c r="I41">
        <v>222</v>
      </c>
      <c r="J41">
        <v>159</v>
      </c>
      <c r="K41">
        <v>1388</v>
      </c>
      <c r="L41">
        <v>49353</v>
      </c>
      <c r="M41" t="s">
        <v>247</v>
      </c>
      <c r="N41" t="s">
        <v>29</v>
      </c>
      <c r="O41">
        <v>1239616</v>
      </c>
      <c r="P41" t="s">
        <v>235</v>
      </c>
      <c r="Q41">
        <v>402839</v>
      </c>
      <c r="R41" t="s">
        <v>236</v>
      </c>
      <c r="S41">
        <v>1644</v>
      </c>
      <c r="T41" t="b">
        <v>0</v>
      </c>
      <c r="U41">
        <v>22</v>
      </c>
      <c r="V41">
        <v>56</v>
      </c>
      <c r="W41" t="s">
        <v>35</v>
      </c>
      <c r="X41" t="s">
        <v>29</v>
      </c>
      <c r="Y41" t="s">
        <v>248</v>
      </c>
      <c r="Z41" t="s">
        <v>37</v>
      </c>
    </row>
    <row r="42" spans="1:26">
      <c r="A42">
        <v>1.8659574352041088E+18</v>
      </c>
      <c r="B42" t="s">
        <v>249</v>
      </c>
      <c r="C42" t="s">
        <v>249</v>
      </c>
      <c r="D42" t="s">
        <v>250</v>
      </c>
      <c r="E42" t="s">
        <v>251</v>
      </c>
      <c r="F42" t="s">
        <v>252</v>
      </c>
      <c r="G42" t="s">
        <v>253</v>
      </c>
      <c r="H42" t="s">
        <v>254</v>
      </c>
      <c r="I42">
        <v>22</v>
      </c>
      <c r="J42">
        <v>64</v>
      </c>
      <c r="K42">
        <v>907</v>
      </c>
      <c r="L42">
        <v>97855</v>
      </c>
      <c r="M42" t="s">
        <v>52</v>
      </c>
      <c r="N42" t="s">
        <v>29</v>
      </c>
      <c r="O42">
        <v>7196578</v>
      </c>
      <c r="P42" t="s">
        <v>255</v>
      </c>
      <c r="Q42">
        <v>258759</v>
      </c>
      <c r="R42" t="s">
        <v>256</v>
      </c>
      <c r="S42">
        <v>2150</v>
      </c>
      <c r="T42" t="b">
        <v>0</v>
      </c>
      <c r="U42">
        <v>3</v>
      </c>
      <c r="V42">
        <v>3</v>
      </c>
      <c r="W42" t="s">
        <v>35</v>
      </c>
      <c r="X42" t="s">
        <v>29</v>
      </c>
      <c r="Y42" t="s">
        <v>29</v>
      </c>
      <c r="Z42" t="s">
        <v>37</v>
      </c>
    </row>
    <row r="43" spans="1:26">
      <c r="A43">
        <v>1.8683329451628424E+18</v>
      </c>
      <c r="B43" t="s">
        <v>257</v>
      </c>
      <c r="C43" t="s">
        <v>258</v>
      </c>
      <c r="D43" t="s">
        <v>259</v>
      </c>
      <c r="E43" t="s">
        <v>260</v>
      </c>
      <c r="F43" t="s">
        <v>29</v>
      </c>
      <c r="G43" t="s">
        <v>261</v>
      </c>
      <c r="H43" t="s">
        <v>29</v>
      </c>
      <c r="I43">
        <v>71</v>
      </c>
      <c r="J43">
        <v>52</v>
      </c>
      <c r="K43">
        <v>145</v>
      </c>
      <c r="L43">
        <v>9695</v>
      </c>
      <c r="M43" t="s">
        <v>262</v>
      </c>
      <c r="N43" t="s">
        <v>29</v>
      </c>
      <c r="O43">
        <v>42567</v>
      </c>
      <c r="P43" t="s">
        <v>263</v>
      </c>
      <c r="Q43">
        <v>5718</v>
      </c>
      <c r="R43" t="s">
        <v>264</v>
      </c>
      <c r="S43">
        <v>430</v>
      </c>
      <c r="T43" t="b">
        <v>0</v>
      </c>
      <c r="U43">
        <v>11</v>
      </c>
      <c r="V43">
        <v>4</v>
      </c>
      <c r="W43" t="s">
        <v>35</v>
      </c>
      <c r="X43" t="s">
        <v>265</v>
      </c>
      <c r="Y43" t="s">
        <v>29</v>
      </c>
      <c r="Z43" t="s">
        <v>37</v>
      </c>
    </row>
    <row r="44" spans="1:26">
      <c r="A44">
        <v>1.8660014539925302E+18</v>
      </c>
      <c r="B44" t="s">
        <v>266</v>
      </c>
      <c r="C44" t="s">
        <v>266</v>
      </c>
      <c r="D44" t="s">
        <v>267</v>
      </c>
      <c r="E44" t="s">
        <v>268</v>
      </c>
      <c r="F44" t="s">
        <v>269</v>
      </c>
      <c r="G44" t="s">
        <v>270</v>
      </c>
      <c r="H44" t="s">
        <v>271</v>
      </c>
      <c r="I44">
        <v>17</v>
      </c>
      <c r="J44">
        <v>69</v>
      </c>
      <c r="K44">
        <v>473</v>
      </c>
      <c r="L44">
        <v>130773</v>
      </c>
      <c r="M44" t="s">
        <v>52</v>
      </c>
      <c r="N44" t="s">
        <v>29</v>
      </c>
      <c r="O44">
        <v>47705382</v>
      </c>
      <c r="P44" t="s">
        <v>272</v>
      </c>
      <c r="Q44">
        <v>367157</v>
      </c>
      <c r="R44" t="s">
        <v>273</v>
      </c>
      <c r="S44">
        <v>2012</v>
      </c>
      <c r="T44" t="b">
        <v>0</v>
      </c>
      <c r="U44">
        <v>5</v>
      </c>
      <c r="V44">
        <v>9</v>
      </c>
      <c r="W44" t="s">
        <v>274</v>
      </c>
      <c r="X44" t="s">
        <v>29</v>
      </c>
      <c r="Y44" t="s">
        <v>29</v>
      </c>
      <c r="Z44" t="s">
        <v>37</v>
      </c>
    </row>
    <row r="45" spans="1:26">
      <c r="A45">
        <v>1.8683893913177994E+18</v>
      </c>
      <c r="B45" t="s">
        <v>275</v>
      </c>
      <c r="C45" t="s">
        <v>276</v>
      </c>
      <c r="D45" t="s">
        <v>277</v>
      </c>
      <c r="E45" t="s">
        <v>278</v>
      </c>
      <c r="F45" t="s">
        <v>279</v>
      </c>
      <c r="G45" t="s">
        <v>280</v>
      </c>
      <c r="H45" t="s">
        <v>29</v>
      </c>
      <c r="I45">
        <v>37</v>
      </c>
      <c r="J45">
        <v>311</v>
      </c>
      <c r="K45">
        <v>1997</v>
      </c>
      <c r="L45">
        <v>75282</v>
      </c>
      <c r="M45" t="s">
        <v>52</v>
      </c>
      <c r="N45" t="s">
        <v>281</v>
      </c>
      <c r="O45">
        <v>8539601</v>
      </c>
      <c r="P45" t="s">
        <v>282</v>
      </c>
      <c r="Q45">
        <v>75535</v>
      </c>
      <c r="R45" t="s">
        <v>283</v>
      </c>
      <c r="S45">
        <v>117</v>
      </c>
      <c r="T45" t="b">
        <v>0</v>
      </c>
      <c r="U45">
        <v>22</v>
      </c>
      <c r="V45">
        <v>54</v>
      </c>
      <c r="W45" t="s">
        <v>35</v>
      </c>
      <c r="X45" t="s">
        <v>29</v>
      </c>
      <c r="Y45" t="s">
        <v>29</v>
      </c>
      <c r="Z45" t="s">
        <v>37</v>
      </c>
    </row>
    <row r="46" spans="1:26">
      <c r="A46">
        <v>1.8683740362476342E+18</v>
      </c>
      <c r="B46" t="s">
        <v>275</v>
      </c>
      <c r="C46" t="s">
        <v>276</v>
      </c>
      <c r="D46" t="s">
        <v>284</v>
      </c>
      <c r="E46" t="s">
        <v>285</v>
      </c>
      <c r="F46" t="s">
        <v>286</v>
      </c>
      <c r="G46" t="s">
        <v>287</v>
      </c>
      <c r="H46" t="s">
        <v>288</v>
      </c>
      <c r="I46">
        <v>4</v>
      </c>
      <c r="J46">
        <v>28</v>
      </c>
      <c r="K46">
        <v>405</v>
      </c>
      <c r="L46">
        <v>25339</v>
      </c>
      <c r="M46" t="s">
        <v>52</v>
      </c>
      <c r="N46" t="s">
        <v>289</v>
      </c>
      <c r="O46">
        <v>8539601</v>
      </c>
      <c r="P46" t="s">
        <v>282</v>
      </c>
      <c r="Q46">
        <v>75535</v>
      </c>
      <c r="R46" t="s">
        <v>283</v>
      </c>
      <c r="S46">
        <v>117</v>
      </c>
      <c r="T46" t="b">
        <v>0</v>
      </c>
      <c r="U46">
        <v>1</v>
      </c>
      <c r="V46">
        <v>5</v>
      </c>
      <c r="W46" t="s">
        <v>35</v>
      </c>
      <c r="X46" t="s">
        <v>29</v>
      </c>
      <c r="Y46" t="s">
        <v>29</v>
      </c>
      <c r="Z46" t="s">
        <v>37</v>
      </c>
    </row>
    <row r="47" spans="1:26">
      <c r="A47">
        <v>1.8682476912157286E+18</v>
      </c>
      <c r="B47" t="s">
        <v>290</v>
      </c>
      <c r="C47" t="s">
        <v>291</v>
      </c>
      <c r="D47" t="s">
        <v>292</v>
      </c>
      <c r="E47" t="s">
        <v>293</v>
      </c>
      <c r="F47" t="s">
        <v>294</v>
      </c>
      <c r="G47" t="s">
        <v>295</v>
      </c>
      <c r="H47" t="s">
        <v>296</v>
      </c>
      <c r="I47">
        <v>2</v>
      </c>
      <c r="J47">
        <v>6</v>
      </c>
      <c r="K47">
        <v>71</v>
      </c>
      <c r="L47">
        <v>4347</v>
      </c>
      <c r="M47" t="s">
        <v>52</v>
      </c>
      <c r="N47" t="s">
        <v>297</v>
      </c>
      <c r="O47">
        <v>1906482</v>
      </c>
      <c r="P47" t="s">
        <v>298</v>
      </c>
      <c r="Q47">
        <v>124666</v>
      </c>
      <c r="R47" t="s">
        <v>299</v>
      </c>
      <c r="S47">
        <v>432</v>
      </c>
      <c r="T47" t="b">
        <v>0</v>
      </c>
      <c r="U47">
        <v>2</v>
      </c>
      <c r="V47">
        <v>0</v>
      </c>
      <c r="W47" t="s">
        <v>300</v>
      </c>
      <c r="X47" t="s">
        <v>29</v>
      </c>
      <c r="Y47" t="s">
        <v>29</v>
      </c>
      <c r="Z47" t="s">
        <v>37</v>
      </c>
    </row>
    <row r="48" spans="1:26">
      <c r="A48">
        <v>1.8683599709299589E+18</v>
      </c>
      <c r="B48" t="s">
        <v>290</v>
      </c>
      <c r="C48" t="s">
        <v>291</v>
      </c>
      <c r="D48" t="s">
        <v>301</v>
      </c>
      <c r="E48" t="s">
        <v>302</v>
      </c>
      <c r="F48" t="s">
        <v>303</v>
      </c>
      <c r="G48" t="s">
        <v>304</v>
      </c>
      <c r="H48" t="s">
        <v>29</v>
      </c>
      <c r="I48">
        <v>32</v>
      </c>
      <c r="J48">
        <v>203</v>
      </c>
      <c r="K48">
        <v>2169</v>
      </c>
      <c r="L48">
        <v>70255</v>
      </c>
      <c r="M48" t="s">
        <v>52</v>
      </c>
      <c r="N48" t="s">
        <v>305</v>
      </c>
      <c r="O48">
        <v>1906482</v>
      </c>
      <c r="P48" t="s">
        <v>298</v>
      </c>
      <c r="Q48">
        <v>124666</v>
      </c>
      <c r="R48" t="s">
        <v>299</v>
      </c>
      <c r="S48">
        <v>432</v>
      </c>
      <c r="T48" t="b">
        <v>0</v>
      </c>
      <c r="U48">
        <v>27</v>
      </c>
      <c r="V48">
        <v>10</v>
      </c>
      <c r="W48" t="s">
        <v>35</v>
      </c>
      <c r="X48" t="s">
        <v>29</v>
      </c>
      <c r="Y48" t="s">
        <v>29</v>
      </c>
      <c r="Z48" t="s">
        <v>37</v>
      </c>
    </row>
    <row r="49" spans="1:26">
      <c r="A49">
        <v>1.8683415302029847E+18</v>
      </c>
      <c r="B49" t="s">
        <v>306</v>
      </c>
      <c r="C49" t="s">
        <v>291</v>
      </c>
      <c r="D49" t="s">
        <v>307</v>
      </c>
      <c r="E49" t="s">
        <v>308</v>
      </c>
      <c r="F49" t="s">
        <v>309</v>
      </c>
      <c r="G49" t="s">
        <v>310</v>
      </c>
      <c r="H49" t="s">
        <v>29</v>
      </c>
      <c r="I49">
        <v>4</v>
      </c>
      <c r="J49">
        <v>2</v>
      </c>
      <c r="K49">
        <v>125</v>
      </c>
      <c r="L49">
        <v>5099</v>
      </c>
      <c r="M49" t="s">
        <v>52</v>
      </c>
      <c r="N49" t="s">
        <v>305</v>
      </c>
      <c r="O49">
        <v>231526</v>
      </c>
      <c r="P49" t="s">
        <v>311</v>
      </c>
      <c r="Q49">
        <v>18314</v>
      </c>
      <c r="R49" t="s">
        <v>312</v>
      </c>
      <c r="S49">
        <v>233</v>
      </c>
      <c r="T49" t="b">
        <v>0</v>
      </c>
      <c r="U49">
        <v>3</v>
      </c>
      <c r="V49">
        <v>2</v>
      </c>
      <c r="W49" t="s">
        <v>35</v>
      </c>
      <c r="X49" t="s">
        <v>29</v>
      </c>
      <c r="Y49" t="s">
        <v>29</v>
      </c>
      <c r="Z49" t="s">
        <v>37</v>
      </c>
    </row>
    <row r="50" spans="1:26">
      <c r="A50">
        <v>1.8682971446348759E+18</v>
      </c>
      <c r="B50" t="s">
        <v>313</v>
      </c>
      <c r="C50" t="s">
        <v>314</v>
      </c>
      <c r="D50" t="s">
        <v>315</v>
      </c>
      <c r="E50" t="s">
        <v>316</v>
      </c>
      <c r="F50" t="s">
        <v>29</v>
      </c>
      <c r="G50" t="s">
        <v>317</v>
      </c>
      <c r="H50" t="s">
        <v>318</v>
      </c>
      <c r="I50">
        <v>3</v>
      </c>
      <c r="J50">
        <v>1</v>
      </c>
      <c r="K50">
        <v>25</v>
      </c>
      <c r="L50">
        <v>4691</v>
      </c>
      <c r="M50" t="s">
        <v>319</v>
      </c>
      <c r="N50" t="s">
        <v>320</v>
      </c>
      <c r="O50">
        <v>115805</v>
      </c>
      <c r="P50" t="s">
        <v>321</v>
      </c>
      <c r="Q50">
        <v>20240</v>
      </c>
      <c r="R50" t="s">
        <v>322</v>
      </c>
      <c r="S50">
        <v>332</v>
      </c>
      <c r="T50" t="b">
        <v>0</v>
      </c>
      <c r="U50">
        <v>1</v>
      </c>
      <c r="V50">
        <v>4</v>
      </c>
      <c r="W50" t="s">
        <v>35</v>
      </c>
      <c r="X50" t="s">
        <v>323</v>
      </c>
      <c r="Y50" t="s">
        <v>29</v>
      </c>
      <c r="Z50" t="s">
        <v>37</v>
      </c>
    </row>
    <row r="51" spans="1:26">
      <c r="A51">
        <v>1.8682889703518459E+18</v>
      </c>
      <c r="B51" t="s">
        <v>324</v>
      </c>
      <c r="C51" t="s">
        <v>325</v>
      </c>
      <c r="D51" t="s">
        <v>326</v>
      </c>
      <c r="E51" t="s">
        <v>327</v>
      </c>
      <c r="F51" t="s">
        <v>328</v>
      </c>
      <c r="G51" t="s">
        <v>329</v>
      </c>
      <c r="H51" t="s">
        <v>29</v>
      </c>
      <c r="I51">
        <v>2</v>
      </c>
      <c r="J51">
        <v>2</v>
      </c>
      <c r="K51">
        <v>61</v>
      </c>
      <c r="L51">
        <v>3669</v>
      </c>
      <c r="M51" t="s">
        <v>52</v>
      </c>
      <c r="N51" t="s">
        <v>330</v>
      </c>
      <c r="O51">
        <v>43768</v>
      </c>
      <c r="P51" t="s">
        <v>331</v>
      </c>
      <c r="Q51">
        <v>25674</v>
      </c>
      <c r="R51" t="s">
        <v>332</v>
      </c>
      <c r="S51">
        <v>51</v>
      </c>
      <c r="T51" t="b">
        <v>0</v>
      </c>
      <c r="U51">
        <v>1</v>
      </c>
      <c r="V51">
        <v>1</v>
      </c>
      <c r="W51" t="s">
        <v>35</v>
      </c>
      <c r="X51" t="s">
        <v>29</v>
      </c>
      <c r="Y51" t="s">
        <v>29</v>
      </c>
      <c r="Z51" t="s">
        <v>37</v>
      </c>
    </row>
    <row r="52" spans="1:26">
      <c r="A52">
        <v>1.8682950783994312E+18</v>
      </c>
      <c r="B52" t="s">
        <v>333</v>
      </c>
      <c r="C52" t="s">
        <v>334</v>
      </c>
      <c r="D52" t="s">
        <v>335</v>
      </c>
      <c r="E52" t="s">
        <v>336</v>
      </c>
      <c r="F52" t="s">
        <v>337</v>
      </c>
      <c r="G52" t="s">
        <v>338</v>
      </c>
      <c r="H52" t="s">
        <v>29</v>
      </c>
      <c r="I52">
        <v>3</v>
      </c>
      <c r="J52">
        <v>5</v>
      </c>
      <c r="K52">
        <v>87</v>
      </c>
      <c r="L52">
        <v>18192</v>
      </c>
      <c r="M52" t="s">
        <v>339</v>
      </c>
      <c r="N52" t="s">
        <v>340</v>
      </c>
      <c r="O52">
        <v>337839</v>
      </c>
      <c r="P52" t="s">
        <v>341</v>
      </c>
      <c r="Q52">
        <v>57638</v>
      </c>
      <c r="R52" t="s">
        <v>342</v>
      </c>
      <c r="S52">
        <v>587</v>
      </c>
      <c r="T52" t="b">
        <v>0</v>
      </c>
      <c r="U52">
        <v>0</v>
      </c>
      <c r="V52">
        <v>1</v>
      </c>
      <c r="W52" t="s">
        <v>35</v>
      </c>
      <c r="X52" t="s">
        <v>29</v>
      </c>
      <c r="Y52" t="s">
        <v>29</v>
      </c>
      <c r="Z52" t="s">
        <v>37</v>
      </c>
    </row>
    <row r="53" spans="1:26">
      <c r="A53">
        <v>1.86838821714754E+18</v>
      </c>
      <c r="B53" t="s">
        <v>46</v>
      </c>
      <c r="C53" t="s">
        <v>47</v>
      </c>
      <c r="D53" t="s">
        <v>343</v>
      </c>
      <c r="E53" t="s">
        <v>344</v>
      </c>
      <c r="F53" t="s">
        <v>29</v>
      </c>
      <c r="G53" t="s">
        <v>345</v>
      </c>
      <c r="H53" t="s">
        <v>29</v>
      </c>
      <c r="I53">
        <v>9</v>
      </c>
      <c r="J53">
        <v>7</v>
      </c>
      <c r="K53">
        <v>145</v>
      </c>
      <c r="L53">
        <v>17872</v>
      </c>
      <c r="M53" t="s">
        <v>52</v>
      </c>
      <c r="N53" t="s">
        <v>129</v>
      </c>
      <c r="O53">
        <v>8293202</v>
      </c>
      <c r="P53" t="s">
        <v>54</v>
      </c>
      <c r="Q53">
        <v>456734</v>
      </c>
      <c r="R53" t="s">
        <v>55</v>
      </c>
      <c r="S53">
        <v>859</v>
      </c>
      <c r="T53" t="b">
        <v>0</v>
      </c>
      <c r="U53">
        <v>1</v>
      </c>
      <c r="V53">
        <v>5</v>
      </c>
      <c r="W53" t="s">
        <v>35</v>
      </c>
      <c r="X53" t="s">
        <v>29</v>
      </c>
      <c r="Y53" t="s">
        <v>346</v>
      </c>
      <c r="Z53" t="s">
        <v>37</v>
      </c>
    </row>
    <row r="54" spans="1:26">
      <c r="A54">
        <v>1.8683701221983644E+18</v>
      </c>
      <c r="B54" t="s">
        <v>46</v>
      </c>
      <c r="C54" t="s">
        <v>47</v>
      </c>
      <c r="D54" t="s">
        <v>347</v>
      </c>
      <c r="E54" t="s">
        <v>348</v>
      </c>
      <c r="F54" t="s">
        <v>349</v>
      </c>
      <c r="G54" t="s">
        <v>350</v>
      </c>
      <c r="H54" t="s">
        <v>29</v>
      </c>
      <c r="I54">
        <v>6</v>
      </c>
      <c r="J54">
        <v>3</v>
      </c>
      <c r="K54">
        <v>151</v>
      </c>
      <c r="L54">
        <v>16429</v>
      </c>
      <c r="M54" t="s">
        <v>52</v>
      </c>
      <c r="N54" t="s">
        <v>182</v>
      </c>
      <c r="O54">
        <v>8293202</v>
      </c>
      <c r="P54" t="s">
        <v>54</v>
      </c>
      <c r="Q54">
        <v>456734</v>
      </c>
      <c r="R54" t="s">
        <v>55</v>
      </c>
      <c r="S54">
        <v>859</v>
      </c>
      <c r="T54" t="b">
        <v>0</v>
      </c>
      <c r="U54">
        <v>2</v>
      </c>
      <c r="V54">
        <v>1</v>
      </c>
      <c r="W54" t="s">
        <v>35</v>
      </c>
      <c r="X54" t="s">
        <v>29</v>
      </c>
      <c r="Y54" t="s">
        <v>29</v>
      </c>
      <c r="Z54" t="s">
        <v>37</v>
      </c>
    </row>
    <row r="55" spans="1:26">
      <c r="A55">
        <v>1.8683761886511969E+18</v>
      </c>
      <c r="B55" t="s">
        <v>46</v>
      </c>
      <c r="C55" t="s">
        <v>47</v>
      </c>
      <c r="D55" t="s">
        <v>351</v>
      </c>
      <c r="E55" t="s">
        <v>352</v>
      </c>
      <c r="F55" t="s">
        <v>353</v>
      </c>
      <c r="G55" t="s">
        <v>354</v>
      </c>
      <c r="H55" t="s">
        <v>355</v>
      </c>
      <c r="I55">
        <v>9</v>
      </c>
      <c r="J55">
        <v>10</v>
      </c>
      <c r="K55">
        <v>390</v>
      </c>
      <c r="L55">
        <v>24999</v>
      </c>
      <c r="M55" t="s">
        <v>52</v>
      </c>
      <c r="N55" t="s">
        <v>29</v>
      </c>
      <c r="O55">
        <v>8293202</v>
      </c>
      <c r="P55" t="s">
        <v>54</v>
      </c>
      <c r="Q55">
        <v>456734</v>
      </c>
      <c r="R55" t="s">
        <v>55</v>
      </c>
      <c r="S55">
        <v>859</v>
      </c>
      <c r="T55" t="b">
        <v>0</v>
      </c>
      <c r="U55">
        <v>5</v>
      </c>
      <c r="V55">
        <v>2</v>
      </c>
      <c r="W55" t="s">
        <v>35</v>
      </c>
      <c r="X55" t="s">
        <v>29</v>
      </c>
      <c r="Y55" t="s">
        <v>29</v>
      </c>
      <c r="Z55" t="s">
        <v>37</v>
      </c>
    </row>
    <row r="56" spans="1:26">
      <c r="A56">
        <v>1.8683870453051804E+18</v>
      </c>
      <c r="B56" t="s">
        <v>356</v>
      </c>
      <c r="C56" t="s">
        <v>357</v>
      </c>
      <c r="D56" t="s">
        <v>358</v>
      </c>
      <c r="E56" t="s">
        <v>359</v>
      </c>
      <c r="F56" t="s">
        <v>29</v>
      </c>
      <c r="G56" t="s">
        <v>360</v>
      </c>
      <c r="H56" t="s">
        <v>29</v>
      </c>
      <c r="I56">
        <v>5</v>
      </c>
      <c r="J56">
        <v>49</v>
      </c>
      <c r="K56">
        <v>622</v>
      </c>
      <c r="L56">
        <v>9124</v>
      </c>
      <c r="M56" t="s">
        <v>361</v>
      </c>
      <c r="N56" t="s">
        <v>29</v>
      </c>
      <c r="O56">
        <v>450865</v>
      </c>
      <c r="P56" t="s">
        <v>362</v>
      </c>
      <c r="Q56">
        <v>647794</v>
      </c>
      <c r="R56" t="s">
        <v>363</v>
      </c>
      <c r="S56">
        <v>131</v>
      </c>
      <c r="T56" t="b">
        <v>0</v>
      </c>
      <c r="U56">
        <v>7</v>
      </c>
      <c r="V56">
        <v>2</v>
      </c>
      <c r="W56" t="s">
        <v>35</v>
      </c>
      <c r="X56" t="s">
        <v>364</v>
      </c>
      <c r="Y56" t="s">
        <v>29</v>
      </c>
      <c r="Z56" t="s">
        <v>37</v>
      </c>
    </row>
    <row r="57" spans="1:26">
      <c r="A57">
        <v>1.8683876914922373E+18</v>
      </c>
      <c r="B57" t="s">
        <v>356</v>
      </c>
      <c r="C57" t="s">
        <v>357</v>
      </c>
      <c r="D57" t="s">
        <v>365</v>
      </c>
      <c r="E57" t="s">
        <v>366</v>
      </c>
      <c r="F57" t="s">
        <v>29</v>
      </c>
      <c r="G57" t="s">
        <v>367</v>
      </c>
      <c r="H57" t="s">
        <v>29</v>
      </c>
      <c r="I57">
        <v>1</v>
      </c>
      <c r="J57">
        <v>22</v>
      </c>
      <c r="K57">
        <v>424</v>
      </c>
      <c r="L57">
        <v>5837</v>
      </c>
      <c r="M57" t="s">
        <v>368</v>
      </c>
      <c r="N57" t="s">
        <v>29</v>
      </c>
      <c r="O57">
        <v>450865</v>
      </c>
      <c r="P57" t="s">
        <v>362</v>
      </c>
      <c r="Q57">
        <v>647794</v>
      </c>
      <c r="R57" t="s">
        <v>363</v>
      </c>
      <c r="S57">
        <v>131</v>
      </c>
      <c r="T57" t="b">
        <v>0</v>
      </c>
      <c r="U57">
        <v>1</v>
      </c>
      <c r="V57">
        <v>2</v>
      </c>
      <c r="W57" t="s">
        <v>35</v>
      </c>
      <c r="X57" t="s">
        <v>369</v>
      </c>
      <c r="Y57" t="s">
        <v>29</v>
      </c>
      <c r="Z57" t="s">
        <v>37</v>
      </c>
    </row>
    <row r="58" spans="1:26">
      <c r="A58">
        <v>1.8684296142482514E+18</v>
      </c>
      <c r="B58" t="s">
        <v>183</v>
      </c>
      <c r="C58" t="s">
        <v>184</v>
      </c>
      <c r="D58" t="s">
        <v>370</v>
      </c>
      <c r="E58" t="s">
        <v>371</v>
      </c>
      <c r="F58" t="s">
        <v>29</v>
      </c>
      <c r="G58" t="s">
        <v>372</v>
      </c>
      <c r="H58" t="s">
        <v>29</v>
      </c>
      <c r="I58">
        <v>26</v>
      </c>
      <c r="J58">
        <v>4</v>
      </c>
      <c r="K58">
        <v>31</v>
      </c>
      <c r="L58">
        <v>49428</v>
      </c>
      <c r="M58" t="s">
        <v>373</v>
      </c>
      <c r="N58" t="s">
        <v>29</v>
      </c>
      <c r="O58">
        <v>27122999</v>
      </c>
      <c r="P58" t="s">
        <v>190</v>
      </c>
      <c r="Q58">
        <v>402761</v>
      </c>
      <c r="R58" t="s">
        <v>191</v>
      </c>
      <c r="S58">
        <v>155</v>
      </c>
      <c r="T58" t="b">
        <v>0</v>
      </c>
      <c r="U58">
        <v>1</v>
      </c>
      <c r="V58">
        <v>8</v>
      </c>
      <c r="W58" t="s">
        <v>35</v>
      </c>
      <c r="X58" t="s">
        <v>374</v>
      </c>
      <c r="Y58" t="s">
        <v>29</v>
      </c>
      <c r="Z58" t="s">
        <v>37</v>
      </c>
    </row>
    <row r="59" spans="1:26">
      <c r="A59">
        <v>1.8683779966267354E+18</v>
      </c>
      <c r="B59" t="s">
        <v>183</v>
      </c>
      <c r="C59" t="s">
        <v>184</v>
      </c>
      <c r="D59" t="s">
        <v>375</v>
      </c>
      <c r="E59" t="s">
        <v>376</v>
      </c>
      <c r="F59" t="s">
        <v>29</v>
      </c>
      <c r="G59" t="s">
        <v>377</v>
      </c>
      <c r="H59" t="s">
        <v>29</v>
      </c>
      <c r="I59">
        <v>4</v>
      </c>
      <c r="J59">
        <v>4</v>
      </c>
      <c r="K59">
        <v>17</v>
      </c>
      <c r="L59">
        <v>52539</v>
      </c>
      <c r="M59" t="s">
        <v>378</v>
      </c>
      <c r="N59" t="s">
        <v>29</v>
      </c>
      <c r="O59">
        <v>27122998</v>
      </c>
      <c r="P59" t="s">
        <v>190</v>
      </c>
      <c r="Q59">
        <v>402760</v>
      </c>
      <c r="R59" t="s">
        <v>191</v>
      </c>
      <c r="S59">
        <v>155</v>
      </c>
      <c r="T59" t="b">
        <v>0</v>
      </c>
      <c r="U59">
        <v>1</v>
      </c>
      <c r="V59">
        <v>1</v>
      </c>
      <c r="W59" t="s">
        <v>35</v>
      </c>
      <c r="X59" t="s">
        <v>379</v>
      </c>
      <c r="Y59" t="s">
        <v>29</v>
      </c>
      <c r="Z59" t="s">
        <v>37</v>
      </c>
    </row>
    <row r="60" spans="1:26">
      <c r="A60">
        <v>1.8683747360880151E+18</v>
      </c>
      <c r="B60" t="s">
        <v>183</v>
      </c>
      <c r="C60" t="s">
        <v>184</v>
      </c>
      <c r="D60" t="s">
        <v>380</v>
      </c>
      <c r="E60" t="s">
        <v>381</v>
      </c>
      <c r="F60" t="s">
        <v>29</v>
      </c>
      <c r="G60" t="s">
        <v>382</v>
      </c>
      <c r="H60" t="s">
        <v>29</v>
      </c>
      <c r="I60">
        <v>13</v>
      </c>
      <c r="J60">
        <v>8</v>
      </c>
      <c r="K60">
        <v>45</v>
      </c>
      <c r="L60">
        <v>54392</v>
      </c>
      <c r="M60" t="s">
        <v>383</v>
      </c>
      <c r="N60" t="s">
        <v>29</v>
      </c>
      <c r="O60">
        <v>27122602</v>
      </c>
      <c r="P60" t="s">
        <v>190</v>
      </c>
      <c r="Q60">
        <v>402760</v>
      </c>
      <c r="R60" t="s">
        <v>191</v>
      </c>
      <c r="S60">
        <v>155</v>
      </c>
      <c r="T60" t="b">
        <v>0</v>
      </c>
      <c r="U60">
        <v>2</v>
      </c>
      <c r="V60">
        <v>7</v>
      </c>
      <c r="W60" t="s">
        <v>35</v>
      </c>
      <c r="X60" t="s">
        <v>384</v>
      </c>
      <c r="Y60" t="s">
        <v>29</v>
      </c>
      <c r="Z60" t="s">
        <v>37</v>
      </c>
    </row>
    <row r="61" spans="1:26">
      <c r="A61">
        <v>1.868309504036586E+18</v>
      </c>
      <c r="B61" t="s">
        <v>183</v>
      </c>
      <c r="C61" t="s">
        <v>184</v>
      </c>
      <c r="D61" t="s">
        <v>385</v>
      </c>
      <c r="E61" t="s">
        <v>386</v>
      </c>
      <c r="F61" t="s">
        <v>29</v>
      </c>
      <c r="G61" t="s">
        <v>387</v>
      </c>
      <c r="H61" t="s">
        <v>29</v>
      </c>
      <c r="I61">
        <v>19</v>
      </c>
      <c r="J61">
        <v>13</v>
      </c>
      <c r="K61">
        <v>53</v>
      </c>
      <c r="L61">
        <v>46547</v>
      </c>
      <c r="M61" t="s">
        <v>388</v>
      </c>
      <c r="N61" t="s">
        <v>29</v>
      </c>
      <c r="O61">
        <v>27122998</v>
      </c>
      <c r="P61" t="s">
        <v>190</v>
      </c>
      <c r="Q61">
        <v>402760</v>
      </c>
      <c r="R61" t="s">
        <v>191</v>
      </c>
      <c r="S61">
        <v>155</v>
      </c>
      <c r="T61" t="b">
        <v>0</v>
      </c>
      <c r="U61">
        <v>1</v>
      </c>
      <c r="V61">
        <v>4</v>
      </c>
      <c r="W61" t="s">
        <v>35</v>
      </c>
      <c r="X61" t="s">
        <v>389</v>
      </c>
      <c r="Y61" t="s">
        <v>29</v>
      </c>
      <c r="Z61" t="s">
        <v>37</v>
      </c>
    </row>
    <row r="62" spans="1:26">
      <c r="A62">
        <v>1.8682396488597998E+18</v>
      </c>
      <c r="B62" t="s">
        <v>183</v>
      </c>
      <c r="C62" t="s">
        <v>184</v>
      </c>
      <c r="D62" t="s">
        <v>390</v>
      </c>
      <c r="E62" t="s">
        <v>391</v>
      </c>
      <c r="F62" t="s">
        <v>29</v>
      </c>
      <c r="G62" t="s">
        <v>392</v>
      </c>
      <c r="H62" t="s">
        <v>29</v>
      </c>
      <c r="I62">
        <v>18</v>
      </c>
      <c r="J62">
        <v>5</v>
      </c>
      <c r="K62">
        <v>25</v>
      </c>
      <c r="L62">
        <v>46011</v>
      </c>
      <c r="M62" t="s">
        <v>393</v>
      </c>
      <c r="N62" t="s">
        <v>29</v>
      </c>
      <c r="O62">
        <v>27122999</v>
      </c>
      <c r="P62" t="s">
        <v>190</v>
      </c>
      <c r="Q62">
        <v>402760</v>
      </c>
      <c r="R62" t="s">
        <v>191</v>
      </c>
      <c r="S62">
        <v>155</v>
      </c>
      <c r="T62" t="b">
        <v>0</v>
      </c>
      <c r="U62">
        <v>2</v>
      </c>
      <c r="V62">
        <v>7</v>
      </c>
      <c r="W62" t="s">
        <v>35</v>
      </c>
      <c r="X62" t="s">
        <v>394</v>
      </c>
      <c r="Y62" t="s">
        <v>29</v>
      </c>
      <c r="Z62" t="s">
        <v>37</v>
      </c>
    </row>
    <row r="63" spans="1:26">
      <c r="A63">
        <v>1.8682277620974349E+18</v>
      </c>
      <c r="B63" t="s">
        <v>183</v>
      </c>
      <c r="C63" t="s">
        <v>184</v>
      </c>
      <c r="D63" t="s">
        <v>395</v>
      </c>
      <c r="E63" t="s">
        <v>396</v>
      </c>
      <c r="F63" t="s">
        <v>29</v>
      </c>
      <c r="G63" t="s">
        <v>397</v>
      </c>
      <c r="H63" t="s">
        <v>29</v>
      </c>
      <c r="I63">
        <v>16</v>
      </c>
      <c r="J63">
        <v>6</v>
      </c>
      <c r="K63">
        <v>26</v>
      </c>
      <c r="L63">
        <v>47941</v>
      </c>
      <c r="M63" t="s">
        <v>398</v>
      </c>
      <c r="N63" t="s">
        <v>29</v>
      </c>
      <c r="O63">
        <v>27122999</v>
      </c>
      <c r="P63" t="s">
        <v>190</v>
      </c>
      <c r="Q63">
        <v>402760</v>
      </c>
      <c r="R63" t="s">
        <v>191</v>
      </c>
      <c r="S63">
        <v>155</v>
      </c>
      <c r="T63" t="b">
        <v>0</v>
      </c>
      <c r="U63">
        <v>1</v>
      </c>
      <c r="V63">
        <v>2</v>
      </c>
      <c r="W63" t="s">
        <v>35</v>
      </c>
      <c r="X63" t="s">
        <v>399</v>
      </c>
      <c r="Y63" t="s">
        <v>29</v>
      </c>
      <c r="Z63" t="s">
        <v>37</v>
      </c>
    </row>
    <row r="64" spans="1:26">
      <c r="A64">
        <v>1.8681705490855037E+18</v>
      </c>
      <c r="B64" t="s">
        <v>183</v>
      </c>
      <c r="C64" t="s">
        <v>184</v>
      </c>
      <c r="D64" t="s">
        <v>400</v>
      </c>
      <c r="E64" t="s">
        <v>401</v>
      </c>
      <c r="F64" t="s">
        <v>29</v>
      </c>
      <c r="G64" t="s">
        <v>402</v>
      </c>
      <c r="H64" t="s">
        <v>29</v>
      </c>
      <c r="I64">
        <v>11</v>
      </c>
      <c r="J64">
        <v>9</v>
      </c>
      <c r="K64">
        <v>31</v>
      </c>
      <c r="L64">
        <v>54146</v>
      </c>
      <c r="M64" t="s">
        <v>403</v>
      </c>
      <c r="N64" t="s">
        <v>29</v>
      </c>
      <c r="O64">
        <v>27122605</v>
      </c>
      <c r="P64" t="s">
        <v>190</v>
      </c>
      <c r="Q64">
        <v>402760</v>
      </c>
      <c r="R64" t="s">
        <v>191</v>
      </c>
      <c r="S64">
        <v>155</v>
      </c>
      <c r="T64" t="b">
        <v>0</v>
      </c>
      <c r="U64">
        <v>4</v>
      </c>
      <c r="V64">
        <v>9</v>
      </c>
      <c r="W64" t="s">
        <v>35</v>
      </c>
      <c r="X64" t="s">
        <v>404</v>
      </c>
      <c r="Y64" t="s">
        <v>29</v>
      </c>
      <c r="Z64" t="s">
        <v>37</v>
      </c>
    </row>
    <row r="65" spans="1:26">
      <c r="A65">
        <v>1.8680923078885381E+18</v>
      </c>
      <c r="B65" t="s">
        <v>183</v>
      </c>
      <c r="C65" t="s">
        <v>184</v>
      </c>
      <c r="D65" t="s">
        <v>405</v>
      </c>
      <c r="E65" t="s">
        <v>406</v>
      </c>
      <c r="F65" t="s">
        <v>29</v>
      </c>
      <c r="G65" t="s">
        <v>407</v>
      </c>
      <c r="H65" t="s">
        <v>29</v>
      </c>
      <c r="I65">
        <v>24</v>
      </c>
      <c r="J65">
        <v>16</v>
      </c>
      <c r="K65">
        <v>55</v>
      </c>
      <c r="L65">
        <v>57427</v>
      </c>
      <c r="M65" t="s">
        <v>408</v>
      </c>
      <c r="N65" t="s">
        <v>29</v>
      </c>
      <c r="O65">
        <v>27123001</v>
      </c>
      <c r="P65" t="s">
        <v>190</v>
      </c>
      <c r="Q65">
        <v>402760</v>
      </c>
      <c r="R65" t="s">
        <v>191</v>
      </c>
      <c r="S65">
        <v>155</v>
      </c>
      <c r="T65" t="b">
        <v>0</v>
      </c>
      <c r="U65">
        <v>1</v>
      </c>
      <c r="V65">
        <v>7</v>
      </c>
      <c r="W65" t="s">
        <v>35</v>
      </c>
      <c r="X65" t="s">
        <v>409</v>
      </c>
      <c r="Y65" t="s">
        <v>29</v>
      </c>
      <c r="Z65" t="s">
        <v>37</v>
      </c>
    </row>
    <row r="66" spans="1:26">
      <c r="A66">
        <v>1.8684692946713029E+18</v>
      </c>
      <c r="B66" t="s">
        <v>228</v>
      </c>
      <c r="C66" t="s">
        <v>228</v>
      </c>
      <c r="D66" t="s">
        <v>410</v>
      </c>
      <c r="E66" t="s">
        <v>411</v>
      </c>
      <c r="F66" t="s">
        <v>412</v>
      </c>
      <c r="G66" t="s">
        <v>413</v>
      </c>
      <c r="H66" t="s">
        <v>29</v>
      </c>
      <c r="I66">
        <v>55</v>
      </c>
      <c r="J66">
        <v>12</v>
      </c>
      <c r="K66">
        <v>132</v>
      </c>
      <c r="L66">
        <v>9738</v>
      </c>
      <c r="M66" t="s">
        <v>414</v>
      </c>
      <c r="N66" t="s">
        <v>29</v>
      </c>
      <c r="O66">
        <v>1239615</v>
      </c>
      <c r="P66" t="s">
        <v>235</v>
      </c>
      <c r="Q66">
        <v>402839</v>
      </c>
      <c r="R66" t="s">
        <v>236</v>
      </c>
      <c r="S66">
        <v>1644</v>
      </c>
      <c r="T66" t="b">
        <v>0</v>
      </c>
      <c r="U66">
        <v>4</v>
      </c>
      <c r="V66">
        <v>3</v>
      </c>
      <c r="W66" t="s">
        <v>35</v>
      </c>
      <c r="X66" t="s">
        <v>29</v>
      </c>
      <c r="Y66" t="s">
        <v>29</v>
      </c>
      <c r="Z66" t="s">
        <v>37</v>
      </c>
    </row>
    <row r="67" spans="1:26">
      <c r="A67">
        <v>1.8684119641727593E+18</v>
      </c>
      <c r="B67" t="s">
        <v>228</v>
      </c>
      <c r="C67" t="s">
        <v>228</v>
      </c>
      <c r="D67" t="s">
        <v>415</v>
      </c>
      <c r="E67" t="s">
        <v>416</v>
      </c>
      <c r="F67" t="s">
        <v>417</v>
      </c>
      <c r="G67" t="s">
        <v>418</v>
      </c>
      <c r="H67" t="s">
        <v>29</v>
      </c>
      <c r="I67">
        <v>30</v>
      </c>
      <c r="J67">
        <v>4</v>
      </c>
      <c r="K67">
        <v>44</v>
      </c>
      <c r="L67">
        <v>6791</v>
      </c>
      <c r="M67" t="s">
        <v>419</v>
      </c>
      <c r="N67" t="s">
        <v>29</v>
      </c>
      <c r="O67">
        <v>1239616</v>
      </c>
      <c r="P67" t="s">
        <v>235</v>
      </c>
      <c r="Q67">
        <v>402839</v>
      </c>
      <c r="R67" t="s">
        <v>236</v>
      </c>
      <c r="S67">
        <v>1644</v>
      </c>
      <c r="T67" t="b">
        <v>0</v>
      </c>
      <c r="U67">
        <v>3</v>
      </c>
      <c r="V67">
        <v>2</v>
      </c>
      <c r="W67" t="s">
        <v>35</v>
      </c>
      <c r="X67" t="s">
        <v>29</v>
      </c>
      <c r="Y67" t="s">
        <v>29</v>
      </c>
      <c r="Z67" t="s">
        <v>37</v>
      </c>
    </row>
    <row r="68" spans="1:26">
      <c r="A68">
        <v>1.8683526108785626E+18</v>
      </c>
      <c r="B68" t="s">
        <v>228</v>
      </c>
      <c r="C68" t="s">
        <v>228</v>
      </c>
      <c r="D68" t="s">
        <v>420</v>
      </c>
      <c r="E68" t="s">
        <v>421</v>
      </c>
      <c r="F68" t="s">
        <v>29</v>
      </c>
      <c r="G68" t="s">
        <v>422</v>
      </c>
      <c r="H68" t="s">
        <v>423</v>
      </c>
      <c r="I68">
        <v>6</v>
      </c>
      <c r="J68">
        <v>7</v>
      </c>
      <c r="K68">
        <v>23</v>
      </c>
      <c r="L68">
        <v>10422</v>
      </c>
      <c r="M68" t="s">
        <v>52</v>
      </c>
      <c r="N68" t="s">
        <v>29</v>
      </c>
      <c r="O68">
        <v>1239618</v>
      </c>
      <c r="P68" t="s">
        <v>235</v>
      </c>
      <c r="Q68">
        <v>402839</v>
      </c>
      <c r="R68" t="s">
        <v>236</v>
      </c>
      <c r="S68">
        <v>1644</v>
      </c>
      <c r="T68" t="b">
        <v>0</v>
      </c>
      <c r="U68">
        <v>1</v>
      </c>
      <c r="V68">
        <v>8</v>
      </c>
      <c r="W68" t="s">
        <v>35</v>
      </c>
      <c r="X68" t="s">
        <v>29</v>
      </c>
      <c r="Y68" t="s">
        <v>424</v>
      </c>
      <c r="Z68" t="s">
        <v>37</v>
      </c>
    </row>
    <row r="69" spans="1:26">
      <c r="A69">
        <v>1.8683476569569405E+18</v>
      </c>
      <c r="B69" t="s">
        <v>228</v>
      </c>
      <c r="C69" t="s">
        <v>228</v>
      </c>
      <c r="D69" t="s">
        <v>425</v>
      </c>
      <c r="E69" t="s">
        <v>426</v>
      </c>
      <c r="F69" t="s">
        <v>427</v>
      </c>
      <c r="G69" t="s">
        <v>428</v>
      </c>
      <c r="H69" t="s">
        <v>29</v>
      </c>
      <c r="I69">
        <v>20</v>
      </c>
      <c r="J69">
        <v>17</v>
      </c>
      <c r="K69">
        <v>136</v>
      </c>
      <c r="L69">
        <v>9777</v>
      </c>
      <c r="M69" t="s">
        <v>429</v>
      </c>
      <c r="N69" t="s">
        <v>29</v>
      </c>
      <c r="O69">
        <v>1239618</v>
      </c>
      <c r="P69" t="s">
        <v>235</v>
      </c>
      <c r="Q69">
        <v>402839</v>
      </c>
      <c r="R69" t="s">
        <v>236</v>
      </c>
      <c r="S69">
        <v>1644</v>
      </c>
      <c r="T69" t="b">
        <v>0</v>
      </c>
      <c r="U69">
        <v>9</v>
      </c>
      <c r="V69">
        <v>1</v>
      </c>
      <c r="W69" t="s">
        <v>35</v>
      </c>
      <c r="X69" t="s">
        <v>29</v>
      </c>
      <c r="Y69" t="s">
        <v>29</v>
      </c>
      <c r="Z69" t="s">
        <v>37</v>
      </c>
    </row>
    <row r="70" spans="1:26">
      <c r="A70">
        <v>1.8683921650862899E+18</v>
      </c>
      <c r="B70" t="s">
        <v>228</v>
      </c>
      <c r="C70" t="s">
        <v>228</v>
      </c>
      <c r="D70" t="s">
        <v>430</v>
      </c>
      <c r="E70" t="s">
        <v>431</v>
      </c>
      <c r="F70" t="s">
        <v>29</v>
      </c>
      <c r="G70" t="s">
        <v>432</v>
      </c>
      <c r="H70" t="s">
        <v>29</v>
      </c>
      <c r="I70">
        <v>533</v>
      </c>
      <c r="J70">
        <v>163</v>
      </c>
      <c r="K70">
        <v>1216</v>
      </c>
      <c r="L70">
        <v>109074</v>
      </c>
      <c r="M70" t="s">
        <v>433</v>
      </c>
      <c r="N70" t="s">
        <v>29</v>
      </c>
      <c r="O70">
        <v>1239617</v>
      </c>
      <c r="P70" t="s">
        <v>235</v>
      </c>
      <c r="Q70">
        <v>402839</v>
      </c>
      <c r="R70" t="s">
        <v>236</v>
      </c>
      <c r="S70">
        <v>1644</v>
      </c>
      <c r="T70" t="b">
        <v>0</v>
      </c>
      <c r="U70">
        <v>81</v>
      </c>
      <c r="V70">
        <v>67</v>
      </c>
      <c r="W70" t="s">
        <v>35</v>
      </c>
      <c r="X70" t="s">
        <v>29</v>
      </c>
      <c r="Y70" t="s">
        <v>434</v>
      </c>
      <c r="Z70" t="s">
        <v>37</v>
      </c>
    </row>
    <row r="71" spans="1:26">
      <c r="A71">
        <v>1.8680930416781066E+18</v>
      </c>
      <c r="B71" t="s">
        <v>228</v>
      </c>
      <c r="C71" t="s">
        <v>228</v>
      </c>
      <c r="D71" t="s">
        <v>435</v>
      </c>
      <c r="E71" t="s">
        <v>436</v>
      </c>
      <c r="F71" t="s">
        <v>437</v>
      </c>
      <c r="G71" t="s">
        <v>438</v>
      </c>
      <c r="H71" t="s">
        <v>29</v>
      </c>
      <c r="I71">
        <v>258</v>
      </c>
      <c r="J71">
        <v>126</v>
      </c>
      <c r="K71">
        <v>1201</v>
      </c>
      <c r="L71">
        <v>79371</v>
      </c>
      <c r="M71" t="s">
        <v>439</v>
      </c>
      <c r="N71" t="s">
        <v>29</v>
      </c>
      <c r="O71">
        <v>1239618</v>
      </c>
      <c r="P71" t="s">
        <v>235</v>
      </c>
      <c r="Q71">
        <v>402839</v>
      </c>
      <c r="R71" t="s">
        <v>236</v>
      </c>
      <c r="S71">
        <v>1644</v>
      </c>
      <c r="T71" t="b">
        <v>0</v>
      </c>
      <c r="U71">
        <v>44</v>
      </c>
      <c r="V71">
        <v>38</v>
      </c>
      <c r="W71" t="s">
        <v>35</v>
      </c>
      <c r="X71" t="s">
        <v>29</v>
      </c>
      <c r="Y71" t="s">
        <v>29</v>
      </c>
      <c r="Z71" t="s">
        <v>37</v>
      </c>
    </row>
    <row r="72" spans="1:26">
      <c r="A72">
        <v>1.8684503677861115E+18</v>
      </c>
      <c r="B72" t="s">
        <v>440</v>
      </c>
      <c r="C72" t="s">
        <v>441</v>
      </c>
      <c r="D72" t="s">
        <v>442</v>
      </c>
      <c r="E72" t="s">
        <v>443</v>
      </c>
      <c r="F72" t="s">
        <v>29</v>
      </c>
      <c r="G72" t="s">
        <v>444</v>
      </c>
      <c r="H72" t="s">
        <v>445</v>
      </c>
      <c r="I72">
        <v>2</v>
      </c>
      <c r="J72">
        <v>2</v>
      </c>
      <c r="K72">
        <v>2</v>
      </c>
      <c r="L72">
        <v>287</v>
      </c>
      <c r="M72" t="s">
        <v>446</v>
      </c>
      <c r="N72" t="s">
        <v>29</v>
      </c>
      <c r="O72">
        <v>16968</v>
      </c>
      <c r="P72" t="s">
        <v>447</v>
      </c>
      <c r="Q72">
        <v>8248</v>
      </c>
      <c r="R72" t="s">
        <v>448</v>
      </c>
      <c r="S72">
        <v>1047</v>
      </c>
      <c r="T72" t="b">
        <v>0</v>
      </c>
      <c r="U72">
        <v>0</v>
      </c>
      <c r="V72">
        <v>2</v>
      </c>
      <c r="W72" t="s">
        <v>35</v>
      </c>
      <c r="X72" t="s">
        <v>449</v>
      </c>
      <c r="Y72" t="s">
        <v>29</v>
      </c>
      <c r="Z72" t="s">
        <v>37</v>
      </c>
    </row>
    <row r="73" spans="1:26">
      <c r="A73">
        <v>1.7795603888597609E+18</v>
      </c>
      <c r="B73" t="s">
        <v>450</v>
      </c>
      <c r="C73" t="s">
        <v>451</v>
      </c>
      <c r="D73" t="s">
        <v>452</v>
      </c>
      <c r="E73" t="s">
        <v>453</v>
      </c>
      <c r="F73" t="s">
        <v>454</v>
      </c>
      <c r="G73" t="s">
        <v>455</v>
      </c>
      <c r="H73" t="s">
        <v>456</v>
      </c>
      <c r="I73">
        <v>2645</v>
      </c>
      <c r="J73">
        <v>48199</v>
      </c>
      <c r="K73">
        <v>375518</v>
      </c>
      <c r="L73">
        <v>8521649</v>
      </c>
      <c r="M73" t="s">
        <v>52</v>
      </c>
      <c r="N73" t="s">
        <v>29</v>
      </c>
      <c r="O73">
        <v>22924916</v>
      </c>
      <c r="P73" t="s">
        <v>457</v>
      </c>
      <c r="Q73">
        <v>52582</v>
      </c>
      <c r="R73" t="s">
        <v>458</v>
      </c>
      <c r="S73">
        <v>2602</v>
      </c>
      <c r="T73" t="b">
        <v>0</v>
      </c>
      <c r="U73">
        <v>4977</v>
      </c>
      <c r="V73">
        <v>2337</v>
      </c>
      <c r="W73" t="s">
        <v>35</v>
      </c>
      <c r="X73" t="s">
        <v>29</v>
      </c>
      <c r="Y73" t="s">
        <v>29</v>
      </c>
      <c r="Z73" t="s">
        <v>37</v>
      </c>
    </row>
    <row r="74" spans="1:26">
      <c r="A74">
        <v>1.8684006319179986E+18</v>
      </c>
      <c r="B74" t="s">
        <v>275</v>
      </c>
      <c r="C74" t="s">
        <v>276</v>
      </c>
      <c r="D74" t="s">
        <v>459</v>
      </c>
      <c r="E74" t="s">
        <v>460</v>
      </c>
      <c r="F74" t="s">
        <v>461</v>
      </c>
      <c r="G74" t="s">
        <v>462</v>
      </c>
      <c r="H74" t="s">
        <v>463</v>
      </c>
      <c r="I74">
        <v>48</v>
      </c>
      <c r="J74">
        <v>238</v>
      </c>
      <c r="K74">
        <v>4148</v>
      </c>
      <c r="L74">
        <v>74303</v>
      </c>
      <c r="M74" t="s">
        <v>52</v>
      </c>
      <c r="N74" t="s">
        <v>29</v>
      </c>
      <c r="O74">
        <v>8539601</v>
      </c>
      <c r="P74" t="s">
        <v>282</v>
      </c>
      <c r="Q74">
        <v>75535</v>
      </c>
      <c r="R74" t="s">
        <v>283</v>
      </c>
      <c r="S74">
        <v>117</v>
      </c>
      <c r="T74" t="b">
        <v>0</v>
      </c>
      <c r="U74">
        <v>28</v>
      </c>
      <c r="V74">
        <v>54</v>
      </c>
      <c r="W74" t="s">
        <v>35</v>
      </c>
      <c r="X74" t="s">
        <v>29</v>
      </c>
      <c r="Y74" t="s">
        <v>29</v>
      </c>
      <c r="Z74" t="s">
        <v>37</v>
      </c>
    </row>
    <row r="75" spans="1:26">
      <c r="A75">
        <v>1.8683556261049224E+18</v>
      </c>
      <c r="B75" t="s">
        <v>290</v>
      </c>
      <c r="C75" t="s">
        <v>291</v>
      </c>
      <c r="D75" t="s">
        <v>464</v>
      </c>
      <c r="E75" t="s">
        <v>465</v>
      </c>
      <c r="F75" t="s">
        <v>466</v>
      </c>
      <c r="G75" t="s">
        <v>467</v>
      </c>
      <c r="H75" t="s">
        <v>29</v>
      </c>
      <c r="I75">
        <v>3</v>
      </c>
      <c r="J75">
        <v>10</v>
      </c>
      <c r="K75">
        <v>200</v>
      </c>
      <c r="L75">
        <v>14932</v>
      </c>
      <c r="M75" t="s">
        <v>52</v>
      </c>
      <c r="N75" t="s">
        <v>305</v>
      </c>
      <c r="O75">
        <v>1906482</v>
      </c>
      <c r="P75" t="s">
        <v>298</v>
      </c>
      <c r="Q75">
        <v>124666</v>
      </c>
      <c r="R75" t="s">
        <v>299</v>
      </c>
      <c r="S75">
        <v>432</v>
      </c>
      <c r="T75" t="b">
        <v>0</v>
      </c>
      <c r="U75">
        <v>1</v>
      </c>
      <c r="V75">
        <v>1</v>
      </c>
      <c r="W75" t="s">
        <v>35</v>
      </c>
      <c r="X75" t="s">
        <v>29</v>
      </c>
      <c r="Y75" t="s">
        <v>29</v>
      </c>
      <c r="Z75" t="s">
        <v>37</v>
      </c>
    </row>
    <row r="76" spans="1:26">
      <c r="A76">
        <v>1.8682345541606239E+18</v>
      </c>
      <c r="B76" t="s">
        <v>468</v>
      </c>
      <c r="C76" t="s">
        <v>469</v>
      </c>
      <c r="D76" t="s">
        <v>470</v>
      </c>
      <c r="E76" t="s">
        <v>471</v>
      </c>
      <c r="F76" t="s">
        <v>472</v>
      </c>
      <c r="G76" t="s">
        <v>473</v>
      </c>
      <c r="H76" t="s">
        <v>474</v>
      </c>
      <c r="I76">
        <v>2</v>
      </c>
      <c r="J76">
        <v>1</v>
      </c>
      <c r="K76">
        <v>69</v>
      </c>
      <c r="L76">
        <v>4022</v>
      </c>
      <c r="M76" t="s">
        <v>52</v>
      </c>
      <c r="N76" t="s">
        <v>29</v>
      </c>
      <c r="O76">
        <v>12165</v>
      </c>
      <c r="P76" t="s">
        <v>475</v>
      </c>
      <c r="Q76">
        <v>294</v>
      </c>
      <c r="R76" t="s">
        <v>476</v>
      </c>
      <c r="S76">
        <v>378</v>
      </c>
      <c r="T76" t="b">
        <v>0</v>
      </c>
      <c r="U76">
        <v>6</v>
      </c>
      <c r="V76">
        <v>3</v>
      </c>
      <c r="W76" t="s">
        <v>35</v>
      </c>
      <c r="X76" t="s">
        <v>29</v>
      </c>
      <c r="Y76" t="s">
        <v>29</v>
      </c>
      <c r="Z76" t="s">
        <v>37</v>
      </c>
    </row>
    <row r="77" spans="1:26">
      <c r="A77">
        <v>1.8682954866265134E+18</v>
      </c>
      <c r="B77" t="s">
        <v>333</v>
      </c>
      <c r="C77" t="s">
        <v>334</v>
      </c>
      <c r="D77" t="s">
        <v>477</v>
      </c>
      <c r="E77" t="s">
        <v>478</v>
      </c>
      <c r="F77" t="s">
        <v>479</v>
      </c>
      <c r="G77" t="s">
        <v>480</v>
      </c>
      <c r="H77" t="s">
        <v>29</v>
      </c>
      <c r="I77">
        <v>12</v>
      </c>
      <c r="J77">
        <v>175</v>
      </c>
      <c r="K77">
        <v>2094</v>
      </c>
      <c r="L77">
        <v>52433</v>
      </c>
      <c r="M77" t="s">
        <v>52</v>
      </c>
      <c r="N77" t="s">
        <v>340</v>
      </c>
      <c r="O77">
        <v>337839</v>
      </c>
      <c r="P77" t="s">
        <v>341</v>
      </c>
      <c r="Q77">
        <v>57638</v>
      </c>
      <c r="R77" t="s">
        <v>342</v>
      </c>
      <c r="S77">
        <v>587</v>
      </c>
      <c r="T77" t="b">
        <v>0</v>
      </c>
      <c r="U77">
        <v>17</v>
      </c>
      <c r="V77">
        <v>21</v>
      </c>
      <c r="W77" t="s">
        <v>35</v>
      </c>
      <c r="X77" t="s">
        <v>29</v>
      </c>
      <c r="Y77" t="s">
        <v>29</v>
      </c>
      <c r="Z77" t="s">
        <v>37</v>
      </c>
    </row>
    <row r="78" spans="1:26">
      <c r="A78">
        <v>1.8682858781306883E+18</v>
      </c>
      <c r="B78" t="s">
        <v>333</v>
      </c>
      <c r="C78" t="s">
        <v>334</v>
      </c>
      <c r="D78" t="s">
        <v>481</v>
      </c>
      <c r="E78" t="s">
        <v>482</v>
      </c>
      <c r="F78" t="s">
        <v>483</v>
      </c>
      <c r="G78" t="s">
        <v>484</v>
      </c>
      <c r="H78" t="s">
        <v>29</v>
      </c>
      <c r="I78">
        <v>25</v>
      </c>
      <c r="J78">
        <v>43</v>
      </c>
      <c r="K78">
        <v>883</v>
      </c>
      <c r="L78">
        <v>36948</v>
      </c>
      <c r="M78" t="s">
        <v>52</v>
      </c>
      <c r="N78" t="s">
        <v>340</v>
      </c>
      <c r="O78">
        <v>337839</v>
      </c>
      <c r="P78" t="s">
        <v>341</v>
      </c>
      <c r="Q78">
        <v>57638</v>
      </c>
      <c r="R78" t="s">
        <v>342</v>
      </c>
      <c r="S78">
        <v>587</v>
      </c>
      <c r="T78" t="b">
        <v>0</v>
      </c>
      <c r="U78">
        <v>25</v>
      </c>
      <c r="V78">
        <v>4</v>
      </c>
      <c r="W78" t="s">
        <v>35</v>
      </c>
      <c r="X78" t="s">
        <v>29</v>
      </c>
      <c r="Y78" t="s">
        <v>29</v>
      </c>
      <c r="Z78" t="s">
        <v>37</v>
      </c>
    </row>
    <row r="79" spans="1:26">
      <c r="A79">
        <v>1.8683104680725012E+18</v>
      </c>
      <c r="B79" t="s">
        <v>333</v>
      </c>
      <c r="C79" t="s">
        <v>334</v>
      </c>
      <c r="D79" t="s">
        <v>485</v>
      </c>
      <c r="E79" t="s">
        <v>486</v>
      </c>
      <c r="F79" t="s">
        <v>487</v>
      </c>
      <c r="G79" t="s">
        <v>488</v>
      </c>
      <c r="H79" t="s">
        <v>489</v>
      </c>
      <c r="I79">
        <v>1</v>
      </c>
      <c r="J79">
        <v>10</v>
      </c>
      <c r="K79">
        <v>191</v>
      </c>
      <c r="L79">
        <v>10393</v>
      </c>
      <c r="M79" t="s">
        <v>52</v>
      </c>
      <c r="N79" t="s">
        <v>340</v>
      </c>
      <c r="O79">
        <v>337839</v>
      </c>
      <c r="P79" t="s">
        <v>341</v>
      </c>
      <c r="Q79">
        <v>57638</v>
      </c>
      <c r="R79" t="s">
        <v>342</v>
      </c>
      <c r="S79">
        <v>587</v>
      </c>
      <c r="T79" t="b">
        <v>0</v>
      </c>
      <c r="U79">
        <v>1</v>
      </c>
      <c r="V79">
        <v>1</v>
      </c>
      <c r="W79" t="s">
        <v>35</v>
      </c>
      <c r="X79" t="s">
        <v>29</v>
      </c>
      <c r="Y79" t="s">
        <v>29</v>
      </c>
      <c r="Z79" t="s">
        <v>37</v>
      </c>
    </row>
    <row r="80" spans="1:26">
      <c r="A80">
        <v>1.8683631258018081E+18</v>
      </c>
      <c r="B80" t="s">
        <v>46</v>
      </c>
      <c r="C80" t="s">
        <v>47</v>
      </c>
      <c r="D80" t="s">
        <v>490</v>
      </c>
      <c r="E80" t="s">
        <v>491</v>
      </c>
      <c r="F80" t="s">
        <v>492</v>
      </c>
      <c r="G80" t="s">
        <v>493</v>
      </c>
      <c r="H80" t="s">
        <v>29</v>
      </c>
      <c r="I80">
        <v>70</v>
      </c>
      <c r="J80">
        <v>83</v>
      </c>
      <c r="K80">
        <v>2528</v>
      </c>
      <c r="L80">
        <v>50653</v>
      </c>
      <c r="M80" t="s">
        <v>52</v>
      </c>
      <c r="N80" t="s">
        <v>182</v>
      </c>
      <c r="O80">
        <v>8293201</v>
      </c>
      <c r="P80" t="s">
        <v>54</v>
      </c>
      <c r="Q80">
        <v>456734</v>
      </c>
      <c r="R80" t="s">
        <v>55</v>
      </c>
      <c r="S80">
        <v>859</v>
      </c>
      <c r="T80" t="b">
        <v>0</v>
      </c>
      <c r="U80">
        <v>42</v>
      </c>
      <c r="V80">
        <v>14</v>
      </c>
      <c r="W80" t="s">
        <v>35</v>
      </c>
      <c r="X80" t="s">
        <v>29</v>
      </c>
      <c r="Y80" t="s">
        <v>29</v>
      </c>
      <c r="Z80" t="s">
        <v>37</v>
      </c>
    </row>
    <row r="81" spans="1:26">
      <c r="A81">
        <v>1.8684848271391708E+18</v>
      </c>
      <c r="B81" t="s">
        <v>183</v>
      </c>
      <c r="C81" t="s">
        <v>184</v>
      </c>
      <c r="D81" t="s">
        <v>494</v>
      </c>
      <c r="E81" t="s">
        <v>495</v>
      </c>
      <c r="F81" t="s">
        <v>29</v>
      </c>
      <c r="G81" t="s">
        <v>496</v>
      </c>
      <c r="H81" t="s">
        <v>29</v>
      </c>
      <c r="I81">
        <v>4</v>
      </c>
      <c r="J81">
        <v>3</v>
      </c>
      <c r="K81">
        <v>16</v>
      </c>
      <c r="L81">
        <v>30218</v>
      </c>
      <c r="M81" t="s">
        <v>497</v>
      </c>
      <c r="N81" t="s">
        <v>29</v>
      </c>
      <c r="O81">
        <v>27122603</v>
      </c>
      <c r="P81" t="s">
        <v>190</v>
      </c>
      <c r="Q81">
        <v>402761</v>
      </c>
      <c r="R81" t="s">
        <v>191</v>
      </c>
      <c r="S81">
        <v>155</v>
      </c>
      <c r="T81" t="b">
        <v>0</v>
      </c>
      <c r="U81">
        <v>1</v>
      </c>
      <c r="V81">
        <v>5</v>
      </c>
      <c r="W81" t="s">
        <v>35</v>
      </c>
      <c r="X81" t="s">
        <v>498</v>
      </c>
      <c r="Y81" t="s">
        <v>29</v>
      </c>
      <c r="Z81" t="s">
        <v>37</v>
      </c>
    </row>
    <row r="82" spans="1:26">
      <c r="A82">
        <v>1.8684801782019978E+18</v>
      </c>
      <c r="B82" t="s">
        <v>183</v>
      </c>
      <c r="C82" t="s">
        <v>184</v>
      </c>
      <c r="D82" t="s">
        <v>499</v>
      </c>
      <c r="E82" t="s">
        <v>500</v>
      </c>
      <c r="F82" t="s">
        <v>29</v>
      </c>
      <c r="G82" t="s">
        <v>501</v>
      </c>
      <c r="H82" t="s">
        <v>188</v>
      </c>
      <c r="I82">
        <v>7</v>
      </c>
      <c r="J82">
        <v>1</v>
      </c>
      <c r="K82">
        <v>10</v>
      </c>
      <c r="L82">
        <v>35594</v>
      </c>
      <c r="M82" t="s">
        <v>502</v>
      </c>
      <c r="N82" t="s">
        <v>29</v>
      </c>
      <c r="O82">
        <v>27122997</v>
      </c>
      <c r="P82" t="s">
        <v>190</v>
      </c>
      <c r="Q82">
        <v>402761</v>
      </c>
      <c r="R82" t="s">
        <v>191</v>
      </c>
      <c r="S82">
        <v>155</v>
      </c>
      <c r="T82" t="b">
        <v>0</v>
      </c>
      <c r="U82">
        <v>0</v>
      </c>
      <c r="V82">
        <v>3</v>
      </c>
      <c r="W82" t="s">
        <v>35</v>
      </c>
      <c r="X82" t="s">
        <v>192</v>
      </c>
      <c r="Y82" t="s">
        <v>29</v>
      </c>
      <c r="Z82" t="s">
        <v>37</v>
      </c>
    </row>
    <row r="83" spans="1:26">
      <c r="A83">
        <v>1.8684396576644547E+18</v>
      </c>
      <c r="B83" t="s">
        <v>183</v>
      </c>
      <c r="C83" t="s">
        <v>184</v>
      </c>
      <c r="D83" t="s">
        <v>503</v>
      </c>
      <c r="E83" t="s">
        <v>504</v>
      </c>
      <c r="F83" t="s">
        <v>29</v>
      </c>
      <c r="G83" t="s">
        <v>505</v>
      </c>
      <c r="H83" t="s">
        <v>29</v>
      </c>
      <c r="I83">
        <v>6</v>
      </c>
      <c r="J83">
        <v>13</v>
      </c>
      <c r="K83">
        <v>40</v>
      </c>
      <c r="L83">
        <v>47859</v>
      </c>
      <c r="M83" t="s">
        <v>506</v>
      </c>
      <c r="N83" t="s">
        <v>29</v>
      </c>
      <c r="O83">
        <v>27122998</v>
      </c>
      <c r="P83" t="s">
        <v>190</v>
      </c>
      <c r="Q83">
        <v>402761</v>
      </c>
      <c r="R83" t="s">
        <v>191</v>
      </c>
      <c r="S83">
        <v>155</v>
      </c>
      <c r="T83" t="b">
        <v>0</v>
      </c>
      <c r="U83">
        <v>1</v>
      </c>
      <c r="V83">
        <v>6</v>
      </c>
      <c r="W83" t="s">
        <v>35</v>
      </c>
      <c r="X83" t="s">
        <v>507</v>
      </c>
      <c r="Y83" t="s">
        <v>29</v>
      </c>
      <c r="Z83" t="s">
        <v>37</v>
      </c>
    </row>
    <row r="84" spans="1:26">
      <c r="A84">
        <v>1.8683774956842028E+18</v>
      </c>
      <c r="B84" t="s">
        <v>183</v>
      </c>
      <c r="C84" t="s">
        <v>184</v>
      </c>
      <c r="D84" t="s">
        <v>508</v>
      </c>
      <c r="E84" t="s">
        <v>509</v>
      </c>
      <c r="F84" t="s">
        <v>29</v>
      </c>
      <c r="G84" t="s">
        <v>510</v>
      </c>
      <c r="H84" t="s">
        <v>29</v>
      </c>
      <c r="I84">
        <v>2</v>
      </c>
      <c r="J84">
        <v>3</v>
      </c>
      <c r="K84">
        <v>18</v>
      </c>
      <c r="L84">
        <v>50107</v>
      </c>
      <c r="M84" t="s">
        <v>511</v>
      </c>
      <c r="N84" t="s">
        <v>29</v>
      </c>
      <c r="O84">
        <v>27122999</v>
      </c>
      <c r="P84" t="s">
        <v>190</v>
      </c>
      <c r="Q84">
        <v>402760</v>
      </c>
      <c r="R84" t="s">
        <v>191</v>
      </c>
      <c r="S84">
        <v>155</v>
      </c>
      <c r="T84" t="b">
        <v>0</v>
      </c>
      <c r="U84">
        <v>2</v>
      </c>
      <c r="V84">
        <v>5</v>
      </c>
      <c r="W84" t="s">
        <v>35</v>
      </c>
      <c r="X84" t="s">
        <v>512</v>
      </c>
      <c r="Y84" t="s">
        <v>29</v>
      </c>
      <c r="Z84" t="s">
        <v>37</v>
      </c>
    </row>
    <row r="85" spans="1:26">
      <c r="A85">
        <v>1.8683691922709138E+18</v>
      </c>
      <c r="B85" t="s">
        <v>183</v>
      </c>
      <c r="C85" t="s">
        <v>184</v>
      </c>
      <c r="D85" t="s">
        <v>513</v>
      </c>
      <c r="E85" t="s">
        <v>514</v>
      </c>
      <c r="F85" t="s">
        <v>29</v>
      </c>
      <c r="G85" t="s">
        <v>515</v>
      </c>
      <c r="H85" t="s">
        <v>29</v>
      </c>
      <c r="I85">
        <v>37</v>
      </c>
      <c r="J85">
        <v>6</v>
      </c>
      <c r="K85">
        <v>51</v>
      </c>
      <c r="L85">
        <v>53517</v>
      </c>
      <c r="M85" t="s">
        <v>516</v>
      </c>
      <c r="N85" t="s">
        <v>29</v>
      </c>
      <c r="O85">
        <v>27122998</v>
      </c>
      <c r="P85" t="s">
        <v>190</v>
      </c>
      <c r="Q85">
        <v>402760</v>
      </c>
      <c r="R85" t="s">
        <v>191</v>
      </c>
      <c r="S85">
        <v>155</v>
      </c>
      <c r="T85" t="b">
        <v>0</v>
      </c>
      <c r="U85">
        <v>2</v>
      </c>
      <c r="V85">
        <v>12</v>
      </c>
      <c r="W85" t="s">
        <v>35</v>
      </c>
      <c r="X85" t="s">
        <v>374</v>
      </c>
      <c r="Y85" t="s">
        <v>29</v>
      </c>
      <c r="Z85" t="s">
        <v>37</v>
      </c>
    </row>
    <row r="86" spans="1:26">
      <c r="A86">
        <v>1.8683586296796122E+18</v>
      </c>
      <c r="B86" t="s">
        <v>183</v>
      </c>
      <c r="C86" t="s">
        <v>184</v>
      </c>
      <c r="D86" t="s">
        <v>517</v>
      </c>
      <c r="E86" t="s">
        <v>518</v>
      </c>
      <c r="F86" t="s">
        <v>29</v>
      </c>
      <c r="G86" t="s">
        <v>519</v>
      </c>
      <c r="H86" t="s">
        <v>29</v>
      </c>
      <c r="I86">
        <v>8</v>
      </c>
      <c r="J86">
        <v>9</v>
      </c>
      <c r="K86">
        <v>42</v>
      </c>
      <c r="L86">
        <v>51046</v>
      </c>
      <c r="M86" t="s">
        <v>520</v>
      </c>
      <c r="N86" t="s">
        <v>29</v>
      </c>
      <c r="O86">
        <v>27122998</v>
      </c>
      <c r="P86" t="s">
        <v>190</v>
      </c>
      <c r="Q86">
        <v>402760</v>
      </c>
      <c r="R86" t="s">
        <v>191</v>
      </c>
      <c r="S86">
        <v>155</v>
      </c>
      <c r="T86" t="b">
        <v>0</v>
      </c>
      <c r="U86">
        <v>1</v>
      </c>
      <c r="V86">
        <v>2</v>
      </c>
      <c r="W86" t="s">
        <v>35</v>
      </c>
      <c r="X86" t="s">
        <v>521</v>
      </c>
      <c r="Y86" t="s">
        <v>29</v>
      </c>
      <c r="Z86" t="s">
        <v>37</v>
      </c>
    </row>
    <row r="87" spans="1:26">
      <c r="A87">
        <v>1.8683223885316874E+18</v>
      </c>
      <c r="B87" t="s">
        <v>183</v>
      </c>
      <c r="C87" t="s">
        <v>184</v>
      </c>
      <c r="D87" t="s">
        <v>522</v>
      </c>
      <c r="E87" t="s">
        <v>523</v>
      </c>
      <c r="F87" t="s">
        <v>29</v>
      </c>
      <c r="G87" t="s">
        <v>524</v>
      </c>
      <c r="H87" t="s">
        <v>29</v>
      </c>
      <c r="I87">
        <v>6</v>
      </c>
      <c r="J87">
        <v>6</v>
      </c>
      <c r="K87">
        <v>32</v>
      </c>
      <c r="L87">
        <v>46570</v>
      </c>
      <c r="M87" t="s">
        <v>525</v>
      </c>
      <c r="N87" t="s">
        <v>29</v>
      </c>
      <c r="O87">
        <v>27122998</v>
      </c>
      <c r="P87" t="s">
        <v>190</v>
      </c>
      <c r="Q87">
        <v>402760</v>
      </c>
      <c r="R87" t="s">
        <v>191</v>
      </c>
      <c r="S87">
        <v>155</v>
      </c>
      <c r="T87" t="b">
        <v>0</v>
      </c>
      <c r="U87">
        <v>1</v>
      </c>
      <c r="V87">
        <v>3</v>
      </c>
      <c r="W87" t="s">
        <v>35</v>
      </c>
      <c r="X87" t="s">
        <v>526</v>
      </c>
      <c r="Y87" t="s">
        <v>29</v>
      </c>
      <c r="Z87" t="s">
        <v>37</v>
      </c>
    </row>
    <row r="88" spans="1:26">
      <c r="A88">
        <v>1.8682242346667461E+18</v>
      </c>
      <c r="B88" t="s">
        <v>183</v>
      </c>
      <c r="C88" t="s">
        <v>184</v>
      </c>
      <c r="D88" t="s">
        <v>527</v>
      </c>
      <c r="E88" t="s">
        <v>528</v>
      </c>
      <c r="F88" t="s">
        <v>29</v>
      </c>
      <c r="G88" t="s">
        <v>529</v>
      </c>
      <c r="H88" t="s">
        <v>29</v>
      </c>
      <c r="I88">
        <v>37</v>
      </c>
      <c r="J88">
        <v>26</v>
      </c>
      <c r="K88">
        <v>83</v>
      </c>
      <c r="L88">
        <v>116897</v>
      </c>
      <c r="M88" t="s">
        <v>530</v>
      </c>
      <c r="N88" t="s">
        <v>29</v>
      </c>
      <c r="O88">
        <v>27122999</v>
      </c>
      <c r="P88" t="s">
        <v>190</v>
      </c>
      <c r="Q88">
        <v>402760</v>
      </c>
      <c r="R88" t="s">
        <v>191</v>
      </c>
      <c r="S88">
        <v>155</v>
      </c>
      <c r="T88" t="b">
        <v>0</v>
      </c>
      <c r="U88">
        <v>9</v>
      </c>
      <c r="V88">
        <v>13</v>
      </c>
      <c r="W88" t="s">
        <v>35</v>
      </c>
      <c r="X88" t="s">
        <v>531</v>
      </c>
      <c r="Y88" t="s">
        <v>29</v>
      </c>
      <c r="Z88" t="s">
        <v>37</v>
      </c>
    </row>
    <row r="89" spans="1:26">
      <c r="A89">
        <v>1.8682091477301248E+18</v>
      </c>
      <c r="B89" t="s">
        <v>183</v>
      </c>
      <c r="C89" t="s">
        <v>184</v>
      </c>
      <c r="D89" t="s">
        <v>532</v>
      </c>
      <c r="E89" t="s">
        <v>533</v>
      </c>
      <c r="F89" t="s">
        <v>29</v>
      </c>
      <c r="G89" t="s">
        <v>534</v>
      </c>
      <c r="H89" t="s">
        <v>29</v>
      </c>
      <c r="I89">
        <v>16</v>
      </c>
      <c r="J89">
        <v>8</v>
      </c>
      <c r="K89">
        <v>16</v>
      </c>
      <c r="L89">
        <v>46183</v>
      </c>
      <c r="M89" t="s">
        <v>535</v>
      </c>
      <c r="N89" t="s">
        <v>29</v>
      </c>
      <c r="O89">
        <v>27123001</v>
      </c>
      <c r="P89" t="s">
        <v>190</v>
      </c>
      <c r="Q89">
        <v>402760</v>
      </c>
      <c r="R89" t="s">
        <v>191</v>
      </c>
      <c r="S89">
        <v>155</v>
      </c>
      <c r="T89" t="b">
        <v>0</v>
      </c>
      <c r="U89">
        <v>2</v>
      </c>
      <c r="V89">
        <v>3</v>
      </c>
      <c r="W89" t="s">
        <v>35</v>
      </c>
      <c r="X89" t="s">
        <v>536</v>
      </c>
      <c r="Y89" t="s">
        <v>29</v>
      </c>
      <c r="Z89" t="s">
        <v>37</v>
      </c>
    </row>
    <row r="90" spans="1:26">
      <c r="A90">
        <v>1.868419513928258E+18</v>
      </c>
      <c r="B90" t="s">
        <v>228</v>
      </c>
      <c r="C90" t="s">
        <v>228</v>
      </c>
      <c r="D90" t="s">
        <v>537</v>
      </c>
      <c r="E90" t="s">
        <v>538</v>
      </c>
      <c r="F90" t="s">
        <v>539</v>
      </c>
      <c r="G90" t="s">
        <v>540</v>
      </c>
      <c r="H90" t="s">
        <v>29</v>
      </c>
      <c r="I90">
        <v>95</v>
      </c>
      <c r="J90">
        <v>9</v>
      </c>
      <c r="K90">
        <v>92</v>
      </c>
      <c r="L90">
        <v>47716</v>
      </c>
      <c r="M90" t="s">
        <v>541</v>
      </c>
      <c r="N90" t="s">
        <v>29</v>
      </c>
      <c r="O90">
        <v>1239616</v>
      </c>
      <c r="P90" t="s">
        <v>235</v>
      </c>
      <c r="Q90">
        <v>402839</v>
      </c>
      <c r="R90" t="s">
        <v>236</v>
      </c>
      <c r="S90">
        <v>1644</v>
      </c>
      <c r="T90" t="b">
        <v>0</v>
      </c>
      <c r="U90">
        <v>36</v>
      </c>
      <c r="V90">
        <v>15</v>
      </c>
      <c r="W90" t="s">
        <v>35</v>
      </c>
      <c r="X90" t="s">
        <v>29</v>
      </c>
      <c r="Y90" t="s">
        <v>29</v>
      </c>
      <c r="Z90" t="s">
        <v>37</v>
      </c>
    </row>
    <row r="91" spans="1:26">
      <c r="A91">
        <v>1.8683000562874043E+18</v>
      </c>
      <c r="B91" t="s">
        <v>228</v>
      </c>
      <c r="C91" t="s">
        <v>228</v>
      </c>
      <c r="D91" t="s">
        <v>542</v>
      </c>
      <c r="E91" t="s">
        <v>543</v>
      </c>
      <c r="F91" t="s">
        <v>544</v>
      </c>
      <c r="G91" t="s">
        <v>545</v>
      </c>
      <c r="H91" t="s">
        <v>29</v>
      </c>
      <c r="I91">
        <v>30</v>
      </c>
      <c r="J91">
        <v>13</v>
      </c>
      <c r="K91">
        <v>153</v>
      </c>
      <c r="L91">
        <v>7586</v>
      </c>
      <c r="M91" t="s">
        <v>546</v>
      </c>
      <c r="N91" t="s">
        <v>29</v>
      </c>
      <c r="O91">
        <v>1239617</v>
      </c>
      <c r="P91" t="s">
        <v>235</v>
      </c>
      <c r="Q91">
        <v>402839</v>
      </c>
      <c r="R91" t="s">
        <v>236</v>
      </c>
      <c r="S91">
        <v>1644</v>
      </c>
      <c r="T91" t="b">
        <v>0</v>
      </c>
      <c r="U91">
        <v>3</v>
      </c>
      <c r="V91">
        <v>1</v>
      </c>
      <c r="W91" t="s">
        <v>35</v>
      </c>
      <c r="X91" t="s">
        <v>29</v>
      </c>
      <c r="Y91" t="s">
        <v>29</v>
      </c>
      <c r="Z91" t="s">
        <v>37</v>
      </c>
    </row>
    <row r="92" spans="1:26">
      <c r="A92">
        <v>1.8659594497202138E+18</v>
      </c>
      <c r="B92" t="s">
        <v>547</v>
      </c>
      <c r="C92" t="s">
        <v>548</v>
      </c>
      <c r="D92" t="s">
        <v>549</v>
      </c>
      <c r="E92" t="s">
        <v>550</v>
      </c>
      <c r="F92" t="s">
        <v>551</v>
      </c>
      <c r="G92" t="s">
        <v>552</v>
      </c>
      <c r="H92" t="s">
        <v>553</v>
      </c>
      <c r="I92">
        <v>269</v>
      </c>
      <c r="J92">
        <v>623</v>
      </c>
      <c r="K92">
        <v>5591</v>
      </c>
      <c r="L92">
        <v>231481</v>
      </c>
      <c r="M92" t="s">
        <v>52</v>
      </c>
      <c r="N92" t="s">
        <v>554</v>
      </c>
      <c r="O92">
        <v>4017731</v>
      </c>
      <c r="P92" t="s">
        <v>555</v>
      </c>
      <c r="Q92">
        <v>216529</v>
      </c>
      <c r="R92" t="s">
        <v>556</v>
      </c>
      <c r="S92">
        <v>214</v>
      </c>
      <c r="T92" t="b">
        <v>0</v>
      </c>
      <c r="U92">
        <v>45</v>
      </c>
      <c r="V92">
        <v>48</v>
      </c>
      <c r="W92" t="s">
        <v>35</v>
      </c>
      <c r="X92" t="s">
        <v>29</v>
      </c>
      <c r="Y92" t="s">
        <v>29</v>
      </c>
      <c r="Z92" t="s">
        <v>37</v>
      </c>
    </row>
    <row r="93" spans="1:26">
      <c r="A93">
        <v>1.8682183358901988E+18</v>
      </c>
      <c r="B93" t="s">
        <v>557</v>
      </c>
      <c r="C93" t="s">
        <v>558</v>
      </c>
      <c r="D93" t="s">
        <v>559</v>
      </c>
      <c r="E93" t="s">
        <v>560</v>
      </c>
      <c r="F93" t="s">
        <v>561</v>
      </c>
      <c r="G93" t="s">
        <v>562</v>
      </c>
      <c r="H93" t="s">
        <v>29</v>
      </c>
      <c r="I93">
        <v>5</v>
      </c>
      <c r="J93">
        <v>46</v>
      </c>
      <c r="K93">
        <v>216</v>
      </c>
      <c r="L93">
        <v>37468</v>
      </c>
      <c r="M93" t="s">
        <v>563</v>
      </c>
      <c r="N93" t="s">
        <v>564</v>
      </c>
      <c r="O93">
        <v>218510</v>
      </c>
      <c r="P93" t="s">
        <v>565</v>
      </c>
      <c r="Q93">
        <v>32811</v>
      </c>
      <c r="R93" t="s">
        <v>566</v>
      </c>
      <c r="S93">
        <v>603</v>
      </c>
      <c r="T93" t="b">
        <v>0</v>
      </c>
      <c r="U93">
        <v>5</v>
      </c>
      <c r="V93">
        <v>49</v>
      </c>
      <c r="W93" t="s">
        <v>35</v>
      </c>
      <c r="X93" t="s">
        <v>29</v>
      </c>
      <c r="Y93" t="s">
        <v>29</v>
      </c>
      <c r="Z93" t="s">
        <v>37</v>
      </c>
    </row>
    <row r="94" spans="1:26">
      <c r="A94">
        <v>1.8659817585183135E+18</v>
      </c>
      <c r="B94" t="s">
        <v>266</v>
      </c>
      <c r="C94" t="s">
        <v>266</v>
      </c>
      <c r="D94" t="s">
        <v>567</v>
      </c>
      <c r="E94" t="s">
        <v>568</v>
      </c>
      <c r="F94" t="s">
        <v>569</v>
      </c>
      <c r="G94" t="s">
        <v>570</v>
      </c>
      <c r="H94" t="s">
        <v>571</v>
      </c>
      <c r="I94">
        <v>32</v>
      </c>
      <c r="J94">
        <v>56</v>
      </c>
      <c r="K94">
        <v>344</v>
      </c>
      <c r="L94">
        <v>112351</v>
      </c>
      <c r="M94" t="s">
        <v>52</v>
      </c>
      <c r="N94" t="s">
        <v>29</v>
      </c>
      <c r="O94">
        <v>47706586</v>
      </c>
      <c r="P94" t="s">
        <v>272</v>
      </c>
      <c r="Q94">
        <v>367146</v>
      </c>
      <c r="R94" t="s">
        <v>273</v>
      </c>
      <c r="S94">
        <v>2012</v>
      </c>
      <c r="T94" t="b">
        <v>0</v>
      </c>
      <c r="U94">
        <v>10</v>
      </c>
      <c r="V94">
        <v>5</v>
      </c>
      <c r="W94" t="s">
        <v>572</v>
      </c>
      <c r="X94" t="s">
        <v>29</v>
      </c>
      <c r="Y94" t="s">
        <v>29</v>
      </c>
      <c r="Z94" t="s">
        <v>37</v>
      </c>
    </row>
    <row r="95" spans="1:26">
      <c r="A95">
        <v>1.8659837940687956E+18</v>
      </c>
      <c r="B95" t="s">
        <v>266</v>
      </c>
      <c r="C95" t="s">
        <v>266</v>
      </c>
      <c r="D95" t="s">
        <v>573</v>
      </c>
      <c r="E95" t="s">
        <v>574</v>
      </c>
      <c r="F95" t="s">
        <v>575</v>
      </c>
      <c r="G95" t="s">
        <v>576</v>
      </c>
      <c r="H95" t="s">
        <v>577</v>
      </c>
      <c r="I95">
        <v>30</v>
      </c>
      <c r="J95">
        <v>89</v>
      </c>
      <c r="K95">
        <v>690</v>
      </c>
      <c r="L95">
        <v>316095</v>
      </c>
      <c r="M95" t="s">
        <v>52</v>
      </c>
      <c r="N95" t="s">
        <v>29</v>
      </c>
      <c r="O95">
        <v>47706817</v>
      </c>
      <c r="P95" t="s">
        <v>272</v>
      </c>
      <c r="Q95">
        <v>367152</v>
      </c>
      <c r="R95" t="s">
        <v>273</v>
      </c>
      <c r="S95">
        <v>2012</v>
      </c>
      <c r="T95" t="b">
        <v>0</v>
      </c>
      <c r="U95">
        <v>21</v>
      </c>
      <c r="V95">
        <v>13</v>
      </c>
      <c r="W95" t="s">
        <v>578</v>
      </c>
      <c r="X95" t="s">
        <v>29</v>
      </c>
      <c r="Y95" t="s">
        <v>29</v>
      </c>
      <c r="Z95" t="s">
        <v>37</v>
      </c>
    </row>
    <row r="96" spans="1:26">
      <c r="A96">
        <v>1.865986344238871E+18</v>
      </c>
      <c r="B96" t="s">
        <v>266</v>
      </c>
      <c r="C96" t="s">
        <v>266</v>
      </c>
      <c r="D96" t="s">
        <v>579</v>
      </c>
      <c r="E96" t="s">
        <v>580</v>
      </c>
      <c r="F96" t="s">
        <v>581</v>
      </c>
      <c r="G96" t="s">
        <v>582</v>
      </c>
      <c r="H96" t="s">
        <v>583</v>
      </c>
      <c r="I96">
        <v>25</v>
      </c>
      <c r="J96">
        <v>47</v>
      </c>
      <c r="K96">
        <v>206</v>
      </c>
      <c r="L96">
        <v>60111</v>
      </c>
      <c r="M96" t="s">
        <v>52</v>
      </c>
      <c r="N96" t="s">
        <v>29</v>
      </c>
      <c r="O96">
        <v>47706829</v>
      </c>
      <c r="P96" t="s">
        <v>272</v>
      </c>
      <c r="Q96">
        <v>367152</v>
      </c>
      <c r="R96" t="s">
        <v>273</v>
      </c>
      <c r="S96">
        <v>2012</v>
      </c>
      <c r="T96" t="b">
        <v>0</v>
      </c>
      <c r="U96">
        <v>5</v>
      </c>
      <c r="V96">
        <v>5</v>
      </c>
      <c r="W96" t="s">
        <v>584</v>
      </c>
      <c r="X96" t="s">
        <v>29</v>
      </c>
      <c r="Y96" t="s">
        <v>29</v>
      </c>
      <c r="Z96" t="s">
        <v>37</v>
      </c>
    </row>
    <row r="97" spans="1:26">
      <c r="A97">
        <v>1.8683948561897229E+18</v>
      </c>
      <c r="B97" t="s">
        <v>275</v>
      </c>
      <c r="C97" t="s">
        <v>276</v>
      </c>
      <c r="D97" t="s">
        <v>585</v>
      </c>
      <c r="E97" t="s">
        <v>586</v>
      </c>
      <c r="F97" t="s">
        <v>587</v>
      </c>
      <c r="G97" t="s">
        <v>588</v>
      </c>
      <c r="H97" t="s">
        <v>589</v>
      </c>
      <c r="I97">
        <v>60</v>
      </c>
      <c r="J97">
        <v>42</v>
      </c>
      <c r="K97">
        <v>413</v>
      </c>
      <c r="L97">
        <v>38425</v>
      </c>
      <c r="M97" t="s">
        <v>52</v>
      </c>
      <c r="N97" t="s">
        <v>289</v>
      </c>
      <c r="O97">
        <v>8539601</v>
      </c>
      <c r="P97" t="s">
        <v>282</v>
      </c>
      <c r="Q97">
        <v>75535</v>
      </c>
      <c r="R97" t="s">
        <v>283</v>
      </c>
      <c r="S97">
        <v>117</v>
      </c>
      <c r="T97" t="b">
        <v>0</v>
      </c>
      <c r="U97">
        <v>17</v>
      </c>
      <c r="V97">
        <v>3</v>
      </c>
      <c r="W97" t="s">
        <v>35</v>
      </c>
      <c r="X97" t="s">
        <v>29</v>
      </c>
      <c r="Y97" t="s">
        <v>29</v>
      </c>
      <c r="Z97" t="s">
        <v>37</v>
      </c>
    </row>
    <row r="98" spans="1:26">
      <c r="A98">
        <v>1.8683543744072748E+18</v>
      </c>
      <c r="B98" t="s">
        <v>290</v>
      </c>
      <c r="C98" t="s">
        <v>291</v>
      </c>
      <c r="D98" t="s">
        <v>590</v>
      </c>
      <c r="E98" t="s">
        <v>591</v>
      </c>
      <c r="F98" t="s">
        <v>592</v>
      </c>
      <c r="G98" t="s">
        <v>593</v>
      </c>
      <c r="H98" t="s">
        <v>29</v>
      </c>
      <c r="I98">
        <v>5</v>
      </c>
      <c r="J98">
        <v>19</v>
      </c>
      <c r="K98">
        <v>627</v>
      </c>
      <c r="L98">
        <v>18683</v>
      </c>
      <c r="M98" t="s">
        <v>52</v>
      </c>
      <c r="N98" t="s">
        <v>305</v>
      </c>
      <c r="O98">
        <v>1906495</v>
      </c>
      <c r="P98" t="s">
        <v>298</v>
      </c>
      <c r="Q98">
        <v>124666</v>
      </c>
      <c r="R98" t="s">
        <v>299</v>
      </c>
      <c r="S98">
        <v>432</v>
      </c>
      <c r="T98" t="b">
        <v>0</v>
      </c>
      <c r="U98">
        <v>2</v>
      </c>
      <c r="V98">
        <v>10</v>
      </c>
      <c r="W98" t="s">
        <v>35</v>
      </c>
      <c r="X98" t="s">
        <v>29</v>
      </c>
      <c r="Y98" t="s">
        <v>29</v>
      </c>
      <c r="Z98" t="s">
        <v>37</v>
      </c>
    </row>
    <row r="99" spans="1:26">
      <c r="A99">
        <v>1.8682773568858358E+18</v>
      </c>
      <c r="B99" t="s">
        <v>290</v>
      </c>
      <c r="C99" t="s">
        <v>291</v>
      </c>
      <c r="D99" t="s">
        <v>594</v>
      </c>
      <c r="E99" t="s">
        <v>595</v>
      </c>
      <c r="F99" t="s">
        <v>596</v>
      </c>
      <c r="G99" t="s">
        <v>597</v>
      </c>
      <c r="H99" t="s">
        <v>296</v>
      </c>
      <c r="I99">
        <v>0</v>
      </c>
      <c r="J99">
        <v>15</v>
      </c>
      <c r="K99">
        <v>132</v>
      </c>
      <c r="L99">
        <v>7687</v>
      </c>
      <c r="M99" t="s">
        <v>52</v>
      </c>
      <c r="N99" t="s">
        <v>598</v>
      </c>
      <c r="O99">
        <v>1906482</v>
      </c>
      <c r="P99" t="s">
        <v>298</v>
      </c>
      <c r="Q99">
        <v>124666</v>
      </c>
      <c r="R99" t="s">
        <v>299</v>
      </c>
      <c r="S99">
        <v>432</v>
      </c>
      <c r="T99" t="b">
        <v>0</v>
      </c>
      <c r="U99">
        <v>2</v>
      </c>
      <c r="V99">
        <v>1</v>
      </c>
      <c r="W99" t="s">
        <v>599</v>
      </c>
      <c r="X99" t="s">
        <v>29</v>
      </c>
      <c r="Y99" t="s">
        <v>29</v>
      </c>
      <c r="Z99" t="s">
        <v>37</v>
      </c>
    </row>
    <row r="100" spans="1:26">
      <c r="A100">
        <v>1.8682108434456046E+18</v>
      </c>
      <c r="B100" t="s">
        <v>600</v>
      </c>
      <c r="C100" t="s">
        <v>601</v>
      </c>
      <c r="D100" t="s">
        <v>602</v>
      </c>
      <c r="E100" t="s">
        <v>603</v>
      </c>
      <c r="F100" t="s">
        <v>604</v>
      </c>
      <c r="G100" t="s">
        <v>605</v>
      </c>
      <c r="H100" t="s">
        <v>29</v>
      </c>
      <c r="I100">
        <v>1</v>
      </c>
      <c r="J100">
        <v>46</v>
      </c>
      <c r="K100">
        <v>276</v>
      </c>
      <c r="L100">
        <v>4420</v>
      </c>
      <c r="M100" t="s">
        <v>52</v>
      </c>
      <c r="N100" t="s">
        <v>606</v>
      </c>
      <c r="O100">
        <v>12061</v>
      </c>
      <c r="P100" t="s">
        <v>607</v>
      </c>
      <c r="Q100">
        <v>2422</v>
      </c>
      <c r="R100" t="s">
        <v>608</v>
      </c>
      <c r="S100">
        <v>81</v>
      </c>
      <c r="T100" t="b">
        <v>0</v>
      </c>
      <c r="U100">
        <v>1</v>
      </c>
      <c r="V100">
        <v>1</v>
      </c>
      <c r="W100" t="s">
        <v>35</v>
      </c>
      <c r="X100" t="s">
        <v>29</v>
      </c>
      <c r="Y100" t="s">
        <v>29</v>
      </c>
      <c r="Z100" t="s">
        <v>37</v>
      </c>
    </row>
    <row r="101" spans="1:26">
      <c r="A101">
        <v>1.8682045986260628E+18</v>
      </c>
      <c r="B101" t="s">
        <v>609</v>
      </c>
      <c r="C101" t="s">
        <v>610</v>
      </c>
      <c r="D101" t="s">
        <v>611</v>
      </c>
      <c r="E101" t="s">
        <v>612</v>
      </c>
      <c r="F101" t="s">
        <v>613</v>
      </c>
      <c r="G101" t="s">
        <v>614</v>
      </c>
      <c r="H101" t="s">
        <v>615</v>
      </c>
      <c r="I101">
        <v>4</v>
      </c>
      <c r="J101">
        <v>10</v>
      </c>
      <c r="K101">
        <v>128</v>
      </c>
      <c r="L101">
        <v>15182</v>
      </c>
      <c r="M101" t="s">
        <v>52</v>
      </c>
      <c r="N101" t="s">
        <v>616</v>
      </c>
      <c r="O101">
        <v>277178</v>
      </c>
      <c r="P101" t="s">
        <v>617</v>
      </c>
      <c r="Q101">
        <v>20340</v>
      </c>
      <c r="R101" t="s">
        <v>618</v>
      </c>
      <c r="S101">
        <v>346</v>
      </c>
      <c r="T101" t="b">
        <v>0</v>
      </c>
      <c r="U101">
        <v>1</v>
      </c>
      <c r="V101">
        <v>0</v>
      </c>
      <c r="W101" t="s">
        <v>35</v>
      </c>
      <c r="X101" t="s">
        <v>29</v>
      </c>
      <c r="Y101" t="s">
        <v>29</v>
      </c>
      <c r="Z101" t="s">
        <v>37</v>
      </c>
    </row>
    <row r="102" spans="1:26">
      <c r="A102">
        <v>1.868258230712906E+18</v>
      </c>
      <c r="B102" t="s">
        <v>619</v>
      </c>
      <c r="C102" t="s">
        <v>620</v>
      </c>
      <c r="D102" t="s">
        <v>621</v>
      </c>
      <c r="E102" t="s">
        <v>622</v>
      </c>
      <c r="F102" t="s">
        <v>623</v>
      </c>
      <c r="G102" t="s">
        <v>624</v>
      </c>
      <c r="H102" t="s">
        <v>29</v>
      </c>
      <c r="I102">
        <v>7</v>
      </c>
      <c r="J102">
        <v>4</v>
      </c>
      <c r="K102">
        <v>38</v>
      </c>
      <c r="L102">
        <v>3576</v>
      </c>
      <c r="M102" t="s">
        <v>52</v>
      </c>
      <c r="N102" t="s">
        <v>625</v>
      </c>
      <c r="O102">
        <v>74680</v>
      </c>
      <c r="P102" t="s">
        <v>626</v>
      </c>
      <c r="Q102">
        <v>21094</v>
      </c>
      <c r="R102" t="s">
        <v>627</v>
      </c>
      <c r="S102">
        <v>33</v>
      </c>
      <c r="T102" t="b">
        <v>0</v>
      </c>
      <c r="U102">
        <v>3</v>
      </c>
      <c r="V102">
        <v>1</v>
      </c>
      <c r="W102" t="s">
        <v>35</v>
      </c>
      <c r="X102" t="s">
        <v>29</v>
      </c>
      <c r="Y102" t="s">
        <v>29</v>
      </c>
      <c r="Z102" t="s">
        <v>37</v>
      </c>
    </row>
    <row r="103" spans="1:26">
      <c r="A103">
        <v>1.8683226724149619E+18</v>
      </c>
      <c r="B103" t="s">
        <v>628</v>
      </c>
      <c r="C103" t="s">
        <v>629</v>
      </c>
      <c r="D103" t="s">
        <v>630</v>
      </c>
      <c r="E103" t="s">
        <v>631</v>
      </c>
      <c r="F103" t="s">
        <v>632</v>
      </c>
      <c r="G103" t="s">
        <v>633</v>
      </c>
      <c r="H103" t="s">
        <v>29</v>
      </c>
      <c r="I103">
        <v>4</v>
      </c>
      <c r="J103">
        <v>3</v>
      </c>
      <c r="K103">
        <v>116</v>
      </c>
      <c r="L103">
        <v>6342</v>
      </c>
      <c r="M103" t="s">
        <v>52</v>
      </c>
      <c r="N103" t="s">
        <v>340</v>
      </c>
      <c r="O103">
        <v>66296</v>
      </c>
      <c r="P103" t="s">
        <v>634</v>
      </c>
      <c r="Q103">
        <v>23738</v>
      </c>
      <c r="R103" t="s">
        <v>635</v>
      </c>
      <c r="S103">
        <v>115</v>
      </c>
      <c r="T103" t="b">
        <v>0</v>
      </c>
      <c r="U103">
        <v>8</v>
      </c>
      <c r="V103">
        <v>1</v>
      </c>
      <c r="W103" t="s">
        <v>35</v>
      </c>
      <c r="X103" t="s">
        <v>29</v>
      </c>
      <c r="Y103" t="s">
        <v>29</v>
      </c>
      <c r="Z103" t="s">
        <v>37</v>
      </c>
    </row>
    <row r="104" spans="1:26">
      <c r="A104">
        <v>1.8683009382237719E+18</v>
      </c>
      <c r="B104" t="s">
        <v>333</v>
      </c>
      <c r="C104" t="s">
        <v>334</v>
      </c>
      <c r="D104" t="s">
        <v>636</v>
      </c>
      <c r="E104" t="s">
        <v>637</v>
      </c>
      <c r="F104" t="s">
        <v>638</v>
      </c>
      <c r="G104" t="s">
        <v>639</v>
      </c>
      <c r="H104" t="s">
        <v>489</v>
      </c>
      <c r="I104">
        <v>6</v>
      </c>
      <c r="J104">
        <v>57</v>
      </c>
      <c r="K104">
        <v>1008</v>
      </c>
      <c r="L104">
        <v>18464</v>
      </c>
      <c r="M104" t="s">
        <v>52</v>
      </c>
      <c r="N104" t="s">
        <v>340</v>
      </c>
      <c r="O104">
        <v>337839</v>
      </c>
      <c r="P104" t="s">
        <v>341</v>
      </c>
      <c r="Q104">
        <v>57638</v>
      </c>
      <c r="R104" t="s">
        <v>342</v>
      </c>
      <c r="S104">
        <v>587</v>
      </c>
      <c r="T104" t="b">
        <v>0</v>
      </c>
      <c r="U104">
        <v>0</v>
      </c>
      <c r="V104">
        <v>6</v>
      </c>
      <c r="W104" t="s">
        <v>35</v>
      </c>
      <c r="X104" t="s">
        <v>29</v>
      </c>
      <c r="Y104" t="s">
        <v>29</v>
      </c>
      <c r="Z104" t="s">
        <v>37</v>
      </c>
    </row>
    <row r="105" spans="1:26">
      <c r="A105">
        <v>1.8683598706401733E+18</v>
      </c>
      <c r="B105" t="s">
        <v>333</v>
      </c>
      <c r="C105" t="s">
        <v>334</v>
      </c>
      <c r="D105" t="s">
        <v>640</v>
      </c>
      <c r="E105" t="s">
        <v>641</v>
      </c>
      <c r="F105" t="s">
        <v>642</v>
      </c>
      <c r="G105" t="s">
        <v>643</v>
      </c>
      <c r="H105" t="s">
        <v>489</v>
      </c>
      <c r="I105">
        <v>1</v>
      </c>
      <c r="J105">
        <v>15</v>
      </c>
      <c r="K105">
        <v>179</v>
      </c>
      <c r="L105">
        <v>8779</v>
      </c>
      <c r="M105" t="s">
        <v>52</v>
      </c>
      <c r="N105" t="s">
        <v>340</v>
      </c>
      <c r="O105">
        <v>337839</v>
      </c>
      <c r="P105" t="s">
        <v>341</v>
      </c>
      <c r="Q105">
        <v>57638</v>
      </c>
      <c r="R105" t="s">
        <v>342</v>
      </c>
      <c r="S105">
        <v>587</v>
      </c>
      <c r="T105" t="b">
        <v>0</v>
      </c>
      <c r="U105">
        <v>1</v>
      </c>
      <c r="V105">
        <v>0</v>
      </c>
      <c r="W105" t="s">
        <v>35</v>
      </c>
      <c r="X105" t="s">
        <v>29</v>
      </c>
      <c r="Y105" t="s">
        <v>29</v>
      </c>
      <c r="Z105" t="s">
        <v>37</v>
      </c>
    </row>
    <row r="106" spans="1:26">
      <c r="A106">
        <v>1.8684155362391532E+18</v>
      </c>
      <c r="B106" t="s">
        <v>290</v>
      </c>
      <c r="C106" t="s">
        <v>291</v>
      </c>
      <c r="D106" t="s">
        <v>644</v>
      </c>
      <c r="E106" t="s">
        <v>645</v>
      </c>
      <c r="F106" t="s">
        <v>646</v>
      </c>
      <c r="G106" t="s">
        <v>647</v>
      </c>
      <c r="H106" t="s">
        <v>29</v>
      </c>
      <c r="I106">
        <v>10</v>
      </c>
      <c r="J106">
        <v>22</v>
      </c>
      <c r="K106">
        <v>520</v>
      </c>
      <c r="L106">
        <v>14234</v>
      </c>
      <c r="M106" t="s">
        <v>52</v>
      </c>
      <c r="N106" t="s">
        <v>305</v>
      </c>
      <c r="O106">
        <v>1906482</v>
      </c>
      <c r="P106" t="s">
        <v>298</v>
      </c>
      <c r="Q106">
        <v>124666</v>
      </c>
      <c r="R106" t="s">
        <v>299</v>
      </c>
      <c r="S106">
        <v>432</v>
      </c>
      <c r="T106" t="b">
        <v>0</v>
      </c>
      <c r="U106">
        <v>4</v>
      </c>
      <c r="V106">
        <v>7</v>
      </c>
      <c r="W106" t="s">
        <v>35</v>
      </c>
      <c r="X106" t="s">
        <v>29</v>
      </c>
      <c r="Y106" t="s">
        <v>29</v>
      </c>
      <c r="Z106" t="s">
        <v>37</v>
      </c>
    </row>
    <row r="107" spans="1:26">
      <c r="A107">
        <v>1.8684087135827272E+18</v>
      </c>
      <c r="B107" t="s">
        <v>183</v>
      </c>
      <c r="C107" t="s">
        <v>184</v>
      </c>
      <c r="D107" t="s">
        <v>648</v>
      </c>
      <c r="E107" t="s">
        <v>649</v>
      </c>
      <c r="F107" t="s">
        <v>29</v>
      </c>
      <c r="G107" t="s">
        <v>650</v>
      </c>
      <c r="H107" t="s">
        <v>29</v>
      </c>
      <c r="I107">
        <v>6</v>
      </c>
      <c r="J107">
        <v>5</v>
      </c>
      <c r="K107">
        <v>26</v>
      </c>
      <c r="L107">
        <v>54722</v>
      </c>
      <c r="M107" t="s">
        <v>651</v>
      </c>
      <c r="N107" t="s">
        <v>29</v>
      </c>
      <c r="O107">
        <v>27122999</v>
      </c>
      <c r="P107" t="s">
        <v>190</v>
      </c>
      <c r="Q107">
        <v>402761</v>
      </c>
      <c r="R107" t="s">
        <v>191</v>
      </c>
      <c r="S107">
        <v>155</v>
      </c>
      <c r="T107" t="b">
        <v>0</v>
      </c>
      <c r="U107">
        <v>1</v>
      </c>
      <c r="V107">
        <v>10</v>
      </c>
      <c r="W107" t="s">
        <v>35</v>
      </c>
      <c r="X107" t="s">
        <v>652</v>
      </c>
      <c r="Y107" t="s">
        <v>29</v>
      </c>
      <c r="Z107" t="s">
        <v>37</v>
      </c>
    </row>
    <row r="108" spans="1:26">
      <c r="A108">
        <v>1.8682904198863506E+18</v>
      </c>
      <c r="B108" t="s">
        <v>183</v>
      </c>
      <c r="C108" t="s">
        <v>184</v>
      </c>
      <c r="D108" t="s">
        <v>653</v>
      </c>
      <c r="E108" t="s">
        <v>654</v>
      </c>
      <c r="F108" t="s">
        <v>29</v>
      </c>
      <c r="G108" t="s">
        <v>655</v>
      </c>
      <c r="H108" t="s">
        <v>29</v>
      </c>
      <c r="I108">
        <v>7</v>
      </c>
      <c r="J108">
        <v>19</v>
      </c>
      <c r="K108">
        <v>44</v>
      </c>
      <c r="L108">
        <v>53672</v>
      </c>
      <c r="M108" t="s">
        <v>656</v>
      </c>
      <c r="N108" t="s">
        <v>29</v>
      </c>
      <c r="O108">
        <v>27122998</v>
      </c>
      <c r="P108" t="s">
        <v>190</v>
      </c>
      <c r="Q108">
        <v>402760</v>
      </c>
      <c r="R108" t="s">
        <v>191</v>
      </c>
      <c r="S108">
        <v>155</v>
      </c>
      <c r="T108" t="b">
        <v>0</v>
      </c>
      <c r="U108">
        <v>1</v>
      </c>
      <c r="V108">
        <v>9</v>
      </c>
      <c r="W108" t="s">
        <v>35</v>
      </c>
      <c r="X108" t="s">
        <v>657</v>
      </c>
      <c r="Y108" t="s">
        <v>29</v>
      </c>
      <c r="Z108" t="s">
        <v>37</v>
      </c>
    </row>
    <row r="109" spans="1:26">
      <c r="A109">
        <v>1.868285248804393E+18</v>
      </c>
      <c r="B109" t="s">
        <v>183</v>
      </c>
      <c r="C109" t="s">
        <v>184</v>
      </c>
      <c r="D109" t="s">
        <v>658</v>
      </c>
      <c r="E109" t="s">
        <v>659</v>
      </c>
      <c r="F109" t="s">
        <v>29</v>
      </c>
      <c r="G109" t="s">
        <v>660</v>
      </c>
      <c r="H109" t="s">
        <v>29</v>
      </c>
      <c r="I109">
        <v>14</v>
      </c>
      <c r="J109">
        <v>51</v>
      </c>
      <c r="K109">
        <v>155</v>
      </c>
      <c r="L109">
        <v>68078</v>
      </c>
      <c r="M109" t="s">
        <v>661</v>
      </c>
      <c r="N109" t="s">
        <v>29</v>
      </c>
      <c r="O109">
        <v>27122998</v>
      </c>
      <c r="P109" t="s">
        <v>190</v>
      </c>
      <c r="Q109">
        <v>402760</v>
      </c>
      <c r="R109" t="s">
        <v>191</v>
      </c>
      <c r="S109">
        <v>155</v>
      </c>
      <c r="T109" t="b">
        <v>0</v>
      </c>
      <c r="U109">
        <v>9</v>
      </c>
      <c r="V109">
        <v>8</v>
      </c>
      <c r="W109" t="s">
        <v>35</v>
      </c>
      <c r="X109" t="s">
        <v>662</v>
      </c>
      <c r="Y109" t="s">
        <v>29</v>
      </c>
      <c r="Z109" t="s">
        <v>37</v>
      </c>
    </row>
    <row r="110" spans="1:26">
      <c r="A110">
        <v>1.8683699683806822E+18</v>
      </c>
      <c r="B110" t="s">
        <v>183</v>
      </c>
      <c r="C110" t="s">
        <v>184</v>
      </c>
      <c r="D110" t="s">
        <v>663</v>
      </c>
      <c r="E110" t="s">
        <v>664</v>
      </c>
      <c r="F110" t="s">
        <v>29</v>
      </c>
      <c r="G110" t="s">
        <v>665</v>
      </c>
      <c r="H110" t="s">
        <v>29</v>
      </c>
      <c r="I110">
        <v>1</v>
      </c>
      <c r="J110">
        <v>6</v>
      </c>
      <c r="K110">
        <v>21</v>
      </c>
      <c r="L110">
        <v>48463</v>
      </c>
      <c r="M110" t="s">
        <v>666</v>
      </c>
      <c r="N110" t="s">
        <v>29</v>
      </c>
      <c r="O110">
        <v>27122998</v>
      </c>
      <c r="P110" t="s">
        <v>190</v>
      </c>
      <c r="Q110">
        <v>402760</v>
      </c>
      <c r="R110" t="s">
        <v>191</v>
      </c>
      <c r="S110">
        <v>155</v>
      </c>
      <c r="T110" t="b">
        <v>0</v>
      </c>
      <c r="U110">
        <v>1</v>
      </c>
      <c r="V110">
        <v>1</v>
      </c>
      <c r="W110" t="s">
        <v>35</v>
      </c>
      <c r="X110" t="s">
        <v>667</v>
      </c>
      <c r="Y110" t="s">
        <v>29</v>
      </c>
      <c r="Z110" t="s">
        <v>37</v>
      </c>
    </row>
    <row r="111" spans="1:26">
      <c r="A111">
        <v>1.8682227645464622E+18</v>
      </c>
      <c r="B111" t="s">
        <v>183</v>
      </c>
      <c r="C111" t="s">
        <v>184</v>
      </c>
      <c r="D111" t="s">
        <v>668</v>
      </c>
      <c r="E111" t="s">
        <v>669</v>
      </c>
      <c r="F111" t="s">
        <v>29</v>
      </c>
      <c r="G111" t="s">
        <v>670</v>
      </c>
      <c r="H111" t="s">
        <v>29</v>
      </c>
      <c r="I111">
        <v>9</v>
      </c>
      <c r="J111">
        <v>35</v>
      </c>
      <c r="K111">
        <v>83</v>
      </c>
      <c r="L111">
        <v>49402</v>
      </c>
      <c r="M111" t="s">
        <v>671</v>
      </c>
      <c r="N111" t="s">
        <v>29</v>
      </c>
      <c r="O111">
        <v>27122999</v>
      </c>
      <c r="P111" t="s">
        <v>190</v>
      </c>
      <c r="Q111">
        <v>402760</v>
      </c>
      <c r="R111" t="s">
        <v>191</v>
      </c>
      <c r="S111">
        <v>155</v>
      </c>
      <c r="T111" t="b">
        <v>0</v>
      </c>
      <c r="U111">
        <v>3</v>
      </c>
      <c r="V111">
        <v>14</v>
      </c>
      <c r="W111" t="s">
        <v>35</v>
      </c>
      <c r="X111" t="s">
        <v>672</v>
      </c>
      <c r="Y111" t="s">
        <v>29</v>
      </c>
      <c r="Z111" t="s">
        <v>37</v>
      </c>
    </row>
    <row r="112" spans="1:26">
      <c r="A112">
        <v>1.8681661619777536E+18</v>
      </c>
      <c r="B112" t="s">
        <v>183</v>
      </c>
      <c r="C112" t="s">
        <v>184</v>
      </c>
      <c r="D112" t="s">
        <v>673</v>
      </c>
      <c r="E112" t="s">
        <v>674</v>
      </c>
      <c r="F112" t="s">
        <v>29</v>
      </c>
      <c r="G112" t="s">
        <v>675</v>
      </c>
      <c r="H112" t="s">
        <v>29</v>
      </c>
      <c r="I112">
        <v>5</v>
      </c>
      <c r="J112">
        <v>6</v>
      </c>
      <c r="K112">
        <v>20</v>
      </c>
      <c r="L112">
        <v>51909</v>
      </c>
      <c r="M112" t="s">
        <v>676</v>
      </c>
      <c r="N112" t="s">
        <v>29</v>
      </c>
      <c r="O112">
        <v>27123001</v>
      </c>
      <c r="P112" t="s">
        <v>190</v>
      </c>
      <c r="Q112">
        <v>402760</v>
      </c>
      <c r="R112" t="s">
        <v>191</v>
      </c>
      <c r="S112">
        <v>155</v>
      </c>
      <c r="T112" t="b">
        <v>0</v>
      </c>
      <c r="U112">
        <v>1</v>
      </c>
      <c r="V112">
        <v>1</v>
      </c>
      <c r="W112" t="s">
        <v>35</v>
      </c>
      <c r="X112" t="s">
        <v>677</v>
      </c>
      <c r="Y112" t="s">
        <v>29</v>
      </c>
      <c r="Z112" t="s">
        <v>37</v>
      </c>
    </row>
    <row r="113" spans="1:26">
      <c r="A113">
        <v>1.8681390225701563E+18</v>
      </c>
      <c r="B113" t="s">
        <v>183</v>
      </c>
      <c r="C113" t="s">
        <v>184</v>
      </c>
      <c r="D113" t="s">
        <v>678</v>
      </c>
      <c r="E113" t="s">
        <v>679</v>
      </c>
      <c r="F113" t="s">
        <v>29</v>
      </c>
      <c r="G113" t="s">
        <v>680</v>
      </c>
      <c r="H113" t="s">
        <v>29</v>
      </c>
      <c r="I113">
        <v>6</v>
      </c>
      <c r="J113">
        <v>7</v>
      </c>
      <c r="K113">
        <v>29</v>
      </c>
      <c r="L113">
        <v>59964</v>
      </c>
      <c r="M113" t="s">
        <v>681</v>
      </c>
      <c r="N113" t="s">
        <v>29</v>
      </c>
      <c r="O113">
        <v>27123001</v>
      </c>
      <c r="P113" t="s">
        <v>190</v>
      </c>
      <c r="Q113">
        <v>402760</v>
      </c>
      <c r="R113" t="s">
        <v>191</v>
      </c>
      <c r="S113">
        <v>155</v>
      </c>
      <c r="T113" t="b">
        <v>0</v>
      </c>
      <c r="U113">
        <v>2</v>
      </c>
      <c r="V113">
        <v>18</v>
      </c>
      <c r="W113" t="s">
        <v>35</v>
      </c>
      <c r="X113" t="s">
        <v>682</v>
      </c>
      <c r="Y113" t="s">
        <v>29</v>
      </c>
      <c r="Z113" t="s">
        <v>37</v>
      </c>
    </row>
    <row r="114" spans="1:26">
      <c r="A114">
        <v>1.8683376997084244E+18</v>
      </c>
      <c r="B114" t="s">
        <v>228</v>
      </c>
      <c r="C114" t="s">
        <v>228</v>
      </c>
      <c r="D114" t="s">
        <v>683</v>
      </c>
      <c r="E114" t="s">
        <v>684</v>
      </c>
      <c r="F114" t="s">
        <v>29</v>
      </c>
      <c r="G114" t="s">
        <v>685</v>
      </c>
      <c r="H114" t="s">
        <v>29</v>
      </c>
      <c r="I114">
        <v>116</v>
      </c>
      <c r="J114">
        <v>46</v>
      </c>
      <c r="K114">
        <v>241</v>
      </c>
      <c r="L114">
        <v>11334</v>
      </c>
      <c r="M114" t="s">
        <v>686</v>
      </c>
      <c r="N114" t="s">
        <v>29</v>
      </c>
      <c r="O114">
        <v>1239617</v>
      </c>
      <c r="P114" t="s">
        <v>235</v>
      </c>
      <c r="Q114">
        <v>402839</v>
      </c>
      <c r="R114" t="s">
        <v>236</v>
      </c>
      <c r="S114">
        <v>1644</v>
      </c>
      <c r="T114" t="b">
        <v>0</v>
      </c>
      <c r="U114">
        <v>5</v>
      </c>
      <c r="V114">
        <v>4</v>
      </c>
      <c r="W114" t="s">
        <v>35</v>
      </c>
      <c r="X114" t="s">
        <v>29</v>
      </c>
      <c r="Y114" t="s">
        <v>687</v>
      </c>
      <c r="Z114" t="s">
        <v>37</v>
      </c>
    </row>
    <row r="115" spans="1:26">
      <c r="A115">
        <v>1.8682558375438705E+18</v>
      </c>
      <c r="B115" t="s">
        <v>228</v>
      </c>
      <c r="C115" t="s">
        <v>228</v>
      </c>
      <c r="D115" t="s">
        <v>688</v>
      </c>
      <c r="E115" t="s">
        <v>689</v>
      </c>
      <c r="F115" t="s">
        <v>29</v>
      </c>
      <c r="G115" t="s">
        <v>690</v>
      </c>
      <c r="H115" t="s">
        <v>691</v>
      </c>
      <c r="I115">
        <v>736</v>
      </c>
      <c r="J115">
        <v>238</v>
      </c>
      <c r="K115">
        <v>1390</v>
      </c>
      <c r="L115">
        <v>298748</v>
      </c>
      <c r="M115" t="s">
        <v>692</v>
      </c>
      <c r="N115" t="s">
        <v>29</v>
      </c>
      <c r="O115">
        <v>1239617</v>
      </c>
      <c r="P115" t="s">
        <v>235</v>
      </c>
      <c r="Q115">
        <v>402839</v>
      </c>
      <c r="R115" t="s">
        <v>236</v>
      </c>
      <c r="S115">
        <v>1644</v>
      </c>
      <c r="T115" t="b">
        <v>0</v>
      </c>
      <c r="U115">
        <v>64</v>
      </c>
      <c r="V115">
        <v>92</v>
      </c>
      <c r="W115" t="s">
        <v>35</v>
      </c>
      <c r="X115" t="s">
        <v>29</v>
      </c>
      <c r="Y115" t="s">
        <v>693</v>
      </c>
      <c r="Z115" t="s">
        <v>37</v>
      </c>
    </row>
    <row r="116" spans="1:26">
      <c r="A116">
        <v>1.8682458698642964E+18</v>
      </c>
      <c r="B116" t="s">
        <v>228</v>
      </c>
      <c r="C116" t="s">
        <v>228</v>
      </c>
      <c r="D116" t="s">
        <v>694</v>
      </c>
      <c r="E116" t="s">
        <v>695</v>
      </c>
      <c r="F116" t="s">
        <v>696</v>
      </c>
      <c r="G116" t="s">
        <v>697</v>
      </c>
      <c r="H116" t="s">
        <v>29</v>
      </c>
      <c r="I116">
        <v>139</v>
      </c>
      <c r="J116">
        <v>6</v>
      </c>
      <c r="K116">
        <v>259</v>
      </c>
      <c r="L116">
        <v>37762</v>
      </c>
      <c r="M116" t="s">
        <v>698</v>
      </c>
      <c r="N116" t="s">
        <v>29</v>
      </c>
      <c r="O116">
        <v>1239617</v>
      </c>
      <c r="P116" t="s">
        <v>235</v>
      </c>
      <c r="Q116">
        <v>402839</v>
      </c>
      <c r="R116" t="s">
        <v>236</v>
      </c>
      <c r="S116">
        <v>1644</v>
      </c>
      <c r="T116" t="b">
        <v>0</v>
      </c>
      <c r="U116">
        <v>11</v>
      </c>
      <c r="V116">
        <v>8</v>
      </c>
      <c r="W116" t="s">
        <v>35</v>
      </c>
      <c r="X116" t="s">
        <v>29</v>
      </c>
      <c r="Y116" t="s">
        <v>29</v>
      </c>
      <c r="Z116" t="s">
        <v>37</v>
      </c>
    </row>
    <row r="117" spans="1:26">
      <c r="A117">
        <v>1.8659850702820188E+18</v>
      </c>
      <c r="B117" t="s">
        <v>266</v>
      </c>
      <c r="C117" t="s">
        <v>266</v>
      </c>
      <c r="D117" t="s">
        <v>699</v>
      </c>
      <c r="E117" t="s">
        <v>700</v>
      </c>
      <c r="F117" t="s">
        <v>701</v>
      </c>
      <c r="G117" t="s">
        <v>702</v>
      </c>
      <c r="H117" t="s">
        <v>703</v>
      </c>
      <c r="I117">
        <v>20</v>
      </c>
      <c r="J117">
        <v>56</v>
      </c>
      <c r="K117">
        <v>252</v>
      </c>
      <c r="L117">
        <v>38420</v>
      </c>
      <c r="M117" t="s">
        <v>52</v>
      </c>
      <c r="N117" t="s">
        <v>29</v>
      </c>
      <c r="O117">
        <v>47706829</v>
      </c>
      <c r="P117" t="s">
        <v>272</v>
      </c>
      <c r="Q117">
        <v>367152</v>
      </c>
      <c r="R117" t="s">
        <v>273</v>
      </c>
      <c r="S117">
        <v>2012</v>
      </c>
      <c r="T117" t="b">
        <v>0</v>
      </c>
      <c r="U117">
        <v>5</v>
      </c>
      <c r="V117">
        <v>8</v>
      </c>
      <c r="W117" t="s">
        <v>704</v>
      </c>
      <c r="X117" t="s">
        <v>29</v>
      </c>
      <c r="Y117" t="s">
        <v>29</v>
      </c>
      <c r="Z117" t="s">
        <v>37</v>
      </c>
    </row>
    <row r="118" spans="1:26">
      <c r="A118">
        <v>1.8683963937164211E+18</v>
      </c>
      <c r="B118" t="s">
        <v>275</v>
      </c>
      <c r="C118" t="s">
        <v>276</v>
      </c>
      <c r="D118" t="s">
        <v>705</v>
      </c>
      <c r="E118" t="s">
        <v>706</v>
      </c>
      <c r="F118" t="s">
        <v>707</v>
      </c>
      <c r="G118" t="s">
        <v>708</v>
      </c>
      <c r="H118" t="s">
        <v>29</v>
      </c>
      <c r="I118">
        <v>53</v>
      </c>
      <c r="J118">
        <v>179</v>
      </c>
      <c r="K118">
        <v>1860</v>
      </c>
      <c r="L118">
        <v>58458</v>
      </c>
      <c r="M118" t="s">
        <v>52</v>
      </c>
      <c r="N118" t="s">
        <v>281</v>
      </c>
      <c r="O118">
        <v>8539601</v>
      </c>
      <c r="P118" t="s">
        <v>282</v>
      </c>
      <c r="Q118">
        <v>75535</v>
      </c>
      <c r="R118" t="s">
        <v>283</v>
      </c>
      <c r="S118">
        <v>117</v>
      </c>
      <c r="T118" t="b">
        <v>0</v>
      </c>
      <c r="U118">
        <v>12</v>
      </c>
      <c r="V118">
        <v>31</v>
      </c>
      <c r="W118" t="s">
        <v>35</v>
      </c>
      <c r="X118" t="s">
        <v>29</v>
      </c>
      <c r="Y118" t="s">
        <v>29</v>
      </c>
      <c r="Z118" t="s">
        <v>37</v>
      </c>
    </row>
    <row r="119" spans="1:26">
      <c r="A119">
        <v>1.8683633928196058E+18</v>
      </c>
      <c r="B119" t="s">
        <v>275</v>
      </c>
      <c r="C119" t="s">
        <v>276</v>
      </c>
      <c r="D119" t="s">
        <v>709</v>
      </c>
      <c r="E119" t="s">
        <v>710</v>
      </c>
      <c r="F119" t="s">
        <v>29</v>
      </c>
      <c r="G119" t="s">
        <v>711</v>
      </c>
      <c r="H119" t="s">
        <v>29</v>
      </c>
      <c r="I119">
        <v>21</v>
      </c>
      <c r="J119">
        <v>50</v>
      </c>
      <c r="K119">
        <v>353</v>
      </c>
      <c r="L119">
        <v>33350</v>
      </c>
      <c r="M119" t="s">
        <v>712</v>
      </c>
      <c r="N119" t="s">
        <v>281</v>
      </c>
      <c r="O119">
        <v>8539601</v>
      </c>
      <c r="P119" t="s">
        <v>282</v>
      </c>
      <c r="Q119">
        <v>75535</v>
      </c>
      <c r="R119" t="s">
        <v>283</v>
      </c>
      <c r="S119">
        <v>117</v>
      </c>
      <c r="T119" t="b">
        <v>0</v>
      </c>
      <c r="U119">
        <v>6</v>
      </c>
      <c r="V119">
        <v>3</v>
      </c>
      <c r="W119" t="s">
        <v>35</v>
      </c>
      <c r="X119" t="s">
        <v>29</v>
      </c>
      <c r="Y119" t="s">
        <v>29</v>
      </c>
      <c r="Z119" t="s">
        <v>37</v>
      </c>
    </row>
    <row r="120" spans="1:26">
      <c r="A120">
        <v>1.8683852737149832E+18</v>
      </c>
      <c r="B120" t="s">
        <v>290</v>
      </c>
      <c r="C120" t="s">
        <v>291</v>
      </c>
      <c r="D120" t="s">
        <v>713</v>
      </c>
      <c r="E120" t="s">
        <v>714</v>
      </c>
      <c r="F120" t="s">
        <v>715</v>
      </c>
      <c r="G120" t="s">
        <v>716</v>
      </c>
      <c r="H120" t="s">
        <v>29</v>
      </c>
      <c r="I120">
        <v>245</v>
      </c>
      <c r="J120">
        <v>38</v>
      </c>
      <c r="K120">
        <v>353</v>
      </c>
      <c r="L120">
        <v>55805</v>
      </c>
      <c r="M120" t="s">
        <v>52</v>
      </c>
      <c r="N120" t="s">
        <v>305</v>
      </c>
      <c r="O120">
        <v>1906482</v>
      </c>
      <c r="P120" t="s">
        <v>298</v>
      </c>
      <c r="Q120">
        <v>124666</v>
      </c>
      <c r="R120" t="s">
        <v>299</v>
      </c>
      <c r="S120">
        <v>432</v>
      </c>
      <c r="T120" t="b">
        <v>0</v>
      </c>
      <c r="U120">
        <v>68</v>
      </c>
      <c r="V120">
        <v>5</v>
      </c>
      <c r="W120" t="s">
        <v>35</v>
      </c>
      <c r="X120" t="s">
        <v>29</v>
      </c>
      <c r="Y120" t="s">
        <v>29</v>
      </c>
      <c r="Z120" t="s">
        <v>37</v>
      </c>
    </row>
    <row r="121" spans="1:26">
      <c r="A121">
        <v>1.868219446138999E+18</v>
      </c>
      <c r="B121" t="s">
        <v>717</v>
      </c>
      <c r="C121" t="s">
        <v>718</v>
      </c>
      <c r="D121" t="s">
        <v>719</v>
      </c>
      <c r="E121" t="s">
        <v>720</v>
      </c>
      <c r="F121" t="s">
        <v>721</v>
      </c>
      <c r="G121" t="s">
        <v>722</v>
      </c>
      <c r="H121" t="s">
        <v>723</v>
      </c>
      <c r="I121">
        <v>51</v>
      </c>
      <c r="J121">
        <v>262</v>
      </c>
      <c r="K121">
        <v>2758</v>
      </c>
      <c r="L121">
        <v>138654</v>
      </c>
      <c r="M121" t="s">
        <v>52</v>
      </c>
      <c r="N121" t="s">
        <v>29</v>
      </c>
      <c r="O121">
        <v>756191</v>
      </c>
      <c r="P121" t="s">
        <v>724</v>
      </c>
      <c r="Q121">
        <v>32997</v>
      </c>
      <c r="R121" t="s">
        <v>725</v>
      </c>
      <c r="S121">
        <v>303</v>
      </c>
      <c r="T121" t="b">
        <v>0</v>
      </c>
      <c r="U121">
        <v>27</v>
      </c>
      <c r="V121">
        <v>8</v>
      </c>
      <c r="W121" t="s">
        <v>35</v>
      </c>
      <c r="X121" t="s">
        <v>29</v>
      </c>
      <c r="Y121" t="s">
        <v>29</v>
      </c>
      <c r="Z121" t="s">
        <v>37</v>
      </c>
    </row>
    <row r="122" spans="1:26">
      <c r="A122">
        <v>1.8681995590774582E+18</v>
      </c>
      <c r="B122" t="s">
        <v>726</v>
      </c>
      <c r="C122" t="s">
        <v>727</v>
      </c>
      <c r="D122" t="s">
        <v>728</v>
      </c>
      <c r="E122" t="s">
        <v>729</v>
      </c>
      <c r="F122" t="s">
        <v>730</v>
      </c>
      <c r="G122" t="s">
        <v>731</v>
      </c>
      <c r="H122" t="s">
        <v>29</v>
      </c>
      <c r="I122">
        <v>2</v>
      </c>
      <c r="J122">
        <v>6</v>
      </c>
      <c r="K122">
        <v>122</v>
      </c>
      <c r="L122">
        <v>8026</v>
      </c>
      <c r="M122" t="s">
        <v>52</v>
      </c>
      <c r="N122" t="s">
        <v>732</v>
      </c>
      <c r="O122">
        <v>220409</v>
      </c>
      <c r="P122" t="s">
        <v>733</v>
      </c>
      <c r="Q122">
        <v>43155</v>
      </c>
      <c r="R122" t="s">
        <v>734</v>
      </c>
      <c r="S122">
        <v>199</v>
      </c>
      <c r="T122" t="b">
        <v>0</v>
      </c>
      <c r="U122">
        <v>2</v>
      </c>
      <c r="V122">
        <v>1</v>
      </c>
      <c r="W122" t="s">
        <v>35</v>
      </c>
      <c r="X122" t="s">
        <v>29</v>
      </c>
      <c r="Y122" t="s">
        <v>29</v>
      </c>
      <c r="Z122" t="s">
        <v>37</v>
      </c>
    </row>
    <row r="123" spans="1:26">
      <c r="A123">
        <v>1.8683202881754404E+18</v>
      </c>
      <c r="B123" t="s">
        <v>735</v>
      </c>
      <c r="C123" t="s">
        <v>736</v>
      </c>
      <c r="D123" t="s">
        <v>737</v>
      </c>
      <c r="E123" t="s">
        <v>738</v>
      </c>
      <c r="F123" t="s">
        <v>29</v>
      </c>
      <c r="G123" t="s">
        <v>739</v>
      </c>
      <c r="H123" t="s">
        <v>740</v>
      </c>
      <c r="I123">
        <v>7</v>
      </c>
      <c r="J123">
        <v>10</v>
      </c>
      <c r="K123">
        <v>149</v>
      </c>
      <c r="L123">
        <v>31995</v>
      </c>
      <c r="M123" t="s">
        <v>741</v>
      </c>
      <c r="N123" t="s">
        <v>742</v>
      </c>
      <c r="O123">
        <v>2354194</v>
      </c>
      <c r="P123" t="s">
        <v>743</v>
      </c>
      <c r="Q123">
        <v>72197</v>
      </c>
      <c r="R123" t="s">
        <v>744</v>
      </c>
      <c r="S123">
        <v>789</v>
      </c>
      <c r="T123" t="b">
        <v>0</v>
      </c>
      <c r="U123">
        <v>0</v>
      </c>
      <c r="V123">
        <v>2</v>
      </c>
      <c r="W123" t="s">
        <v>35</v>
      </c>
      <c r="X123" t="s">
        <v>29</v>
      </c>
      <c r="Y123" t="s">
        <v>29</v>
      </c>
      <c r="Z123" t="s">
        <v>37</v>
      </c>
    </row>
    <row r="124" spans="1:26">
      <c r="A124">
        <v>1.8682726859036716E+18</v>
      </c>
      <c r="B124" t="s">
        <v>333</v>
      </c>
      <c r="C124" t="s">
        <v>334</v>
      </c>
      <c r="D124" t="s">
        <v>745</v>
      </c>
      <c r="E124" t="s">
        <v>746</v>
      </c>
      <c r="F124" t="s">
        <v>747</v>
      </c>
      <c r="G124" t="s">
        <v>748</v>
      </c>
      <c r="H124" t="s">
        <v>749</v>
      </c>
      <c r="I124">
        <v>2</v>
      </c>
      <c r="J124">
        <v>7</v>
      </c>
      <c r="K124">
        <v>133</v>
      </c>
      <c r="L124">
        <v>17513</v>
      </c>
      <c r="M124" t="s">
        <v>52</v>
      </c>
      <c r="N124" t="s">
        <v>340</v>
      </c>
      <c r="O124">
        <v>337839</v>
      </c>
      <c r="P124" t="s">
        <v>341</v>
      </c>
      <c r="Q124">
        <v>57638</v>
      </c>
      <c r="R124" t="s">
        <v>342</v>
      </c>
      <c r="S124">
        <v>587</v>
      </c>
      <c r="T124" t="b">
        <v>0</v>
      </c>
      <c r="U124">
        <v>1</v>
      </c>
      <c r="V124">
        <v>1</v>
      </c>
      <c r="W124" t="s">
        <v>35</v>
      </c>
      <c r="X124" t="s">
        <v>29</v>
      </c>
      <c r="Y124" t="s">
        <v>29</v>
      </c>
      <c r="Z124" t="s">
        <v>37</v>
      </c>
    </row>
    <row r="125" spans="1:26">
      <c r="A125">
        <v>1.868393715091563E+18</v>
      </c>
      <c r="B125" t="s">
        <v>275</v>
      </c>
      <c r="C125" t="s">
        <v>276</v>
      </c>
      <c r="D125" t="s">
        <v>750</v>
      </c>
      <c r="E125" t="s">
        <v>751</v>
      </c>
      <c r="F125" t="s">
        <v>752</v>
      </c>
      <c r="G125" t="s">
        <v>753</v>
      </c>
      <c r="H125" t="s">
        <v>754</v>
      </c>
      <c r="I125">
        <v>27</v>
      </c>
      <c r="J125">
        <v>157</v>
      </c>
      <c r="K125">
        <v>1408</v>
      </c>
      <c r="L125">
        <v>59698</v>
      </c>
      <c r="M125" t="s">
        <v>52</v>
      </c>
      <c r="N125" t="s">
        <v>281</v>
      </c>
      <c r="O125">
        <v>8539604</v>
      </c>
      <c r="P125" t="s">
        <v>282</v>
      </c>
      <c r="Q125">
        <v>75535</v>
      </c>
      <c r="R125" t="s">
        <v>283</v>
      </c>
      <c r="S125">
        <v>117</v>
      </c>
      <c r="T125" t="b">
        <v>0</v>
      </c>
      <c r="U125">
        <v>19</v>
      </c>
      <c r="V125">
        <v>24</v>
      </c>
      <c r="W125" t="s">
        <v>35</v>
      </c>
      <c r="X125" t="s">
        <v>29</v>
      </c>
      <c r="Y125" t="s">
        <v>29</v>
      </c>
      <c r="Z125" t="s">
        <v>37</v>
      </c>
    </row>
    <row r="126" spans="1:26">
      <c r="A126">
        <v>1.8683939830026732E+18</v>
      </c>
      <c r="B126" t="s">
        <v>46</v>
      </c>
      <c r="C126" t="s">
        <v>47</v>
      </c>
      <c r="D126" t="s">
        <v>755</v>
      </c>
      <c r="E126" t="s">
        <v>756</v>
      </c>
      <c r="F126" t="s">
        <v>757</v>
      </c>
      <c r="G126" t="s">
        <v>758</v>
      </c>
      <c r="H126" t="s">
        <v>29</v>
      </c>
      <c r="I126">
        <v>7</v>
      </c>
      <c r="J126">
        <v>38</v>
      </c>
      <c r="K126">
        <v>1031</v>
      </c>
      <c r="L126">
        <v>28933</v>
      </c>
      <c r="M126" t="s">
        <v>52</v>
      </c>
      <c r="N126" t="s">
        <v>129</v>
      </c>
      <c r="O126">
        <v>8293200</v>
      </c>
      <c r="P126" t="s">
        <v>54</v>
      </c>
      <c r="Q126">
        <v>456734</v>
      </c>
      <c r="R126" t="s">
        <v>55</v>
      </c>
      <c r="S126">
        <v>859</v>
      </c>
      <c r="T126" t="b">
        <v>0</v>
      </c>
      <c r="U126">
        <v>5</v>
      </c>
      <c r="V126">
        <v>4</v>
      </c>
      <c r="W126" t="s">
        <v>35</v>
      </c>
      <c r="X126" t="s">
        <v>29</v>
      </c>
      <c r="Y126" t="s">
        <v>29</v>
      </c>
      <c r="Z126" t="s">
        <v>37</v>
      </c>
    </row>
    <row r="127" spans="1:26">
      <c r="A127">
        <v>1.8683663215342469E+18</v>
      </c>
      <c r="B127" t="s">
        <v>46</v>
      </c>
      <c r="C127" t="s">
        <v>47</v>
      </c>
      <c r="D127" t="s">
        <v>759</v>
      </c>
      <c r="E127" t="s">
        <v>760</v>
      </c>
      <c r="F127" t="s">
        <v>761</v>
      </c>
      <c r="G127" t="s">
        <v>762</v>
      </c>
      <c r="H127" t="s">
        <v>29</v>
      </c>
      <c r="I127">
        <v>16</v>
      </c>
      <c r="J127">
        <v>11</v>
      </c>
      <c r="K127">
        <v>388</v>
      </c>
      <c r="L127">
        <v>22825</v>
      </c>
      <c r="M127" t="s">
        <v>52</v>
      </c>
      <c r="N127" t="s">
        <v>182</v>
      </c>
      <c r="O127">
        <v>8293201</v>
      </c>
      <c r="P127" t="s">
        <v>54</v>
      </c>
      <c r="Q127">
        <v>456734</v>
      </c>
      <c r="R127" t="s">
        <v>55</v>
      </c>
      <c r="S127">
        <v>859</v>
      </c>
      <c r="T127" t="b">
        <v>0</v>
      </c>
      <c r="U127">
        <v>8</v>
      </c>
      <c r="V127">
        <v>5</v>
      </c>
      <c r="W127" t="s">
        <v>35</v>
      </c>
      <c r="X127" t="s">
        <v>29</v>
      </c>
      <c r="Y127" t="s">
        <v>29</v>
      </c>
      <c r="Z127" t="s">
        <v>37</v>
      </c>
    </row>
    <row r="128" spans="1:26">
      <c r="A128">
        <v>1.8683563767008873E+18</v>
      </c>
      <c r="B128" t="s">
        <v>46</v>
      </c>
      <c r="C128" t="s">
        <v>47</v>
      </c>
      <c r="D128" t="s">
        <v>763</v>
      </c>
      <c r="E128" t="s">
        <v>764</v>
      </c>
      <c r="F128" t="s">
        <v>765</v>
      </c>
      <c r="G128" t="s">
        <v>766</v>
      </c>
      <c r="H128" t="s">
        <v>29</v>
      </c>
      <c r="I128">
        <v>1</v>
      </c>
      <c r="J128">
        <v>3</v>
      </c>
      <c r="K128">
        <v>56</v>
      </c>
      <c r="L128">
        <v>14718</v>
      </c>
      <c r="M128" t="s">
        <v>52</v>
      </c>
      <c r="N128" t="s">
        <v>182</v>
      </c>
      <c r="O128">
        <v>8293203</v>
      </c>
      <c r="P128" t="s">
        <v>54</v>
      </c>
      <c r="Q128">
        <v>456734</v>
      </c>
      <c r="R128" t="s">
        <v>55</v>
      </c>
      <c r="S128">
        <v>859</v>
      </c>
      <c r="T128" t="b">
        <v>0</v>
      </c>
      <c r="U128">
        <v>1</v>
      </c>
      <c r="V128">
        <v>2</v>
      </c>
      <c r="W128" t="s">
        <v>35</v>
      </c>
      <c r="X128" t="s">
        <v>29</v>
      </c>
      <c r="Y128" t="s">
        <v>29</v>
      </c>
      <c r="Z128" t="s">
        <v>37</v>
      </c>
    </row>
    <row r="129" spans="1:26">
      <c r="A129">
        <v>1.8681031389197844E+18</v>
      </c>
      <c r="B129" t="s">
        <v>46</v>
      </c>
      <c r="C129" t="s">
        <v>47</v>
      </c>
      <c r="D129" t="s">
        <v>767</v>
      </c>
      <c r="E129" t="s">
        <v>768</v>
      </c>
      <c r="F129" t="s">
        <v>769</v>
      </c>
      <c r="G129" t="s">
        <v>770</v>
      </c>
      <c r="H129" t="s">
        <v>771</v>
      </c>
      <c r="I129">
        <v>14</v>
      </c>
      <c r="J129">
        <v>30</v>
      </c>
      <c r="K129">
        <v>936</v>
      </c>
      <c r="L129">
        <v>36203</v>
      </c>
      <c r="M129" t="s">
        <v>52</v>
      </c>
      <c r="N129" t="s">
        <v>29</v>
      </c>
      <c r="O129">
        <v>8293203</v>
      </c>
      <c r="P129" t="s">
        <v>54</v>
      </c>
      <c r="Q129">
        <v>456734</v>
      </c>
      <c r="R129" t="s">
        <v>55</v>
      </c>
      <c r="S129">
        <v>859</v>
      </c>
      <c r="T129" t="b">
        <v>0</v>
      </c>
      <c r="U129">
        <v>2</v>
      </c>
      <c r="V129">
        <v>23</v>
      </c>
      <c r="W129" t="s">
        <v>35</v>
      </c>
      <c r="X129" t="s">
        <v>29</v>
      </c>
      <c r="Y129" t="s">
        <v>29</v>
      </c>
      <c r="Z129" t="s">
        <v>37</v>
      </c>
    </row>
    <row r="130" spans="1:26">
      <c r="A130">
        <v>1.8684761786438003E+18</v>
      </c>
      <c r="B130" t="s">
        <v>183</v>
      </c>
      <c r="C130" t="s">
        <v>184</v>
      </c>
      <c r="D130" t="s">
        <v>772</v>
      </c>
      <c r="E130" t="s">
        <v>773</v>
      </c>
      <c r="F130" t="s">
        <v>774</v>
      </c>
      <c r="G130" t="s">
        <v>775</v>
      </c>
      <c r="H130" t="s">
        <v>29</v>
      </c>
      <c r="I130">
        <v>9</v>
      </c>
      <c r="J130">
        <v>8</v>
      </c>
      <c r="K130">
        <v>26</v>
      </c>
      <c r="L130">
        <v>37553</v>
      </c>
      <c r="M130" t="s">
        <v>776</v>
      </c>
      <c r="N130" t="s">
        <v>29</v>
      </c>
      <c r="O130">
        <v>27122999</v>
      </c>
      <c r="P130" t="s">
        <v>190</v>
      </c>
      <c r="Q130">
        <v>402761</v>
      </c>
      <c r="R130" t="s">
        <v>191</v>
      </c>
      <c r="S130">
        <v>155</v>
      </c>
      <c r="T130" t="b">
        <v>0</v>
      </c>
      <c r="U130">
        <v>1</v>
      </c>
      <c r="V130">
        <v>1</v>
      </c>
      <c r="W130" t="s">
        <v>35</v>
      </c>
      <c r="X130" t="s">
        <v>29</v>
      </c>
      <c r="Y130" t="s">
        <v>29</v>
      </c>
      <c r="Z130" t="s">
        <v>37</v>
      </c>
    </row>
    <row r="131" spans="1:26">
      <c r="A131">
        <v>1.8684656002777134E+18</v>
      </c>
      <c r="B131" t="s">
        <v>183</v>
      </c>
      <c r="C131" t="s">
        <v>184</v>
      </c>
      <c r="D131" t="s">
        <v>777</v>
      </c>
      <c r="E131" t="s">
        <v>778</v>
      </c>
      <c r="F131" t="s">
        <v>29</v>
      </c>
      <c r="G131" t="s">
        <v>779</v>
      </c>
      <c r="H131" t="s">
        <v>29</v>
      </c>
      <c r="I131">
        <v>43</v>
      </c>
      <c r="J131">
        <v>10</v>
      </c>
      <c r="K131">
        <v>46</v>
      </c>
      <c r="L131">
        <v>46312</v>
      </c>
      <c r="M131" t="s">
        <v>780</v>
      </c>
      <c r="N131" t="s">
        <v>29</v>
      </c>
      <c r="O131">
        <v>27122999</v>
      </c>
      <c r="P131" t="s">
        <v>190</v>
      </c>
      <c r="Q131">
        <v>402761</v>
      </c>
      <c r="R131" t="s">
        <v>191</v>
      </c>
      <c r="S131">
        <v>155</v>
      </c>
      <c r="T131" t="b">
        <v>0</v>
      </c>
      <c r="U131">
        <v>3</v>
      </c>
      <c r="V131">
        <v>15</v>
      </c>
      <c r="W131" t="s">
        <v>35</v>
      </c>
      <c r="X131" t="s">
        <v>374</v>
      </c>
      <c r="Y131" t="s">
        <v>29</v>
      </c>
      <c r="Z131" t="s">
        <v>37</v>
      </c>
    </row>
    <row r="132" spans="1:26">
      <c r="A132">
        <v>1.8684518422433142E+18</v>
      </c>
      <c r="B132" t="s">
        <v>183</v>
      </c>
      <c r="C132" t="s">
        <v>184</v>
      </c>
      <c r="D132" t="s">
        <v>781</v>
      </c>
      <c r="E132" t="s">
        <v>782</v>
      </c>
      <c r="F132" t="s">
        <v>29</v>
      </c>
      <c r="G132" t="s">
        <v>783</v>
      </c>
      <c r="H132" t="s">
        <v>784</v>
      </c>
      <c r="I132">
        <v>6</v>
      </c>
      <c r="J132">
        <v>5</v>
      </c>
      <c r="K132">
        <v>23</v>
      </c>
      <c r="L132">
        <v>44137</v>
      </c>
      <c r="M132" t="s">
        <v>785</v>
      </c>
      <c r="N132" t="s">
        <v>29</v>
      </c>
      <c r="O132">
        <v>27122998</v>
      </c>
      <c r="P132" t="s">
        <v>190</v>
      </c>
      <c r="Q132">
        <v>402761</v>
      </c>
      <c r="R132" t="s">
        <v>191</v>
      </c>
      <c r="S132">
        <v>155</v>
      </c>
      <c r="T132" t="b">
        <v>0</v>
      </c>
      <c r="U132">
        <v>2</v>
      </c>
      <c r="V132">
        <v>4</v>
      </c>
      <c r="W132" t="s">
        <v>35</v>
      </c>
      <c r="X132" t="s">
        <v>786</v>
      </c>
      <c r="Y132" t="s">
        <v>29</v>
      </c>
      <c r="Z132" t="s">
        <v>37</v>
      </c>
    </row>
    <row r="133" spans="1:26">
      <c r="A133">
        <v>1.8684470397652667E+18</v>
      </c>
      <c r="B133" t="s">
        <v>183</v>
      </c>
      <c r="C133" t="s">
        <v>184</v>
      </c>
      <c r="D133" t="s">
        <v>787</v>
      </c>
      <c r="E133" t="s">
        <v>788</v>
      </c>
      <c r="F133" t="s">
        <v>29</v>
      </c>
      <c r="G133" t="s">
        <v>789</v>
      </c>
      <c r="H133" t="s">
        <v>29</v>
      </c>
      <c r="I133">
        <v>7</v>
      </c>
      <c r="J133">
        <v>12</v>
      </c>
      <c r="K133">
        <v>32</v>
      </c>
      <c r="L133">
        <v>46114</v>
      </c>
      <c r="M133" t="s">
        <v>790</v>
      </c>
      <c r="N133" t="s">
        <v>29</v>
      </c>
      <c r="O133">
        <v>27122998</v>
      </c>
      <c r="P133" t="s">
        <v>190</v>
      </c>
      <c r="Q133">
        <v>402761</v>
      </c>
      <c r="R133" t="s">
        <v>191</v>
      </c>
      <c r="S133">
        <v>155</v>
      </c>
      <c r="T133" t="b">
        <v>0</v>
      </c>
      <c r="U133">
        <v>2</v>
      </c>
      <c r="V133">
        <v>4</v>
      </c>
      <c r="W133" t="s">
        <v>35</v>
      </c>
      <c r="X133" t="s">
        <v>791</v>
      </c>
      <c r="Y133" t="s">
        <v>29</v>
      </c>
      <c r="Z133" t="s">
        <v>37</v>
      </c>
    </row>
    <row r="134" spans="1:26">
      <c r="A134">
        <v>1.8684338792430717E+18</v>
      </c>
      <c r="B134" t="s">
        <v>183</v>
      </c>
      <c r="C134" t="s">
        <v>184</v>
      </c>
      <c r="D134" t="s">
        <v>792</v>
      </c>
      <c r="E134" t="s">
        <v>793</v>
      </c>
      <c r="F134" t="s">
        <v>29</v>
      </c>
      <c r="G134" t="s">
        <v>794</v>
      </c>
      <c r="H134" t="s">
        <v>29</v>
      </c>
      <c r="I134">
        <v>9</v>
      </c>
      <c r="J134">
        <v>5</v>
      </c>
      <c r="K134">
        <v>21</v>
      </c>
      <c r="L134">
        <v>47291</v>
      </c>
      <c r="M134" t="s">
        <v>795</v>
      </c>
      <c r="N134" t="s">
        <v>29</v>
      </c>
      <c r="O134">
        <v>27122999</v>
      </c>
      <c r="P134" t="s">
        <v>190</v>
      </c>
      <c r="Q134">
        <v>402761</v>
      </c>
      <c r="R134" t="s">
        <v>191</v>
      </c>
      <c r="S134">
        <v>155</v>
      </c>
      <c r="T134" t="b">
        <v>0</v>
      </c>
      <c r="U134">
        <v>1</v>
      </c>
      <c r="V134">
        <v>5</v>
      </c>
      <c r="W134" t="s">
        <v>35</v>
      </c>
      <c r="X134" t="s">
        <v>796</v>
      </c>
      <c r="Y134" t="s">
        <v>29</v>
      </c>
      <c r="Z134" t="s">
        <v>37</v>
      </c>
    </row>
    <row r="135" spans="1:26">
      <c r="A135">
        <v>1.8683404737120463E+18</v>
      </c>
      <c r="B135" t="s">
        <v>183</v>
      </c>
      <c r="C135" t="s">
        <v>184</v>
      </c>
      <c r="D135" t="s">
        <v>797</v>
      </c>
      <c r="E135" t="s">
        <v>798</v>
      </c>
      <c r="F135" t="s">
        <v>29</v>
      </c>
      <c r="G135" t="s">
        <v>799</v>
      </c>
      <c r="H135" t="s">
        <v>29</v>
      </c>
      <c r="I135">
        <v>6</v>
      </c>
      <c r="J135">
        <v>21</v>
      </c>
      <c r="K135">
        <v>60</v>
      </c>
      <c r="L135">
        <v>50193</v>
      </c>
      <c r="M135" t="s">
        <v>800</v>
      </c>
      <c r="N135" t="s">
        <v>29</v>
      </c>
      <c r="O135">
        <v>27122998</v>
      </c>
      <c r="P135" t="s">
        <v>190</v>
      </c>
      <c r="Q135">
        <v>402760</v>
      </c>
      <c r="R135" t="s">
        <v>191</v>
      </c>
      <c r="S135">
        <v>155</v>
      </c>
      <c r="T135" t="b">
        <v>0</v>
      </c>
      <c r="U135">
        <v>1</v>
      </c>
      <c r="V135">
        <v>4</v>
      </c>
      <c r="W135" t="s">
        <v>35</v>
      </c>
      <c r="X135" t="s">
        <v>526</v>
      </c>
      <c r="Y135" t="s">
        <v>29</v>
      </c>
      <c r="Z135" t="s">
        <v>37</v>
      </c>
    </row>
    <row r="136" spans="1:26">
      <c r="A136">
        <v>1.8683042785042642E+18</v>
      </c>
      <c r="B136" t="s">
        <v>183</v>
      </c>
      <c r="C136" t="s">
        <v>184</v>
      </c>
      <c r="D136" t="s">
        <v>801</v>
      </c>
      <c r="E136" t="s">
        <v>802</v>
      </c>
      <c r="F136" t="s">
        <v>29</v>
      </c>
      <c r="G136" t="s">
        <v>803</v>
      </c>
      <c r="H136" t="s">
        <v>29</v>
      </c>
      <c r="I136">
        <v>31</v>
      </c>
      <c r="J136">
        <v>12</v>
      </c>
      <c r="K136">
        <v>42</v>
      </c>
      <c r="L136">
        <v>50737</v>
      </c>
      <c r="M136" t="s">
        <v>804</v>
      </c>
      <c r="N136" t="s">
        <v>29</v>
      </c>
      <c r="O136">
        <v>27122998</v>
      </c>
      <c r="P136" t="s">
        <v>190</v>
      </c>
      <c r="Q136">
        <v>402760</v>
      </c>
      <c r="R136" t="s">
        <v>191</v>
      </c>
      <c r="S136">
        <v>155</v>
      </c>
      <c r="T136" t="b">
        <v>0</v>
      </c>
      <c r="U136">
        <v>2</v>
      </c>
      <c r="V136">
        <v>5</v>
      </c>
      <c r="W136" t="s">
        <v>35</v>
      </c>
      <c r="X136" t="s">
        <v>805</v>
      </c>
      <c r="Y136" t="s">
        <v>29</v>
      </c>
      <c r="Z136" t="s">
        <v>37</v>
      </c>
    </row>
    <row r="137" spans="1:26">
      <c r="A137">
        <v>1.8682689228074642E+18</v>
      </c>
      <c r="B137" t="s">
        <v>183</v>
      </c>
      <c r="C137" t="s">
        <v>184</v>
      </c>
      <c r="D137" t="s">
        <v>806</v>
      </c>
      <c r="E137" t="s">
        <v>807</v>
      </c>
      <c r="F137" t="s">
        <v>29</v>
      </c>
      <c r="G137" t="s">
        <v>808</v>
      </c>
      <c r="H137" t="s">
        <v>29</v>
      </c>
      <c r="I137">
        <v>14</v>
      </c>
      <c r="J137">
        <v>9</v>
      </c>
      <c r="K137">
        <v>28</v>
      </c>
      <c r="L137">
        <v>53683</v>
      </c>
      <c r="M137" t="s">
        <v>809</v>
      </c>
      <c r="N137" t="s">
        <v>29</v>
      </c>
      <c r="O137">
        <v>27122998</v>
      </c>
      <c r="P137" t="s">
        <v>190</v>
      </c>
      <c r="Q137">
        <v>402760</v>
      </c>
      <c r="R137" t="s">
        <v>191</v>
      </c>
      <c r="S137">
        <v>155</v>
      </c>
      <c r="T137" t="b">
        <v>0</v>
      </c>
      <c r="U137">
        <v>1</v>
      </c>
      <c r="V137">
        <v>4</v>
      </c>
      <c r="W137" t="s">
        <v>35</v>
      </c>
      <c r="X137" t="s">
        <v>810</v>
      </c>
      <c r="Y137" t="s">
        <v>29</v>
      </c>
      <c r="Z137" t="s">
        <v>37</v>
      </c>
    </row>
    <row r="138" spans="1:26">
      <c r="A138">
        <v>1.8681758195849631E+18</v>
      </c>
      <c r="B138" t="s">
        <v>183</v>
      </c>
      <c r="C138" t="s">
        <v>184</v>
      </c>
      <c r="D138" t="s">
        <v>811</v>
      </c>
      <c r="E138" t="s">
        <v>812</v>
      </c>
      <c r="F138" t="s">
        <v>29</v>
      </c>
      <c r="G138" t="s">
        <v>813</v>
      </c>
      <c r="H138" t="s">
        <v>29</v>
      </c>
      <c r="I138">
        <v>22</v>
      </c>
      <c r="J138">
        <v>11</v>
      </c>
      <c r="K138">
        <v>57</v>
      </c>
      <c r="L138">
        <v>55210</v>
      </c>
      <c r="M138" t="s">
        <v>814</v>
      </c>
      <c r="N138" t="s">
        <v>29</v>
      </c>
      <c r="O138">
        <v>27123001</v>
      </c>
      <c r="P138" t="s">
        <v>190</v>
      </c>
      <c r="Q138">
        <v>402760</v>
      </c>
      <c r="R138" t="s">
        <v>191</v>
      </c>
      <c r="S138">
        <v>155</v>
      </c>
      <c r="T138" t="b">
        <v>0</v>
      </c>
      <c r="U138">
        <v>2</v>
      </c>
      <c r="V138">
        <v>3</v>
      </c>
      <c r="W138" t="s">
        <v>35</v>
      </c>
      <c r="X138" t="s">
        <v>815</v>
      </c>
      <c r="Y138" t="s">
        <v>29</v>
      </c>
      <c r="Z138" t="s">
        <v>37</v>
      </c>
    </row>
    <row r="139" spans="1:26">
      <c r="A139">
        <v>1.8681167795133153E+18</v>
      </c>
      <c r="B139" t="s">
        <v>183</v>
      </c>
      <c r="C139" t="s">
        <v>184</v>
      </c>
      <c r="D139" t="s">
        <v>816</v>
      </c>
      <c r="E139" t="s">
        <v>817</v>
      </c>
      <c r="F139" t="s">
        <v>29</v>
      </c>
      <c r="G139" t="s">
        <v>818</v>
      </c>
      <c r="H139" t="s">
        <v>29</v>
      </c>
      <c r="I139">
        <v>4</v>
      </c>
      <c r="J139">
        <v>5</v>
      </c>
      <c r="K139">
        <v>18</v>
      </c>
      <c r="L139">
        <v>56482</v>
      </c>
      <c r="M139" t="s">
        <v>819</v>
      </c>
      <c r="N139" t="s">
        <v>29</v>
      </c>
      <c r="O139">
        <v>27123001</v>
      </c>
      <c r="P139" t="s">
        <v>190</v>
      </c>
      <c r="Q139">
        <v>402760</v>
      </c>
      <c r="R139" t="s">
        <v>191</v>
      </c>
      <c r="S139">
        <v>155</v>
      </c>
      <c r="T139" t="b">
        <v>0</v>
      </c>
      <c r="U139">
        <v>1</v>
      </c>
      <c r="V139">
        <v>4</v>
      </c>
      <c r="W139" t="s">
        <v>35</v>
      </c>
      <c r="X139" t="s">
        <v>820</v>
      </c>
      <c r="Y139" t="s">
        <v>29</v>
      </c>
      <c r="Z139" t="s">
        <v>37</v>
      </c>
    </row>
    <row r="140" spans="1:26">
      <c r="A140">
        <v>1.8681093601754931E+18</v>
      </c>
      <c r="B140" t="s">
        <v>183</v>
      </c>
      <c r="C140" t="s">
        <v>184</v>
      </c>
      <c r="D140" t="s">
        <v>821</v>
      </c>
      <c r="E140" t="s">
        <v>822</v>
      </c>
      <c r="F140" t="s">
        <v>29</v>
      </c>
      <c r="G140" t="s">
        <v>823</v>
      </c>
      <c r="H140" t="s">
        <v>29</v>
      </c>
      <c r="I140">
        <v>4</v>
      </c>
      <c r="J140">
        <v>5</v>
      </c>
      <c r="K140">
        <v>14</v>
      </c>
      <c r="L140">
        <v>53069</v>
      </c>
      <c r="M140" t="s">
        <v>824</v>
      </c>
      <c r="N140" t="s">
        <v>29</v>
      </c>
      <c r="O140">
        <v>27123001</v>
      </c>
      <c r="P140" t="s">
        <v>190</v>
      </c>
      <c r="Q140">
        <v>402760</v>
      </c>
      <c r="R140" t="s">
        <v>191</v>
      </c>
      <c r="S140">
        <v>155</v>
      </c>
      <c r="T140" t="b">
        <v>0</v>
      </c>
      <c r="U140">
        <v>2</v>
      </c>
      <c r="V140">
        <v>2</v>
      </c>
      <c r="W140" t="s">
        <v>35</v>
      </c>
      <c r="X140" t="s">
        <v>825</v>
      </c>
      <c r="Y140" t="s">
        <v>29</v>
      </c>
      <c r="Z140" t="s">
        <v>37</v>
      </c>
    </row>
    <row r="141" spans="1:26">
      <c r="A141">
        <v>1.8681138148576916E+18</v>
      </c>
      <c r="B141" t="s">
        <v>183</v>
      </c>
      <c r="C141" t="s">
        <v>184</v>
      </c>
      <c r="D141" t="s">
        <v>826</v>
      </c>
      <c r="E141" t="s">
        <v>827</v>
      </c>
      <c r="F141" t="s">
        <v>828</v>
      </c>
      <c r="G141" t="s">
        <v>829</v>
      </c>
      <c r="H141" t="s">
        <v>29</v>
      </c>
      <c r="I141">
        <v>5</v>
      </c>
      <c r="J141">
        <v>13</v>
      </c>
      <c r="K141">
        <v>59</v>
      </c>
      <c r="L141">
        <v>66873</v>
      </c>
      <c r="M141" t="s">
        <v>830</v>
      </c>
      <c r="N141" t="s">
        <v>29</v>
      </c>
      <c r="O141">
        <v>27123000</v>
      </c>
      <c r="P141" t="s">
        <v>190</v>
      </c>
      <c r="Q141">
        <v>402760</v>
      </c>
      <c r="R141" t="s">
        <v>191</v>
      </c>
      <c r="S141">
        <v>155</v>
      </c>
      <c r="T141" t="b">
        <v>0</v>
      </c>
      <c r="U141">
        <v>3</v>
      </c>
      <c r="V141">
        <v>12</v>
      </c>
      <c r="W141" t="s">
        <v>35</v>
      </c>
      <c r="X141" t="s">
        <v>29</v>
      </c>
      <c r="Y141" t="s">
        <v>29</v>
      </c>
      <c r="Z141" t="s">
        <v>37</v>
      </c>
    </row>
    <row r="142" spans="1:26">
      <c r="A142">
        <v>1.8681004737413123E+18</v>
      </c>
      <c r="B142" t="s">
        <v>183</v>
      </c>
      <c r="C142" t="s">
        <v>184</v>
      </c>
      <c r="D142" t="s">
        <v>831</v>
      </c>
      <c r="E142" t="s">
        <v>832</v>
      </c>
      <c r="F142" t="s">
        <v>833</v>
      </c>
      <c r="G142" t="s">
        <v>834</v>
      </c>
      <c r="H142" t="s">
        <v>29</v>
      </c>
      <c r="I142">
        <v>15</v>
      </c>
      <c r="J142">
        <v>38</v>
      </c>
      <c r="K142">
        <v>137</v>
      </c>
      <c r="L142">
        <v>74321</v>
      </c>
      <c r="M142" t="s">
        <v>835</v>
      </c>
      <c r="N142" t="s">
        <v>29</v>
      </c>
      <c r="O142">
        <v>27123001</v>
      </c>
      <c r="P142" t="s">
        <v>190</v>
      </c>
      <c r="Q142">
        <v>402760</v>
      </c>
      <c r="R142" t="s">
        <v>191</v>
      </c>
      <c r="S142">
        <v>155</v>
      </c>
      <c r="T142" t="b">
        <v>0</v>
      </c>
      <c r="U142">
        <v>9</v>
      </c>
      <c r="V142">
        <v>19</v>
      </c>
      <c r="W142" t="s">
        <v>35</v>
      </c>
      <c r="X142" t="s">
        <v>29</v>
      </c>
      <c r="Y142" t="s">
        <v>29</v>
      </c>
      <c r="Z142" t="s">
        <v>37</v>
      </c>
    </row>
    <row r="143" spans="1:26">
      <c r="A143">
        <v>1.8683138174924186E+18</v>
      </c>
      <c r="B143" t="s">
        <v>228</v>
      </c>
      <c r="C143" t="s">
        <v>228</v>
      </c>
      <c r="D143" t="s">
        <v>836</v>
      </c>
      <c r="E143" t="s">
        <v>837</v>
      </c>
      <c r="F143" t="s">
        <v>838</v>
      </c>
      <c r="G143" t="s">
        <v>839</v>
      </c>
      <c r="H143" t="s">
        <v>29</v>
      </c>
      <c r="I143">
        <v>1</v>
      </c>
      <c r="J143">
        <v>14</v>
      </c>
      <c r="K143">
        <v>34</v>
      </c>
      <c r="L143">
        <v>3897</v>
      </c>
      <c r="M143" t="s">
        <v>840</v>
      </c>
      <c r="N143" t="s">
        <v>29</v>
      </c>
      <c r="O143">
        <v>1239618</v>
      </c>
      <c r="P143" t="s">
        <v>235</v>
      </c>
      <c r="Q143">
        <v>402839</v>
      </c>
      <c r="R143" t="s">
        <v>236</v>
      </c>
      <c r="S143">
        <v>1644</v>
      </c>
      <c r="T143" t="b">
        <v>0</v>
      </c>
      <c r="U143">
        <v>3</v>
      </c>
      <c r="V143">
        <v>4</v>
      </c>
      <c r="W143" t="s">
        <v>35</v>
      </c>
      <c r="X143" t="s">
        <v>29</v>
      </c>
      <c r="Y143" t="s">
        <v>29</v>
      </c>
      <c r="Z143" t="s">
        <v>37</v>
      </c>
    </row>
    <row r="144" spans="1:26">
      <c r="A144">
        <v>1.8681288564792361E+18</v>
      </c>
      <c r="B144" t="s">
        <v>228</v>
      </c>
      <c r="C144" t="s">
        <v>228</v>
      </c>
      <c r="D144" t="s">
        <v>841</v>
      </c>
      <c r="E144" t="s">
        <v>842</v>
      </c>
      <c r="F144" t="s">
        <v>843</v>
      </c>
      <c r="G144" t="s">
        <v>844</v>
      </c>
      <c r="H144" t="s">
        <v>29</v>
      </c>
      <c r="I144">
        <v>82</v>
      </c>
      <c r="J144">
        <v>9</v>
      </c>
      <c r="K144">
        <v>55</v>
      </c>
      <c r="L144">
        <v>24001</v>
      </c>
      <c r="M144" t="s">
        <v>845</v>
      </c>
      <c r="N144" t="s">
        <v>29</v>
      </c>
      <c r="O144">
        <v>1239622</v>
      </c>
      <c r="P144" t="s">
        <v>235</v>
      </c>
      <c r="Q144">
        <v>402839</v>
      </c>
      <c r="R144" t="s">
        <v>236</v>
      </c>
      <c r="S144">
        <v>1643</v>
      </c>
      <c r="T144" t="b">
        <v>0</v>
      </c>
      <c r="U144">
        <v>12</v>
      </c>
      <c r="V144">
        <v>5</v>
      </c>
      <c r="W144" t="s">
        <v>35</v>
      </c>
      <c r="X144" t="s">
        <v>29</v>
      </c>
      <c r="Y144" t="s">
        <v>29</v>
      </c>
      <c r="Z144" t="s">
        <v>37</v>
      </c>
    </row>
    <row r="145" spans="1:26">
      <c r="A145">
        <v>1.868118782469919E+18</v>
      </c>
      <c r="B145" t="s">
        <v>228</v>
      </c>
      <c r="C145" t="s">
        <v>228</v>
      </c>
      <c r="D145" t="s">
        <v>846</v>
      </c>
      <c r="E145" t="s">
        <v>847</v>
      </c>
      <c r="F145" t="s">
        <v>848</v>
      </c>
      <c r="G145" t="s">
        <v>849</v>
      </c>
      <c r="H145" t="s">
        <v>29</v>
      </c>
      <c r="I145">
        <v>16</v>
      </c>
      <c r="J145">
        <v>10</v>
      </c>
      <c r="K145">
        <v>109</v>
      </c>
      <c r="L145">
        <v>10011</v>
      </c>
      <c r="M145" t="s">
        <v>850</v>
      </c>
      <c r="N145" t="s">
        <v>29</v>
      </c>
      <c r="O145">
        <v>1239617</v>
      </c>
      <c r="P145" t="s">
        <v>235</v>
      </c>
      <c r="Q145">
        <v>402839</v>
      </c>
      <c r="R145" t="s">
        <v>236</v>
      </c>
      <c r="S145">
        <v>1644</v>
      </c>
      <c r="T145" t="b">
        <v>0</v>
      </c>
      <c r="U145">
        <v>3</v>
      </c>
      <c r="V145">
        <v>2</v>
      </c>
      <c r="W145" t="s">
        <v>35</v>
      </c>
      <c r="X145" t="s">
        <v>29</v>
      </c>
      <c r="Y145" t="s">
        <v>29</v>
      </c>
      <c r="Z145" t="s">
        <v>37</v>
      </c>
    </row>
    <row r="146" spans="1:26">
      <c r="A146">
        <v>1.8684042165256973E+18</v>
      </c>
      <c r="B146" t="s">
        <v>275</v>
      </c>
      <c r="C146" t="s">
        <v>276</v>
      </c>
      <c r="D146" t="s">
        <v>851</v>
      </c>
      <c r="E146" t="s">
        <v>852</v>
      </c>
      <c r="F146" t="s">
        <v>853</v>
      </c>
      <c r="G146" t="s">
        <v>854</v>
      </c>
      <c r="H146" t="s">
        <v>29</v>
      </c>
      <c r="I146">
        <v>16</v>
      </c>
      <c r="J146">
        <v>86</v>
      </c>
      <c r="K146">
        <v>1036</v>
      </c>
      <c r="L146">
        <v>47934</v>
      </c>
      <c r="M146" t="s">
        <v>52</v>
      </c>
      <c r="N146" t="s">
        <v>281</v>
      </c>
      <c r="O146">
        <v>8539601</v>
      </c>
      <c r="P146" t="s">
        <v>282</v>
      </c>
      <c r="Q146">
        <v>75535</v>
      </c>
      <c r="R146" t="s">
        <v>283</v>
      </c>
      <c r="S146">
        <v>117</v>
      </c>
      <c r="T146" t="b">
        <v>0</v>
      </c>
      <c r="U146">
        <v>7</v>
      </c>
      <c r="V146">
        <v>21</v>
      </c>
      <c r="W146" t="s">
        <v>35</v>
      </c>
      <c r="X146" t="s">
        <v>29</v>
      </c>
      <c r="Y146" t="s">
        <v>29</v>
      </c>
      <c r="Z146" t="s">
        <v>37</v>
      </c>
    </row>
    <row r="147" spans="1:26">
      <c r="A147">
        <v>1.8682570984272038E+18</v>
      </c>
      <c r="B147" t="s">
        <v>290</v>
      </c>
      <c r="C147" t="s">
        <v>291</v>
      </c>
      <c r="D147" t="s">
        <v>855</v>
      </c>
      <c r="E147" t="s">
        <v>856</v>
      </c>
      <c r="F147" t="s">
        <v>857</v>
      </c>
      <c r="G147" t="s">
        <v>858</v>
      </c>
      <c r="H147" t="s">
        <v>29</v>
      </c>
      <c r="I147">
        <v>2</v>
      </c>
      <c r="J147">
        <v>8</v>
      </c>
      <c r="K147">
        <v>94</v>
      </c>
      <c r="L147">
        <v>4313</v>
      </c>
      <c r="M147" t="s">
        <v>52</v>
      </c>
      <c r="N147" t="s">
        <v>859</v>
      </c>
      <c r="O147">
        <v>1906482</v>
      </c>
      <c r="P147" t="s">
        <v>298</v>
      </c>
      <c r="Q147">
        <v>124666</v>
      </c>
      <c r="R147" t="s">
        <v>299</v>
      </c>
      <c r="S147">
        <v>432</v>
      </c>
      <c r="T147" t="b">
        <v>0</v>
      </c>
      <c r="U147">
        <v>2</v>
      </c>
      <c r="V147">
        <v>1</v>
      </c>
      <c r="W147" t="s">
        <v>860</v>
      </c>
      <c r="X147" t="s">
        <v>29</v>
      </c>
      <c r="Y147" t="s">
        <v>29</v>
      </c>
      <c r="Z147" t="s">
        <v>37</v>
      </c>
    </row>
    <row r="148" spans="1:26">
      <c r="A148">
        <v>1.8682678493763136E+18</v>
      </c>
      <c r="B148" t="s">
        <v>290</v>
      </c>
      <c r="C148" t="s">
        <v>291</v>
      </c>
      <c r="D148" t="s">
        <v>861</v>
      </c>
      <c r="E148" t="s">
        <v>862</v>
      </c>
      <c r="F148" t="s">
        <v>863</v>
      </c>
      <c r="G148" t="s">
        <v>864</v>
      </c>
      <c r="H148" t="s">
        <v>296</v>
      </c>
      <c r="I148">
        <v>3</v>
      </c>
      <c r="J148">
        <v>9</v>
      </c>
      <c r="K148">
        <v>113</v>
      </c>
      <c r="L148">
        <v>10266</v>
      </c>
      <c r="M148" t="s">
        <v>52</v>
      </c>
      <c r="N148" t="s">
        <v>859</v>
      </c>
      <c r="O148">
        <v>1906482</v>
      </c>
      <c r="P148" t="s">
        <v>298</v>
      </c>
      <c r="Q148">
        <v>124666</v>
      </c>
      <c r="R148" t="s">
        <v>299</v>
      </c>
      <c r="S148">
        <v>432</v>
      </c>
      <c r="T148" t="b">
        <v>0</v>
      </c>
      <c r="U148">
        <v>1</v>
      </c>
      <c r="V148">
        <v>1</v>
      </c>
      <c r="W148" t="s">
        <v>865</v>
      </c>
      <c r="X148" t="s">
        <v>29</v>
      </c>
      <c r="Y148" t="s">
        <v>29</v>
      </c>
      <c r="Z148" t="s">
        <v>37</v>
      </c>
    </row>
    <row r="149" spans="1:26">
      <c r="A149">
        <v>1.8683683001342774E+18</v>
      </c>
      <c r="B149" t="s">
        <v>290</v>
      </c>
      <c r="C149" t="s">
        <v>291</v>
      </c>
      <c r="D149" t="s">
        <v>866</v>
      </c>
      <c r="E149" t="s">
        <v>867</v>
      </c>
      <c r="F149" t="s">
        <v>868</v>
      </c>
      <c r="G149" t="s">
        <v>869</v>
      </c>
      <c r="H149" t="s">
        <v>29</v>
      </c>
      <c r="I149">
        <v>19</v>
      </c>
      <c r="J149">
        <v>20</v>
      </c>
      <c r="K149">
        <v>474</v>
      </c>
      <c r="L149">
        <v>20926</v>
      </c>
      <c r="M149" t="s">
        <v>52</v>
      </c>
      <c r="N149" t="s">
        <v>305</v>
      </c>
      <c r="O149">
        <v>1906482</v>
      </c>
      <c r="P149" t="s">
        <v>298</v>
      </c>
      <c r="Q149">
        <v>124666</v>
      </c>
      <c r="R149" t="s">
        <v>299</v>
      </c>
      <c r="S149">
        <v>432</v>
      </c>
      <c r="T149" t="b">
        <v>0</v>
      </c>
      <c r="U149">
        <v>2</v>
      </c>
      <c r="V149">
        <v>3</v>
      </c>
      <c r="W149" t="s">
        <v>35</v>
      </c>
      <c r="X149" t="s">
        <v>29</v>
      </c>
      <c r="Y149" t="s">
        <v>29</v>
      </c>
      <c r="Z149" t="s">
        <v>37</v>
      </c>
    </row>
    <row r="150" spans="1:26">
      <c r="A150">
        <v>1.8683812629998963E+18</v>
      </c>
      <c r="B150" t="s">
        <v>717</v>
      </c>
      <c r="C150" t="s">
        <v>718</v>
      </c>
      <c r="D150" t="s">
        <v>870</v>
      </c>
      <c r="E150" t="s">
        <v>871</v>
      </c>
      <c r="F150" t="s">
        <v>872</v>
      </c>
      <c r="G150" t="s">
        <v>873</v>
      </c>
      <c r="H150" t="s">
        <v>874</v>
      </c>
      <c r="I150">
        <v>12</v>
      </c>
      <c r="J150">
        <v>130</v>
      </c>
      <c r="K150">
        <v>1904</v>
      </c>
      <c r="L150">
        <v>29340</v>
      </c>
      <c r="M150" t="s">
        <v>52</v>
      </c>
      <c r="N150" t="s">
        <v>29</v>
      </c>
      <c r="O150">
        <v>756191</v>
      </c>
      <c r="P150" t="s">
        <v>724</v>
      </c>
      <c r="Q150">
        <v>32997</v>
      </c>
      <c r="R150" t="s">
        <v>725</v>
      </c>
      <c r="S150">
        <v>303</v>
      </c>
      <c r="T150" t="b">
        <v>0</v>
      </c>
      <c r="U150">
        <v>9</v>
      </c>
      <c r="V150">
        <v>11</v>
      </c>
      <c r="W150" t="s">
        <v>35</v>
      </c>
      <c r="X150" t="s">
        <v>29</v>
      </c>
      <c r="Y150" t="s">
        <v>29</v>
      </c>
      <c r="Z150" t="s">
        <v>37</v>
      </c>
    </row>
    <row r="151" spans="1:26">
      <c r="A151">
        <v>1.8683875257291369E+18</v>
      </c>
      <c r="B151" t="s">
        <v>875</v>
      </c>
      <c r="C151" t="s">
        <v>876</v>
      </c>
      <c r="D151" t="s">
        <v>877</v>
      </c>
      <c r="E151" t="s">
        <v>878</v>
      </c>
      <c r="F151" t="s">
        <v>879</v>
      </c>
      <c r="G151" t="s">
        <v>880</v>
      </c>
      <c r="H151" t="s">
        <v>29</v>
      </c>
      <c r="I151">
        <v>10</v>
      </c>
      <c r="J151">
        <v>2</v>
      </c>
      <c r="K151">
        <v>22</v>
      </c>
      <c r="L151">
        <v>3364</v>
      </c>
      <c r="M151" t="s">
        <v>52</v>
      </c>
      <c r="N151" t="s">
        <v>881</v>
      </c>
      <c r="O151">
        <v>95472</v>
      </c>
      <c r="P151" t="s">
        <v>882</v>
      </c>
      <c r="Q151">
        <v>46289</v>
      </c>
      <c r="R151" t="s">
        <v>883</v>
      </c>
      <c r="S151">
        <v>1327</v>
      </c>
      <c r="T151" t="b">
        <v>0</v>
      </c>
      <c r="U151">
        <v>1</v>
      </c>
      <c r="V151">
        <v>1</v>
      </c>
      <c r="W151" t="s">
        <v>35</v>
      </c>
      <c r="X151" t="s">
        <v>29</v>
      </c>
      <c r="Y151" t="s">
        <v>29</v>
      </c>
      <c r="Z151" t="s">
        <v>37</v>
      </c>
    </row>
    <row r="152" spans="1:26">
      <c r="A152">
        <v>1.8682192074495104E+18</v>
      </c>
      <c r="B152" t="s">
        <v>884</v>
      </c>
      <c r="C152" t="s">
        <v>885</v>
      </c>
      <c r="D152" t="s">
        <v>886</v>
      </c>
      <c r="E152" t="s">
        <v>887</v>
      </c>
      <c r="F152" t="s">
        <v>888</v>
      </c>
      <c r="G152" t="s">
        <v>889</v>
      </c>
      <c r="H152" t="s">
        <v>29</v>
      </c>
      <c r="I152">
        <v>5</v>
      </c>
      <c r="J152">
        <v>5</v>
      </c>
      <c r="K152">
        <v>40</v>
      </c>
      <c r="L152">
        <v>12256</v>
      </c>
      <c r="M152" t="s">
        <v>890</v>
      </c>
      <c r="N152" t="s">
        <v>891</v>
      </c>
      <c r="O152">
        <v>29878</v>
      </c>
      <c r="P152" t="s">
        <v>892</v>
      </c>
      <c r="Q152">
        <v>16686</v>
      </c>
      <c r="R152" t="s">
        <v>893</v>
      </c>
      <c r="S152">
        <v>81</v>
      </c>
      <c r="T152" t="b">
        <v>0</v>
      </c>
      <c r="U152">
        <v>4</v>
      </c>
      <c r="V152">
        <v>3</v>
      </c>
      <c r="W152" t="s">
        <v>35</v>
      </c>
      <c r="X152" t="s">
        <v>29</v>
      </c>
      <c r="Y152" t="s">
        <v>29</v>
      </c>
      <c r="Z152" t="s">
        <v>37</v>
      </c>
    </row>
    <row r="153" spans="1:26">
      <c r="A153">
        <v>1.8683789271500475E+18</v>
      </c>
      <c r="B153" t="s">
        <v>735</v>
      </c>
      <c r="C153" t="s">
        <v>736</v>
      </c>
      <c r="D153" t="s">
        <v>894</v>
      </c>
      <c r="E153" t="s">
        <v>895</v>
      </c>
      <c r="F153" t="s">
        <v>29</v>
      </c>
      <c r="G153" t="s">
        <v>896</v>
      </c>
      <c r="H153" t="s">
        <v>897</v>
      </c>
      <c r="I153">
        <v>10</v>
      </c>
      <c r="J153">
        <v>5</v>
      </c>
      <c r="K153">
        <v>148</v>
      </c>
      <c r="L153">
        <v>41139</v>
      </c>
      <c r="M153" t="s">
        <v>898</v>
      </c>
      <c r="N153" t="s">
        <v>899</v>
      </c>
      <c r="O153">
        <v>2354200</v>
      </c>
      <c r="P153" t="s">
        <v>743</v>
      </c>
      <c r="Q153">
        <v>72197</v>
      </c>
      <c r="R153" t="s">
        <v>744</v>
      </c>
      <c r="S153">
        <v>789</v>
      </c>
      <c r="T153" t="b">
        <v>0</v>
      </c>
      <c r="U153">
        <v>0</v>
      </c>
      <c r="V153">
        <v>1</v>
      </c>
      <c r="W153" t="s">
        <v>35</v>
      </c>
      <c r="X153" t="s">
        <v>29</v>
      </c>
      <c r="Y153" t="s">
        <v>29</v>
      </c>
      <c r="Z153" t="s">
        <v>37</v>
      </c>
    </row>
    <row r="154" spans="1:26">
      <c r="A154">
        <v>1.8683922781440164E+18</v>
      </c>
      <c r="B154" t="s">
        <v>275</v>
      </c>
      <c r="C154" t="s">
        <v>276</v>
      </c>
      <c r="D154" t="s">
        <v>900</v>
      </c>
      <c r="E154" t="s">
        <v>901</v>
      </c>
      <c r="F154" t="s">
        <v>902</v>
      </c>
      <c r="G154" t="s">
        <v>903</v>
      </c>
      <c r="H154" t="s">
        <v>29</v>
      </c>
      <c r="I154">
        <v>25</v>
      </c>
      <c r="J154">
        <v>322</v>
      </c>
      <c r="K154">
        <v>5077</v>
      </c>
      <c r="L154">
        <v>102362</v>
      </c>
      <c r="M154" t="s">
        <v>52</v>
      </c>
      <c r="N154" t="s">
        <v>281</v>
      </c>
      <c r="O154">
        <v>8539604</v>
      </c>
      <c r="P154" t="s">
        <v>282</v>
      </c>
      <c r="Q154">
        <v>75535</v>
      </c>
      <c r="R154" t="s">
        <v>283</v>
      </c>
      <c r="S154">
        <v>117</v>
      </c>
      <c r="T154" t="b">
        <v>0</v>
      </c>
      <c r="U154">
        <v>31</v>
      </c>
      <c r="V154">
        <v>63</v>
      </c>
      <c r="W154" t="s">
        <v>35</v>
      </c>
      <c r="X154" t="s">
        <v>29</v>
      </c>
      <c r="Y154" t="s">
        <v>29</v>
      </c>
      <c r="Z154" t="s">
        <v>37</v>
      </c>
    </row>
    <row r="155" spans="1:26">
      <c r="A155">
        <v>1.8683319339205309E+18</v>
      </c>
      <c r="B155" t="s">
        <v>333</v>
      </c>
      <c r="C155" t="s">
        <v>334</v>
      </c>
      <c r="D155" t="s">
        <v>904</v>
      </c>
      <c r="E155" t="s">
        <v>905</v>
      </c>
      <c r="F155" t="s">
        <v>906</v>
      </c>
      <c r="G155" t="s">
        <v>907</v>
      </c>
      <c r="H155" t="s">
        <v>908</v>
      </c>
      <c r="I155">
        <v>3</v>
      </c>
      <c r="J155">
        <v>12</v>
      </c>
      <c r="K155">
        <v>70</v>
      </c>
      <c r="L155">
        <v>7927</v>
      </c>
      <c r="M155" t="s">
        <v>52</v>
      </c>
      <c r="N155" t="s">
        <v>340</v>
      </c>
      <c r="O155">
        <v>337840</v>
      </c>
      <c r="P155" t="s">
        <v>341</v>
      </c>
      <c r="Q155">
        <v>57638</v>
      </c>
      <c r="R155" t="s">
        <v>342</v>
      </c>
      <c r="S155">
        <v>587</v>
      </c>
      <c r="T155" t="b">
        <v>0</v>
      </c>
      <c r="U155">
        <v>2</v>
      </c>
      <c r="V155">
        <v>2</v>
      </c>
      <c r="W155" t="s">
        <v>909</v>
      </c>
      <c r="X155" t="s">
        <v>29</v>
      </c>
      <c r="Y155" t="s">
        <v>29</v>
      </c>
      <c r="Z155" t="s">
        <v>37</v>
      </c>
    </row>
    <row r="156" spans="1:26">
      <c r="A156">
        <v>1.8682496480092736E+18</v>
      </c>
      <c r="B156" t="s">
        <v>717</v>
      </c>
      <c r="C156" t="s">
        <v>718</v>
      </c>
      <c r="D156" t="s">
        <v>910</v>
      </c>
      <c r="E156" t="s">
        <v>911</v>
      </c>
      <c r="F156" t="s">
        <v>912</v>
      </c>
      <c r="G156" t="s">
        <v>913</v>
      </c>
      <c r="H156" t="s">
        <v>914</v>
      </c>
      <c r="I156">
        <v>22</v>
      </c>
      <c r="J156">
        <v>74</v>
      </c>
      <c r="K156">
        <v>1038</v>
      </c>
      <c r="L156">
        <v>68928</v>
      </c>
      <c r="M156" t="s">
        <v>52</v>
      </c>
      <c r="N156" t="s">
        <v>29</v>
      </c>
      <c r="O156">
        <v>756191</v>
      </c>
      <c r="P156" t="s">
        <v>724</v>
      </c>
      <c r="Q156">
        <v>32997</v>
      </c>
      <c r="R156" t="s">
        <v>725</v>
      </c>
      <c r="S156">
        <v>303</v>
      </c>
      <c r="T156" t="b">
        <v>0</v>
      </c>
      <c r="U156">
        <v>89</v>
      </c>
      <c r="V156">
        <v>36</v>
      </c>
      <c r="W156" t="s">
        <v>35</v>
      </c>
      <c r="X156" t="s">
        <v>29</v>
      </c>
      <c r="Y156" t="s">
        <v>29</v>
      </c>
      <c r="Z156" t="s">
        <v>37</v>
      </c>
    </row>
    <row r="157" spans="1:26">
      <c r="A157">
        <v>1.8683459406226762E+18</v>
      </c>
      <c r="B157" t="s">
        <v>46</v>
      </c>
      <c r="C157" t="s">
        <v>47</v>
      </c>
      <c r="D157" t="s">
        <v>915</v>
      </c>
      <c r="E157" t="s">
        <v>916</v>
      </c>
      <c r="F157" t="s">
        <v>917</v>
      </c>
      <c r="G157" t="s">
        <v>918</v>
      </c>
      <c r="H157" t="s">
        <v>29</v>
      </c>
      <c r="I157">
        <v>4</v>
      </c>
      <c r="J157">
        <v>3</v>
      </c>
      <c r="K157">
        <v>298</v>
      </c>
      <c r="L157">
        <v>25184</v>
      </c>
      <c r="M157" t="s">
        <v>52</v>
      </c>
      <c r="N157" t="s">
        <v>182</v>
      </c>
      <c r="O157">
        <v>8293203</v>
      </c>
      <c r="P157" t="s">
        <v>54</v>
      </c>
      <c r="Q157">
        <v>456734</v>
      </c>
      <c r="R157" t="s">
        <v>55</v>
      </c>
      <c r="S157">
        <v>859</v>
      </c>
      <c r="T157" t="b">
        <v>0</v>
      </c>
      <c r="U157">
        <v>2</v>
      </c>
      <c r="V157">
        <v>2</v>
      </c>
      <c r="W157" t="s">
        <v>35</v>
      </c>
      <c r="X157" t="s">
        <v>29</v>
      </c>
      <c r="Y157" t="s">
        <v>29</v>
      </c>
      <c r="Z157" t="s">
        <v>37</v>
      </c>
    </row>
    <row r="158" spans="1:26">
      <c r="A158">
        <v>1.8683233966367788E+18</v>
      </c>
      <c r="B158" t="s">
        <v>183</v>
      </c>
      <c r="C158" t="s">
        <v>184</v>
      </c>
      <c r="D158" t="s">
        <v>919</v>
      </c>
      <c r="E158" t="s">
        <v>920</v>
      </c>
      <c r="F158" t="s">
        <v>29</v>
      </c>
      <c r="G158" t="s">
        <v>921</v>
      </c>
      <c r="H158" t="s">
        <v>29</v>
      </c>
      <c r="I158">
        <v>32</v>
      </c>
      <c r="J158">
        <v>32</v>
      </c>
      <c r="K158">
        <v>74</v>
      </c>
      <c r="L158">
        <v>52813</v>
      </c>
      <c r="M158" t="s">
        <v>922</v>
      </c>
      <c r="N158" t="s">
        <v>29</v>
      </c>
      <c r="O158">
        <v>27122998</v>
      </c>
      <c r="P158" t="s">
        <v>190</v>
      </c>
      <c r="Q158">
        <v>402760</v>
      </c>
      <c r="R158" t="s">
        <v>191</v>
      </c>
      <c r="S158">
        <v>155</v>
      </c>
      <c r="T158" t="b">
        <v>0</v>
      </c>
      <c r="U158">
        <v>8</v>
      </c>
      <c r="V158">
        <v>17</v>
      </c>
      <c r="W158" t="s">
        <v>35</v>
      </c>
      <c r="X158" t="s">
        <v>923</v>
      </c>
      <c r="Y158" t="s">
        <v>29</v>
      </c>
      <c r="Z158" t="s">
        <v>37</v>
      </c>
    </row>
    <row r="159" spans="1:26">
      <c r="A159">
        <v>1.868281193692607E+18</v>
      </c>
      <c r="B159" t="s">
        <v>183</v>
      </c>
      <c r="C159" t="s">
        <v>184</v>
      </c>
      <c r="D159" t="s">
        <v>924</v>
      </c>
      <c r="E159" t="s">
        <v>925</v>
      </c>
      <c r="F159" t="s">
        <v>29</v>
      </c>
      <c r="G159" t="s">
        <v>926</v>
      </c>
      <c r="H159" t="s">
        <v>29</v>
      </c>
      <c r="I159">
        <v>7</v>
      </c>
      <c r="J159">
        <v>12</v>
      </c>
      <c r="K159">
        <v>34</v>
      </c>
      <c r="L159">
        <v>54717</v>
      </c>
      <c r="M159" t="s">
        <v>927</v>
      </c>
      <c r="N159" t="s">
        <v>29</v>
      </c>
      <c r="O159">
        <v>27122998</v>
      </c>
      <c r="P159" t="s">
        <v>190</v>
      </c>
      <c r="Q159">
        <v>402760</v>
      </c>
      <c r="R159" t="s">
        <v>191</v>
      </c>
      <c r="S159">
        <v>155</v>
      </c>
      <c r="T159" t="b">
        <v>0</v>
      </c>
      <c r="U159">
        <v>1</v>
      </c>
      <c r="V159">
        <v>4</v>
      </c>
      <c r="W159" t="s">
        <v>35</v>
      </c>
      <c r="X159" t="s">
        <v>928</v>
      </c>
      <c r="Y159" t="s">
        <v>29</v>
      </c>
      <c r="Z159" t="s">
        <v>37</v>
      </c>
    </row>
    <row r="160" spans="1:26">
      <c r="A160">
        <v>1.8682599567822564E+18</v>
      </c>
      <c r="B160" t="s">
        <v>183</v>
      </c>
      <c r="C160" t="s">
        <v>184</v>
      </c>
      <c r="D160" t="s">
        <v>929</v>
      </c>
      <c r="E160" t="s">
        <v>930</v>
      </c>
      <c r="F160" t="s">
        <v>29</v>
      </c>
      <c r="G160" t="s">
        <v>931</v>
      </c>
      <c r="H160" t="s">
        <v>29</v>
      </c>
      <c r="I160">
        <v>11</v>
      </c>
      <c r="J160">
        <v>22</v>
      </c>
      <c r="K160">
        <v>62</v>
      </c>
      <c r="L160">
        <v>54721</v>
      </c>
      <c r="M160" t="s">
        <v>932</v>
      </c>
      <c r="N160" t="s">
        <v>29</v>
      </c>
      <c r="O160">
        <v>27122998</v>
      </c>
      <c r="P160" t="s">
        <v>190</v>
      </c>
      <c r="Q160">
        <v>402760</v>
      </c>
      <c r="R160" t="s">
        <v>191</v>
      </c>
      <c r="S160">
        <v>155</v>
      </c>
      <c r="T160" t="b">
        <v>0</v>
      </c>
      <c r="U160">
        <v>2</v>
      </c>
      <c r="V160">
        <v>13</v>
      </c>
      <c r="W160" t="s">
        <v>35</v>
      </c>
      <c r="X160" t="s">
        <v>933</v>
      </c>
      <c r="Y160" t="s">
        <v>29</v>
      </c>
      <c r="Z160" t="s">
        <v>37</v>
      </c>
    </row>
    <row r="161" spans="1:26">
      <c r="A161">
        <v>1.868243451684311E+18</v>
      </c>
      <c r="B161" t="s">
        <v>183</v>
      </c>
      <c r="C161" t="s">
        <v>184</v>
      </c>
      <c r="D161" t="s">
        <v>934</v>
      </c>
      <c r="E161" t="s">
        <v>935</v>
      </c>
      <c r="F161" t="s">
        <v>29</v>
      </c>
      <c r="G161" t="s">
        <v>936</v>
      </c>
      <c r="H161" t="s">
        <v>29</v>
      </c>
      <c r="I161">
        <v>5</v>
      </c>
      <c r="J161">
        <v>6</v>
      </c>
      <c r="K161">
        <v>27</v>
      </c>
      <c r="L161">
        <v>47438</v>
      </c>
      <c r="M161" t="s">
        <v>937</v>
      </c>
      <c r="N161" t="s">
        <v>29</v>
      </c>
      <c r="O161">
        <v>27122998</v>
      </c>
      <c r="P161" t="s">
        <v>190</v>
      </c>
      <c r="Q161">
        <v>402760</v>
      </c>
      <c r="R161" t="s">
        <v>191</v>
      </c>
      <c r="S161">
        <v>155</v>
      </c>
      <c r="T161" t="b">
        <v>0</v>
      </c>
      <c r="U161">
        <v>2</v>
      </c>
      <c r="V161">
        <v>5</v>
      </c>
      <c r="W161" t="s">
        <v>35</v>
      </c>
      <c r="X161" t="s">
        <v>222</v>
      </c>
      <c r="Y161" t="s">
        <v>29</v>
      </c>
      <c r="Z161" t="s">
        <v>37</v>
      </c>
    </row>
    <row r="162" spans="1:26">
      <c r="A162">
        <v>1.8682179624542047E+18</v>
      </c>
      <c r="B162" t="s">
        <v>183</v>
      </c>
      <c r="C162" t="s">
        <v>184</v>
      </c>
      <c r="D162" t="s">
        <v>938</v>
      </c>
      <c r="E162" t="s">
        <v>939</v>
      </c>
      <c r="F162" t="s">
        <v>29</v>
      </c>
      <c r="G162" t="s">
        <v>940</v>
      </c>
      <c r="H162" t="s">
        <v>29</v>
      </c>
      <c r="I162">
        <v>8</v>
      </c>
      <c r="J162">
        <v>7</v>
      </c>
      <c r="K162">
        <v>23</v>
      </c>
      <c r="L162">
        <v>41169</v>
      </c>
      <c r="M162" t="s">
        <v>941</v>
      </c>
      <c r="N162" t="s">
        <v>29</v>
      </c>
      <c r="O162">
        <v>27123000</v>
      </c>
      <c r="P162" t="s">
        <v>190</v>
      </c>
      <c r="Q162">
        <v>402760</v>
      </c>
      <c r="R162" t="s">
        <v>191</v>
      </c>
      <c r="S162">
        <v>155</v>
      </c>
      <c r="T162" t="b">
        <v>0</v>
      </c>
      <c r="U162">
        <v>1</v>
      </c>
      <c r="V162">
        <v>7</v>
      </c>
      <c r="W162" t="s">
        <v>35</v>
      </c>
      <c r="X162" t="s">
        <v>942</v>
      </c>
      <c r="Y162" t="s">
        <v>29</v>
      </c>
      <c r="Z162" t="s">
        <v>37</v>
      </c>
    </row>
    <row r="163" spans="1:26">
      <c r="A163">
        <v>1.86820731486541E+18</v>
      </c>
      <c r="B163" t="s">
        <v>183</v>
      </c>
      <c r="C163" t="s">
        <v>184</v>
      </c>
      <c r="D163" t="s">
        <v>943</v>
      </c>
      <c r="E163" t="s">
        <v>944</v>
      </c>
      <c r="F163" t="s">
        <v>29</v>
      </c>
      <c r="G163" t="s">
        <v>945</v>
      </c>
      <c r="H163" t="s">
        <v>29</v>
      </c>
      <c r="I163">
        <v>4</v>
      </c>
      <c r="J163">
        <v>4</v>
      </c>
      <c r="K163">
        <v>17</v>
      </c>
      <c r="L163">
        <v>44946</v>
      </c>
      <c r="M163" t="s">
        <v>946</v>
      </c>
      <c r="N163" t="s">
        <v>29</v>
      </c>
      <c r="O163">
        <v>27123001</v>
      </c>
      <c r="P163" t="s">
        <v>190</v>
      </c>
      <c r="Q163">
        <v>402760</v>
      </c>
      <c r="R163" t="s">
        <v>191</v>
      </c>
      <c r="S163">
        <v>155</v>
      </c>
      <c r="T163" t="b">
        <v>0</v>
      </c>
      <c r="U163">
        <v>1</v>
      </c>
      <c r="V163">
        <v>3</v>
      </c>
      <c r="W163" t="s">
        <v>35</v>
      </c>
      <c r="X163" t="s">
        <v>947</v>
      </c>
      <c r="Y163" t="s">
        <v>29</v>
      </c>
      <c r="Z163" t="s">
        <v>37</v>
      </c>
    </row>
    <row r="164" spans="1:26">
      <c r="A164">
        <v>1.8682035293928453E+18</v>
      </c>
      <c r="B164" t="s">
        <v>183</v>
      </c>
      <c r="C164" t="s">
        <v>184</v>
      </c>
      <c r="D164" t="s">
        <v>948</v>
      </c>
      <c r="E164" t="s">
        <v>949</v>
      </c>
      <c r="F164" t="s">
        <v>29</v>
      </c>
      <c r="G164" t="s">
        <v>950</v>
      </c>
      <c r="H164" t="s">
        <v>29</v>
      </c>
      <c r="I164">
        <v>16</v>
      </c>
      <c r="J164">
        <v>17</v>
      </c>
      <c r="K164">
        <v>57</v>
      </c>
      <c r="L164">
        <v>44637</v>
      </c>
      <c r="M164" t="s">
        <v>951</v>
      </c>
      <c r="N164" t="s">
        <v>29</v>
      </c>
      <c r="O164">
        <v>27123001</v>
      </c>
      <c r="P164" t="s">
        <v>190</v>
      </c>
      <c r="Q164">
        <v>402760</v>
      </c>
      <c r="R164" t="s">
        <v>191</v>
      </c>
      <c r="S164">
        <v>155</v>
      </c>
      <c r="T164" t="b">
        <v>0</v>
      </c>
      <c r="U164">
        <v>2</v>
      </c>
      <c r="V164">
        <v>7</v>
      </c>
      <c r="W164" t="s">
        <v>35</v>
      </c>
      <c r="X164" t="s">
        <v>952</v>
      </c>
      <c r="Y164" t="s">
        <v>29</v>
      </c>
      <c r="Z164" t="s">
        <v>37</v>
      </c>
    </row>
    <row r="165" spans="1:26">
      <c r="A165">
        <v>1.8684157450775104E+18</v>
      </c>
      <c r="B165" t="s">
        <v>228</v>
      </c>
      <c r="C165" t="s">
        <v>228</v>
      </c>
      <c r="D165" t="s">
        <v>953</v>
      </c>
      <c r="E165" t="s">
        <v>954</v>
      </c>
      <c r="F165" t="s">
        <v>955</v>
      </c>
      <c r="G165" t="s">
        <v>956</v>
      </c>
      <c r="H165" t="s">
        <v>29</v>
      </c>
      <c r="I165">
        <v>32</v>
      </c>
      <c r="J165">
        <v>7</v>
      </c>
      <c r="K165">
        <v>51</v>
      </c>
      <c r="L165">
        <v>10262</v>
      </c>
      <c r="M165" t="s">
        <v>957</v>
      </c>
      <c r="N165" t="s">
        <v>29</v>
      </c>
      <c r="O165">
        <v>1239616</v>
      </c>
      <c r="P165" t="s">
        <v>235</v>
      </c>
      <c r="Q165">
        <v>402839</v>
      </c>
      <c r="R165" t="s">
        <v>236</v>
      </c>
      <c r="S165">
        <v>1644</v>
      </c>
      <c r="T165" t="b">
        <v>0</v>
      </c>
      <c r="U165">
        <v>2</v>
      </c>
      <c r="V165">
        <v>4</v>
      </c>
      <c r="W165" t="s">
        <v>35</v>
      </c>
      <c r="X165" t="s">
        <v>29</v>
      </c>
      <c r="Y165" t="s">
        <v>29</v>
      </c>
      <c r="Z165" t="s">
        <v>37</v>
      </c>
    </row>
    <row r="166" spans="1:26">
      <c r="A166">
        <v>1.8683628915958008E+18</v>
      </c>
      <c r="B166" t="s">
        <v>228</v>
      </c>
      <c r="C166" t="s">
        <v>228</v>
      </c>
      <c r="D166" t="s">
        <v>958</v>
      </c>
      <c r="E166" t="s">
        <v>959</v>
      </c>
      <c r="F166" t="s">
        <v>960</v>
      </c>
      <c r="G166" t="s">
        <v>961</v>
      </c>
      <c r="H166" t="s">
        <v>29</v>
      </c>
      <c r="I166">
        <v>9</v>
      </c>
      <c r="J166">
        <v>4</v>
      </c>
      <c r="K166">
        <v>11</v>
      </c>
      <c r="L166">
        <v>4809</v>
      </c>
      <c r="M166" t="s">
        <v>962</v>
      </c>
      <c r="N166" t="s">
        <v>29</v>
      </c>
      <c r="O166">
        <v>1239617</v>
      </c>
      <c r="P166" t="s">
        <v>235</v>
      </c>
      <c r="Q166">
        <v>402839</v>
      </c>
      <c r="R166" t="s">
        <v>236</v>
      </c>
      <c r="S166">
        <v>1644</v>
      </c>
      <c r="T166" t="b">
        <v>0</v>
      </c>
      <c r="U166">
        <v>2</v>
      </c>
      <c r="V166">
        <v>1</v>
      </c>
      <c r="W166" t="s">
        <v>35</v>
      </c>
      <c r="X166" t="s">
        <v>29</v>
      </c>
      <c r="Y166" t="s">
        <v>29</v>
      </c>
      <c r="Z166" t="s">
        <v>37</v>
      </c>
    </row>
    <row r="167" spans="1:26">
      <c r="A167">
        <v>1.868327087280714E+18</v>
      </c>
      <c r="B167" t="s">
        <v>228</v>
      </c>
      <c r="C167" t="s">
        <v>228</v>
      </c>
      <c r="D167" t="s">
        <v>963</v>
      </c>
      <c r="E167" t="s">
        <v>964</v>
      </c>
      <c r="F167" t="s">
        <v>29</v>
      </c>
      <c r="G167" t="s">
        <v>965</v>
      </c>
      <c r="H167" t="s">
        <v>29</v>
      </c>
      <c r="I167">
        <v>32</v>
      </c>
      <c r="J167">
        <v>7</v>
      </c>
      <c r="K167">
        <v>77</v>
      </c>
      <c r="L167">
        <v>7390</v>
      </c>
      <c r="M167" t="s">
        <v>966</v>
      </c>
      <c r="N167" t="s">
        <v>29</v>
      </c>
      <c r="O167">
        <v>1239618</v>
      </c>
      <c r="P167" t="s">
        <v>235</v>
      </c>
      <c r="Q167">
        <v>402839</v>
      </c>
      <c r="R167" t="s">
        <v>236</v>
      </c>
      <c r="S167">
        <v>1644</v>
      </c>
      <c r="T167" t="b">
        <v>0</v>
      </c>
      <c r="U167">
        <v>1</v>
      </c>
      <c r="V167">
        <v>2</v>
      </c>
      <c r="W167" t="s">
        <v>35</v>
      </c>
      <c r="X167" t="s">
        <v>29</v>
      </c>
      <c r="Y167" t="s">
        <v>967</v>
      </c>
      <c r="Z167" t="s">
        <v>37</v>
      </c>
    </row>
    <row r="168" spans="1:26">
      <c r="A168">
        <v>1.8682873955036856E+18</v>
      </c>
      <c r="B168" t="s">
        <v>228</v>
      </c>
      <c r="C168" t="s">
        <v>228</v>
      </c>
      <c r="D168" t="s">
        <v>968</v>
      </c>
      <c r="E168" t="s">
        <v>969</v>
      </c>
      <c r="F168" t="s">
        <v>970</v>
      </c>
      <c r="G168" t="s">
        <v>971</v>
      </c>
      <c r="H168" t="s">
        <v>29</v>
      </c>
      <c r="I168">
        <v>34</v>
      </c>
      <c r="J168">
        <v>9</v>
      </c>
      <c r="K168">
        <v>42</v>
      </c>
      <c r="L168">
        <v>7254</v>
      </c>
      <c r="M168" t="s">
        <v>972</v>
      </c>
      <c r="N168" t="s">
        <v>29</v>
      </c>
      <c r="O168">
        <v>1239617</v>
      </c>
      <c r="P168" t="s">
        <v>235</v>
      </c>
      <c r="Q168">
        <v>402839</v>
      </c>
      <c r="R168" t="s">
        <v>236</v>
      </c>
      <c r="S168">
        <v>1644</v>
      </c>
      <c r="T168" t="b">
        <v>0</v>
      </c>
      <c r="U168">
        <v>5</v>
      </c>
      <c r="V168">
        <v>1</v>
      </c>
      <c r="W168" t="s">
        <v>35</v>
      </c>
      <c r="X168" t="s">
        <v>29</v>
      </c>
      <c r="Y168" t="s">
        <v>29</v>
      </c>
      <c r="Z168" t="s">
        <v>37</v>
      </c>
    </row>
    <row r="169" spans="1:26">
      <c r="A169">
        <v>1.8683131594777357E+18</v>
      </c>
      <c r="B169" t="s">
        <v>228</v>
      </c>
      <c r="C169" t="s">
        <v>228</v>
      </c>
      <c r="D169" t="s">
        <v>973</v>
      </c>
      <c r="E169" t="s">
        <v>974</v>
      </c>
      <c r="F169" t="s">
        <v>29</v>
      </c>
      <c r="G169" t="s">
        <v>975</v>
      </c>
      <c r="H169" t="s">
        <v>29</v>
      </c>
      <c r="I169">
        <v>15</v>
      </c>
      <c r="J169">
        <v>8</v>
      </c>
      <c r="K169">
        <v>30</v>
      </c>
      <c r="L169">
        <v>6107</v>
      </c>
      <c r="M169" t="s">
        <v>976</v>
      </c>
      <c r="N169" t="s">
        <v>29</v>
      </c>
      <c r="O169">
        <v>1239617</v>
      </c>
      <c r="P169" t="s">
        <v>235</v>
      </c>
      <c r="Q169">
        <v>402839</v>
      </c>
      <c r="R169" t="s">
        <v>236</v>
      </c>
      <c r="S169">
        <v>1644</v>
      </c>
      <c r="T169" t="b">
        <v>0</v>
      </c>
      <c r="U169">
        <v>1</v>
      </c>
      <c r="V169">
        <v>3</v>
      </c>
      <c r="W169" t="s">
        <v>35</v>
      </c>
      <c r="X169" t="s">
        <v>29</v>
      </c>
      <c r="Y169" t="s">
        <v>977</v>
      </c>
      <c r="Z169" t="s">
        <v>37</v>
      </c>
    </row>
    <row r="170" spans="1:26">
      <c r="A170">
        <v>1.86833710523313E+18</v>
      </c>
      <c r="B170" t="s">
        <v>978</v>
      </c>
      <c r="C170" t="s">
        <v>979</v>
      </c>
      <c r="D170" t="s">
        <v>980</v>
      </c>
      <c r="E170" t="s">
        <v>981</v>
      </c>
      <c r="F170" t="s">
        <v>29</v>
      </c>
      <c r="G170" t="s">
        <v>982</v>
      </c>
      <c r="H170" t="s">
        <v>983</v>
      </c>
      <c r="I170">
        <v>5</v>
      </c>
      <c r="J170">
        <v>11</v>
      </c>
      <c r="K170">
        <v>20</v>
      </c>
      <c r="L170">
        <v>1512</v>
      </c>
      <c r="M170" t="s">
        <v>984</v>
      </c>
      <c r="N170" t="s">
        <v>985</v>
      </c>
      <c r="O170">
        <v>128940</v>
      </c>
      <c r="P170" t="s">
        <v>986</v>
      </c>
      <c r="Q170">
        <v>3420</v>
      </c>
      <c r="R170" t="s">
        <v>987</v>
      </c>
      <c r="S170">
        <v>298</v>
      </c>
      <c r="T170" t="b">
        <v>0</v>
      </c>
      <c r="U170">
        <v>0</v>
      </c>
      <c r="V170">
        <v>1</v>
      </c>
      <c r="W170" t="s">
        <v>35</v>
      </c>
      <c r="X170" t="s">
        <v>988</v>
      </c>
      <c r="Y170" t="s">
        <v>29</v>
      </c>
      <c r="Z170" t="s">
        <v>37</v>
      </c>
    </row>
    <row r="171" spans="1:26">
      <c r="A171">
        <v>1.8683856993359017E+18</v>
      </c>
      <c r="B171" t="s">
        <v>989</v>
      </c>
      <c r="C171" t="s">
        <v>990</v>
      </c>
      <c r="D171" t="s">
        <v>991</v>
      </c>
      <c r="E171" t="s">
        <v>992</v>
      </c>
      <c r="F171" t="s">
        <v>993</v>
      </c>
      <c r="G171" t="s">
        <v>994</v>
      </c>
      <c r="H171" t="s">
        <v>995</v>
      </c>
      <c r="I171">
        <v>264</v>
      </c>
      <c r="J171">
        <v>889</v>
      </c>
      <c r="K171">
        <v>5859</v>
      </c>
      <c r="L171">
        <v>78899</v>
      </c>
      <c r="M171" t="s">
        <v>52</v>
      </c>
      <c r="N171" t="s">
        <v>29</v>
      </c>
      <c r="O171">
        <v>519659</v>
      </c>
      <c r="P171" t="s">
        <v>996</v>
      </c>
      <c r="Q171">
        <v>7220</v>
      </c>
      <c r="R171" t="s">
        <v>997</v>
      </c>
      <c r="S171">
        <v>1417</v>
      </c>
      <c r="T171" t="b">
        <v>0</v>
      </c>
      <c r="U171">
        <v>58</v>
      </c>
      <c r="V171">
        <v>66</v>
      </c>
      <c r="W171" t="s">
        <v>35</v>
      </c>
      <c r="X171" t="s">
        <v>29</v>
      </c>
      <c r="Y171" t="s">
        <v>29</v>
      </c>
      <c r="Z171" t="s">
        <v>37</v>
      </c>
    </row>
    <row r="172" spans="1:26">
      <c r="A172">
        <v>1.8683269565775219E+18</v>
      </c>
      <c r="B172" t="s">
        <v>998</v>
      </c>
      <c r="C172" t="s">
        <v>999</v>
      </c>
      <c r="D172" t="s">
        <v>1000</v>
      </c>
      <c r="E172" t="s">
        <v>1001</v>
      </c>
      <c r="F172" t="s">
        <v>29</v>
      </c>
      <c r="G172" t="s">
        <v>1002</v>
      </c>
      <c r="H172" t="s">
        <v>1003</v>
      </c>
      <c r="I172">
        <v>9</v>
      </c>
      <c r="J172">
        <v>56</v>
      </c>
      <c r="K172">
        <v>174</v>
      </c>
      <c r="L172">
        <v>6443</v>
      </c>
      <c r="M172" t="s">
        <v>1004</v>
      </c>
      <c r="N172" t="s">
        <v>29</v>
      </c>
      <c r="O172">
        <v>121019</v>
      </c>
      <c r="P172" t="s">
        <v>1005</v>
      </c>
      <c r="Q172">
        <v>17813</v>
      </c>
      <c r="R172" t="s">
        <v>1006</v>
      </c>
      <c r="S172">
        <v>697</v>
      </c>
      <c r="T172" t="b">
        <v>0</v>
      </c>
      <c r="U172">
        <v>0</v>
      </c>
      <c r="V172">
        <v>5</v>
      </c>
      <c r="W172" t="s">
        <v>35</v>
      </c>
      <c r="X172" t="s">
        <v>1007</v>
      </c>
      <c r="Y172" t="s">
        <v>29</v>
      </c>
      <c r="Z172" t="s">
        <v>37</v>
      </c>
    </row>
    <row r="173" spans="1:26">
      <c r="A173">
        <v>1.865999768633111E+18</v>
      </c>
      <c r="B173" t="s">
        <v>1008</v>
      </c>
      <c r="C173" t="s">
        <v>1009</v>
      </c>
      <c r="D173" t="s">
        <v>1010</v>
      </c>
      <c r="E173" t="s">
        <v>1011</v>
      </c>
      <c r="F173" t="s">
        <v>29</v>
      </c>
      <c r="G173" t="s">
        <v>1012</v>
      </c>
      <c r="H173" t="s">
        <v>29</v>
      </c>
      <c r="I173">
        <v>4</v>
      </c>
      <c r="J173">
        <v>14</v>
      </c>
      <c r="K173">
        <v>69</v>
      </c>
      <c r="L173">
        <v>93098</v>
      </c>
      <c r="M173" t="s">
        <v>1013</v>
      </c>
      <c r="N173" t="s">
        <v>1014</v>
      </c>
      <c r="O173">
        <v>290284</v>
      </c>
      <c r="P173" t="s">
        <v>1015</v>
      </c>
      <c r="Q173">
        <v>28025</v>
      </c>
      <c r="R173" t="s">
        <v>1016</v>
      </c>
      <c r="S173">
        <v>102</v>
      </c>
      <c r="T173" t="b">
        <v>0</v>
      </c>
      <c r="U173">
        <v>5</v>
      </c>
      <c r="V173">
        <v>4</v>
      </c>
      <c r="W173" t="s">
        <v>35</v>
      </c>
      <c r="X173" t="s">
        <v>29</v>
      </c>
      <c r="Y173" t="s">
        <v>29</v>
      </c>
      <c r="Z173" t="s">
        <v>37</v>
      </c>
    </row>
    <row r="174" spans="1:26">
      <c r="A174">
        <v>1.8683789791633615E+18</v>
      </c>
      <c r="B174" t="s">
        <v>275</v>
      </c>
      <c r="C174" t="s">
        <v>276</v>
      </c>
      <c r="D174" t="s">
        <v>1017</v>
      </c>
      <c r="E174" t="s">
        <v>1018</v>
      </c>
      <c r="F174" t="s">
        <v>1019</v>
      </c>
      <c r="G174" t="s">
        <v>1020</v>
      </c>
      <c r="H174" t="s">
        <v>1021</v>
      </c>
      <c r="I174">
        <v>6</v>
      </c>
      <c r="J174">
        <v>31</v>
      </c>
      <c r="K174">
        <v>438</v>
      </c>
      <c r="L174">
        <v>28953</v>
      </c>
      <c r="M174" t="s">
        <v>52</v>
      </c>
      <c r="N174" t="s">
        <v>289</v>
      </c>
      <c r="O174">
        <v>8539601</v>
      </c>
      <c r="P174" t="s">
        <v>282</v>
      </c>
      <c r="Q174">
        <v>75535</v>
      </c>
      <c r="R174" t="s">
        <v>283</v>
      </c>
      <c r="S174">
        <v>117</v>
      </c>
      <c r="T174" t="b">
        <v>0</v>
      </c>
      <c r="U174">
        <v>1</v>
      </c>
      <c r="V174">
        <v>2</v>
      </c>
      <c r="W174" t="s">
        <v>35</v>
      </c>
      <c r="X174" t="s">
        <v>29</v>
      </c>
      <c r="Y174" t="s">
        <v>29</v>
      </c>
      <c r="Z174" t="s">
        <v>37</v>
      </c>
    </row>
    <row r="175" spans="1:26">
      <c r="A175">
        <v>1.8684122904809267E+18</v>
      </c>
      <c r="B175" t="s">
        <v>275</v>
      </c>
      <c r="C175" t="s">
        <v>276</v>
      </c>
      <c r="D175" t="s">
        <v>1022</v>
      </c>
      <c r="E175" t="s">
        <v>1023</v>
      </c>
      <c r="F175" t="s">
        <v>1024</v>
      </c>
      <c r="G175" t="s">
        <v>1025</v>
      </c>
      <c r="H175" t="s">
        <v>589</v>
      </c>
      <c r="I175">
        <v>996</v>
      </c>
      <c r="J175">
        <v>181</v>
      </c>
      <c r="K175">
        <v>1910</v>
      </c>
      <c r="L175">
        <v>177102</v>
      </c>
      <c r="M175" t="s">
        <v>52</v>
      </c>
      <c r="N175" t="s">
        <v>289</v>
      </c>
      <c r="O175">
        <v>8539575</v>
      </c>
      <c r="P175" t="s">
        <v>282</v>
      </c>
      <c r="Q175">
        <v>75535</v>
      </c>
      <c r="R175" t="s">
        <v>283</v>
      </c>
      <c r="S175">
        <v>117</v>
      </c>
      <c r="T175" t="b">
        <v>0</v>
      </c>
      <c r="U175">
        <v>274</v>
      </c>
      <c r="V175">
        <v>30</v>
      </c>
      <c r="W175" t="s">
        <v>35</v>
      </c>
      <c r="X175" t="s">
        <v>29</v>
      </c>
      <c r="Y175" t="s">
        <v>29</v>
      </c>
      <c r="Z175" t="s">
        <v>37</v>
      </c>
    </row>
    <row r="176" spans="1:26">
      <c r="A176">
        <v>1.8683637911693972E+18</v>
      </c>
      <c r="B176" t="s">
        <v>290</v>
      </c>
      <c r="C176" t="s">
        <v>291</v>
      </c>
      <c r="D176" t="s">
        <v>1026</v>
      </c>
      <c r="E176" t="s">
        <v>1027</v>
      </c>
      <c r="F176" t="s">
        <v>1028</v>
      </c>
      <c r="G176" t="s">
        <v>1029</v>
      </c>
      <c r="H176" t="s">
        <v>29</v>
      </c>
      <c r="I176">
        <v>5</v>
      </c>
      <c r="J176">
        <v>119</v>
      </c>
      <c r="K176">
        <v>1484</v>
      </c>
      <c r="L176">
        <v>32990</v>
      </c>
      <c r="M176" t="s">
        <v>52</v>
      </c>
      <c r="N176" t="s">
        <v>305</v>
      </c>
      <c r="O176">
        <v>1906482</v>
      </c>
      <c r="P176" t="s">
        <v>298</v>
      </c>
      <c r="Q176">
        <v>124666</v>
      </c>
      <c r="R176" t="s">
        <v>299</v>
      </c>
      <c r="S176">
        <v>432</v>
      </c>
      <c r="T176" t="b">
        <v>0</v>
      </c>
      <c r="U176">
        <v>4</v>
      </c>
      <c r="V176">
        <v>5</v>
      </c>
      <c r="W176" t="s">
        <v>35</v>
      </c>
      <c r="X176" t="s">
        <v>29</v>
      </c>
      <c r="Y176" t="s">
        <v>29</v>
      </c>
      <c r="Z176" t="s">
        <v>37</v>
      </c>
    </row>
    <row r="177" spans="1:26">
      <c r="A177">
        <v>1.8683003011551194E+18</v>
      </c>
      <c r="B177" t="s">
        <v>1030</v>
      </c>
      <c r="C177" t="s">
        <v>1031</v>
      </c>
      <c r="D177" t="s">
        <v>1032</v>
      </c>
      <c r="E177" t="s">
        <v>1033</v>
      </c>
      <c r="F177" t="s">
        <v>1034</v>
      </c>
      <c r="G177" t="s">
        <v>1035</v>
      </c>
      <c r="H177" t="s">
        <v>29</v>
      </c>
      <c r="I177">
        <v>10</v>
      </c>
      <c r="J177">
        <v>37</v>
      </c>
      <c r="K177">
        <v>312</v>
      </c>
      <c r="L177">
        <v>10924</v>
      </c>
      <c r="M177" t="s">
        <v>52</v>
      </c>
      <c r="N177" t="s">
        <v>1036</v>
      </c>
      <c r="O177">
        <v>225733</v>
      </c>
      <c r="P177" t="s">
        <v>1037</v>
      </c>
      <c r="Q177">
        <v>42662</v>
      </c>
      <c r="R177" t="s">
        <v>1038</v>
      </c>
      <c r="S177">
        <v>148</v>
      </c>
      <c r="T177" t="b">
        <v>0</v>
      </c>
      <c r="U177">
        <v>7</v>
      </c>
      <c r="V177">
        <v>1</v>
      </c>
      <c r="W177" t="s">
        <v>35</v>
      </c>
      <c r="X177" t="s">
        <v>29</v>
      </c>
      <c r="Y177" t="s">
        <v>29</v>
      </c>
      <c r="Z177" t="s">
        <v>37</v>
      </c>
    </row>
    <row r="178" spans="1:26">
      <c r="A178">
        <v>1.8683340224533176E+18</v>
      </c>
      <c r="B178" t="s">
        <v>726</v>
      </c>
      <c r="C178" t="s">
        <v>727</v>
      </c>
      <c r="D178" t="s">
        <v>1039</v>
      </c>
      <c r="E178" t="s">
        <v>1040</v>
      </c>
      <c r="F178" t="s">
        <v>1041</v>
      </c>
      <c r="G178" t="s">
        <v>1042</v>
      </c>
      <c r="H178" t="s">
        <v>29</v>
      </c>
      <c r="I178">
        <v>12</v>
      </c>
      <c r="J178">
        <v>12</v>
      </c>
      <c r="K178">
        <v>183</v>
      </c>
      <c r="L178">
        <v>7205</v>
      </c>
      <c r="M178" t="s">
        <v>52</v>
      </c>
      <c r="N178" t="s">
        <v>732</v>
      </c>
      <c r="O178">
        <v>220409</v>
      </c>
      <c r="P178" t="s">
        <v>733</v>
      </c>
      <c r="Q178">
        <v>43155</v>
      </c>
      <c r="R178" t="s">
        <v>734</v>
      </c>
      <c r="S178">
        <v>199</v>
      </c>
      <c r="T178" t="b">
        <v>0</v>
      </c>
      <c r="U178">
        <v>1</v>
      </c>
      <c r="V178">
        <v>2</v>
      </c>
      <c r="W178" t="s">
        <v>35</v>
      </c>
      <c r="X178" t="s">
        <v>29</v>
      </c>
      <c r="Y178" t="s">
        <v>29</v>
      </c>
      <c r="Z178" t="s">
        <v>37</v>
      </c>
    </row>
    <row r="179" spans="1:26">
      <c r="A179">
        <v>1.868219447950955E+18</v>
      </c>
      <c r="B179" t="s">
        <v>875</v>
      </c>
      <c r="C179" t="s">
        <v>876</v>
      </c>
      <c r="D179" t="s">
        <v>1043</v>
      </c>
      <c r="E179" t="s">
        <v>720</v>
      </c>
      <c r="F179" t="s">
        <v>1044</v>
      </c>
      <c r="G179" t="s">
        <v>1045</v>
      </c>
      <c r="H179" t="s">
        <v>29</v>
      </c>
      <c r="I179">
        <v>3</v>
      </c>
      <c r="J179">
        <v>164</v>
      </c>
      <c r="K179">
        <v>1023</v>
      </c>
      <c r="L179">
        <v>134854</v>
      </c>
      <c r="M179" t="s">
        <v>52</v>
      </c>
      <c r="N179" t="s">
        <v>1046</v>
      </c>
      <c r="O179">
        <v>95473</v>
      </c>
      <c r="P179" t="s">
        <v>882</v>
      </c>
      <c r="Q179">
        <v>46289</v>
      </c>
      <c r="R179" t="s">
        <v>883</v>
      </c>
      <c r="S179">
        <v>1327</v>
      </c>
      <c r="T179" t="b">
        <v>0</v>
      </c>
      <c r="U179">
        <v>36</v>
      </c>
      <c r="V179">
        <v>14</v>
      </c>
      <c r="W179" t="s">
        <v>35</v>
      </c>
      <c r="X179" t="s">
        <v>29</v>
      </c>
      <c r="Y179" t="s">
        <v>29</v>
      </c>
      <c r="Z179" t="s">
        <v>37</v>
      </c>
    </row>
    <row r="180" spans="1:26">
      <c r="A180">
        <v>1.8683402452944448E+18</v>
      </c>
      <c r="B180" t="s">
        <v>1047</v>
      </c>
      <c r="C180" t="s">
        <v>1048</v>
      </c>
      <c r="D180" t="s">
        <v>1049</v>
      </c>
      <c r="E180" t="s">
        <v>1050</v>
      </c>
      <c r="F180" t="s">
        <v>1051</v>
      </c>
      <c r="G180" t="s">
        <v>1052</v>
      </c>
      <c r="H180" t="s">
        <v>1053</v>
      </c>
      <c r="I180">
        <v>1</v>
      </c>
      <c r="J180">
        <v>1</v>
      </c>
      <c r="K180">
        <v>40</v>
      </c>
      <c r="L180">
        <v>2813</v>
      </c>
      <c r="M180" t="s">
        <v>1054</v>
      </c>
      <c r="N180" t="s">
        <v>1055</v>
      </c>
      <c r="O180">
        <v>129250</v>
      </c>
      <c r="P180" t="s">
        <v>1056</v>
      </c>
      <c r="Q180">
        <v>67189</v>
      </c>
      <c r="R180" t="s">
        <v>1057</v>
      </c>
      <c r="S180">
        <v>508</v>
      </c>
      <c r="T180" t="b">
        <v>0</v>
      </c>
      <c r="U180">
        <v>0</v>
      </c>
      <c r="V180">
        <v>0</v>
      </c>
      <c r="W180" t="s">
        <v>35</v>
      </c>
      <c r="X180" t="s">
        <v>29</v>
      </c>
      <c r="Y180" t="s">
        <v>29</v>
      </c>
      <c r="Z180" t="s">
        <v>37</v>
      </c>
    </row>
    <row r="181" spans="1:26">
      <c r="A181">
        <v>1.8682420948691108E+18</v>
      </c>
      <c r="B181" t="s">
        <v>1058</v>
      </c>
      <c r="C181" t="s">
        <v>1059</v>
      </c>
      <c r="D181" t="s">
        <v>1060</v>
      </c>
      <c r="E181" t="s">
        <v>1061</v>
      </c>
      <c r="F181" t="s">
        <v>1062</v>
      </c>
      <c r="G181" t="s">
        <v>1063</v>
      </c>
      <c r="H181" t="s">
        <v>1064</v>
      </c>
      <c r="I181">
        <v>21</v>
      </c>
      <c r="J181">
        <v>195</v>
      </c>
      <c r="K181">
        <v>2978</v>
      </c>
      <c r="L181">
        <v>63300</v>
      </c>
      <c r="M181" t="s">
        <v>52</v>
      </c>
      <c r="N181" t="s">
        <v>1065</v>
      </c>
      <c r="O181">
        <v>1754361</v>
      </c>
      <c r="P181" t="s">
        <v>1066</v>
      </c>
      <c r="Q181">
        <v>35513</v>
      </c>
      <c r="R181" t="s">
        <v>1067</v>
      </c>
      <c r="S181">
        <v>313</v>
      </c>
      <c r="T181" t="b">
        <v>0</v>
      </c>
      <c r="U181">
        <v>17</v>
      </c>
      <c r="V181">
        <v>28</v>
      </c>
      <c r="W181" t="s">
        <v>35</v>
      </c>
      <c r="X181" t="s">
        <v>29</v>
      </c>
      <c r="Y181" t="s">
        <v>29</v>
      </c>
      <c r="Z181" t="s">
        <v>37</v>
      </c>
    </row>
    <row r="182" spans="1:26">
      <c r="A182">
        <v>1.8683625168011512E+18</v>
      </c>
      <c r="B182" t="s">
        <v>600</v>
      </c>
      <c r="C182" t="s">
        <v>601</v>
      </c>
      <c r="D182" t="s">
        <v>1068</v>
      </c>
      <c r="E182" t="s">
        <v>1069</v>
      </c>
      <c r="F182" t="s">
        <v>1070</v>
      </c>
      <c r="G182" t="s">
        <v>1071</v>
      </c>
      <c r="H182" t="s">
        <v>29</v>
      </c>
      <c r="I182">
        <v>1</v>
      </c>
      <c r="J182">
        <v>17</v>
      </c>
      <c r="K182">
        <v>116</v>
      </c>
      <c r="L182">
        <v>2101</v>
      </c>
      <c r="M182" t="s">
        <v>52</v>
      </c>
      <c r="N182" t="s">
        <v>1072</v>
      </c>
      <c r="O182">
        <v>12060</v>
      </c>
      <c r="P182" t="s">
        <v>607</v>
      </c>
      <c r="Q182">
        <v>2422</v>
      </c>
      <c r="R182" t="s">
        <v>608</v>
      </c>
      <c r="S182">
        <v>81</v>
      </c>
      <c r="T182" t="b">
        <v>0</v>
      </c>
      <c r="U182">
        <v>1</v>
      </c>
      <c r="V182">
        <v>1</v>
      </c>
      <c r="W182" t="s">
        <v>35</v>
      </c>
      <c r="X182" t="s">
        <v>29</v>
      </c>
      <c r="Y182" t="s">
        <v>29</v>
      </c>
      <c r="Z182" t="s">
        <v>37</v>
      </c>
    </row>
    <row r="183" spans="1:26">
      <c r="A183">
        <v>1.8684077984151347E+18</v>
      </c>
      <c r="B183" t="s">
        <v>46</v>
      </c>
      <c r="C183" t="s">
        <v>47</v>
      </c>
      <c r="D183" t="s">
        <v>1073</v>
      </c>
      <c r="E183" t="s">
        <v>1074</v>
      </c>
      <c r="F183" t="s">
        <v>1075</v>
      </c>
      <c r="G183" t="s">
        <v>1076</v>
      </c>
      <c r="H183" t="s">
        <v>29</v>
      </c>
      <c r="I183">
        <v>192</v>
      </c>
      <c r="J183">
        <v>48</v>
      </c>
      <c r="K183">
        <v>3220</v>
      </c>
      <c r="L183">
        <v>184452</v>
      </c>
      <c r="M183" t="s">
        <v>52</v>
      </c>
      <c r="N183" t="s">
        <v>143</v>
      </c>
      <c r="O183">
        <v>8293232</v>
      </c>
      <c r="P183" t="s">
        <v>54</v>
      </c>
      <c r="Q183">
        <v>456734</v>
      </c>
      <c r="R183" t="s">
        <v>55</v>
      </c>
      <c r="S183">
        <v>859</v>
      </c>
      <c r="T183" t="b">
        <v>0</v>
      </c>
      <c r="U183">
        <v>36</v>
      </c>
      <c r="V183">
        <v>42</v>
      </c>
      <c r="W183" t="s">
        <v>35</v>
      </c>
      <c r="X183" t="s">
        <v>29</v>
      </c>
      <c r="Y183" t="s">
        <v>29</v>
      </c>
      <c r="Z183" t="s">
        <v>37</v>
      </c>
    </row>
    <row r="184" spans="1:26">
      <c r="A184">
        <v>1.8684700016041331E+18</v>
      </c>
      <c r="B184" t="s">
        <v>183</v>
      </c>
      <c r="C184" t="s">
        <v>184</v>
      </c>
      <c r="D184" t="s">
        <v>1077</v>
      </c>
      <c r="E184" t="s">
        <v>1078</v>
      </c>
      <c r="F184" t="s">
        <v>29</v>
      </c>
      <c r="G184" t="s">
        <v>1079</v>
      </c>
      <c r="H184" t="s">
        <v>29</v>
      </c>
      <c r="I184">
        <v>12</v>
      </c>
      <c r="J184">
        <v>6</v>
      </c>
      <c r="K184">
        <v>38</v>
      </c>
      <c r="L184">
        <v>43452</v>
      </c>
      <c r="M184" t="s">
        <v>1080</v>
      </c>
      <c r="N184" t="s">
        <v>29</v>
      </c>
      <c r="O184">
        <v>27122999</v>
      </c>
      <c r="P184" t="s">
        <v>190</v>
      </c>
      <c r="Q184">
        <v>402761</v>
      </c>
      <c r="R184" t="s">
        <v>191</v>
      </c>
      <c r="S184">
        <v>155</v>
      </c>
      <c r="T184" t="b">
        <v>0</v>
      </c>
      <c r="U184">
        <v>3</v>
      </c>
      <c r="V184">
        <v>6</v>
      </c>
      <c r="W184" t="s">
        <v>35</v>
      </c>
      <c r="X184" t="s">
        <v>1081</v>
      </c>
      <c r="Y184" t="s">
        <v>29</v>
      </c>
      <c r="Z184" t="s">
        <v>37</v>
      </c>
    </row>
    <row r="185" spans="1:26">
      <c r="A185">
        <v>1.8683993959698516E+18</v>
      </c>
      <c r="B185" t="s">
        <v>183</v>
      </c>
      <c r="C185" t="s">
        <v>184</v>
      </c>
      <c r="D185" t="s">
        <v>1082</v>
      </c>
      <c r="E185" t="s">
        <v>1083</v>
      </c>
      <c r="F185" t="s">
        <v>29</v>
      </c>
      <c r="G185" t="s">
        <v>1084</v>
      </c>
      <c r="H185" t="s">
        <v>29</v>
      </c>
      <c r="I185">
        <v>17</v>
      </c>
      <c r="J185">
        <v>10</v>
      </c>
      <c r="K185">
        <v>37</v>
      </c>
      <c r="L185">
        <v>52905</v>
      </c>
      <c r="M185" t="s">
        <v>1085</v>
      </c>
      <c r="N185" t="s">
        <v>29</v>
      </c>
      <c r="O185">
        <v>27122999</v>
      </c>
      <c r="P185" t="s">
        <v>190</v>
      </c>
      <c r="Q185">
        <v>402761</v>
      </c>
      <c r="R185" t="s">
        <v>191</v>
      </c>
      <c r="S185">
        <v>155</v>
      </c>
      <c r="T185" t="b">
        <v>0</v>
      </c>
      <c r="U185">
        <v>2</v>
      </c>
      <c r="V185">
        <v>2</v>
      </c>
      <c r="W185" t="s">
        <v>35</v>
      </c>
      <c r="X185" t="s">
        <v>1086</v>
      </c>
      <c r="Y185" t="s">
        <v>29</v>
      </c>
      <c r="Z185" t="s">
        <v>37</v>
      </c>
    </row>
    <row r="186" spans="1:26">
      <c r="A186">
        <v>1.8683878208987709E+18</v>
      </c>
      <c r="B186" t="s">
        <v>183</v>
      </c>
      <c r="C186" t="s">
        <v>184</v>
      </c>
      <c r="D186" t="s">
        <v>1087</v>
      </c>
      <c r="E186" t="s">
        <v>1088</v>
      </c>
      <c r="F186" t="s">
        <v>29</v>
      </c>
      <c r="G186" t="s">
        <v>1089</v>
      </c>
      <c r="H186" t="s">
        <v>29</v>
      </c>
      <c r="I186">
        <v>2</v>
      </c>
      <c r="J186">
        <v>9</v>
      </c>
      <c r="K186">
        <v>16</v>
      </c>
      <c r="L186">
        <v>55884</v>
      </c>
      <c r="M186" t="s">
        <v>1090</v>
      </c>
      <c r="N186" t="s">
        <v>29</v>
      </c>
      <c r="O186">
        <v>27122999</v>
      </c>
      <c r="P186" t="s">
        <v>190</v>
      </c>
      <c r="Q186">
        <v>402760</v>
      </c>
      <c r="R186" t="s">
        <v>191</v>
      </c>
      <c r="S186">
        <v>155</v>
      </c>
      <c r="T186" t="b">
        <v>0</v>
      </c>
      <c r="U186">
        <v>1</v>
      </c>
      <c r="V186">
        <v>1</v>
      </c>
      <c r="W186" t="s">
        <v>35</v>
      </c>
      <c r="X186" t="s">
        <v>202</v>
      </c>
      <c r="Y186" t="s">
        <v>29</v>
      </c>
      <c r="Z186" t="s">
        <v>37</v>
      </c>
    </row>
    <row r="187" spans="1:26">
      <c r="A187">
        <v>1.8683774951011986E+18</v>
      </c>
      <c r="B187" t="s">
        <v>183</v>
      </c>
      <c r="C187" t="s">
        <v>184</v>
      </c>
      <c r="D187" t="s">
        <v>1091</v>
      </c>
      <c r="E187" t="s">
        <v>509</v>
      </c>
      <c r="F187" t="s">
        <v>29</v>
      </c>
      <c r="G187" t="s">
        <v>1092</v>
      </c>
      <c r="H187" t="s">
        <v>29</v>
      </c>
      <c r="I187">
        <v>1</v>
      </c>
      <c r="J187">
        <v>8</v>
      </c>
      <c r="K187">
        <v>39</v>
      </c>
      <c r="L187">
        <v>52486</v>
      </c>
      <c r="M187" t="s">
        <v>1093</v>
      </c>
      <c r="N187" t="s">
        <v>29</v>
      </c>
      <c r="O187">
        <v>27122998</v>
      </c>
      <c r="P187" t="s">
        <v>190</v>
      </c>
      <c r="Q187">
        <v>402760</v>
      </c>
      <c r="R187" t="s">
        <v>191</v>
      </c>
      <c r="S187">
        <v>155</v>
      </c>
      <c r="T187" t="b">
        <v>0</v>
      </c>
      <c r="U187">
        <v>1</v>
      </c>
      <c r="V187">
        <v>29</v>
      </c>
      <c r="W187" t="s">
        <v>35</v>
      </c>
      <c r="X187" t="s">
        <v>1094</v>
      </c>
      <c r="Y187" t="s">
        <v>29</v>
      </c>
      <c r="Z187" t="s">
        <v>37</v>
      </c>
    </row>
    <row r="188" spans="1:26">
      <c r="A188">
        <v>1.868373978110153E+18</v>
      </c>
      <c r="B188" t="s">
        <v>183</v>
      </c>
      <c r="C188" t="s">
        <v>184</v>
      </c>
      <c r="D188" t="s">
        <v>1095</v>
      </c>
      <c r="E188" t="s">
        <v>1096</v>
      </c>
      <c r="F188" t="s">
        <v>29</v>
      </c>
      <c r="G188" t="s">
        <v>1097</v>
      </c>
      <c r="H188" t="s">
        <v>29</v>
      </c>
      <c r="I188">
        <v>11</v>
      </c>
      <c r="J188">
        <v>8</v>
      </c>
      <c r="K188">
        <v>34</v>
      </c>
      <c r="L188">
        <v>50273</v>
      </c>
      <c r="M188" t="s">
        <v>1098</v>
      </c>
      <c r="N188" t="s">
        <v>29</v>
      </c>
      <c r="O188">
        <v>27122999</v>
      </c>
      <c r="P188" t="s">
        <v>190</v>
      </c>
      <c r="Q188">
        <v>402760</v>
      </c>
      <c r="R188" t="s">
        <v>191</v>
      </c>
      <c r="S188">
        <v>155</v>
      </c>
      <c r="T188" t="b">
        <v>0</v>
      </c>
      <c r="U188">
        <v>3</v>
      </c>
      <c r="V188">
        <v>1</v>
      </c>
      <c r="W188" t="s">
        <v>35</v>
      </c>
      <c r="X188" t="s">
        <v>1099</v>
      </c>
      <c r="Y188" t="s">
        <v>29</v>
      </c>
      <c r="Z188" t="s">
        <v>37</v>
      </c>
    </row>
    <row r="189" spans="1:26">
      <c r="A189">
        <v>1.8683432962185585E+18</v>
      </c>
      <c r="B189" t="s">
        <v>183</v>
      </c>
      <c r="C189" t="s">
        <v>184</v>
      </c>
      <c r="D189" t="s">
        <v>1100</v>
      </c>
      <c r="E189" t="s">
        <v>1101</v>
      </c>
      <c r="F189" t="s">
        <v>29</v>
      </c>
      <c r="G189" t="s">
        <v>1102</v>
      </c>
      <c r="H189" t="s">
        <v>29</v>
      </c>
      <c r="I189">
        <v>6</v>
      </c>
      <c r="J189">
        <v>2</v>
      </c>
      <c r="K189">
        <v>10</v>
      </c>
      <c r="L189">
        <v>51203</v>
      </c>
      <c r="M189" t="s">
        <v>1103</v>
      </c>
      <c r="N189" t="s">
        <v>29</v>
      </c>
      <c r="O189">
        <v>27122998</v>
      </c>
      <c r="P189" t="s">
        <v>190</v>
      </c>
      <c r="Q189">
        <v>402760</v>
      </c>
      <c r="R189" t="s">
        <v>191</v>
      </c>
      <c r="S189">
        <v>155</v>
      </c>
      <c r="T189" t="b">
        <v>0</v>
      </c>
      <c r="U189">
        <v>1</v>
      </c>
      <c r="V189">
        <v>2</v>
      </c>
      <c r="W189" t="s">
        <v>35</v>
      </c>
      <c r="X189" t="s">
        <v>1104</v>
      </c>
      <c r="Y189" t="s">
        <v>29</v>
      </c>
      <c r="Z189" t="s">
        <v>37</v>
      </c>
    </row>
    <row r="190" spans="1:26">
      <c r="A190">
        <v>1.8682124282001408E+18</v>
      </c>
      <c r="B190" t="s">
        <v>183</v>
      </c>
      <c r="C190" t="s">
        <v>184</v>
      </c>
      <c r="D190" t="s">
        <v>1105</v>
      </c>
      <c r="E190" t="s">
        <v>1106</v>
      </c>
      <c r="F190" t="s">
        <v>29</v>
      </c>
      <c r="G190" t="s">
        <v>1107</v>
      </c>
      <c r="H190" t="s">
        <v>29</v>
      </c>
      <c r="I190">
        <v>10</v>
      </c>
      <c r="J190">
        <v>9</v>
      </c>
      <c r="K190">
        <v>28</v>
      </c>
      <c r="L190">
        <v>44524</v>
      </c>
      <c r="M190" t="s">
        <v>1108</v>
      </c>
      <c r="N190" t="s">
        <v>29</v>
      </c>
      <c r="O190">
        <v>27123001</v>
      </c>
      <c r="P190" t="s">
        <v>190</v>
      </c>
      <c r="Q190">
        <v>402760</v>
      </c>
      <c r="R190" t="s">
        <v>191</v>
      </c>
      <c r="S190">
        <v>155</v>
      </c>
      <c r="T190" t="b">
        <v>0</v>
      </c>
      <c r="U190">
        <v>1</v>
      </c>
      <c r="V190">
        <v>2</v>
      </c>
      <c r="W190" t="s">
        <v>35</v>
      </c>
      <c r="X190" t="s">
        <v>1109</v>
      </c>
      <c r="Y190" t="s">
        <v>29</v>
      </c>
      <c r="Z190" t="s">
        <v>37</v>
      </c>
    </row>
    <row r="191" spans="1:26">
      <c r="A191">
        <v>1.8681525894112873E+18</v>
      </c>
      <c r="B191" t="s">
        <v>183</v>
      </c>
      <c r="C191" t="s">
        <v>184</v>
      </c>
      <c r="D191" t="s">
        <v>1110</v>
      </c>
      <c r="E191" t="s">
        <v>1111</v>
      </c>
      <c r="F191" t="s">
        <v>29</v>
      </c>
      <c r="G191" t="s">
        <v>1112</v>
      </c>
      <c r="H191" t="s">
        <v>29</v>
      </c>
      <c r="I191">
        <v>7</v>
      </c>
      <c r="J191">
        <v>14</v>
      </c>
      <c r="K191">
        <v>44</v>
      </c>
      <c r="L191">
        <v>59265</v>
      </c>
      <c r="M191" t="s">
        <v>1113</v>
      </c>
      <c r="N191" t="s">
        <v>29</v>
      </c>
      <c r="O191">
        <v>27123001</v>
      </c>
      <c r="P191" t="s">
        <v>190</v>
      </c>
      <c r="Q191">
        <v>402760</v>
      </c>
      <c r="R191" t="s">
        <v>191</v>
      </c>
      <c r="S191">
        <v>155</v>
      </c>
      <c r="T191" t="b">
        <v>0</v>
      </c>
      <c r="U191">
        <v>1</v>
      </c>
      <c r="V191">
        <v>10</v>
      </c>
      <c r="W191" t="s">
        <v>35</v>
      </c>
      <c r="X191" t="s">
        <v>1114</v>
      </c>
      <c r="Y191" t="s">
        <v>29</v>
      </c>
      <c r="Z191" t="s">
        <v>37</v>
      </c>
    </row>
    <row r="192" spans="1:26">
      <c r="A192">
        <v>1.8681297650072499E+18</v>
      </c>
      <c r="B192" t="s">
        <v>183</v>
      </c>
      <c r="C192" t="s">
        <v>184</v>
      </c>
      <c r="D192" t="s">
        <v>1115</v>
      </c>
      <c r="E192" t="s">
        <v>1116</v>
      </c>
      <c r="F192" t="s">
        <v>29</v>
      </c>
      <c r="G192" t="s">
        <v>1117</v>
      </c>
      <c r="H192" t="s">
        <v>29</v>
      </c>
      <c r="I192">
        <v>41</v>
      </c>
      <c r="J192">
        <v>21</v>
      </c>
      <c r="K192">
        <v>62</v>
      </c>
      <c r="L192">
        <v>80834</v>
      </c>
      <c r="M192" t="s">
        <v>1118</v>
      </c>
      <c r="N192" t="s">
        <v>29</v>
      </c>
      <c r="O192">
        <v>27123001</v>
      </c>
      <c r="P192" t="s">
        <v>190</v>
      </c>
      <c r="Q192">
        <v>402760</v>
      </c>
      <c r="R192" t="s">
        <v>191</v>
      </c>
      <c r="S192">
        <v>155</v>
      </c>
      <c r="T192" t="b">
        <v>0</v>
      </c>
      <c r="U192">
        <v>5</v>
      </c>
      <c r="V192">
        <v>23</v>
      </c>
      <c r="W192" t="s">
        <v>35</v>
      </c>
      <c r="X192" t="s">
        <v>1119</v>
      </c>
      <c r="Y192" t="s">
        <v>29</v>
      </c>
      <c r="Z192" t="s">
        <v>37</v>
      </c>
    </row>
    <row r="193" spans="1:26">
      <c r="A193">
        <v>1.8683248828467612E+18</v>
      </c>
      <c r="B193" t="s">
        <v>1120</v>
      </c>
      <c r="C193" t="s">
        <v>1121</v>
      </c>
      <c r="D193" t="s">
        <v>1122</v>
      </c>
      <c r="E193" t="s">
        <v>1123</v>
      </c>
      <c r="F193" t="s">
        <v>29</v>
      </c>
      <c r="G193" t="s">
        <v>1124</v>
      </c>
      <c r="H193" t="s">
        <v>29</v>
      </c>
      <c r="I193">
        <v>1074</v>
      </c>
      <c r="J193">
        <v>67</v>
      </c>
      <c r="K193">
        <v>184</v>
      </c>
      <c r="L193">
        <v>30147</v>
      </c>
      <c r="M193" t="s">
        <v>1125</v>
      </c>
      <c r="N193" t="s">
        <v>29</v>
      </c>
      <c r="O193">
        <v>562371</v>
      </c>
      <c r="P193" t="s">
        <v>1126</v>
      </c>
      <c r="Q193">
        <v>33258</v>
      </c>
      <c r="R193" t="s">
        <v>1127</v>
      </c>
      <c r="S193">
        <v>2464</v>
      </c>
      <c r="T193" t="b">
        <v>0</v>
      </c>
      <c r="U193">
        <v>41</v>
      </c>
      <c r="V193">
        <v>11</v>
      </c>
      <c r="W193" t="s">
        <v>35</v>
      </c>
      <c r="X193" t="s">
        <v>1128</v>
      </c>
      <c r="Y193" t="s">
        <v>29</v>
      </c>
      <c r="Z193" t="s">
        <v>37</v>
      </c>
    </row>
    <row r="194" spans="1:26">
      <c r="A194">
        <v>1.8684032740614144E+18</v>
      </c>
      <c r="B194" t="s">
        <v>1129</v>
      </c>
      <c r="C194" t="s">
        <v>1130</v>
      </c>
      <c r="D194" t="s">
        <v>1131</v>
      </c>
      <c r="E194" t="s">
        <v>1132</v>
      </c>
      <c r="F194" t="s">
        <v>1133</v>
      </c>
      <c r="G194" t="s">
        <v>1134</v>
      </c>
      <c r="H194" t="s">
        <v>1135</v>
      </c>
      <c r="I194">
        <v>4</v>
      </c>
      <c r="J194">
        <v>21</v>
      </c>
      <c r="K194">
        <v>80</v>
      </c>
      <c r="L194">
        <v>2568</v>
      </c>
      <c r="M194" t="s">
        <v>52</v>
      </c>
      <c r="N194" t="s">
        <v>1136</v>
      </c>
      <c r="O194">
        <v>83499</v>
      </c>
      <c r="P194" t="s">
        <v>1137</v>
      </c>
      <c r="Q194">
        <v>2027</v>
      </c>
      <c r="R194" t="s">
        <v>1138</v>
      </c>
      <c r="S194">
        <v>413</v>
      </c>
      <c r="T194" t="b">
        <v>0</v>
      </c>
      <c r="U194">
        <v>0</v>
      </c>
      <c r="V194">
        <v>1</v>
      </c>
      <c r="W194" t="s">
        <v>35</v>
      </c>
      <c r="X194" t="s">
        <v>29</v>
      </c>
      <c r="Y194" t="s">
        <v>29</v>
      </c>
      <c r="Z194" t="s">
        <v>37</v>
      </c>
    </row>
    <row r="195" spans="1:26">
      <c r="A195">
        <v>1.8683129199703698E+18</v>
      </c>
      <c r="B195" t="s">
        <v>1139</v>
      </c>
      <c r="C195" t="s">
        <v>1140</v>
      </c>
      <c r="D195" t="s">
        <v>1141</v>
      </c>
      <c r="E195" t="s">
        <v>1142</v>
      </c>
      <c r="F195" t="s">
        <v>1143</v>
      </c>
      <c r="G195" t="s">
        <v>1144</v>
      </c>
      <c r="H195" t="s">
        <v>1145</v>
      </c>
      <c r="I195">
        <v>1</v>
      </c>
      <c r="J195">
        <v>2</v>
      </c>
      <c r="K195">
        <v>7</v>
      </c>
      <c r="L195">
        <v>340</v>
      </c>
      <c r="M195" t="s">
        <v>52</v>
      </c>
      <c r="N195" t="s">
        <v>1146</v>
      </c>
      <c r="O195">
        <v>3752</v>
      </c>
      <c r="P195" t="s">
        <v>1147</v>
      </c>
      <c r="Q195">
        <v>1280</v>
      </c>
      <c r="R195" t="s">
        <v>1148</v>
      </c>
      <c r="S195">
        <v>327</v>
      </c>
      <c r="T195" t="b">
        <v>0</v>
      </c>
      <c r="U195">
        <v>0</v>
      </c>
      <c r="V195">
        <v>1</v>
      </c>
      <c r="W195" t="s">
        <v>35</v>
      </c>
      <c r="X195" t="s">
        <v>29</v>
      </c>
      <c r="Y195" t="s">
        <v>29</v>
      </c>
      <c r="Z195" t="s">
        <v>37</v>
      </c>
    </row>
    <row r="196" spans="1:26">
      <c r="A196">
        <v>1.8683442270019873E+18</v>
      </c>
      <c r="B196" t="s">
        <v>875</v>
      </c>
      <c r="C196" t="s">
        <v>876</v>
      </c>
      <c r="D196" t="s">
        <v>1149</v>
      </c>
      <c r="E196" t="s">
        <v>1150</v>
      </c>
      <c r="F196" t="s">
        <v>1151</v>
      </c>
      <c r="G196" t="s">
        <v>1152</v>
      </c>
      <c r="H196" t="s">
        <v>29</v>
      </c>
      <c r="I196">
        <v>2</v>
      </c>
      <c r="J196">
        <v>4</v>
      </c>
      <c r="K196">
        <v>47</v>
      </c>
      <c r="L196">
        <v>4951</v>
      </c>
      <c r="M196" t="s">
        <v>52</v>
      </c>
      <c r="N196" t="s">
        <v>1153</v>
      </c>
      <c r="O196">
        <v>95473</v>
      </c>
      <c r="P196" t="s">
        <v>882</v>
      </c>
      <c r="Q196">
        <v>46289</v>
      </c>
      <c r="R196" t="s">
        <v>883</v>
      </c>
      <c r="S196">
        <v>1327</v>
      </c>
      <c r="T196" t="b">
        <v>0</v>
      </c>
      <c r="U196">
        <v>1</v>
      </c>
      <c r="V196">
        <v>2</v>
      </c>
      <c r="W196" t="s">
        <v>35</v>
      </c>
      <c r="X196" t="s">
        <v>29</v>
      </c>
      <c r="Y196" t="s">
        <v>29</v>
      </c>
      <c r="Z196" t="s">
        <v>37</v>
      </c>
    </row>
    <row r="197" spans="1:26">
      <c r="A197">
        <v>1.868294948954784E+18</v>
      </c>
      <c r="B197" t="s">
        <v>1047</v>
      </c>
      <c r="C197" t="s">
        <v>1048</v>
      </c>
      <c r="D197" t="s">
        <v>1154</v>
      </c>
      <c r="E197" t="s">
        <v>1155</v>
      </c>
      <c r="F197" t="s">
        <v>1156</v>
      </c>
      <c r="G197" t="s">
        <v>1157</v>
      </c>
      <c r="H197" t="s">
        <v>1158</v>
      </c>
      <c r="I197">
        <v>1</v>
      </c>
      <c r="J197">
        <v>3</v>
      </c>
      <c r="K197">
        <v>58</v>
      </c>
      <c r="L197">
        <v>3877</v>
      </c>
      <c r="M197" t="s">
        <v>52</v>
      </c>
      <c r="N197" t="s">
        <v>1159</v>
      </c>
      <c r="O197">
        <v>129250</v>
      </c>
      <c r="P197" t="s">
        <v>1056</v>
      </c>
      <c r="Q197">
        <v>67189</v>
      </c>
      <c r="R197" t="s">
        <v>1057</v>
      </c>
      <c r="S197">
        <v>508</v>
      </c>
      <c r="T197" t="b">
        <v>0</v>
      </c>
      <c r="U197">
        <v>2</v>
      </c>
      <c r="V197">
        <v>0</v>
      </c>
      <c r="W197" t="s">
        <v>35</v>
      </c>
      <c r="X197" t="s">
        <v>29</v>
      </c>
      <c r="Y197" t="s">
        <v>29</v>
      </c>
      <c r="Z197" t="s">
        <v>37</v>
      </c>
    </row>
    <row r="198" spans="1:26">
      <c r="A198">
        <v>1.8683812616955087E+18</v>
      </c>
      <c r="B198" t="s">
        <v>333</v>
      </c>
      <c r="C198" t="s">
        <v>334</v>
      </c>
      <c r="D198" t="s">
        <v>1160</v>
      </c>
      <c r="E198" t="s">
        <v>871</v>
      </c>
      <c r="F198" t="s">
        <v>1161</v>
      </c>
      <c r="G198" t="s">
        <v>1162</v>
      </c>
      <c r="H198" t="s">
        <v>1163</v>
      </c>
      <c r="I198">
        <v>3</v>
      </c>
      <c r="J198">
        <v>37</v>
      </c>
      <c r="K198">
        <v>455</v>
      </c>
      <c r="L198">
        <v>10513</v>
      </c>
      <c r="M198" t="s">
        <v>52</v>
      </c>
      <c r="N198" t="s">
        <v>340</v>
      </c>
      <c r="O198">
        <v>337839</v>
      </c>
      <c r="P198" t="s">
        <v>341</v>
      </c>
      <c r="Q198">
        <v>57638</v>
      </c>
      <c r="R198" t="s">
        <v>342</v>
      </c>
      <c r="S198">
        <v>587</v>
      </c>
      <c r="T198" t="b">
        <v>0</v>
      </c>
      <c r="U198">
        <v>1</v>
      </c>
      <c r="V198">
        <v>1</v>
      </c>
      <c r="W198" t="s">
        <v>35</v>
      </c>
      <c r="X198" t="s">
        <v>29</v>
      </c>
      <c r="Y198" t="s">
        <v>29</v>
      </c>
      <c r="Z198" t="s">
        <v>37</v>
      </c>
    </row>
    <row r="199" spans="1:26">
      <c r="A199">
        <v>1.8683359633001062E+18</v>
      </c>
      <c r="B199" t="s">
        <v>333</v>
      </c>
      <c r="C199" t="s">
        <v>334</v>
      </c>
      <c r="D199" t="s">
        <v>1164</v>
      </c>
      <c r="E199" t="s">
        <v>1165</v>
      </c>
      <c r="F199" t="s">
        <v>1166</v>
      </c>
      <c r="G199" t="s">
        <v>1167</v>
      </c>
      <c r="H199" t="s">
        <v>29</v>
      </c>
      <c r="I199">
        <v>27</v>
      </c>
      <c r="J199">
        <v>218</v>
      </c>
      <c r="K199">
        <v>1699</v>
      </c>
      <c r="L199">
        <v>50876</v>
      </c>
      <c r="M199" t="s">
        <v>52</v>
      </c>
      <c r="N199" t="s">
        <v>340</v>
      </c>
      <c r="O199">
        <v>337839</v>
      </c>
      <c r="P199" t="s">
        <v>341</v>
      </c>
      <c r="Q199">
        <v>57638</v>
      </c>
      <c r="R199" t="s">
        <v>342</v>
      </c>
      <c r="S199">
        <v>587</v>
      </c>
      <c r="T199" t="b">
        <v>0</v>
      </c>
      <c r="U199">
        <v>41</v>
      </c>
      <c r="V199">
        <v>24</v>
      </c>
      <c r="W199" t="s">
        <v>35</v>
      </c>
      <c r="X199" t="s">
        <v>29</v>
      </c>
      <c r="Y199" t="s">
        <v>29</v>
      </c>
      <c r="Z199" t="s">
        <v>37</v>
      </c>
    </row>
    <row r="200" spans="1:26">
      <c r="A200">
        <v>1.8683028535987773E+18</v>
      </c>
      <c r="B200" t="s">
        <v>333</v>
      </c>
      <c r="C200" t="s">
        <v>334</v>
      </c>
      <c r="D200" t="s">
        <v>1168</v>
      </c>
      <c r="E200" t="s">
        <v>1169</v>
      </c>
      <c r="F200" t="s">
        <v>1170</v>
      </c>
      <c r="G200" t="s">
        <v>1171</v>
      </c>
      <c r="H200" t="s">
        <v>1172</v>
      </c>
      <c r="I200">
        <v>7</v>
      </c>
      <c r="J200">
        <v>21</v>
      </c>
      <c r="K200">
        <v>451</v>
      </c>
      <c r="L200">
        <v>24889</v>
      </c>
      <c r="M200" t="s">
        <v>52</v>
      </c>
      <c r="N200" t="s">
        <v>340</v>
      </c>
      <c r="O200">
        <v>337840</v>
      </c>
      <c r="P200" t="s">
        <v>341</v>
      </c>
      <c r="Q200">
        <v>57638</v>
      </c>
      <c r="R200" t="s">
        <v>342</v>
      </c>
      <c r="S200">
        <v>587</v>
      </c>
      <c r="T200" t="b">
        <v>0</v>
      </c>
      <c r="U200">
        <v>2</v>
      </c>
      <c r="V200">
        <v>1</v>
      </c>
      <c r="W200" t="s">
        <v>35</v>
      </c>
      <c r="X200" t="s">
        <v>29</v>
      </c>
      <c r="Y200" t="s">
        <v>29</v>
      </c>
      <c r="Z200" t="s">
        <v>37</v>
      </c>
    </row>
    <row r="201" spans="1:26">
      <c r="A201">
        <v>1.8683334855611233E+18</v>
      </c>
      <c r="B201" t="s">
        <v>183</v>
      </c>
      <c r="C201" t="s">
        <v>184</v>
      </c>
      <c r="D201" t="s">
        <v>1173</v>
      </c>
      <c r="E201" t="s">
        <v>1174</v>
      </c>
      <c r="F201" t="s">
        <v>29</v>
      </c>
      <c r="G201" t="s">
        <v>1175</v>
      </c>
      <c r="H201" t="s">
        <v>29</v>
      </c>
      <c r="I201">
        <v>19</v>
      </c>
      <c r="J201">
        <v>10</v>
      </c>
      <c r="K201">
        <v>25</v>
      </c>
      <c r="L201">
        <v>47198</v>
      </c>
      <c r="M201" t="s">
        <v>1176</v>
      </c>
      <c r="N201" t="s">
        <v>29</v>
      </c>
      <c r="O201">
        <v>27122998</v>
      </c>
      <c r="P201" t="s">
        <v>190</v>
      </c>
      <c r="Q201">
        <v>402760</v>
      </c>
      <c r="R201" t="s">
        <v>191</v>
      </c>
      <c r="S201">
        <v>155</v>
      </c>
      <c r="T201" t="b">
        <v>0</v>
      </c>
      <c r="U201">
        <v>2</v>
      </c>
      <c r="V201">
        <v>1</v>
      </c>
      <c r="W201" t="s">
        <v>35</v>
      </c>
      <c r="X201" t="s">
        <v>1177</v>
      </c>
      <c r="Y201" t="s">
        <v>29</v>
      </c>
      <c r="Z201" t="s">
        <v>37</v>
      </c>
    </row>
    <row r="202" spans="1:26">
      <c r="A202">
        <v>1.8684439402252168E+18</v>
      </c>
      <c r="B202" t="s">
        <v>228</v>
      </c>
      <c r="C202" t="s">
        <v>228</v>
      </c>
      <c r="D202" t="s">
        <v>1178</v>
      </c>
      <c r="E202" t="s">
        <v>1179</v>
      </c>
      <c r="F202" t="s">
        <v>1180</v>
      </c>
      <c r="G202" t="s">
        <v>1181</v>
      </c>
      <c r="H202" t="s">
        <v>29</v>
      </c>
      <c r="I202">
        <v>9</v>
      </c>
      <c r="J202">
        <v>3</v>
      </c>
      <c r="K202">
        <v>16</v>
      </c>
      <c r="L202">
        <v>5079</v>
      </c>
      <c r="M202" t="s">
        <v>1182</v>
      </c>
      <c r="N202" t="s">
        <v>29</v>
      </c>
      <c r="O202">
        <v>1239616</v>
      </c>
      <c r="P202" t="s">
        <v>235</v>
      </c>
      <c r="Q202">
        <v>402839</v>
      </c>
      <c r="R202" t="s">
        <v>236</v>
      </c>
      <c r="S202">
        <v>1644</v>
      </c>
      <c r="T202" t="b">
        <v>0</v>
      </c>
      <c r="U202">
        <v>1</v>
      </c>
      <c r="V202">
        <v>1</v>
      </c>
      <c r="W202" t="s">
        <v>35</v>
      </c>
      <c r="X202" t="s">
        <v>29</v>
      </c>
      <c r="Y202" t="s">
        <v>29</v>
      </c>
      <c r="Z202" t="s">
        <v>37</v>
      </c>
    </row>
    <row r="203" spans="1:26">
      <c r="A203">
        <v>1.8684148403786345E+18</v>
      </c>
      <c r="B203" t="s">
        <v>228</v>
      </c>
      <c r="C203" t="s">
        <v>228</v>
      </c>
      <c r="D203" t="s">
        <v>1183</v>
      </c>
      <c r="E203" t="s">
        <v>1184</v>
      </c>
      <c r="F203" t="s">
        <v>29</v>
      </c>
      <c r="G203" t="s">
        <v>1185</v>
      </c>
      <c r="H203" t="s">
        <v>1186</v>
      </c>
      <c r="I203">
        <v>3</v>
      </c>
      <c r="J203">
        <v>2</v>
      </c>
      <c r="K203">
        <v>64</v>
      </c>
      <c r="L203">
        <v>8186</v>
      </c>
      <c r="M203" t="s">
        <v>1187</v>
      </c>
      <c r="N203" t="s">
        <v>29</v>
      </c>
      <c r="O203">
        <v>1239616</v>
      </c>
      <c r="P203" t="s">
        <v>235</v>
      </c>
      <c r="Q203">
        <v>402839</v>
      </c>
      <c r="R203" t="s">
        <v>236</v>
      </c>
      <c r="S203">
        <v>1644</v>
      </c>
      <c r="T203" t="b">
        <v>0</v>
      </c>
      <c r="U203">
        <v>0</v>
      </c>
      <c r="V203">
        <v>5</v>
      </c>
      <c r="W203" t="s">
        <v>35</v>
      </c>
      <c r="X203" t="s">
        <v>29</v>
      </c>
      <c r="Y203" t="s">
        <v>1188</v>
      </c>
      <c r="Z203" t="s">
        <v>37</v>
      </c>
    </row>
    <row r="204" spans="1:26">
      <c r="A204">
        <v>1.868318120454345E+18</v>
      </c>
      <c r="B204" t="s">
        <v>228</v>
      </c>
      <c r="C204" t="s">
        <v>228</v>
      </c>
      <c r="D204" t="s">
        <v>1189</v>
      </c>
      <c r="E204" t="s">
        <v>1190</v>
      </c>
      <c r="F204" t="s">
        <v>1191</v>
      </c>
      <c r="G204" t="s">
        <v>1192</v>
      </c>
      <c r="H204" t="s">
        <v>29</v>
      </c>
      <c r="I204">
        <v>3</v>
      </c>
      <c r="J204">
        <v>8</v>
      </c>
      <c r="K204">
        <v>107</v>
      </c>
      <c r="L204">
        <v>4720</v>
      </c>
      <c r="M204" t="s">
        <v>1193</v>
      </c>
      <c r="N204" t="s">
        <v>29</v>
      </c>
      <c r="O204">
        <v>1239618</v>
      </c>
      <c r="P204" t="s">
        <v>235</v>
      </c>
      <c r="Q204">
        <v>402839</v>
      </c>
      <c r="R204" t="s">
        <v>236</v>
      </c>
      <c r="S204">
        <v>1644</v>
      </c>
      <c r="T204" t="b">
        <v>0</v>
      </c>
      <c r="U204">
        <v>1</v>
      </c>
      <c r="V204">
        <v>1</v>
      </c>
      <c r="W204" t="s">
        <v>35</v>
      </c>
      <c r="X204" t="s">
        <v>29</v>
      </c>
      <c r="Y204" t="s">
        <v>29</v>
      </c>
      <c r="Z204" t="s">
        <v>37</v>
      </c>
    </row>
    <row r="205" spans="1:26">
      <c r="A205">
        <v>1.8682685192567196E+18</v>
      </c>
      <c r="B205" t="s">
        <v>228</v>
      </c>
      <c r="C205" t="s">
        <v>228</v>
      </c>
      <c r="D205" t="s">
        <v>1194</v>
      </c>
      <c r="E205" t="s">
        <v>1195</v>
      </c>
      <c r="F205" t="s">
        <v>1196</v>
      </c>
      <c r="G205" t="s">
        <v>1197</v>
      </c>
      <c r="H205" t="s">
        <v>29</v>
      </c>
      <c r="I205">
        <v>7</v>
      </c>
      <c r="J205">
        <v>3</v>
      </c>
      <c r="K205">
        <v>21</v>
      </c>
      <c r="L205">
        <v>7251</v>
      </c>
      <c r="M205" t="s">
        <v>1198</v>
      </c>
      <c r="N205" t="s">
        <v>29</v>
      </c>
      <c r="O205">
        <v>1239617</v>
      </c>
      <c r="P205" t="s">
        <v>235</v>
      </c>
      <c r="Q205">
        <v>402839</v>
      </c>
      <c r="R205" t="s">
        <v>236</v>
      </c>
      <c r="S205">
        <v>1644</v>
      </c>
      <c r="T205" t="b">
        <v>0</v>
      </c>
      <c r="U205">
        <v>2</v>
      </c>
      <c r="V205">
        <v>2</v>
      </c>
      <c r="W205" t="s">
        <v>35</v>
      </c>
      <c r="X205" t="s">
        <v>29</v>
      </c>
      <c r="Y205" t="s">
        <v>29</v>
      </c>
      <c r="Z205" t="s">
        <v>37</v>
      </c>
    </row>
    <row r="206" spans="1:26">
      <c r="A206">
        <v>1.8683103807092946E+18</v>
      </c>
      <c r="B206" t="s">
        <v>228</v>
      </c>
      <c r="C206" t="s">
        <v>228</v>
      </c>
      <c r="D206" t="s">
        <v>1199</v>
      </c>
      <c r="E206" t="s">
        <v>1200</v>
      </c>
      <c r="F206" t="s">
        <v>1201</v>
      </c>
      <c r="G206" t="s">
        <v>1202</v>
      </c>
      <c r="H206" t="s">
        <v>233</v>
      </c>
      <c r="I206">
        <v>174</v>
      </c>
      <c r="J206">
        <v>8</v>
      </c>
      <c r="K206">
        <v>103</v>
      </c>
      <c r="L206">
        <v>11793</v>
      </c>
      <c r="M206" t="s">
        <v>1203</v>
      </c>
      <c r="N206" t="s">
        <v>29</v>
      </c>
      <c r="O206">
        <v>1239617</v>
      </c>
      <c r="P206" t="s">
        <v>235</v>
      </c>
      <c r="Q206">
        <v>402839</v>
      </c>
      <c r="R206" t="s">
        <v>236</v>
      </c>
      <c r="S206">
        <v>1644</v>
      </c>
      <c r="T206" t="b">
        <v>0</v>
      </c>
      <c r="U206">
        <v>4</v>
      </c>
      <c r="V206">
        <v>0</v>
      </c>
      <c r="W206" t="s">
        <v>35</v>
      </c>
      <c r="X206" t="s">
        <v>29</v>
      </c>
      <c r="Y206" t="s">
        <v>29</v>
      </c>
      <c r="Z206" t="s">
        <v>37</v>
      </c>
    </row>
    <row r="207" spans="1:26">
      <c r="A207">
        <v>1.8659847237611238E+18</v>
      </c>
      <c r="B207" t="s">
        <v>1204</v>
      </c>
      <c r="C207" t="s">
        <v>1205</v>
      </c>
      <c r="D207" t="s">
        <v>1206</v>
      </c>
      <c r="E207" t="s">
        <v>1207</v>
      </c>
      <c r="F207" t="s">
        <v>1208</v>
      </c>
      <c r="G207" t="s">
        <v>1209</v>
      </c>
      <c r="H207" t="s">
        <v>1210</v>
      </c>
      <c r="I207">
        <v>12</v>
      </c>
      <c r="J207">
        <v>46</v>
      </c>
      <c r="K207">
        <v>743</v>
      </c>
      <c r="L207">
        <v>49787</v>
      </c>
      <c r="M207" t="s">
        <v>52</v>
      </c>
      <c r="N207" t="s">
        <v>1211</v>
      </c>
      <c r="O207">
        <v>12779119</v>
      </c>
      <c r="P207" t="s">
        <v>1212</v>
      </c>
      <c r="Q207">
        <v>190221</v>
      </c>
      <c r="R207" t="s">
        <v>1213</v>
      </c>
      <c r="S207">
        <v>637</v>
      </c>
      <c r="T207" t="b">
        <v>0</v>
      </c>
      <c r="U207">
        <v>8</v>
      </c>
      <c r="V207">
        <v>10</v>
      </c>
      <c r="W207" t="s">
        <v>35</v>
      </c>
      <c r="X207" t="s">
        <v>29</v>
      </c>
      <c r="Y207" t="s">
        <v>29</v>
      </c>
      <c r="Z207" t="s">
        <v>37</v>
      </c>
    </row>
    <row r="208" spans="1:26">
      <c r="A208">
        <v>1.8683830139624412E+18</v>
      </c>
      <c r="B208" t="s">
        <v>275</v>
      </c>
      <c r="C208" t="s">
        <v>276</v>
      </c>
      <c r="D208" t="s">
        <v>1214</v>
      </c>
      <c r="E208" t="s">
        <v>1215</v>
      </c>
      <c r="F208" t="s">
        <v>1216</v>
      </c>
      <c r="G208" t="s">
        <v>1217</v>
      </c>
      <c r="H208" t="s">
        <v>754</v>
      </c>
      <c r="I208">
        <v>14</v>
      </c>
      <c r="J208">
        <v>66</v>
      </c>
      <c r="K208">
        <v>514</v>
      </c>
      <c r="L208">
        <v>29246</v>
      </c>
      <c r="M208" t="s">
        <v>52</v>
      </c>
      <c r="N208" t="s">
        <v>281</v>
      </c>
      <c r="O208">
        <v>8539601</v>
      </c>
      <c r="P208" t="s">
        <v>282</v>
      </c>
      <c r="Q208">
        <v>75535</v>
      </c>
      <c r="R208" t="s">
        <v>283</v>
      </c>
      <c r="S208">
        <v>117</v>
      </c>
      <c r="T208" t="b">
        <v>0</v>
      </c>
      <c r="U208">
        <v>4</v>
      </c>
      <c r="V208">
        <v>6</v>
      </c>
      <c r="W208" t="s">
        <v>35</v>
      </c>
      <c r="X208" t="s">
        <v>29</v>
      </c>
      <c r="Y208" t="s">
        <v>29</v>
      </c>
      <c r="Z208" t="s">
        <v>37</v>
      </c>
    </row>
    <row r="209" spans="1:26">
      <c r="A209">
        <v>1.8683661900218491E+18</v>
      </c>
      <c r="B209" t="s">
        <v>275</v>
      </c>
      <c r="C209" t="s">
        <v>276</v>
      </c>
      <c r="D209" t="s">
        <v>1218</v>
      </c>
      <c r="E209" t="s">
        <v>1219</v>
      </c>
      <c r="F209" t="s">
        <v>1220</v>
      </c>
      <c r="G209" t="s">
        <v>1221</v>
      </c>
      <c r="H209" t="s">
        <v>29</v>
      </c>
      <c r="I209">
        <v>30</v>
      </c>
      <c r="J209">
        <v>283</v>
      </c>
      <c r="K209">
        <v>1554</v>
      </c>
      <c r="L209">
        <v>113481</v>
      </c>
      <c r="M209" t="s">
        <v>52</v>
      </c>
      <c r="N209" t="s">
        <v>281</v>
      </c>
      <c r="O209">
        <v>8539601</v>
      </c>
      <c r="P209" t="s">
        <v>282</v>
      </c>
      <c r="Q209">
        <v>75535</v>
      </c>
      <c r="R209" t="s">
        <v>283</v>
      </c>
      <c r="S209">
        <v>117</v>
      </c>
      <c r="T209" t="b">
        <v>0</v>
      </c>
      <c r="U209">
        <v>115</v>
      </c>
      <c r="V209">
        <v>29</v>
      </c>
      <c r="W209" t="s">
        <v>35</v>
      </c>
      <c r="X209" t="s">
        <v>29</v>
      </c>
      <c r="Y209" t="s">
        <v>29</v>
      </c>
      <c r="Z209" t="s">
        <v>37</v>
      </c>
    </row>
    <row r="210" spans="1:26">
      <c r="A210">
        <v>1.8683659242708012E+18</v>
      </c>
      <c r="B210" t="s">
        <v>275</v>
      </c>
      <c r="C210" t="s">
        <v>276</v>
      </c>
      <c r="D210" t="s">
        <v>1222</v>
      </c>
      <c r="E210" t="s">
        <v>1223</v>
      </c>
      <c r="F210" t="s">
        <v>1224</v>
      </c>
      <c r="G210" t="s">
        <v>1225</v>
      </c>
      <c r="H210" t="s">
        <v>29</v>
      </c>
      <c r="I210">
        <v>114</v>
      </c>
      <c r="J210">
        <v>1571</v>
      </c>
      <c r="K210">
        <v>10254</v>
      </c>
      <c r="L210">
        <v>428009</v>
      </c>
      <c r="M210" t="s">
        <v>52</v>
      </c>
      <c r="N210" t="s">
        <v>281</v>
      </c>
      <c r="O210">
        <v>8539601</v>
      </c>
      <c r="P210" t="s">
        <v>282</v>
      </c>
      <c r="Q210">
        <v>75535</v>
      </c>
      <c r="R210" t="s">
        <v>283</v>
      </c>
      <c r="S210">
        <v>117</v>
      </c>
      <c r="T210" t="b">
        <v>0</v>
      </c>
      <c r="U210">
        <v>181</v>
      </c>
      <c r="V210">
        <v>244</v>
      </c>
      <c r="W210" t="s">
        <v>35</v>
      </c>
      <c r="X210" t="s">
        <v>29</v>
      </c>
      <c r="Y210" t="s">
        <v>29</v>
      </c>
      <c r="Z210" t="s">
        <v>37</v>
      </c>
    </row>
    <row r="211" spans="1:26">
      <c r="A211">
        <v>1.8682043531544125E+18</v>
      </c>
      <c r="B211" t="s">
        <v>275</v>
      </c>
      <c r="C211" t="s">
        <v>276</v>
      </c>
      <c r="D211" t="s">
        <v>1226</v>
      </c>
      <c r="E211" t="s">
        <v>1227</v>
      </c>
      <c r="F211" t="s">
        <v>1228</v>
      </c>
      <c r="G211" t="s">
        <v>1229</v>
      </c>
      <c r="H211" t="s">
        <v>29</v>
      </c>
      <c r="I211">
        <v>12</v>
      </c>
      <c r="J211">
        <v>69</v>
      </c>
      <c r="K211">
        <v>710</v>
      </c>
      <c r="L211">
        <v>34902</v>
      </c>
      <c r="M211" t="s">
        <v>52</v>
      </c>
      <c r="N211" t="s">
        <v>1230</v>
      </c>
      <c r="O211">
        <v>8539601</v>
      </c>
      <c r="P211" t="s">
        <v>282</v>
      </c>
      <c r="Q211">
        <v>75535</v>
      </c>
      <c r="R211" t="s">
        <v>283</v>
      </c>
      <c r="S211">
        <v>117</v>
      </c>
      <c r="T211" t="b">
        <v>0</v>
      </c>
      <c r="U211">
        <v>4</v>
      </c>
      <c r="V211">
        <v>3</v>
      </c>
      <c r="W211" t="s">
        <v>35</v>
      </c>
      <c r="X211" t="s">
        <v>29</v>
      </c>
      <c r="Y211" t="s">
        <v>29</v>
      </c>
      <c r="Z211" t="s">
        <v>37</v>
      </c>
    </row>
    <row r="212" spans="1:26">
      <c r="A212">
        <v>1.8683782124028974E+18</v>
      </c>
      <c r="B212" t="s">
        <v>275</v>
      </c>
      <c r="C212" t="s">
        <v>276</v>
      </c>
      <c r="D212" t="s">
        <v>1231</v>
      </c>
      <c r="E212" t="s">
        <v>1232</v>
      </c>
      <c r="F212" t="s">
        <v>1233</v>
      </c>
      <c r="G212" t="s">
        <v>1234</v>
      </c>
      <c r="H212" t="s">
        <v>754</v>
      </c>
      <c r="I212">
        <v>38</v>
      </c>
      <c r="J212">
        <v>160</v>
      </c>
      <c r="K212">
        <v>960</v>
      </c>
      <c r="L212">
        <v>39935</v>
      </c>
      <c r="M212" t="s">
        <v>52</v>
      </c>
      <c r="N212" t="s">
        <v>1235</v>
      </c>
      <c r="O212">
        <v>8539601</v>
      </c>
      <c r="P212" t="s">
        <v>282</v>
      </c>
      <c r="Q212">
        <v>75535</v>
      </c>
      <c r="R212" t="s">
        <v>283</v>
      </c>
      <c r="S212">
        <v>117</v>
      </c>
      <c r="T212" t="b">
        <v>0</v>
      </c>
      <c r="U212">
        <v>11</v>
      </c>
      <c r="V212">
        <v>13</v>
      </c>
      <c r="W212" t="s">
        <v>35</v>
      </c>
      <c r="X212" t="s">
        <v>29</v>
      </c>
      <c r="Y212" t="s">
        <v>29</v>
      </c>
      <c r="Z212" t="s">
        <v>37</v>
      </c>
    </row>
    <row r="213" spans="1:26">
      <c r="A213">
        <v>1.8683808324376044E+18</v>
      </c>
      <c r="B213" t="s">
        <v>726</v>
      </c>
      <c r="C213" t="s">
        <v>727</v>
      </c>
      <c r="D213" t="s">
        <v>1236</v>
      </c>
      <c r="E213" t="s">
        <v>1237</v>
      </c>
      <c r="F213" t="s">
        <v>1238</v>
      </c>
      <c r="G213" t="s">
        <v>1239</v>
      </c>
      <c r="H213" t="s">
        <v>29</v>
      </c>
      <c r="I213">
        <v>10</v>
      </c>
      <c r="J213">
        <v>23</v>
      </c>
      <c r="K213">
        <v>301</v>
      </c>
      <c r="L213">
        <v>9654</v>
      </c>
      <c r="M213" t="s">
        <v>52</v>
      </c>
      <c r="N213" t="s">
        <v>732</v>
      </c>
      <c r="O213">
        <v>220409</v>
      </c>
      <c r="P213" t="s">
        <v>733</v>
      </c>
      <c r="Q213">
        <v>43155</v>
      </c>
      <c r="R213" t="s">
        <v>734</v>
      </c>
      <c r="S213">
        <v>199</v>
      </c>
      <c r="T213" t="b">
        <v>0</v>
      </c>
      <c r="U213">
        <v>7</v>
      </c>
      <c r="V213">
        <v>2</v>
      </c>
      <c r="W213" t="s">
        <v>35</v>
      </c>
      <c r="X213" t="s">
        <v>29</v>
      </c>
      <c r="Y213" t="s">
        <v>29</v>
      </c>
      <c r="Z213" t="s">
        <v>37</v>
      </c>
    </row>
    <row r="214" spans="1:26">
      <c r="A214">
        <v>1.8682647100652342E+18</v>
      </c>
      <c r="B214" t="s">
        <v>1240</v>
      </c>
      <c r="C214" t="s">
        <v>1241</v>
      </c>
      <c r="D214" t="s">
        <v>1242</v>
      </c>
      <c r="E214" t="s">
        <v>1243</v>
      </c>
      <c r="F214" t="s">
        <v>1244</v>
      </c>
      <c r="G214" t="s">
        <v>1245</v>
      </c>
      <c r="H214" t="s">
        <v>1246</v>
      </c>
      <c r="I214">
        <v>22</v>
      </c>
      <c r="J214">
        <v>204</v>
      </c>
      <c r="K214">
        <v>2850</v>
      </c>
      <c r="L214">
        <v>106624</v>
      </c>
      <c r="M214" t="s">
        <v>52</v>
      </c>
      <c r="N214" t="s">
        <v>742</v>
      </c>
      <c r="O214">
        <v>4759262</v>
      </c>
      <c r="P214" t="s">
        <v>1247</v>
      </c>
      <c r="Q214">
        <v>40090</v>
      </c>
      <c r="R214" t="s">
        <v>1248</v>
      </c>
      <c r="S214">
        <v>11696</v>
      </c>
      <c r="T214" t="b">
        <v>0</v>
      </c>
      <c r="U214">
        <v>13</v>
      </c>
      <c r="V214">
        <v>76</v>
      </c>
      <c r="W214" t="s">
        <v>35</v>
      </c>
      <c r="X214" t="s">
        <v>29</v>
      </c>
      <c r="Y214" t="s">
        <v>29</v>
      </c>
      <c r="Z214" t="s">
        <v>37</v>
      </c>
    </row>
    <row r="215" spans="1:26">
      <c r="A215">
        <v>1.8683149830223383E+18</v>
      </c>
      <c r="B215" t="s">
        <v>333</v>
      </c>
      <c r="C215" t="s">
        <v>334</v>
      </c>
      <c r="D215" t="s">
        <v>1249</v>
      </c>
      <c r="E215" t="s">
        <v>1250</v>
      </c>
      <c r="F215" t="s">
        <v>1251</v>
      </c>
      <c r="G215" t="s">
        <v>1252</v>
      </c>
      <c r="H215" t="s">
        <v>908</v>
      </c>
      <c r="I215">
        <v>3</v>
      </c>
      <c r="J215">
        <v>11</v>
      </c>
      <c r="K215">
        <v>79</v>
      </c>
      <c r="L215">
        <v>11931</v>
      </c>
      <c r="M215" t="s">
        <v>52</v>
      </c>
      <c r="N215" t="s">
        <v>340</v>
      </c>
      <c r="O215">
        <v>337839</v>
      </c>
      <c r="P215" t="s">
        <v>341</v>
      </c>
      <c r="Q215">
        <v>57638</v>
      </c>
      <c r="R215" t="s">
        <v>342</v>
      </c>
      <c r="S215">
        <v>587</v>
      </c>
      <c r="T215" t="b">
        <v>0</v>
      </c>
      <c r="U215">
        <v>1</v>
      </c>
      <c r="V215">
        <v>1</v>
      </c>
      <c r="W215" t="s">
        <v>1253</v>
      </c>
      <c r="X215" t="s">
        <v>29</v>
      </c>
      <c r="Y215" t="s">
        <v>29</v>
      </c>
      <c r="Z215" t="s">
        <v>37</v>
      </c>
    </row>
    <row r="216" spans="1:26">
      <c r="A216">
        <v>1.8682269968508974E+18</v>
      </c>
      <c r="B216" t="s">
        <v>333</v>
      </c>
      <c r="C216" t="s">
        <v>334</v>
      </c>
      <c r="D216" t="s">
        <v>1254</v>
      </c>
      <c r="E216" t="s">
        <v>1255</v>
      </c>
      <c r="F216" t="s">
        <v>1256</v>
      </c>
      <c r="G216" t="s">
        <v>1257</v>
      </c>
      <c r="H216" t="s">
        <v>29</v>
      </c>
      <c r="I216">
        <v>3</v>
      </c>
      <c r="J216">
        <v>24</v>
      </c>
      <c r="K216">
        <v>455</v>
      </c>
      <c r="L216">
        <v>15884</v>
      </c>
      <c r="M216" t="s">
        <v>52</v>
      </c>
      <c r="N216" t="s">
        <v>340</v>
      </c>
      <c r="O216">
        <v>337839</v>
      </c>
      <c r="P216" t="s">
        <v>341</v>
      </c>
      <c r="Q216">
        <v>57638</v>
      </c>
      <c r="R216" t="s">
        <v>342</v>
      </c>
      <c r="S216">
        <v>587</v>
      </c>
      <c r="T216" t="b">
        <v>0</v>
      </c>
      <c r="U216">
        <v>3</v>
      </c>
      <c r="V216">
        <v>1</v>
      </c>
      <c r="W216" t="s">
        <v>35</v>
      </c>
      <c r="X216" t="s">
        <v>29</v>
      </c>
      <c r="Y216" t="s">
        <v>29</v>
      </c>
      <c r="Z216" t="s">
        <v>37</v>
      </c>
    </row>
    <row r="217" spans="1:26">
      <c r="A217">
        <v>1.8682740692058156E+18</v>
      </c>
      <c r="B217" t="s">
        <v>1258</v>
      </c>
      <c r="C217" t="s">
        <v>1259</v>
      </c>
      <c r="D217" t="s">
        <v>1260</v>
      </c>
      <c r="E217" t="s">
        <v>1261</v>
      </c>
      <c r="F217" t="s">
        <v>1262</v>
      </c>
      <c r="G217" t="s">
        <v>1263</v>
      </c>
      <c r="H217" t="s">
        <v>1264</v>
      </c>
      <c r="I217">
        <v>40</v>
      </c>
      <c r="J217">
        <v>257</v>
      </c>
      <c r="K217">
        <v>4743</v>
      </c>
      <c r="L217">
        <v>40436</v>
      </c>
      <c r="M217" t="s">
        <v>52</v>
      </c>
      <c r="N217" t="s">
        <v>29</v>
      </c>
      <c r="O217">
        <v>1033714</v>
      </c>
      <c r="P217" t="s">
        <v>1265</v>
      </c>
      <c r="Q217">
        <v>37993</v>
      </c>
      <c r="R217" t="s">
        <v>1266</v>
      </c>
      <c r="S217">
        <v>127</v>
      </c>
      <c r="T217" t="b">
        <v>0</v>
      </c>
      <c r="U217">
        <v>10</v>
      </c>
      <c r="V217">
        <v>9</v>
      </c>
      <c r="W217" t="s">
        <v>35</v>
      </c>
      <c r="X217" t="s">
        <v>29</v>
      </c>
      <c r="Y217" t="s">
        <v>29</v>
      </c>
      <c r="Z217" t="s">
        <v>37</v>
      </c>
    </row>
    <row r="218" spans="1:26">
      <c r="A218">
        <v>1.8683579337232594E+18</v>
      </c>
      <c r="B218" t="s">
        <v>1267</v>
      </c>
      <c r="C218" t="s">
        <v>1268</v>
      </c>
      <c r="D218" t="s">
        <v>1269</v>
      </c>
      <c r="E218" t="s">
        <v>1270</v>
      </c>
      <c r="F218" t="s">
        <v>1271</v>
      </c>
      <c r="G218" t="s">
        <v>1272</v>
      </c>
      <c r="H218" t="s">
        <v>29</v>
      </c>
      <c r="I218">
        <v>59</v>
      </c>
      <c r="J218">
        <v>75</v>
      </c>
      <c r="K218">
        <v>668</v>
      </c>
      <c r="L218">
        <v>94482</v>
      </c>
      <c r="M218" t="s">
        <v>52</v>
      </c>
      <c r="N218" t="s">
        <v>1273</v>
      </c>
      <c r="O218">
        <v>17891377</v>
      </c>
      <c r="P218" t="s">
        <v>1274</v>
      </c>
      <c r="Q218">
        <v>168939</v>
      </c>
      <c r="R218" t="s">
        <v>1275</v>
      </c>
      <c r="S218">
        <v>47365</v>
      </c>
      <c r="T218" t="b">
        <v>0</v>
      </c>
      <c r="U218">
        <v>6</v>
      </c>
      <c r="V218">
        <v>4</v>
      </c>
      <c r="W218" t="s">
        <v>35</v>
      </c>
      <c r="X218" t="s">
        <v>29</v>
      </c>
      <c r="Y218" t="s">
        <v>29</v>
      </c>
      <c r="Z218" t="s">
        <v>37</v>
      </c>
    </row>
    <row r="219" spans="1:26">
      <c r="A219">
        <v>1.8683366599951852E+18</v>
      </c>
      <c r="B219" t="s">
        <v>1267</v>
      </c>
      <c r="C219" t="s">
        <v>1268</v>
      </c>
      <c r="D219" t="s">
        <v>1276</v>
      </c>
      <c r="E219" t="s">
        <v>1277</v>
      </c>
      <c r="F219" t="s">
        <v>1278</v>
      </c>
      <c r="G219" t="s">
        <v>1279</v>
      </c>
      <c r="H219" t="s">
        <v>29</v>
      </c>
      <c r="I219">
        <v>108</v>
      </c>
      <c r="J219">
        <v>108</v>
      </c>
      <c r="K219">
        <v>1997</v>
      </c>
      <c r="L219">
        <v>132856</v>
      </c>
      <c r="M219" t="s">
        <v>52</v>
      </c>
      <c r="N219" t="s">
        <v>1273</v>
      </c>
      <c r="O219">
        <v>17891377</v>
      </c>
      <c r="P219" t="s">
        <v>1274</v>
      </c>
      <c r="Q219">
        <v>168939</v>
      </c>
      <c r="R219" t="s">
        <v>1275</v>
      </c>
      <c r="S219">
        <v>47365</v>
      </c>
      <c r="T219" t="b">
        <v>0</v>
      </c>
      <c r="U219">
        <v>8</v>
      </c>
      <c r="V219">
        <v>6</v>
      </c>
      <c r="W219" t="s">
        <v>35</v>
      </c>
      <c r="X219" t="s">
        <v>29</v>
      </c>
      <c r="Y219" t="s">
        <v>29</v>
      </c>
      <c r="Z219" t="s">
        <v>37</v>
      </c>
    </row>
    <row r="220" spans="1:26">
      <c r="A220">
        <v>1.86835288528255E+18</v>
      </c>
      <c r="B220" t="s">
        <v>1280</v>
      </c>
      <c r="C220" t="s">
        <v>1281</v>
      </c>
      <c r="D220" t="s">
        <v>1282</v>
      </c>
      <c r="E220" t="s">
        <v>1283</v>
      </c>
      <c r="F220" t="s">
        <v>1284</v>
      </c>
      <c r="G220" t="s">
        <v>1285</v>
      </c>
      <c r="H220" t="s">
        <v>29</v>
      </c>
      <c r="I220">
        <v>256</v>
      </c>
      <c r="J220">
        <v>258</v>
      </c>
      <c r="K220">
        <v>3329</v>
      </c>
      <c r="L220">
        <v>207876</v>
      </c>
      <c r="M220" t="s">
        <v>52</v>
      </c>
      <c r="N220" t="s">
        <v>1286</v>
      </c>
      <c r="O220">
        <v>38439078</v>
      </c>
      <c r="P220" t="s">
        <v>1287</v>
      </c>
      <c r="Q220">
        <v>92455</v>
      </c>
      <c r="R220" t="s">
        <v>1288</v>
      </c>
      <c r="S220">
        <v>145</v>
      </c>
      <c r="T220" t="b">
        <v>0</v>
      </c>
      <c r="U220">
        <v>5</v>
      </c>
      <c r="V220">
        <v>11</v>
      </c>
      <c r="W220" t="s">
        <v>35</v>
      </c>
      <c r="X220" t="s">
        <v>29</v>
      </c>
      <c r="Y220" t="s">
        <v>29</v>
      </c>
      <c r="Z220" t="s">
        <v>37</v>
      </c>
    </row>
    <row r="221" spans="1:26">
      <c r="A221">
        <v>1.8683077776485665E+18</v>
      </c>
      <c r="B221" t="s">
        <v>1280</v>
      </c>
      <c r="C221" t="s">
        <v>1281</v>
      </c>
      <c r="D221" t="s">
        <v>1289</v>
      </c>
      <c r="E221" t="s">
        <v>1290</v>
      </c>
      <c r="F221" t="s">
        <v>1291</v>
      </c>
      <c r="G221" t="s">
        <v>1292</v>
      </c>
      <c r="H221" t="s">
        <v>1293</v>
      </c>
      <c r="I221">
        <v>170</v>
      </c>
      <c r="J221">
        <v>468</v>
      </c>
      <c r="K221">
        <v>5555</v>
      </c>
      <c r="L221">
        <v>365431</v>
      </c>
      <c r="M221" t="s">
        <v>52</v>
      </c>
      <c r="N221" t="s">
        <v>1294</v>
      </c>
      <c r="O221">
        <v>38439077</v>
      </c>
      <c r="P221" t="s">
        <v>1287</v>
      </c>
      <c r="Q221">
        <v>92455</v>
      </c>
      <c r="R221" t="s">
        <v>1288</v>
      </c>
      <c r="S221">
        <v>145</v>
      </c>
      <c r="T221" t="b">
        <v>0</v>
      </c>
      <c r="U221">
        <v>16</v>
      </c>
      <c r="V221">
        <v>11</v>
      </c>
      <c r="W221" t="s">
        <v>35</v>
      </c>
      <c r="X221" t="s">
        <v>29</v>
      </c>
      <c r="Y221" t="s">
        <v>29</v>
      </c>
      <c r="Z221" t="s">
        <v>37</v>
      </c>
    </row>
    <row r="222" spans="1:26">
      <c r="A222">
        <v>1.8683030612585185E+18</v>
      </c>
      <c r="B222" t="s">
        <v>1280</v>
      </c>
      <c r="C222" t="s">
        <v>1281</v>
      </c>
      <c r="D222" t="s">
        <v>1295</v>
      </c>
      <c r="E222" t="s">
        <v>1296</v>
      </c>
      <c r="F222" t="s">
        <v>1297</v>
      </c>
      <c r="G222" t="s">
        <v>1298</v>
      </c>
      <c r="H222" t="s">
        <v>29</v>
      </c>
      <c r="I222">
        <v>301</v>
      </c>
      <c r="J222">
        <v>1291</v>
      </c>
      <c r="K222">
        <v>15224</v>
      </c>
      <c r="L222">
        <v>561576</v>
      </c>
      <c r="M222" t="s">
        <v>52</v>
      </c>
      <c r="N222" t="s">
        <v>1286</v>
      </c>
      <c r="O222">
        <v>38439073</v>
      </c>
      <c r="P222" t="s">
        <v>1287</v>
      </c>
      <c r="Q222">
        <v>92455</v>
      </c>
      <c r="R222" t="s">
        <v>1288</v>
      </c>
      <c r="S222">
        <v>145</v>
      </c>
      <c r="T222" t="b">
        <v>0</v>
      </c>
      <c r="U222">
        <v>144</v>
      </c>
      <c r="V222">
        <v>73</v>
      </c>
      <c r="W222" t="s">
        <v>35</v>
      </c>
      <c r="X222" t="s">
        <v>29</v>
      </c>
      <c r="Y222" t="s">
        <v>29</v>
      </c>
      <c r="Z222" t="s">
        <v>37</v>
      </c>
    </row>
    <row r="223" spans="1:26">
      <c r="A223">
        <v>1.8683330817673382E+18</v>
      </c>
      <c r="B223" t="s">
        <v>1280</v>
      </c>
      <c r="C223" t="s">
        <v>1281</v>
      </c>
      <c r="D223" t="s">
        <v>1299</v>
      </c>
      <c r="E223" t="s">
        <v>1300</v>
      </c>
      <c r="F223" t="s">
        <v>29</v>
      </c>
      <c r="G223" t="s">
        <v>1301</v>
      </c>
      <c r="H223" t="s">
        <v>29</v>
      </c>
      <c r="I223">
        <v>142</v>
      </c>
      <c r="J223">
        <v>269</v>
      </c>
      <c r="K223">
        <v>1755</v>
      </c>
      <c r="L223">
        <v>190541</v>
      </c>
      <c r="M223" t="s">
        <v>1302</v>
      </c>
      <c r="N223" t="s">
        <v>1286</v>
      </c>
      <c r="O223">
        <v>38439077</v>
      </c>
      <c r="P223" t="s">
        <v>1287</v>
      </c>
      <c r="Q223">
        <v>92455</v>
      </c>
      <c r="R223" t="s">
        <v>1288</v>
      </c>
      <c r="S223">
        <v>145</v>
      </c>
      <c r="T223" t="b">
        <v>0</v>
      </c>
      <c r="U223">
        <v>24</v>
      </c>
      <c r="V223">
        <v>10</v>
      </c>
      <c r="W223" t="s">
        <v>35</v>
      </c>
      <c r="X223" t="s">
        <v>29</v>
      </c>
      <c r="Y223" t="s">
        <v>29</v>
      </c>
      <c r="Z223" t="s">
        <v>37</v>
      </c>
    </row>
    <row r="224" spans="1:26">
      <c r="A224">
        <v>1.8682841243534543E+18</v>
      </c>
      <c r="B224" t="s">
        <v>1303</v>
      </c>
      <c r="C224" t="s">
        <v>1304</v>
      </c>
      <c r="D224" t="s">
        <v>1305</v>
      </c>
      <c r="E224" t="s">
        <v>1306</v>
      </c>
      <c r="F224" t="s">
        <v>1307</v>
      </c>
      <c r="G224" t="s">
        <v>1308</v>
      </c>
      <c r="H224" t="s">
        <v>29</v>
      </c>
      <c r="I224">
        <v>43</v>
      </c>
      <c r="J224">
        <v>29</v>
      </c>
      <c r="K224">
        <v>338</v>
      </c>
      <c r="L224">
        <v>30057</v>
      </c>
      <c r="M224" t="s">
        <v>52</v>
      </c>
      <c r="N224" t="s">
        <v>1273</v>
      </c>
      <c r="O224">
        <v>240106</v>
      </c>
      <c r="P224" t="s">
        <v>1309</v>
      </c>
      <c r="Q224">
        <v>29070</v>
      </c>
      <c r="R224" t="s">
        <v>1310</v>
      </c>
      <c r="S224">
        <v>799</v>
      </c>
      <c r="T224" t="b">
        <v>0</v>
      </c>
      <c r="U224">
        <v>39</v>
      </c>
      <c r="V224">
        <v>8</v>
      </c>
      <c r="W224" t="s">
        <v>35</v>
      </c>
      <c r="X224" t="s">
        <v>29</v>
      </c>
      <c r="Y224" t="s">
        <v>29</v>
      </c>
      <c r="Z224" t="s">
        <v>37</v>
      </c>
    </row>
    <row r="225" spans="1:26">
      <c r="A225">
        <v>1.8683586080036787E+18</v>
      </c>
      <c r="B225" t="s">
        <v>1280</v>
      </c>
      <c r="C225" t="s">
        <v>1281</v>
      </c>
      <c r="D225" t="s">
        <v>1311</v>
      </c>
      <c r="E225" t="s">
        <v>1312</v>
      </c>
      <c r="F225" t="s">
        <v>1313</v>
      </c>
      <c r="G225" t="s">
        <v>1314</v>
      </c>
      <c r="H225" t="s">
        <v>29</v>
      </c>
      <c r="I225">
        <v>186</v>
      </c>
      <c r="J225">
        <v>152</v>
      </c>
      <c r="K225">
        <v>1631</v>
      </c>
      <c r="L225">
        <v>208868</v>
      </c>
      <c r="M225" t="s">
        <v>52</v>
      </c>
      <c r="N225" t="s">
        <v>1286</v>
      </c>
      <c r="O225">
        <v>38439094</v>
      </c>
      <c r="P225" t="s">
        <v>1287</v>
      </c>
      <c r="Q225">
        <v>92455</v>
      </c>
      <c r="R225" t="s">
        <v>1288</v>
      </c>
      <c r="S225">
        <v>145</v>
      </c>
      <c r="T225" t="b">
        <v>0</v>
      </c>
      <c r="U225">
        <v>13</v>
      </c>
      <c r="V225">
        <v>7</v>
      </c>
      <c r="W225" t="s">
        <v>35</v>
      </c>
      <c r="X225" t="s">
        <v>29</v>
      </c>
      <c r="Y225" t="s">
        <v>29</v>
      </c>
      <c r="Z225" t="s">
        <v>37</v>
      </c>
    </row>
    <row r="226" spans="1:26">
      <c r="A226">
        <v>1.868253419317654E+18</v>
      </c>
      <c r="B226" t="s">
        <v>1030</v>
      </c>
      <c r="C226" t="s">
        <v>1031</v>
      </c>
      <c r="D226" t="s">
        <v>1315</v>
      </c>
      <c r="E226" t="s">
        <v>1316</v>
      </c>
      <c r="F226" t="s">
        <v>29</v>
      </c>
      <c r="G226" t="s">
        <v>1317</v>
      </c>
      <c r="H226" t="s">
        <v>29</v>
      </c>
      <c r="I226">
        <v>4</v>
      </c>
      <c r="J226">
        <v>7</v>
      </c>
      <c r="K226">
        <v>53</v>
      </c>
      <c r="L226">
        <v>4470</v>
      </c>
      <c r="M226" t="s">
        <v>1318</v>
      </c>
      <c r="N226" t="s">
        <v>1036</v>
      </c>
      <c r="O226">
        <v>225733</v>
      </c>
      <c r="P226" t="s">
        <v>1037</v>
      </c>
      <c r="Q226">
        <v>42662</v>
      </c>
      <c r="R226" t="s">
        <v>1038</v>
      </c>
      <c r="S226">
        <v>148</v>
      </c>
      <c r="T226" t="b">
        <v>0</v>
      </c>
      <c r="U226">
        <v>5</v>
      </c>
      <c r="V226">
        <v>1</v>
      </c>
      <c r="W226" t="s">
        <v>35</v>
      </c>
      <c r="X226" t="s">
        <v>29</v>
      </c>
      <c r="Y226" t="s">
        <v>29</v>
      </c>
      <c r="Z226" t="s">
        <v>37</v>
      </c>
    </row>
    <row r="227" spans="1:26">
      <c r="A227">
        <v>1.8683138217960699E+18</v>
      </c>
      <c r="B227" t="s">
        <v>1267</v>
      </c>
      <c r="C227" t="s">
        <v>1268</v>
      </c>
      <c r="D227" t="s">
        <v>1319</v>
      </c>
      <c r="E227" t="s">
        <v>1320</v>
      </c>
      <c r="F227" t="s">
        <v>1321</v>
      </c>
      <c r="G227" t="s">
        <v>1322</v>
      </c>
      <c r="H227" t="s">
        <v>1323</v>
      </c>
      <c r="I227">
        <v>568</v>
      </c>
      <c r="J227">
        <v>1242</v>
      </c>
      <c r="K227">
        <v>5863</v>
      </c>
      <c r="L227">
        <v>1241664</v>
      </c>
      <c r="M227" t="s">
        <v>52</v>
      </c>
      <c r="N227" t="s">
        <v>1324</v>
      </c>
      <c r="O227">
        <v>17891377</v>
      </c>
      <c r="P227" t="s">
        <v>1274</v>
      </c>
      <c r="Q227">
        <v>168939</v>
      </c>
      <c r="R227" t="s">
        <v>1275</v>
      </c>
      <c r="S227">
        <v>47365</v>
      </c>
      <c r="T227" t="b">
        <v>0</v>
      </c>
      <c r="U227">
        <v>1381</v>
      </c>
      <c r="V227">
        <v>63</v>
      </c>
      <c r="W227" t="s">
        <v>35</v>
      </c>
      <c r="X227" t="s">
        <v>29</v>
      </c>
      <c r="Y227" t="s">
        <v>29</v>
      </c>
      <c r="Z227" t="s">
        <v>37</v>
      </c>
    </row>
    <row r="228" spans="1:26">
      <c r="A228">
        <v>1.8683599835674422E+18</v>
      </c>
      <c r="B228" t="s">
        <v>1267</v>
      </c>
      <c r="C228" t="s">
        <v>1268</v>
      </c>
      <c r="D228" t="s">
        <v>1325</v>
      </c>
      <c r="E228" t="s">
        <v>1326</v>
      </c>
      <c r="F228" t="s">
        <v>1327</v>
      </c>
      <c r="G228" t="s">
        <v>1328</v>
      </c>
      <c r="H228" t="s">
        <v>29</v>
      </c>
      <c r="I228">
        <v>74</v>
      </c>
      <c r="J228">
        <v>78</v>
      </c>
      <c r="K228">
        <v>964</v>
      </c>
      <c r="L228">
        <v>117033</v>
      </c>
      <c r="M228" t="s">
        <v>52</v>
      </c>
      <c r="N228" t="s">
        <v>1273</v>
      </c>
      <c r="O228">
        <v>17891377</v>
      </c>
      <c r="P228" t="s">
        <v>1274</v>
      </c>
      <c r="Q228">
        <v>168939</v>
      </c>
      <c r="R228" t="s">
        <v>1275</v>
      </c>
      <c r="S228">
        <v>47365</v>
      </c>
      <c r="T228" t="b">
        <v>0</v>
      </c>
      <c r="U228">
        <v>5</v>
      </c>
      <c r="V228">
        <v>13</v>
      </c>
      <c r="W228" t="s">
        <v>35</v>
      </c>
      <c r="X228" t="s">
        <v>29</v>
      </c>
      <c r="Y228" t="s">
        <v>29</v>
      </c>
      <c r="Z228" t="s">
        <v>37</v>
      </c>
    </row>
    <row r="229" spans="1:26">
      <c r="A229">
        <v>1.8683627905845906E+18</v>
      </c>
      <c r="B229" t="s">
        <v>1267</v>
      </c>
      <c r="C229" t="s">
        <v>1268</v>
      </c>
      <c r="D229" t="s">
        <v>1329</v>
      </c>
      <c r="E229" t="s">
        <v>1330</v>
      </c>
      <c r="F229" t="s">
        <v>1331</v>
      </c>
      <c r="G229" t="s">
        <v>1332</v>
      </c>
      <c r="H229" t="s">
        <v>1333</v>
      </c>
      <c r="I229">
        <v>5659</v>
      </c>
      <c r="J229">
        <v>3671</v>
      </c>
      <c r="K229">
        <v>42031</v>
      </c>
      <c r="L229">
        <v>2264412</v>
      </c>
      <c r="M229" t="s">
        <v>52</v>
      </c>
      <c r="N229" t="s">
        <v>1273</v>
      </c>
      <c r="O229">
        <v>17891377</v>
      </c>
      <c r="P229" t="s">
        <v>1274</v>
      </c>
      <c r="Q229">
        <v>168939</v>
      </c>
      <c r="R229" t="s">
        <v>1275</v>
      </c>
      <c r="S229">
        <v>47365</v>
      </c>
      <c r="T229" t="b">
        <v>0</v>
      </c>
      <c r="U229">
        <v>2520</v>
      </c>
      <c r="V229">
        <v>398</v>
      </c>
      <c r="W229" t="s">
        <v>35</v>
      </c>
      <c r="X229" t="s">
        <v>29</v>
      </c>
      <c r="Y229" t="s">
        <v>29</v>
      </c>
      <c r="Z229" t="s">
        <v>37</v>
      </c>
    </row>
    <row r="230" spans="1:26">
      <c r="A230">
        <v>1.8683415235549924E+18</v>
      </c>
      <c r="B230" t="s">
        <v>1280</v>
      </c>
      <c r="C230" t="s">
        <v>1281</v>
      </c>
      <c r="D230" t="s">
        <v>1334</v>
      </c>
      <c r="E230" t="s">
        <v>1335</v>
      </c>
      <c r="F230" t="s">
        <v>1336</v>
      </c>
      <c r="G230" t="s">
        <v>1337</v>
      </c>
      <c r="H230" t="s">
        <v>29</v>
      </c>
      <c r="I230">
        <v>166</v>
      </c>
      <c r="J230">
        <v>182</v>
      </c>
      <c r="K230">
        <v>2703</v>
      </c>
      <c r="L230">
        <v>250355</v>
      </c>
      <c r="M230" t="s">
        <v>52</v>
      </c>
      <c r="N230" t="s">
        <v>1286</v>
      </c>
      <c r="O230">
        <v>38438997</v>
      </c>
      <c r="P230" t="s">
        <v>1287</v>
      </c>
      <c r="Q230">
        <v>92455</v>
      </c>
      <c r="R230" t="s">
        <v>1288</v>
      </c>
      <c r="S230">
        <v>145</v>
      </c>
      <c r="T230" t="b">
        <v>0</v>
      </c>
      <c r="U230">
        <v>15</v>
      </c>
      <c r="V230">
        <v>14</v>
      </c>
      <c r="W230" t="s">
        <v>35</v>
      </c>
      <c r="X230" t="s">
        <v>29</v>
      </c>
      <c r="Y230" t="s">
        <v>29</v>
      </c>
      <c r="Z230" t="s">
        <v>37</v>
      </c>
    </row>
    <row r="231" spans="1:26">
      <c r="A231">
        <v>1.8683948513369667E+18</v>
      </c>
      <c r="B231" t="s">
        <v>1280</v>
      </c>
      <c r="C231" t="s">
        <v>1281</v>
      </c>
      <c r="D231" t="s">
        <v>1338</v>
      </c>
      <c r="E231" t="s">
        <v>1339</v>
      </c>
      <c r="F231" t="s">
        <v>29</v>
      </c>
      <c r="G231" t="s">
        <v>1340</v>
      </c>
      <c r="H231" t="s">
        <v>29</v>
      </c>
      <c r="I231">
        <v>137</v>
      </c>
      <c r="J231">
        <v>584</v>
      </c>
      <c r="K231">
        <v>7065</v>
      </c>
      <c r="L231">
        <v>201982</v>
      </c>
      <c r="M231" t="s">
        <v>1341</v>
      </c>
      <c r="N231" t="s">
        <v>1286</v>
      </c>
      <c r="O231">
        <v>38438997</v>
      </c>
      <c r="P231" t="s">
        <v>1287</v>
      </c>
      <c r="Q231">
        <v>92455</v>
      </c>
      <c r="R231" t="s">
        <v>1288</v>
      </c>
      <c r="S231">
        <v>145</v>
      </c>
      <c r="T231" t="b">
        <v>0</v>
      </c>
      <c r="U231">
        <v>24</v>
      </c>
      <c r="V231">
        <v>65</v>
      </c>
      <c r="W231" t="s">
        <v>35</v>
      </c>
      <c r="X231" t="s">
        <v>29</v>
      </c>
      <c r="Y231" t="s">
        <v>29</v>
      </c>
      <c r="Z231" t="s">
        <v>37</v>
      </c>
    </row>
    <row r="232" spans="1:26">
      <c r="A232">
        <v>1.8684310908448771E+18</v>
      </c>
      <c r="B232" t="s">
        <v>1280</v>
      </c>
      <c r="C232" t="s">
        <v>1281</v>
      </c>
      <c r="D232" t="s">
        <v>1342</v>
      </c>
      <c r="E232" t="s">
        <v>1343</v>
      </c>
      <c r="F232" t="s">
        <v>1344</v>
      </c>
      <c r="G232" t="s">
        <v>1345</v>
      </c>
      <c r="H232" t="s">
        <v>29</v>
      </c>
      <c r="I232">
        <v>218</v>
      </c>
      <c r="J232">
        <v>1981</v>
      </c>
      <c r="K232">
        <v>18668</v>
      </c>
      <c r="L232">
        <v>292571</v>
      </c>
      <c r="M232" t="s">
        <v>52</v>
      </c>
      <c r="N232" t="s">
        <v>1286</v>
      </c>
      <c r="O232">
        <v>38439078</v>
      </c>
      <c r="P232" t="s">
        <v>1287</v>
      </c>
      <c r="Q232">
        <v>92455</v>
      </c>
      <c r="R232" t="s">
        <v>1288</v>
      </c>
      <c r="S232">
        <v>145</v>
      </c>
      <c r="T232" t="b">
        <v>0</v>
      </c>
      <c r="U232">
        <v>46</v>
      </c>
      <c r="V232">
        <v>92</v>
      </c>
      <c r="W232" t="s">
        <v>35</v>
      </c>
      <c r="X232" t="s">
        <v>29</v>
      </c>
      <c r="Y232" t="s">
        <v>29</v>
      </c>
      <c r="Z232" t="s">
        <v>37</v>
      </c>
    </row>
    <row r="233" spans="1:26">
      <c r="A233">
        <v>1.8684061759154668E+18</v>
      </c>
      <c r="B233" t="s">
        <v>1280</v>
      </c>
      <c r="C233" t="s">
        <v>1281</v>
      </c>
      <c r="D233" t="s">
        <v>1346</v>
      </c>
      <c r="E233" t="s">
        <v>1347</v>
      </c>
      <c r="F233" t="s">
        <v>1348</v>
      </c>
      <c r="G233" t="s">
        <v>1349</v>
      </c>
      <c r="H233" t="s">
        <v>29</v>
      </c>
      <c r="I233">
        <v>116</v>
      </c>
      <c r="J233">
        <v>1046</v>
      </c>
      <c r="K233">
        <v>12098</v>
      </c>
      <c r="L233">
        <v>277577</v>
      </c>
      <c r="M233" t="s">
        <v>52</v>
      </c>
      <c r="N233" t="s">
        <v>1286</v>
      </c>
      <c r="O233">
        <v>38439077</v>
      </c>
      <c r="P233" t="s">
        <v>1287</v>
      </c>
      <c r="Q233">
        <v>92455</v>
      </c>
      <c r="R233" t="s">
        <v>1288</v>
      </c>
      <c r="S233">
        <v>145</v>
      </c>
      <c r="T233" t="b">
        <v>0</v>
      </c>
      <c r="U233">
        <v>37</v>
      </c>
      <c r="V233">
        <v>68</v>
      </c>
      <c r="W233" t="s">
        <v>35</v>
      </c>
      <c r="X233" t="s">
        <v>29</v>
      </c>
      <c r="Y233" t="s">
        <v>29</v>
      </c>
      <c r="Z233" t="s">
        <v>37</v>
      </c>
    </row>
    <row r="234" spans="1:26">
      <c r="A234">
        <v>1.8683607158509898E+18</v>
      </c>
      <c r="B234" t="s">
        <v>1280</v>
      </c>
      <c r="C234" t="s">
        <v>1281</v>
      </c>
      <c r="D234" t="s">
        <v>1350</v>
      </c>
      <c r="E234" t="s">
        <v>1351</v>
      </c>
      <c r="F234" t="s">
        <v>1352</v>
      </c>
      <c r="G234" t="s">
        <v>1353</v>
      </c>
      <c r="H234" t="s">
        <v>29</v>
      </c>
      <c r="I234">
        <v>202</v>
      </c>
      <c r="J234">
        <v>1098</v>
      </c>
      <c r="K234">
        <v>7146</v>
      </c>
      <c r="L234">
        <v>538119</v>
      </c>
      <c r="M234" t="s">
        <v>52</v>
      </c>
      <c r="N234" t="s">
        <v>1286</v>
      </c>
      <c r="O234">
        <v>38439080</v>
      </c>
      <c r="P234" t="s">
        <v>1287</v>
      </c>
      <c r="Q234">
        <v>92455</v>
      </c>
      <c r="R234" t="s">
        <v>1288</v>
      </c>
      <c r="S234">
        <v>145</v>
      </c>
      <c r="T234" t="b">
        <v>0</v>
      </c>
      <c r="U234">
        <v>71</v>
      </c>
      <c r="V234">
        <v>20</v>
      </c>
      <c r="W234" t="s">
        <v>35</v>
      </c>
      <c r="X234" t="s">
        <v>29</v>
      </c>
      <c r="Y234" t="s">
        <v>29</v>
      </c>
      <c r="Z234" t="s">
        <v>1354</v>
      </c>
    </row>
    <row r="235" spans="1:26">
      <c r="A235">
        <v>1.8682269963226565E+18</v>
      </c>
      <c r="B235" t="s">
        <v>1303</v>
      </c>
      <c r="C235" t="s">
        <v>1304</v>
      </c>
      <c r="D235" t="s">
        <v>1355</v>
      </c>
      <c r="E235" t="s">
        <v>1255</v>
      </c>
      <c r="F235" t="s">
        <v>1356</v>
      </c>
      <c r="G235" t="s">
        <v>1357</v>
      </c>
      <c r="H235" t="s">
        <v>1358</v>
      </c>
      <c r="I235">
        <v>5</v>
      </c>
      <c r="J235">
        <v>21</v>
      </c>
      <c r="K235">
        <v>382</v>
      </c>
      <c r="L235">
        <v>14191</v>
      </c>
      <c r="M235" t="s">
        <v>52</v>
      </c>
      <c r="N235" t="s">
        <v>1273</v>
      </c>
      <c r="O235">
        <v>240106</v>
      </c>
      <c r="P235" t="s">
        <v>1309</v>
      </c>
      <c r="Q235">
        <v>29070</v>
      </c>
      <c r="R235" t="s">
        <v>1310</v>
      </c>
      <c r="S235">
        <v>799</v>
      </c>
      <c r="T235" t="b">
        <v>0</v>
      </c>
      <c r="U235">
        <v>2</v>
      </c>
      <c r="V235">
        <v>1</v>
      </c>
      <c r="W235" t="s">
        <v>35</v>
      </c>
      <c r="X235" t="s">
        <v>29</v>
      </c>
      <c r="Y235" t="s">
        <v>29</v>
      </c>
      <c r="Z235" t="s">
        <v>37</v>
      </c>
    </row>
    <row r="236" spans="1:26">
      <c r="A236">
        <v>1.8682925287616064E+18</v>
      </c>
      <c r="B236" t="s">
        <v>1303</v>
      </c>
      <c r="C236" t="s">
        <v>1304</v>
      </c>
      <c r="D236" t="s">
        <v>1359</v>
      </c>
      <c r="E236" t="s">
        <v>1360</v>
      </c>
      <c r="F236" t="s">
        <v>1361</v>
      </c>
      <c r="G236" t="s">
        <v>1362</v>
      </c>
      <c r="H236" t="s">
        <v>29</v>
      </c>
      <c r="I236">
        <v>11</v>
      </c>
      <c r="J236">
        <v>6</v>
      </c>
      <c r="K236">
        <v>183</v>
      </c>
      <c r="L236">
        <v>17435</v>
      </c>
      <c r="M236" t="s">
        <v>52</v>
      </c>
      <c r="N236" t="s">
        <v>1273</v>
      </c>
      <c r="O236">
        <v>240106</v>
      </c>
      <c r="P236" t="s">
        <v>1309</v>
      </c>
      <c r="Q236">
        <v>29070</v>
      </c>
      <c r="R236" t="s">
        <v>1310</v>
      </c>
      <c r="S236">
        <v>799</v>
      </c>
      <c r="T236" t="b">
        <v>0</v>
      </c>
      <c r="U236">
        <v>4</v>
      </c>
      <c r="V236">
        <v>3</v>
      </c>
      <c r="W236" t="s">
        <v>35</v>
      </c>
      <c r="X236" t="s">
        <v>29</v>
      </c>
      <c r="Y236" t="s">
        <v>29</v>
      </c>
      <c r="Z236" t="s">
        <v>37</v>
      </c>
    </row>
    <row r="237" spans="1:26">
      <c r="A237">
        <v>1.868308167781974E+18</v>
      </c>
      <c r="B237" t="s">
        <v>1363</v>
      </c>
      <c r="C237" t="s">
        <v>1364</v>
      </c>
      <c r="D237" t="s">
        <v>1365</v>
      </c>
      <c r="E237" t="s">
        <v>1366</v>
      </c>
      <c r="F237" t="s">
        <v>29</v>
      </c>
      <c r="G237" t="s">
        <v>1367</v>
      </c>
      <c r="H237" t="s">
        <v>29</v>
      </c>
      <c r="I237">
        <v>22</v>
      </c>
      <c r="J237">
        <v>51</v>
      </c>
      <c r="K237">
        <v>557</v>
      </c>
      <c r="L237">
        <v>17931</v>
      </c>
      <c r="M237" t="s">
        <v>1368</v>
      </c>
      <c r="N237" t="s">
        <v>1369</v>
      </c>
      <c r="O237">
        <v>462263</v>
      </c>
      <c r="P237" t="s">
        <v>1370</v>
      </c>
      <c r="Q237">
        <v>16271</v>
      </c>
      <c r="R237" t="s">
        <v>1371</v>
      </c>
      <c r="S237">
        <v>38</v>
      </c>
      <c r="T237" t="b">
        <v>0</v>
      </c>
      <c r="U237">
        <v>6</v>
      </c>
      <c r="V237">
        <v>2</v>
      </c>
      <c r="W237" t="s">
        <v>35</v>
      </c>
      <c r="X237" t="s">
        <v>29</v>
      </c>
      <c r="Y237" t="s">
        <v>29</v>
      </c>
      <c r="Z237" t="s">
        <v>37</v>
      </c>
    </row>
    <row r="238" spans="1:26">
      <c r="A238">
        <v>1.8683037702513623E+18</v>
      </c>
      <c r="B238" t="s">
        <v>1363</v>
      </c>
      <c r="C238" t="s">
        <v>1364</v>
      </c>
      <c r="D238" t="s">
        <v>1372</v>
      </c>
      <c r="E238" t="s">
        <v>1373</v>
      </c>
      <c r="F238" t="s">
        <v>1374</v>
      </c>
      <c r="G238" t="s">
        <v>1375</v>
      </c>
      <c r="H238" t="s">
        <v>29</v>
      </c>
      <c r="I238">
        <v>20</v>
      </c>
      <c r="J238">
        <v>26</v>
      </c>
      <c r="K238">
        <v>407</v>
      </c>
      <c r="L238">
        <v>13618</v>
      </c>
      <c r="M238" t="s">
        <v>52</v>
      </c>
      <c r="N238" t="s">
        <v>1369</v>
      </c>
      <c r="O238">
        <v>462263</v>
      </c>
      <c r="P238" t="s">
        <v>1370</v>
      </c>
      <c r="Q238">
        <v>16271</v>
      </c>
      <c r="R238" t="s">
        <v>1371</v>
      </c>
      <c r="S238">
        <v>38</v>
      </c>
      <c r="T238" t="b">
        <v>0</v>
      </c>
      <c r="U238">
        <v>2</v>
      </c>
      <c r="V238">
        <v>1</v>
      </c>
      <c r="W238" t="s">
        <v>35</v>
      </c>
      <c r="X238" t="s">
        <v>29</v>
      </c>
      <c r="Y238" t="s">
        <v>29</v>
      </c>
      <c r="Z238" t="s">
        <v>37</v>
      </c>
    </row>
    <row r="239" spans="1:26">
      <c r="A239">
        <v>1.8683205890874204E+18</v>
      </c>
      <c r="B239" t="s">
        <v>628</v>
      </c>
      <c r="C239" t="s">
        <v>629</v>
      </c>
      <c r="D239" t="s">
        <v>1376</v>
      </c>
      <c r="E239" t="s">
        <v>1377</v>
      </c>
      <c r="F239" t="s">
        <v>1378</v>
      </c>
      <c r="G239" t="s">
        <v>1379</v>
      </c>
      <c r="H239" t="s">
        <v>29</v>
      </c>
      <c r="I239">
        <v>1</v>
      </c>
      <c r="J239">
        <v>1</v>
      </c>
      <c r="K239">
        <v>52</v>
      </c>
      <c r="L239">
        <v>5037</v>
      </c>
      <c r="M239" t="s">
        <v>52</v>
      </c>
      <c r="N239" t="s">
        <v>340</v>
      </c>
      <c r="O239">
        <v>66296</v>
      </c>
      <c r="P239" t="s">
        <v>634</v>
      </c>
      <c r="Q239">
        <v>23738</v>
      </c>
      <c r="R239" t="s">
        <v>635</v>
      </c>
      <c r="S239">
        <v>115</v>
      </c>
      <c r="T239" t="b">
        <v>0</v>
      </c>
      <c r="U239">
        <v>3</v>
      </c>
      <c r="V239">
        <v>2</v>
      </c>
      <c r="W239" t="s">
        <v>35</v>
      </c>
      <c r="X239" t="s">
        <v>29</v>
      </c>
      <c r="Y239" t="s">
        <v>29</v>
      </c>
      <c r="Z239" t="s">
        <v>37</v>
      </c>
    </row>
    <row r="240" spans="1:26">
      <c r="A240">
        <v>1.8683202278446205E+18</v>
      </c>
      <c r="B240" t="s">
        <v>1280</v>
      </c>
      <c r="C240" t="s">
        <v>1281</v>
      </c>
      <c r="D240" t="s">
        <v>1380</v>
      </c>
      <c r="E240" t="s">
        <v>1381</v>
      </c>
      <c r="F240" t="s">
        <v>29</v>
      </c>
      <c r="G240" t="s">
        <v>1382</v>
      </c>
      <c r="H240" t="s">
        <v>29</v>
      </c>
      <c r="I240">
        <v>126</v>
      </c>
      <c r="J240">
        <v>223</v>
      </c>
      <c r="K240">
        <v>2609</v>
      </c>
      <c r="L240">
        <v>197616</v>
      </c>
      <c r="M240" t="s">
        <v>1383</v>
      </c>
      <c r="N240" t="s">
        <v>1286</v>
      </c>
      <c r="O240">
        <v>38439078</v>
      </c>
      <c r="P240" t="s">
        <v>1287</v>
      </c>
      <c r="Q240">
        <v>92455</v>
      </c>
      <c r="R240" t="s">
        <v>1288</v>
      </c>
      <c r="S240">
        <v>145</v>
      </c>
      <c r="T240" t="b">
        <v>0</v>
      </c>
      <c r="U240">
        <v>21</v>
      </c>
      <c r="V240">
        <v>12</v>
      </c>
      <c r="W240" t="s">
        <v>35</v>
      </c>
      <c r="X240" t="s">
        <v>29</v>
      </c>
      <c r="Y240" t="s">
        <v>29</v>
      </c>
      <c r="Z240" t="s">
        <v>37</v>
      </c>
    </row>
    <row r="241" spans="1:26">
      <c r="A241">
        <v>1.8683895664968174E+18</v>
      </c>
      <c r="B241" t="s">
        <v>1280</v>
      </c>
      <c r="C241" t="s">
        <v>1281</v>
      </c>
      <c r="D241" t="s">
        <v>1384</v>
      </c>
      <c r="E241" t="s">
        <v>1385</v>
      </c>
      <c r="F241" t="s">
        <v>29</v>
      </c>
      <c r="G241" t="s">
        <v>1386</v>
      </c>
      <c r="H241" t="s">
        <v>1387</v>
      </c>
      <c r="I241">
        <v>112</v>
      </c>
      <c r="J241">
        <v>558</v>
      </c>
      <c r="K241">
        <v>5781</v>
      </c>
      <c r="L241">
        <v>200311</v>
      </c>
      <c r="M241" t="s">
        <v>52</v>
      </c>
      <c r="N241" t="s">
        <v>1286</v>
      </c>
      <c r="O241">
        <v>38439079</v>
      </c>
      <c r="P241" t="s">
        <v>1287</v>
      </c>
      <c r="Q241">
        <v>92455</v>
      </c>
      <c r="R241" t="s">
        <v>1288</v>
      </c>
      <c r="S241">
        <v>145</v>
      </c>
      <c r="T241" t="b">
        <v>0</v>
      </c>
      <c r="U241">
        <v>6</v>
      </c>
      <c r="V241">
        <v>71</v>
      </c>
      <c r="W241" t="s">
        <v>35</v>
      </c>
      <c r="X241" t="s">
        <v>29</v>
      </c>
      <c r="Y241" t="s">
        <v>29</v>
      </c>
      <c r="Z241" t="s">
        <v>37</v>
      </c>
    </row>
    <row r="242" spans="1:26">
      <c r="A242">
        <v>1.8683169056874127E+18</v>
      </c>
      <c r="B242" t="s">
        <v>1363</v>
      </c>
      <c r="C242" t="s">
        <v>1364</v>
      </c>
      <c r="D242" t="s">
        <v>1388</v>
      </c>
      <c r="E242" t="s">
        <v>1389</v>
      </c>
      <c r="F242" t="s">
        <v>1390</v>
      </c>
      <c r="G242" t="s">
        <v>1391</v>
      </c>
      <c r="H242" t="s">
        <v>1392</v>
      </c>
      <c r="I242">
        <v>3</v>
      </c>
      <c r="J242">
        <v>43</v>
      </c>
      <c r="K242">
        <v>627</v>
      </c>
      <c r="L242">
        <v>15318</v>
      </c>
      <c r="M242" t="s">
        <v>52</v>
      </c>
      <c r="N242" t="s">
        <v>1369</v>
      </c>
      <c r="O242">
        <v>462263</v>
      </c>
      <c r="P242" t="s">
        <v>1370</v>
      </c>
      <c r="Q242">
        <v>16271</v>
      </c>
      <c r="R242" t="s">
        <v>1371</v>
      </c>
      <c r="S242">
        <v>38</v>
      </c>
      <c r="T242" t="b">
        <v>0</v>
      </c>
      <c r="U242">
        <v>0</v>
      </c>
      <c r="V242">
        <v>3</v>
      </c>
      <c r="W242" t="s">
        <v>35</v>
      </c>
      <c r="X242" t="s">
        <v>29</v>
      </c>
      <c r="Y242" t="s">
        <v>29</v>
      </c>
      <c r="Z242" t="s">
        <v>37</v>
      </c>
    </row>
    <row r="243" spans="1:26">
      <c r="A243">
        <v>1.8682273333685128E+18</v>
      </c>
      <c r="B243" t="s">
        <v>1393</v>
      </c>
      <c r="C243" t="s">
        <v>1394</v>
      </c>
      <c r="D243" t="s">
        <v>1395</v>
      </c>
      <c r="E243" t="s">
        <v>1396</v>
      </c>
      <c r="F243" t="s">
        <v>29</v>
      </c>
      <c r="G243" t="s">
        <v>1397</v>
      </c>
      <c r="H243" t="s">
        <v>29</v>
      </c>
      <c r="I243">
        <v>70</v>
      </c>
      <c r="J243">
        <v>197</v>
      </c>
      <c r="K243">
        <v>2994</v>
      </c>
      <c r="L243">
        <v>139744</v>
      </c>
      <c r="M243" t="s">
        <v>1398</v>
      </c>
      <c r="N243" t="s">
        <v>1399</v>
      </c>
      <c r="O243">
        <v>24644781</v>
      </c>
      <c r="P243" t="s">
        <v>1400</v>
      </c>
      <c r="Q243">
        <v>122426</v>
      </c>
      <c r="R243" t="s">
        <v>1401</v>
      </c>
      <c r="S243">
        <v>339854</v>
      </c>
      <c r="T243" t="b">
        <v>0</v>
      </c>
      <c r="U243">
        <v>6</v>
      </c>
      <c r="V243">
        <v>11</v>
      </c>
      <c r="W243" t="s">
        <v>35</v>
      </c>
      <c r="X243" t="s">
        <v>29</v>
      </c>
      <c r="Y243" t="s">
        <v>29</v>
      </c>
      <c r="Z243" t="s">
        <v>37</v>
      </c>
    </row>
    <row r="244" spans="1:26">
      <c r="A244">
        <v>1.8682828468232648E+18</v>
      </c>
      <c r="B244" t="s">
        <v>1267</v>
      </c>
      <c r="C244" t="s">
        <v>1268</v>
      </c>
      <c r="D244" t="s">
        <v>1402</v>
      </c>
      <c r="E244" t="s">
        <v>1403</v>
      </c>
      <c r="F244" t="s">
        <v>1404</v>
      </c>
      <c r="G244" t="s">
        <v>1405</v>
      </c>
      <c r="H244" t="s">
        <v>1406</v>
      </c>
      <c r="I244">
        <v>337</v>
      </c>
      <c r="J244">
        <v>93</v>
      </c>
      <c r="K244">
        <v>959</v>
      </c>
      <c r="L244">
        <v>87366</v>
      </c>
      <c r="M244" t="s">
        <v>52</v>
      </c>
      <c r="N244" t="s">
        <v>1273</v>
      </c>
      <c r="O244">
        <v>17891377</v>
      </c>
      <c r="P244" t="s">
        <v>1274</v>
      </c>
      <c r="Q244">
        <v>168939</v>
      </c>
      <c r="R244" t="s">
        <v>1275</v>
      </c>
      <c r="S244">
        <v>47365</v>
      </c>
      <c r="T244" t="b">
        <v>0</v>
      </c>
      <c r="U244">
        <v>37</v>
      </c>
      <c r="V244">
        <v>5</v>
      </c>
      <c r="W244" t="s">
        <v>35</v>
      </c>
      <c r="X244" t="s">
        <v>29</v>
      </c>
      <c r="Y244" t="s">
        <v>29</v>
      </c>
      <c r="Z244" t="s">
        <v>37</v>
      </c>
    </row>
    <row r="245" spans="1:26">
      <c r="A245">
        <v>1.868349552853451E+18</v>
      </c>
      <c r="B245" t="s">
        <v>333</v>
      </c>
      <c r="C245" t="s">
        <v>334</v>
      </c>
      <c r="D245" t="s">
        <v>1407</v>
      </c>
      <c r="E245" t="s">
        <v>1408</v>
      </c>
      <c r="F245" t="s">
        <v>1409</v>
      </c>
      <c r="G245" t="s">
        <v>1410</v>
      </c>
      <c r="H245" t="s">
        <v>1411</v>
      </c>
      <c r="I245">
        <v>2</v>
      </c>
      <c r="J245">
        <v>11</v>
      </c>
      <c r="K245">
        <v>231</v>
      </c>
      <c r="L245">
        <v>11020</v>
      </c>
      <c r="M245" t="s">
        <v>52</v>
      </c>
      <c r="N245" t="s">
        <v>340</v>
      </c>
      <c r="O245">
        <v>337839</v>
      </c>
      <c r="P245" t="s">
        <v>341</v>
      </c>
      <c r="Q245">
        <v>57638</v>
      </c>
      <c r="R245" t="s">
        <v>342</v>
      </c>
      <c r="S245">
        <v>587</v>
      </c>
      <c r="T245" t="b">
        <v>0</v>
      </c>
      <c r="U245">
        <v>0</v>
      </c>
      <c r="V245">
        <v>3</v>
      </c>
      <c r="W245" t="s">
        <v>35</v>
      </c>
      <c r="X245" t="s">
        <v>29</v>
      </c>
      <c r="Y245" t="s">
        <v>29</v>
      </c>
      <c r="Z245" t="s">
        <v>37</v>
      </c>
    </row>
    <row r="246" spans="1:26">
      <c r="A246">
        <v>1.8683683284165105E+18</v>
      </c>
      <c r="B246" t="s">
        <v>1280</v>
      </c>
      <c r="C246" t="s">
        <v>1281</v>
      </c>
      <c r="D246" t="s">
        <v>1412</v>
      </c>
      <c r="E246" t="s">
        <v>1413</v>
      </c>
      <c r="F246" t="s">
        <v>1414</v>
      </c>
      <c r="G246" t="s">
        <v>1415</v>
      </c>
      <c r="H246" t="s">
        <v>29</v>
      </c>
      <c r="I246">
        <v>499</v>
      </c>
      <c r="J246">
        <v>5812</v>
      </c>
      <c r="K246">
        <v>48615</v>
      </c>
      <c r="L246">
        <v>788950</v>
      </c>
      <c r="M246" t="s">
        <v>52</v>
      </c>
      <c r="N246" t="s">
        <v>1286</v>
      </c>
      <c r="O246">
        <v>38438997</v>
      </c>
      <c r="P246" t="s">
        <v>1287</v>
      </c>
      <c r="Q246">
        <v>92455</v>
      </c>
      <c r="R246" t="s">
        <v>1288</v>
      </c>
      <c r="S246">
        <v>145</v>
      </c>
      <c r="T246" t="b">
        <v>0</v>
      </c>
      <c r="U246">
        <v>227</v>
      </c>
      <c r="V246">
        <v>325</v>
      </c>
      <c r="W246" t="s">
        <v>35</v>
      </c>
      <c r="X246" t="s">
        <v>29</v>
      </c>
      <c r="Y246" t="s">
        <v>29</v>
      </c>
      <c r="Z246" t="s">
        <v>37</v>
      </c>
    </row>
    <row r="247" spans="1:26">
      <c r="A247">
        <v>1.8683613848971515E+18</v>
      </c>
      <c r="B247" t="s">
        <v>1280</v>
      </c>
      <c r="C247" t="s">
        <v>1281</v>
      </c>
      <c r="D247" t="s">
        <v>1416</v>
      </c>
      <c r="E247" t="s">
        <v>1417</v>
      </c>
      <c r="F247" t="s">
        <v>1418</v>
      </c>
      <c r="G247" t="s">
        <v>1419</v>
      </c>
      <c r="H247" t="s">
        <v>29</v>
      </c>
      <c r="I247">
        <v>499</v>
      </c>
      <c r="J247">
        <v>4849</v>
      </c>
      <c r="K247">
        <v>27543</v>
      </c>
      <c r="L247">
        <v>1117331</v>
      </c>
      <c r="M247" t="s">
        <v>52</v>
      </c>
      <c r="N247" t="s">
        <v>1286</v>
      </c>
      <c r="O247">
        <v>38439079</v>
      </c>
      <c r="P247" t="s">
        <v>1287</v>
      </c>
      <c r="Q247">
        <v>92455</v>
      </c>
      <c r="R247" t="s">
        <v>1288</v>
      </c>
      <c r="S247">
        <v>145</v>
      </c>
      <c r="T247" t="b">
        <v>0</v>
      </c>
      <c r="U247">
        <v>529</v>
      </c>
      <c r="V247">
        <v>118</v>
      </c>
      <c r="W247" t="s">
        <v>35</v>
      </c>
      <c r="X247" t="s">
        <v>29</v>
      </c>
      <c r="Y247" t="s">
        <v>29</v>
      </c>
      <c r="Z247" t="s">
        <v>1420</v>
      </c>
    </row>
    <row r="248" spans="1:26">
      <c r="A248">
        <v>1.8683175932215995E+18</v>
      </c>
      <c r="B248" t="s">
        <v>1421</v>
      </c>
      <c r="C248" t="s">
        <v>1421</v>
      </c>
      <c r="D248" t="s">
        <v>1422</v>
      </c>
      <c r="E248" t="s">
        <v>1423</v>
      </c>
      <c r="F248" t="s">
        <v>1424</v>
      </c>
      <c r="G248" t="s">
        <v>1425</v>
      </c>
      <c r="H248" t="s">
        <v>29</v>
      </c>
      <c r="I248">
        <v>3</v>
      </c>
      <c r="J248">
        <v>32</v>
      </c>
      <c r="K248">
        <v>331</v>
      </c>
      <c r="L248">
        <v>17351</v>
      </c>
      <c r="M248" t="s">
        <v>1426</v>
      </c>
      <c r="N248" t="s">
        <v>1427</v>
      </c>
      <c r="O248">
        <v>498014</v>
      </c>
      <c r="P248" t="s">
        <v>1428</v>
      </c>
      <c r="Q248">
        <v>18941</v>
      </c>
      <c r="R248" t="s">
        <v>1429</v>
      </c>
      <c r="S248">
        <v>410</v>
      </c>
      <c r="T248" t="b">
        <v>0</v>
      </c>
      <c r="U248">
        <v>0</v>
      </c>
      <c r="V248">
        <v>5</v>
      </c>
      <c r="W248" t="s">
        <v>35</v>
      </c>
      <c r="X248" t="s">
        <v>29</v>
      </c>
      <c r="Y248" t="s">
        <v>29</v>
      </c>
      <c r="Z248" t="s">
        <v>37</v>
      </c>
    </row>
    <row r="249" spans="1:26">
      <c r="A249">
        <v>1.8683056414561405E+18</v>
      </c>
      <c r="B249" t="s">
        <v>1363</v>
      </c>
      <c r="C249" t="s">
        <v>1364</v>
      </c>
      <c r="D249" t="s">
        <v>1430</v>
      </c>
      <c r="E249" t="s">
        <v>1431</v>
      </c>
      <c r="F249" t="s">
        <v>1432</v>
      </c>
      <c r="G249" t="s">
        <v>1433</v>
      </c>
      <c r="H249" t="s">
        <v>1434</v>
      </c>
      <c r="I249">
        <v>14</v>
      </c>
      <c r="J249">
        <v>114</v>
      </c>
      <c r="K249">
        <v>1769</v>
      </c>
      <c r="L249">
        <v>21276</v>
      </c>
      <c r="M249" t="s">
        <v>52</v>
      </c>
      <c r="N249" t="s">
        <v>1369</v>
      </c>
      <c r="O249">
        <v>462263</v>
      </c>
      <c r="P249" t="s">
        <v>1370</v>
      </c>
      <c r="Q249">
        <v>16271</v>
      </c>
      <c r="R249" t="s">
        <v>1371</v>
      </c>
      <c r="S249">
        <v>38</v>
      </c>
      <c r="T249" t="b">
        <v>0</v>
      </c>
      <c r="U249">
        <v>5</v>
      </c>
      <c r="V249">
        <v>7</v>
      </c>
      <c r="W249" t="s">
        <v>35</v>
      </c>
      <c r="X249" t="s">
        <v>29</v>
      </c>
      <c r="Y249" t="s">
        <v>29</v>
      </c>
      <c r="Z249" t="s">
        <v>37</v>
      </c>
    </row>
    <row r="250" spans="1:26">
      <c r="A250">
        <v>1.868324029079372E+18</v>
      </c>
      <c r="B250" t="s">
        <v>1363</v>
      </c>
      <c r="C250" t="s">
        <v>1364</v>
      </c>
      <c r="D250" t="s">
        <v>1435</v>
      </c>
      <c r="E250" t="s">
        <v>1436</v>
      </c>
      <c r="F250" t="s">
        <v>29</v>
      </c>
      <c r="G250" t="s">
        <v>1437</v>
      </c>
      <c r="H250" t="s">
        <v>29</v>
      </c>
      <c r="I250">
        <v>109</v>
      </c>
      <c r="J250">
        <v>336</v>
      </c>
      <c r="K250">
        <v>2369</v>
      </c>
      <c r="L250">
        <v>171518</v>
      </c>
      <c r="M250" t="s">
        <v>1438</v>
      </c>
      <c r="N250" t="s">
        <v>1369</v>
      </c>
      <c r="O250">
        <v>462263</v>
      </c>
      <c r="P250" t="s">
        <v>1370</v>
      </c>
      <c r="Q250">
        <v>16271</v>
      </c>
      <c r="R250" t="s">
        <v>1371</v>
      </c>
      <c r="S250">
        <v>38</v>
      </c>
      <c r="T250" t="b">
        <v>0</v>
      </c>
      <c r="U250">
        <v>62</v>
      </c>
      <c r="V250">
        <v>11</v>
      </c>
      <c r="W250" t="s">
        <v>35</v>
      </c>
      <c r="X250" t="s">
        <v>29</v>
      </c>
      <c r="Y250" t="s">
        <v>29</v>
      </c>
      <c r="Z250" t="s">
        <v>37</v>
      </c>
    </row>
    <row r="251" spans="1:26">
      <c r="A251">
        <v>1.8683409971486193E+18</v>
      </c>
      <c r="B251" t="s">
        <v>1363</v>
      </c>
      <c r="C251" t="s">
        <v>1364</v>
      </c>
      <c r="D251" t="s">
        <v>1439</v>
      </c>
      <c r="E251" t="s">
        <v>1440</v>
      </c>
      <c r="F251" t="s">
        <v>29</v>
      </c>
      <c r="G251" t="s">
        <v>1441</v>
      </c>
      <c r="H251" t="s">
        <v>29</v>
      </c>
      <c r="I251">
        <v>9</v>
      </c>
      <c r="J251">
        <v>84</v>
      </c>
      <c r="K251">
        <v>987</v>
      </c>
      <c r="L251">
        <v>18011</v>
      </c>
      <c r="M251" t="s">
        <v>1442</v>
      </c>
      <c r="N251" t="s">
        <v>1369</v>
      </c>
      <c r="O251">
        <v>462263</v>
      </c>
      <c r="P251" t="s">
        <v>1370</v>
      </c>
      <c r="Q251">
        <v>16271</v>
      </c>
      <c r="R251" t="s">
        <v>1371</v>
      </c>
      <c r="S251">
        <v>38</v>
      </c>
      <c r="T251" t="b">
        <v>0</v>
      </c>
      <c r="U251">
        <v>8</v>
      </c>
      <c r="V251">
        <v>2</v>
      </c>
      <c r="W251" t="s">
        <v>35</v>
      </c>
      <c r="X251" t="s">
        <v>29</v>
      </c>
      <c r="Y251" t="s">
        <v>29</v>
      </c>
      <c r="Z251" t="s">
        <v>37</v>
      </c>
    </row>
    <row r="252" spans="1:26">
      <c r="A252">
        <v>1.8683077734250947E+18</v>
      </c>
      <c r="B252" t="s">
        <v>1363</v>
      </c>
      <c r="C252" t="s">
        <v>1364</v>
      </c>
      <c r="D252" t="s">
        <v>1443</v>
      </c>
      <c r="E252" t="s">
        <v>1444</v>
      </c>
      <c r="F252" t="s">
        <v>1445</v>
      </c>
      <c r="G252" t="s">
        <v>1446</v>
      </c>
      <c r="H252" t="s">
        <v>29</v>
      </c>
      <c r="I252">
        <v>33</v>
      </c>
      <c r="J252">
        <v>184</v>
      </c>
      <c r="K252">
        <v>2948</v>
      </c>
      <c r="L252">
        <v>39924</v>
      </c>
      <c r="M252" t="s">
        <v>52</v>
      </c>
      <c r="N252" t="s">
        <v>1369</v>
      </c>
      <c r="O252">
        <v>462263</v>
      </c>
      <c r="P252" t="s">
        <v>1370</v>
      </c>
      <c r="Q252">
        <v>16271</v>
      </c>
      <c r="R252" t="s">
        <v>1371</v>
      </c>
      <c r="S252">
        <v>38</v>
      </c>
      <c r="T252" t="b">
        <v>0</v>
      </c>
      <c r="U252">
        <v>21</v>
      </c>
      <c r="V252">
        <v>5</v>
      </c>
      <c r="W252" t="s">
        <v>35</v>
      </c>
      <c r="X252" t="s">
        <v>29</v>
      </c>
      <c r="Y252" t="s">
        <v>29</v>
      </c>
      <c r="Z252" t="s">
        <v>37</v>
      </c>
    </row>
    <row r="253" spans="1:26">
      <c r="A253">
        <v>1.8682841217613868E+18</v>
      </c>
      <c r="B253" t="s">
        <v>1447</v>
      </c>
      <c r="C253" t="s">
        <v>1448</v>
      </c>
      <c r="D253" t="s">
        <v>1449</v>
      </c>
      <c r="E253" t="s">
        <v>1306</v>
      </c>
      <c r="F253" t="s">
        <v>1450</v>
      </c>
      <c r="G253" t="s">
        <v>1451</v>
      </c>
      <c r="H253" t="s">
        <v>29</v>
      </c>
      <c r="I253">
        <v>38</v>
      </c>
      <c r="J253">
        <v>50</v>
      </c>
      <c r="K253">
        <v>1850</v>
      </c>
      <c r="L253">
        <v>70794</v>
      </c>
      <c r="M253" t="s">
        <v>52</v>
      </c>
      <c r="N253" t="s">
        <v>1452</v>
      </c>
      <c r="O253">
        <v>4240900</v>
      </c>
      <c r="P253" t="s">
        <v>1453</v>
      </c>
      <c r="Q253">
        <v>60308</v>
      </c>
      <c r="R253" t="s">
        <v>1454</v>
      </c>
      <c r="S253">
        <v>26587</v>
      </c>
      <c r="T253" t="b">
        <v>0</v>
      </c>
      <c r="U253">
        <v>6</v>
      </c>
      <c r="V253">
        <v>20</v>
      </c>
      <c r="W253" t="s">
        <v>35</v>
      </c>
      <c r="X253" t="s">
        <v>29</v>
      </c>
      <c r="Y253" t="s">
        <v>29</v>
      </c>
      <c r="Z253" t="s">
        <v>37</v>
      </c>
    </row>
    <row r="254" spans="1:26">
      <c r="A254">
        <v>1.8683434426420063E+18</v>
      </c>
      <c r="B254" t="s">
        <v>1455</v>
      </c>
      <c r="C254" t="s">
        <v>1456</v>
      </c>
      <c r="D254" t="s">
        <v>1457</v>
      </c>
      <c r="E254" t="s">
        <v>1458</v>
      </c>
      <c r="F254" t="s">
        <v>1459</v>
      </c>
      <c r="G254" t="s">
        <v>1460</v>
      </c>
      <c r="H254" t="s">
        <v>1461</v>
      </c>
      <c r="I254">
        <v>82</v>
      </c>
      <c r="J254">
        <v>156</v>
      </c>
      <c r="K254">
        <v>3265</v>
      </c>
      <c r="L254">
        <v>128756</v>
      </c>
      <c r="M254" t="s">
        <v>52</v>
      </c>
      <c r="N254" t="s">
        <v>29</v>
      </c>
      <c r="O254">
        <v>592483</v>
      </c>
      <c r="P254" t="s">
        <v>1462</v>
      </c>
      <c r="Q254">
        <v>1456</v>
      </c>
      <c r="R254" t="s">
        <v>1463</v>
      </c>
      <c r="S254">
        <v>255</v>
      </c>
      <c r="T254" t="b">
        <v>0</v>
      </c>
      <c r="U254">
        <v>26</v>
      </c>
      <c r="V254">
        <v>14</v>
      </c>
      <c r="W254" t="s">
        <v>35</v>
      </c>
      <c r="X254" t="s">
        <v>29</v>
      </c>
      <c r="Y254" t="s">
        <v>29</v>
      </c>
      <c r="Z254" t="s">
        <v>37</v>
      </c>
    </row>
    <row r="255" spans="1:26">
      <c r="A255">
        <v>1.8682572052267256E+18</v>
      </c>
      <c r="B255" t="s">
        <v>1464</v>
      </c>
      <c r="C255" t="s">
        <v>1465</v>
      </c>
      <c r="D255" t="s">
        <v>1466</v>
      </c>
      <c r="E255" t="s">
        <v>1467</v>
      </c>
      <c r="F255" t="s">
        <v>1468</v>
      </c>
      <c r="G255" t="s">
        <v>1469</v>
      </c>
      <c r="H255" t="s">
        <v>29</v>
      </c>
      <c r="I255">
        <v>5</v>
      </c>
      <c r="J255">
        <v>23</v>
      </c>
      <c r="K255">
        <v>145</v>
      </c>
      <c r="L255">
        <v>17227</v>
      </c>
      <c r="M255" t="s">
        <v>52</v>
      </c>
      <c r="N255" t="s">
        <v>1470</v>
      </c>
      <c r="O255">
        <v>60046</v>
      </c>
      <c r="P255" t="s">
        <v>1471</v>
      </c>
      <c r="Q255">
        <v>20517</v>
      </c>
      <c r="R255" t="s">
        <v>1472</v>
      </c>
      <c r="S255">
        <v>313</v>
      </c>
      <c r="T255" t="b">
        <v>0</v>
      </c>
      <c r="U255">
        <v>6</v>
      </c>
      <c r="V255">
        <v>2</v>
      </c>
      <c r="W255" t="s">
        <v>35</v>
      </c>
      <c r="X255" t="s">
        <v>29</v>
      </c>
      <c r="Y255" t="s">
        <v>29</v>
      </c>
      <c r="Z255" t="s">
        <v>37</v>
      </c>
    </row>
    <row r="256" spans="1:26">
      <c r="A256">
        <v>1.8682134057498097E+18</v>
      </c>
      <c r="B256" t="s">
        <v>1280</v>
      </c>
      <c r="C256" t="s">
        <v>1281</v>
      </c>
      <c r="D256" t="s">
        <v>1473</v>
      </c>
      <c r="E256" t="s">
        <v>1474</v>
      </c>
      <c r="F256" t="s">
        <v>29</v>
      </c>
      <c r="G256" t="s">
        <v>1475</v>
      </c>
      <c r="H256" t="s">
        <v>29</v>
      </c>
      <c r="I256">
        <v>460</v>
      </c>
      <c r="J256">
        <v>1905</v>
      </c>
      <c r="K256">
        <v>13652</v>
      </c>
      <c r="L256">
        <v>1669790</v>
      </c>
      <c r="M256" t="s">
        <v>1476</v>
      </c>
      <c r="N256" t="s">
        <v>1286</v>
      </c>
      <c r="O256">
        <v>38439072</v>
      </c>
      <c r="P256" t="s">
        <v>1287</v>
      </c>
      <c r="Q256">
        <v>92455</v>
      </c>
      <c r="R256" t="s">
        <v>1288</v>
      </c>
      <c r="S256">
        <v>145</v>
      </c>
      <c r="T256" t="b">
        <v>0</v>
      </c>
      <c r="U256">
        <v>397</v>
      </c>
      <c r="V256">
        <v>67</v>
      </c>
      <c r="W256" t="s">
        <v>35</v>
      </c>
      <c r="X256" t="s">
        <v>29</v>
      </c>
      <c r="Y256" t="s">
        <v>29</v>
      </c>
      <c r="Z256" t="s">
        <v>37</v>
      </c>
    </row>
    <row r="257" spans="1:26">
      <c r="A257">
        <v>1.8683274881177068E+18</v>
      </c>
      <c r="B257" t="s">
        <v>1280</v>
      </c>
      <c r="C257" t="s">
        <v>1281</v>
      </c>
      <c r="D257" t="s">
        <v>1477</v>
      </c>
      <c r="E257" t="s">
        <v>1478</v>
      </c>
      <c r="F257" t="s">
        <v>1479</v>
      </c>
      <c r="G257" t="s">
        <v>1480</v>
      </c>
      <c r="H257" t="s">
        <v>29</v>
      </c>
      <c r="I257">
        <v>193</v>
      </c>
      <c r="J257">
        <v>643</v>
      </c>
      <c r="K257">
        <v>7161</v>
      </c>
      <c r="L257">
        <v>277966</v>
      </c>
      <c r="M257" t="s">
        <v>52</v>
      </c>
      <c r="N257" t="s">
        <v>1286</v>
      </c>
      <c r="O257">
        <v>38439078</v>
      </c>
      <c r="P257" t="s">
        <v>1287</v>
      </c>
      <c r="Q257">
        <v>92455</v>
      </c>
      <c r="R257" t="s">
        <v>1288</v>
      </c>
      <c r="S257">
        <v>145</v>
      </c>
      <c r="T257" t="b">
        <v>0</v>
      </c>
      <c r="U257">
        <v>36</v>
      </c>
      <c r="V257">
        <v>31</v>
      </c>
      <c r="W257" t="s">
        <v>35</v>
      </c>
      <c r="X257" t="s">
        <v>29</v>
      </c>
      <c r="Y257" t="s">
        <v>29</v>
      </c>
      <c r="Z257" t="s">
        <v>37</v>
      </c>
    </row>
    <row r="258" spans="1:26">
      <c r="A258">
        <v>1.8683638081435077E+18</v>
      </c>
      <c r="B258" t="s">
        <v>1280</v>
      </c>
      <c r="C258" t="s">
        <v>1281</v>
      </c>
      <c r="D258" t="s">
        <v>1481</v>
      </c>
      <c r="E258" t="s">
        <v>1482</v>
      </c>
      <c r="F258" t="s">
        <v>1483</v>
      </c>
      <c r="G258" t="s">
        <v>1484</v>
      </c>
      <c r="H258" t="s">
        <v>29</v>
      </c>
      <c r="I258">
        <v>915</v>
      </c>
      <c r="J258">
        <v>10869</v>
      </c>
      <c r="K258">
        <v>65288</v>
      </c>
      <c r="L258">
        <v>1268628</v>
      </c>
      <c r="M258" t="s">
        <v>52</v>
      </c>
      <c r="N258" t="s">
        <v>1286</v>
      </c>
      <c r="O258">
        <v>38439077</v>
      </c>
      <c r="P258" t="s">
        <v>1287</v>
      </c>
      <c r="Q258">
        <v>92455</v>
      </c>
      <c r="R258" t="s">
        <v>1288</v>
      </c>
      <c r="S258">
        <v>145</v>
      </c>
      <c r="T258" t="b">
        <v>0</v>
      </c>
      <c r="U258">
        <v>720</v>
      </c>
      <c r="V258">
        <v>465</v>
      </c>
      <c r="W258" t="s">
        <v>35</v>
      </c>
      <c r="X258" t="s">
        <v>29</v>
      </c>
      <c r="Y258" t="s">
        <v>29</v>
      </c>
      <c r="Z258" t="s">
        <v>37</v>
      </c>
    </row>
    <row r="259" spans="1:26">
      <c r="A259">
        <v>1.8682194515370683E+18</v>
      </c>
      <c r="B259" t="s">
        <v>1303</v>
      </c>
      <c r="C259" t="s">
        <v>1304</v>
      </c>
      <c r="D259" t="s">
        <v>1485</v>
      </c>
      <c r="E259" t="s">
        <v>1486</v>
      </c>
      <c r="F259" t="s">
        <v>1487</v>
      </c>
      <c r="G259" t="s">
        <v>1488</v>
      </c>
      <c r="H259" t="s">
        <v>723</v>
      </c>
      <c r="I259">
        <v>26</v>
      </c>
      <c r="J259">
        <v>87</v>
      </c>
      <c r="K259">
        <v>791</v>
      </c>
      <c r="L259">
        <v>65628</v>
      </c>
      <c r="M259" t="s">
        <v>52</v>
      </c>
      <c r="N259" t="s">
        <v>1273</v>
      </c>
      <c r="O259">
        <v>240106</v>
      </c>
      <c r="P259" t="s">
        <v>1309</v>
      </c>
      <c r="Q259">
        <v>29070</v>
      </c>
      <c r="R259" t="s">
        <v>1310</v>
      </c>
      <c r="S259">
        <v>799</v>
      </c>
      <c r="T259" t="b">
        <v>0</v>
      </c>
      <c r="U259">
        <v>5</v>
      </c>
      <c r="V259">
        <v>16</v>
      </c>
      <c r="W259" t="s">
        <v>35</v>
      </c>
      <c r="X259" t="s">
        <v>29</v>
      </c>
      <c r="Y259" t="s">
        <v>29</v>
      </c>
      <c r="Z259" t="s">
        <v>37</v>
      </c>
    </row>
    <row r="260" spans="1:26">
      <c r="A260">
        <v>1.8682882817016712E+18</v>
      </c>
      <c r="B260" t="s">
        <v>1303</v>
      </c>
      <c r="C260" t="s">
        <v>1304</v>
      </c>
      <c r="D260" t="s">
        <v>1489</v>
      </c>
      <c r="E260" t="s">
        <v>1490</v>
      </c>
      <c r="F260" t="s">
        <v>1491</v>
      </c>
      <c r="G260" t="s">
        <v>1492</v>
      </c>
      <c r="H260" t="s">
        <v>29</v>
      </c>
      <c r="I260">
        <v>12</v>
      </c>
      <c r="J260">
        <v>8</v>
      </c>
      <c r="K260">
        <v>131</v>
      </c>
      <c r="L260">
        <v>19320</v>
      </c>
      <c r="M260" t="s">
        <v>52</v>
      </c>
      <c r="N260" t="s">
        <v>1273</v>
      </c>
      <c r="O260">
        <v>240106</v>
      </c>
      <c r="P260" t="s">
        <v>1309</v>
      </c>
      <c r="Q260">
        <v>29070</v>
      </c>
      <c r="R260" t="s">
        <v>1310</v>
      </c>
      <c r="S260">
        <v>799</v>
      </c>
      <c r="T260" t="b">
        <v>0</v>
      </c>
      <c r="U260">
        <v>8</v>
      </c>
      <c r="V260">
        <v>2</v>
      </c>
      <c r="W260" t="s">
        <v>35</v>
      </c>
      <c r="X260" t="s">
        <v>29</v>
      </c>
      <c r="Y260" t="s">
        <v>29</v>
      </c>
      <c r="Z260" t="s">
        <v>37</v>
      </c>
    </row>
    <row r="261" spans="1:26">
      <c r="A261">
        <v>1.8683557236561103E+18</v>
      </c>
      <c r="B261" t="s">
        <v>1267</v>
      </c>
      <c r="C261" t="s">
        <v>1268</v>
      </c>
      <c r="D261" t="s">
        <v>1493</v>
      </c>
      <c r="E261" t="s">
        <v>1494</v>
      </c>
      <c r="F261" t="s">
        <v>1495</v>
      </c>
      <c r="G261" t="s">
        <v>1496</v>
      </c>
      <c r="H261" t="s">
        <v>29</v>
      </c>
      <c r="I261">
        <v>80</v>
      </c>
      <c r="J261">
        <v>79</v>
      </c>
      <c r="K261">
        <v>737</v>
      </c>
      <c r="L261">
        <v>93814</v>
      </c>
      <c r="M261" t="s">
        <v>52</v>
      </c>
      <c r="N261" t="s">
        <v>1273</v>
      </c>
      <c r="O261">
        <v>17891377</v>
      </c>
      <c r="P261" t="s">
        <v>1274</v>
      </c>
      <c r="Q261">
        <v>168939</v>
      </c>
      <c r="R261" t="s">
        <v>1275</v>
      </c>
      <c r="S261">
        <v>47365</v>
      </c>
      <c r="T261" t="b">
        <v>0</v>
      </c>
      <c r="U261">
        <v>11</v>
      </c>
      <c r="V261">
        <v>5</v>
      </c>
      <c r="W261" t="s">
        <v>35</v>
      </c>
      <c r="X261" t="s">
        <v>29</v>
      </c>
      <c r="Y261" t="s">
        <v>29</v>
      </c>
      <c r="Z261" t="s">
        <v>37</v>
      </c>
    </row>
    <row r="262" spans="1:26">
      <c r="A262">
        <v>1.8682873931677821E+18</v>
      </c>
      <c r="B262" t="s">
        <v>1267</v>
      </c>
      <c r="C262" t="s">
        <v>1268</v>
      </c>
      <c r="D262" t="s">
        <v>1497</v>
      </c>
      <c r="E262" t="s">
        <v>969</v>
      </c>
      <c r="F262" t="s">
        <v>1498</v>
      </c>
      <c r="G262" t="s">
        <v>1499</v>
      </c>
      <c r="H262" t="s">
        <v>1358</v>
      </c>
      <c r="I262">
        <v>129</v>
      </c>
      <c r="J262">
        <v>322</v>
      </c>
      <c r="K262">
        <v>4475</v>
      </c>
      <c r="L262">
        <v>219157</v>
      </c>
      <c r="M262" t="s">
        <v>52</v>
      </c>
      <c r="N262" t="s">
        <v>1273</v>
      </c>
      <c r="O262">
        <v>17891377</v>
      </c>
      <c r="P262" t="s">
        <v>1274</v>
      </c>
      <c r="Q262">
        <v>168939</v>
      </c>
      <c r="R262" t="s">
        <v>1275</v>
      </c>
      <c r="S262">
        <v>47365</v>
      </c>
      <c r="T262" t="b">
        <v>0</v>
      </c>
      <c r="U262">
        <v>42</v>
      </c>
      <c r="V262">
        <v>14</v>
      </c>
      <c r="W262" t="s">
        <v>35</v>
      </c>
      <c r="X262" t="s">
        <v>29</v>
      </c>
      <c r="Y262" t="s">
        <v>29</v>
      </c>
      <c r="Z262" t="s">
        <v>37</v>
      </c>
    </row>
    <row r="263" spans="1:26">
      <c r="A263">
        <v>1.8683468220976092E+18</v>
      </c>
      <c r="B263" t="s">
        <v>1267</v>
      </c>
      <c r="C263" t="s">
        <v>1268</v>
      </c>
      <c r="D263" t="s">
        <v>1500</v>
      </c>
      <c r="E263" t="s">
        <v>1501</v>
      </c>
      <c r="F263" t="s">
        <v>1502</v>
      </c>
      <c r="G263" t="s">
        <v>1503</v>
      </c>
      <c r="H263" t="s">
        <v>29</v>
      </c>
      <c r="I263">
        <v>157</v>
      </c>
      <c r="J263">
        <v>409</v>
      </c>
      <c r="K263">
        <v>4428</v>
      </c>
      <c r="L263">
        <v>263467</v>
      </c>
      <c r="M263" t="s">
        <v>52</v>
      </c>
      <c r="N263" t="s">
        <v>1273</v>
      </c>
      <c r="O263">
        <v>17891377</v>
      </c>
      <c r="P263" t="s">
        <v>1274</v>
      </c>
      <c r="Q263">
        <v>168939</v>
      </c>
      <c r="R263" t="s">
        <v>1275</v>
      </c>
      <c r="S263">
        <v>47365</v>
      </c>
      <c r="T263" t="b">
        <v>0</v>
      </c>
      <c r="U263">
        <v>41</v>
      </c>
      <c r="V263">
        <v>35</v>
      </c>
      <c r="W263" t="s">
        <v>35</v>
      </c>
      <c r="X263" t="s">
        <v>29</v>
      </c>
      <c r="Y263" t="s">
        <v>29</v>
      </c>
      <c r="Z263" t="s">
        <v>37</v>
      </c>
    </row>
    <row r="264" spans="1:26">
      <c r="A264">
        <v>1.8683668948831155E+18</v>
      </c>
      <c r="B264" t="s">
        <v>1280</v>
      </c>
      <c r="C264" t="s">
        <v>1281</v>
      </c>
      <c r="D264" t="s">
        <v>1504</v>
      </c>
      <c r="E264" t="s">
        <v>1505</v>
      </c>
      <c r="F264" t="s">
        <v>1506</v>
      </c>
      <c r="G264" t="s">
        <v>1507</v>
      </c>
      <c r="H264" t="s">
        <v>29</v>
      </c>
      <c r="I264">
        <v>288</v>
      </c>
      <c r="J264">
        <v>3484</v>
      </c>
      <c r="K264">
        <v>28062</v>
      </c>
      <c r="L264">
        <v>577299</v>
      </c>
      <c r="M264" t="s">
        <v>52</v>
      </c>
      <c r="N264" t="s">
        <v>1286</v>
      </c>
      <c r="O264">
        <v>38439072</v>
      </c>
      <c r="P264" t="s">
        <v>1287</v>
      </c>
      <c r="Q264">
        <v>92455</v>
      </c>
      <c r="R264" t="s">
        <v>1288</v>
      </c>
      <c r="S264">
        <v>145</v>
      </c>
      <c r="T264" t="b">
        <v>0</v>
      </c>
      <c r="U264">
        <v>114</v>
      </c>
      <c r="V264">
        <v>186</v>
      </c>
      <c r="W264" t="s">
        <v>35</v>
      </c>
      <c r="X264" t="s">
        <v>29</v>
      </c>
      <c r="Y264" t="s">
        <v>29</v>
      </c>
      <c r="Z264" t="s">
        <v>37</v>
      </c>
    </row>
    <row r="265" spans="1:26">
      <c r="A265">
        <v>1.868390573041685E+18</v>
      </c>
      <c r="B265" t="s">
        <v>1393</v>
      </c>
      <c r="C265" t="s">
        <v>1394</v>
      </c>
      <c r="D265" t="s">
        <v>1508</v>
      </c>
      <c r="E265" t="s">
        <v>1509</v>
      </c>
      <c r="F265" t="s">
        <v>1510</v>
      </c>
      <c r="G265" t="s">
        <v>1511</v>
      </c>
      <c r="H265" t="s">
        <v>1512</v>
      </c>
      <c r="I265">
        <v>106</v>
      </c>
      <c r="J265">
        <v>588</v>
      </c>
      <c r="K265">
        <v>8035</v>
      </c>
      <c r="L265">
        <v>208486</v>
      </c>
      <c r="M265" t="s">
        <v>52</v>
      </c>
      <c r="N265" t="s">
        <v>29</v>
      </c>
      <c r="O265">
        <v>24644781</v>
      </c>
      <c r="P265" t="s">
        <v>1400</v>
      </c>
      <c r="Q265">
        <v>122426</v>
      </c>
      <c r="R265" t="s">
        <v>1401</v>
      </c>
      <c r="S265">
        <v>339854</v>
      </c>
      <c r="T265" t="b">
        <v>0</v>
      </c>
      <c r="U265">
        <v>43</v>
      </c>
      <c r="V265">
        <v>26</v>
      </c>
      <c r="W265" t="s">
        <v>35</v>
      </c>
      <c r="X265" t="s">
        <v>29</v>
      </c>
      <c r="Y265" t="s">
        <v>29</v>
      </c>
      <c r="Z265" t="s">
        <v>37</v>
      </c>
    </row>
    <row r="266" spans="1:26">
      <c r="A266">
        <v>1.8682841216693207E+18</v>
      </c>
      <c r="B266" t="s">
        <v>1280</v>
      </c>
      <c r="C266" t="s">
        <v>1281</v>
      </c>
      <c r="D266" t="s">
        <v>1513</v>
      </c>
      <c r="E266" t="s">
        <v>1306</v>
      </c>
      <c r="F266" t="s">
        <v>29</v>
      </c>
      <c r="G266" t="s">
        <v>1514</v>
      </c>
      <c r="H266" t="s">
        <v>29</v>
      </c>
      <c r="I266">
        <v>99</v>
      </c>
      <c r="J266">
        <v>106</v>
      </c>
      <c r="K266">
        <v>1124</v>
      </c>
      <c r="L266">
        <v>172199</v>
      </c>
      <c r="M266" t="s">
        <v>1515</v>
      </c>
      <c r="N266" t="s">
        <v>1516</v>
      </c>
      <c r="O266">
        <v>38439078</v>
      </c>
      <c r="P266" t="s">
        <v>1287</v>
      </c>
      <c r="Q266">
        <v>92455</v>
      </c>
      <c r="R266" t="s">
        <v>1288</v>
      </c>
      <c r="S266">
        <v>145</v>
      </c>
      <c r="T266" t="b">
        <v>0</v>
      </c>
      <c r="U266">
        <v>2</v>
      </c>
      <c r="V266">
        <v>7</v>
      </c>
      <c r="W266" t="s">
        <v>35</v>
      </c>
      <c r="X266" t="s">
        <v>29</v>
      </c>
      <c r="Y266" t="s">
        <v>29</v>
      </c>
      <c r="Z266" t="s">
        <v>37</v>
      </c>
    </row>
    <row r="267" spans="1:26">
      <c r="A267">
        <v>1.8682849232718523E+18</v>
      </c>
      <c r="B267" t="s">
        <v>333</v>
      </c>
      <c r="C267" t="s">
        <v>334</v>
      </c>
      <c r="D267" t="s">
        <v>1517</v>
      </c>
      <c r="E267" t="s">
        <v>1518</v>
      </c>
      <c r="F267" t="s">
        <v>1519</v>
      </c>
      <c r="G267" t="s">
        <v>1520</v>
      </c>
      <c r="H267" t="s">
        <v>29</v>
      </c>
      <c r="I267">
        <v>4</v>
      </c>
      <c r="J267">
        <v>5</v>
      </c>
      <c r="K267">
        <v>91</v>
      </c>
      <c r="L267">
        <v>11451</v>
      </c>
      <c r="M267" t="s">
        <v>52</v>
      </c>
      <c r="N267" t="s">
        <v>340</v>
      </c>
      <c r="O267">
        <v>337839</v>
      </c>
      <c r="P267" t="s">
        <v>341</v>
      </c>
      <c r="Q267">
        <v>57638</v>
      </c>
      <c r="R267" t="s">
        <v>342</v>
      </c>
      <c r="S267">
        <v>587</v>
      </c>
      <c r="T267" t="b">
        <v>0</v>
      </c>
      <c r="U267">
        <v>6</v>
      </c>
      <c r="V267">
        <v>3</v>
      </c>
      <c r="W267" t="s">
        <v>1521</v>
      </c>
      <c r="X267" t="s">
        <v>29</v>
      </c>
      <c r="Y267" t="s">
        <v>29</v>
      </c>
      <c r="Z267" t="s">
        <v>37</v>
      </c>
    </row>
    <row r="268" spans="1:26">
      <c r="A268">
        <v>1.8683156954964833E+18</v>
      </c>
      <c r="B268" t="s">
        <v>1280</v>
      </c>
      <c r="C268" t="s">
        <v>1281</v>
      </c>
      <c r="D268" t="s">
        <v>1522</v>
      </c>
      <c r="E268" t="s">
        <v>1523</v>
      </c>
      <c r="F268" t="s">
        <v>29</v>
      </c>
      <c r="G268" t="s">
        <v>1524</v>
      </c>
      <c r="H268" t="s">
        <v>29</v>
      </c>
      <c r="I268">
        <v>111</v>
      </c>
      <c r="J268">
        <v>176</v>
      </c>
      <c r="K268">
        <v>2396</v>
      </c>
      <c r="L268">
        <v>196989</v>
      </c>
      <c r="M268" t="s">
        <v>1525</v>
      </c>
      <c r="N268" t="s">
        <v>1286</v>
      </c>
      <c r="O268">
        <v>38439072</v>
      </c>
      <c r="P268" t="s">
        <v>1287</v>
      </c>
      <c r="Q268">
        <v>92455</v>
      </c>
      <c r="R268" t="s">
        <v>1288</v>
      </c>
      <c r="S268">
        <v>145</v>
      </c>
      <c r="T268" t="b">
        <v>0</v>
      </c>
      <c r="U268">
        <v>2</v>
      </c>
      <c r="V268">
        <v>10</v>
      </c>
      <c r="W268" t="s">
        <v>35</v>
      </c>
      <c r="X268" t="s">
        <v>29</v>
      </c>
      <c r="Y268" t="s">
        <v>29</v>
      </c>
      <c r="Z268" t="s">
        <v>37</v>
      </c>
    </row>
    <row r="269" spans="1:26">
      <c r="A269">
        <v>1.8683008663457224E+18</v>
      </c>
      <c r="B269" t="s">
        <v>333</v>
      </c>
      <c r="C269" t="s">
        <v>334</v>
      </c>
      <c r="D269" t="s">
        <v>1526</v>
      </c>
      <c r="E269" t="s">
        <v>1527</v>
      </c>
      <c r="F269" t="s">
        <v>1528</v>
      </c>
      <c r="G269" t="s">
        <v>1529</v>
      </c>
      <c r="H269" t="s">
        <v>1411</v>
      </c>
      <c r="I269">
        <v>13</v>
      </c>
      <c r="J269">
        <v>17</v>
      </c>
      <c r="K269">
        <v>139</v>
      </c>
      <c r="L269">
        <v>10662</v>
      </c>
      <c r="M269" t="s">
        <v>52</v>
      </c>
      <c r="N269" t="s">
        <v>340</v>
      </c>
      <c r="O269">
        <v>337839</v>
      </c>
      <c r="P269" t="s">
        <v>341</v>
      </c>
      <c r="Q269">
        <v>57638</v>
      </c>
      <c r="R269" t="s">
        <v>342</v>
      </c>
      <c r="S269">
        <v>587</v>
      </c>
      <c r="T269" t="b">
        <v>0</v>
      </c>
      <c r="U269">
        <v>32</v>
      </c>
      <c r="V269">
        <v>2</v>
      </c>
      <c r="W269" t="s">
        <v>1530</v>
      </c>
      <c r="X269" t="s">
        <v>29</v>
      </c>
      <c r="Y269" t="s">
        <v>29</v>
      </c>
      <c r="Z269" t="s">
        <v>37</v>
      </c>
    </row>
    <row r="270" spans="1:26">
      <c r="A270">
        <v>1.868349959931892E+18</v>
      </c>
      <c r="B270" t="s">
        <v>1280</v>
      </c>
      <c r="C270" t="s">
        <v>1281</v>
      </c>
      <c r="D270" t="s">
        <v>1531</v>
      </c>
      <c r="E270" t="s">
        <v>1532</v>
      </c>
      <c r="F270" t="s">
        <v>29</v>
      </c>
      <c r="G270" t="s">
        <v>1533</v>
      </c>
      <c r="H270" t="s">
        <v>29</v>
      </c>
      <c r="I270">
        <v>179</v>
      </c>
      <c r="J270">
        <v>148</v>
      </c>
      <c r="K270">
        <v>1277</v>
      </c>
      <c r="L270">
        <v>194196</v>
      </c>
      <c r="M270" t="s">
        <v>1302</v>
      </c>
      <c r="N270" t="s">
        <v>1286</v>
      </c>
      <c r="O270">
        <v>38439078</v>
      </c>
      <c r="P270" t="s">
        <v>1287</v>
      </c>
      <c r="Q270">
        <v>92455</v>
      </c>
      <c r="R270" t="s">
        <v>1288</v>
      </c>
      <c r="S270">
        <v>145</v>
      </c>
      <c r="T270" t="b">
        <v>0</v>
      </c>
      <c r="U270">
        <v>12</v>
      </c>
      <c r="V270">
        <v>9</v>
      </c>
      <c r="W270" t="s">
        <v>35</v>
      </c>
      <c r="X270" t="s">
        <v>29</v>
      </c>
      <c r="Y270" t="s">
        <v>29</v>
      </c>
      <c r="Z270" t="s">
        <v>37</v>
      </c>
    </row>
    <row r="271" spans="1:26">
      <c r="A271">
        <v>1.8683759412418483E+18</v>
      </c>
      <c r="B271" t="s">
        <v>1280</v>
      </c>
      <c r="C271" t="s">
        <v>1281</v>
      </c>
      <c r="D271" t="s">
        <v>1534</v>
      </c>
      <c r="E271" t="s">
        <v>1535</v>
      </c>
      <c r="F271" t="s">
        <v>1536</v>
      </c>
      <c r="G271" t="s">
        <v>1537</v>
      </c>
      <c r="H271" t="s">
        <v>29</v>
      </c>
      <c r="I271">
        <v>274</v>
      </c>
      <c r="J271">
        <v>2496</v>
      </c>
      <c r="K271">
        <v>17768</v>
      </c>
      <c r="L271">
        <v>354623</v>
      </c>
      <c r="M271" t="s">
        <v>52</v>
      </c>
      <c r="N271" t="s">
        <v>1286</v>
      </c>
      <c r="O271">
        <v>38439079</v>
      </c>
      <c r="P271" t="s">
        <v>1287</v>
      </c>
      <c r="Q271">
        <v>92455</v>
      </c>
      <c r="R271" t="s">
        <v>1288</v>
      </c>
      <c r="S271">
        <v>145</v>
      </c>
      <c r="T271" t="b">
        <v>0</v>
      </c>
      <c r="U271">
        <v>60</v>
      </c>
      <c r="V271">
        <v>120</v>
      </c>
      <c r="W271" t="s">
        <v>35</v>
      </c>
      <c r="X271" t="s">
        <v>29</v>
      </c>
      <c r="Y271" t="s">
        <v>29</v>
      </c>
      <c r="Z271" t="s">
        <v>37</v>
      </c>
    </row>
    <row r="272" spans="1:26">
      <c r="A272">
        <v>1.8683857919252687E+18</v>
      </c>
      <c r="B272" t="s">
        <v>1280</v>
      </c>
      <c r="C272" t="s">
        <v>1281</v>
      </c>
      <c r="D272" t="s">
        <v>1538</v>
      </c>
      <c r="E272" t="s">
        <v>1539</v>
      </c>
      <c r="F272" t="s">
        <v>1540</v>
      </c>
      <c r="G272" t="s">
        <v>1541</v>
      </c>
      <c r="H272" t="s">
        <v>29</v>
      </c>
      <c r="I272">
        <v>148</v>
      </c>
      <c r="J272">
        <v>980</v>
      </c>
      <c r="K272">
        <v>10007</v>
      </c>
      <c r="L272">
        <v>238145</v>
      </c>
      <c r="M272" t="s">
        <v>52</v>
      </c>
      <c r="N272" t="s">
        <v>1286</v>
      </c>
      <c r="O272">
        <v>38439078</v>
      </c>
      <c r="P272" t="s">
        <v>1287</v>
      </c>
      <c r="Q272">
        <v>92455</v>
      </c>
      <c r="R272" t="s">
        <v>1288</v>
      </c>
      <c r="S272">
        <v>145</v>
      </c>
      <c r="T272" t="b">
        <v>0</v>
      </c>
      <c r="U272">
        <v>13</v>
      </c>
      <c r="V272">
        <v>47</v>
      </c>
      <c r="W272" t="s">
        <v>35</v>
      </c>
      <c r="X272" t="s">
        <v>29</v>
      </c>
      <c r="Y272" t="s">
        <v>29</v>
      </c>
      <c r="Z272" t="s">
        <v>37</v>
      </c>
    </row>
    <row r="273" spans="1:26">
      <c r="A273">
        <v>1.8683007441700129E+18</v>
      </c>
      <c r="B273" t="s">
        <v>1303</v>
      </c>
      <c r="C273" t="s">
        <v>1304</v>
      </c>
      <c r="D273" t="s">
        <v>1542</v>
      </c>
      <c r="E273" t="s">
        <v>1543</v>
      </c>
      <c r="F273" t="s">
        <v>1544</v>
      </c>
      <c r="G273" t="s">
        <v>1545</v>
      </c>
      <c r="H273" t="s">
        <v>1333</v>
      </c>
      <c r="I273">
        <v>93</v>
      </c>
      <c r="J273">
        <v>69</v>
      </c>
      <c r="K273">
        <v>832</v>
      </c>
      <c r="L273">
        <v>85620</v>
      </c>
      <c r="M273" t="s">
        <v>52</v>
      </c>
      <c r="N273" t="s">
        <v>1273</v>
      </c>
      <c r="O273">
        <v>240106</v>
      </c>
      <c r="P273" t="s">
        <v>1309</v>
      </c>
      <c r="Q273">
        <v>29070</v>
      </c>
      <c r="R273" t="s">
        <v>1310</v>
      </c>
      <c r="S273">
        <v>799</v>
      </c>
      <c r="T273" t="b">
        <v>0</v>
      </c>
      <c r="U273">
        <v>141</v>
      </c>
      <c r="V273">
        <v>12</v>
      </c>
      <c r="W273" t="s">
        <v>35</v>
      </c>
      <c r="X273" t="s">
        <v>29</v>
      </c>
      <c r="Y273" t="s">
        <v>29</v>
      </c>
      <c r="Z273" t="s">
        <v>37</v>
      </c>
    </row>
    <row r="274" spans="1:26">
      <c r="A274">
        <v>1.8683618304075284E+18</v>
      </c>
      <c r="B274" t="s">
        <v>1280</v>
      </c>
      <c r="C274" t="s">
        <v>1281</v>
      </c>
      <c r="D274" t="s">
        <v>1546</v>
      </c>
      <c r="E274" t="s">
        <v>1547</v>
      </c>
      <c r="F274" t="s">
        <v>1548</v>
      </c>
      <c r="G274" t="s">
        <v>1549</v>
      </c>
      <c r="H274" t="s">
        <v>1387</v>
      </c>
      <c r="I274">
        <v>122</v>
      </c>
      <c r="J274">
        <v>395</v>
      </c>
      <c r="K274">
        <v>5538</v>
      </c>
      <c r="L274">
        <v>298665</v>
      </c>
      <c r="M274" t="s">
        <v>52</v>
      </c>
      <c r="N274" t="s">
        <v>1286</v>
      </c>
      <c r="O274">
        <v>38439077</v>
      </c>
      <c r="P274" t="s">
        <v>1287</v>
      </c>
      <c r="Q274">
        <v>92455</v>
      </c>
      <c r="R274" t="s">
        <v>1288</v>
      </c>
      <c r="S274">
        <v>145</v>
      </c>
      <c r="T274" t="b">
        <v>0</v>
      </c>
      <c r="U274">
        <v>13</v>
      </c>
      <c r="V274">
        <v>17</v>
      </c>
      <c r="W274" t="s">
        <v>35</v>
      </c>
      <c r="X274" t="s">
        <v>29</v>
      </c>
      <c r="Y274" t="s">
        <v>29</v>
      </c>
      <c r="Z274" t="s">
        <v>37</v>
      </c>
    </row>
    <row r="275" spans="1:26">
      <c r="A275">
        <v>1.8683427308769531E+18</v>
      </c>
      <c r="B275" t="s">
        <v>1267</v>
      </c>
      <c r="C275" t="s">
        <v>1268</v>
      </c>
      <c r="D275" t="s">
        <v>1550</v>
      </c>
      <c r="E275" t="s">
        <v>1551</v>
      </c>
      <c r="F275" t="s">
        <v>29</v>
      </c>
      <c r="G275" t="s">
        <v>1552</v>
      </c>
      <c r="H275" t="s">
        <v>1553</v>
      </c>
      <c r="I275">
        <v>92</v>
      </c>
      <c r="J275">
        <v>154</v>
      </c>
      <c r="K275">
        <v>1264</v>
      </c>
      <c r="L275">
        <v>269617</v>
      </c>
      <c r="M275" t="s">
        <v>52</v>
      </c>
      <c r="N275" t="s">
        <v>1273</v>
      </c>
      <c r="O275">
        <v>17891381</v>
      </c>
      <c r="P275" t="s">
        <v>1274</v>
      </c>
      <c r="Q275">
        <v>168939</v>
      </c>
      <c r="R275" t="s">
        <v>1275</v>
      </c>
      <c r="S275">
        <v>47365</v>
      </c>
      <c r="T275" t="b">
        <v>0</v>
      </c>
      <c r="U275">
        <v>10</v>
      </c>
      <c r="V275">
        <v>8</v>
      </c>
      <c r="W275" t="s">
        <v>35</v>
      </c>
      <c r="X275" t="s">
        <v>29</v>
      </c>
      <c r="Y275" t="s">
        <v>29</v>
      </c>
      <c r="Z275" t="s">
        <v>1554</v>
      </c>
    </row>
    <row r="276" spans="1:26">
      <c r="A276">
        <v>1.868373711880852E+18</v>
      </c>
      <c r="B276" t="s">
        <v>1363</v>
      </c>
      <c r="C276" t="s">
        <v>1364</v>
      </c>
      <c r="D276" t="s">
        <v>1555</v>
      </c>
      <c r="E276" t="s">
        <v>1556</v>
      </c>
      <c r="F276" t="s">
        <v>1557</v>
      </c>
      <c r="G276" t="s">
        <v>1558</v>
      </c>
      <c r="H276" t="s">
        <v>29</v>
      </c>
      <c r="I276">
        <v>14</v>
      </c>
      <c r="J276">
        <v>166</v>
      </c>
      <c r="K276">
        <v>1931</v>
      </c>
      <c r="L276">
        <v>22543</v>
      </c>
      <c r="M276" t="s">
        <v>52</v>
      </c>
      <c r="N276" t="s">
        <v>1369</v>
      </c>
      <c r="O276">
        <v>462263</v>
      </c>
      <c r="P276" t="s">
        <v>1370</v>
      </c>
      <c r="Q276">
        <v>16271</v>
      </c>
      <c r="R276" t="s">
        <v>1371</v>
      </c>
      <c r="S276">
        <v>38</v>
      </c>
      <c r="T276" t="b">
        <v>0</v>
      </c>
      <c r="U276">
        <v>7</v>
      </c>
      <c r="V276">
        <v>4</v>
      </c>
      <c r="W276" t="s">
        <v>35</v>
      </c>
      <c r="X276" t="s">
        <v>29</v>
      </c>
      <c r="Y276" t="s">
        <v>29</v>
      </c>
      <c r="Z276" t="s">
        <v>37</v>
      </c>
    </row>
    <row r="277" spans="1:26">
      <c r="A277">
        <v>1.8682393267249482E+18</v>
      </c>
      <c r="B277" t="s">
        <v>1280</v>
      </c>
      <c r="C277" t="s">
        <v>1281</v>
      </c>
      <c r="D277" t="s">
        <v>1559</v>
      </c>
      <c r="E277" t="s">
        <v>1560</v>
      </c>
      <c r="F277" t="s">
        <v>1561</v>
      </c>
      <c r="G277" t="s">
        <v>1562</v>
      </c>
      <c r="H277" t="s">
        <v>29</v>
      </c>
      <c r="I277">
        <v>170</v>
      </c>
      <c r="J277">
        <v>565</v>
      </c>
      <c r="K277">
        <v>6022</v>
      </c>
      <c r="L277">
        <v>246036</v>
      </c>
      <c r="M277" t="s">
        <v>52</v>
      </c>
      <c r="N277" t="s">
        <v>1286</v>
      </c>
      <c r="O277">
        <v>38439094</v>
      </c>
      <c r="P277" t="s">
        <v>1287</v>
      </c>
      <c r="Q277">
        <v>92455</v>
      </c>
      <c r="R277" t="s">
        <v>1288</v>
      </c>
      <c r="S277">
        <v>145</v>
      </c>
      <c r="T277" t="b">
        <v>0</v>
      </c>
      <c r="U277">
        <v>21</v>
      </c>
      <c r="V277">
        <v>20</v>
      </c>
      <c r="W277" t="s">
        <v>35</v>
      </c>
      <c r="X277" t="s">
        <v>29</v>
      </c>
      <c r="Y277" t="s">
        <v>29</v>
      </c>
      <c r="Z277" t="s">
        <v>37</v>
      </c>
    </row>
    <row r="278" spans="1:26">
      <c r="A278">
        <v>1.8683046570908306E+18</v>
      </c>
      <c r="B278" t="s">
        <v>1258</v>
      </c>
      <c r="C278" t="s">
        <v>1259</v>
      </c>
      <c r="D278" t="s">
        <v>1563</v>
      </c>
      <c r="E278" t="s">
        <v>1564</v>
      </c>
      <c r="F278" t="s">
        <v>1565</v>
      </c>
      <c r="G278" t="s">
        <v>1566</v>
      </c>
      <c r="H278" t="s">
        <v>29</v>
      </c>
      <c r="I278">
        <v>43</v>
      </c>
      <c r="J278">
        <v>326</v>
      </c>
      <c r="K278">
        <v>5101</v>
      </c>
      <c r="L278">
        <v>44602</v>
      </c>
      <c r="M278" t="s">
        <v>52</v>
      </c>
      <c r="N278" t="s">
        <v>1567</v>
      </c>
      <c r="O278">
        <v>1033751</v>
      </c>
      <c r="P278" t="s">
        <v>1265</v>
      </c>
      <c r="Q278">
        <v>37993</v>
      </c>
      <c r="R278" t="s">
        <v>1266</v>
      </c>
      <c r="S278">
        <v>127</v>
      </c>
      <c r="T278" t="b">
        <v>0</v>
      </c>
      <c r="U278">
        <v>16</v>
      </c>
      <c r="V278">
        <v>7</v>
      </c>
      <c r="W278" t="s">
        <v>35</v>
      </c>
      <c r="X278" t="s">
        <v>29</v>
      </c>
      <c r="Y278" t="s">
        <v>29</v>
      </c>
      <c r="Z278" t="s">
        <v>37</v>
      </c>
    </row>
    <row r="279" spans="1:26">
      <c r="A279">
        <v>1.8682949474531738E+18</v>
      </c>
      <c r="B279" t="s">
        <v>1267</v>
      </c>
      <c r="C279" t="s">
        <v>1268</v>
      </c>
      <c r="D279" t="s">
        <v>1568</v>
      </c>
      <c r="E279" t="s">
        <v>1155</v>
      </c>
      <c r="F279" t="s">
        <v>1569</v>
      </c>
      <c r="G279" t="s">
        <v>1570</v>
      </c>
      <c r="H279" t="s">
        <v>1323</v>
      </c>
      <c r="I279">
        <v>161</v>
      </c>
      <c r="J279">
        <v>99</v>
      </c>
      <c r="K279">
        <v>1024</v>
      </c>
      <c r="L279">
        <v>97263</v>
      </c>
      <c r="M279" t="s">
        <v>52</v>
      </c>
      <c r="N279" t="s">
        <v>1273</v>
      </c>
      <c r="O279">
        <v>17891377</v>
      </c>
      <c r="P279" t="s">
        <v>1274</v>
      </c>
      <c r="Q279">
        <v>168939</v>
      </c>
      <c r="R279" t="s">
        <v>1275</v>
      </c>
      <c r="S279">
        <v>47365</v>
      </c>
      <c r="T279" t="b">
        <v>0</v>
      </c>
      <c r="U279">
        <v>6</v>
      </c>
      <c r="V279">
        <v>6</v>
      </c>
      <c r="W279" t="s">
        <v>35</v>
      </c>
      <c r="X279" t="s">
        <v>29</v>
      </c>
      <c r="Y279" t="s">
        <v>29</v>
      </c>
      <c r="Z279" t="s">
        <v>37</v>
      </c>
    </row>
    <row r="280" spans="1:26">
      <c r="A280">
        <v>1.8683517060919869E+18</v>
      </c>
      <c r="B280" t="s">
        <v>1267</v>
      </c>
      <c r="C280" t="s">
        <v>1268</v>
      </c>
      <c r="D280" t="s">
        <v>1571</v>
      </c>
      <c r="E280" t="s">
        <v>1572</v>
      </c>
      <c r="F280" t="s">
        <v>1573</v>
      </c>
      <c r="G280" t="s">
        <v>1574</v>
      </c>
      <c r="H280" t="s">
        <v>29</v>
      </c>
      <c r="I280">
        <v>76</v>
      </c>
      <c r="J280">
        <v>112</v>
      </c>
      <c r="K280">
        <v>1471</v>
      </c>
      <c r="L280">
        <v>95393</v>
      </c>
      <c r="M280" t="s">
        <v>52</v>
      </c>
      <c r="N280" t="s">
        <v>1273</v>
      </c>
      <c r="O280">
        <v>17891301</v>
      </c>
      <c r="P280" t="s">
        <v>1274</v>
      </c>
      <c r="Q280">
        <v>168939</v>
      </c>
      <c r="R280" t="s">
        <v>1275</v>
      </c>
      <c r="S280">
        <v>47365</v>
      </c>
      <c r="T280" t="b">
        <v>0</v>
      </c>
      <c r="U280">
        <v>7</v>
      </c>
      <c r="V280">
        <v>13</v>
      </c>
      <c r="W280" t="s">
        <v>35</v>
      </c>
      <c r="X280" t="s">
        <v>29</v>
      </c>
      <c r="Y280" t="s">
        <v>29</v>
      </c>
      <c r="Z280" t="s">
        <v>37</v>
      </c>
    </row>
    <row r="281" spans="1:26">
      <c r="A281">
        <v>1.868362781205889E+18</v>
      </c>
      <c r="B281" t="s">
        <v>1280</v>
      </c>
      <c r="C281" t="s">
        <v>1281</v>
      </c>
      <c r="D281" t="s">
        <v>1575</v>
      </c>
      <c r="E281" t="s">
        <v>1576</v>
      </c>
      <c r="F281" t="s">
        <v>29</v>
      </c>
      <c r="G281" t="s">
        <v>1577</v>
      </c>
      <c r="H281" t="s">
        <v>29</v>
      </c>
      <c r="I281">
        <v>2729</v>
      </c>
      <c r="J281">
        <v>26332</v>
      </c>
      <c r="K281">
        <v>100329</v>
      </c>
      <c r="L281">
        <v>3189307</v>
      </c>
      <c r="M281" t="s">
        <v>1302</v>
      </c>
      <c r="N281" t="s">
        <v>1286</v>
      </c>
      <c r="O281">
        <v>38439078</v>
      </c>
      <c r="P281" t="s">
        <v>1287</v>
      </c>
      <c r="Q281">
        <v>92455</v>
      </c>
      <c r="R281" t="s">
        <v>1288</v>
      </c>
      <c r="S281">
        <v>145</v>
      </c>
      <c r="T281" t="b">
        <v>0</v>
      </c>
      <c r="U281">
        <v>4251</v>
      </c>
      <c r="V281">
        <v>671</v>
      </c>
      <c r="W281" t="s">
        <v>35</v>
      </c>
      <c r="X281" t="s">
        <v>29</v>
      </c>
      <c r="Y281" t="s">
        <v>29</v>
      </c>
      <c r="Z281" t="s">
        <v>37</v>
      </c>
    </row>
    <row r="282" spans="1:26">
      <c r="A282">
        <v>1.8683377663603348E+18</v>
      </c>
      <c r="B282" t="s">
        <v>1280</v>
      </c>
      <c r="C282" t="s">
        <v>1281</v>
      </c>
      <c r="D282" t="s">
        <v>1578</v>
      </c>
      <c r="E282" t="s">
        <v>1579</v>
      </c>
      <c r="F282" t="s">
        <v>1580</v>
      </c>
      <c r="G282" t="s">
        <v>1581</v>
      </c>
      <c r="H282" t="s">
        <v>1387</v>
      </c>
      <c r="I282">
        <v>138</v>
      </c>
      <c r="J282">
        <v>355</v>
      </c>
      <c r="K282">
        <v>4310</v>
      </c>
      <c r="L282">
        <v>201230</v>
      </c>
      <c r="M282" t="s">
        <v>52</v>
      </c>
      <c r="N282" t="s">
        <v>1286</v>
      </c>
      <c r="O282">
        <v>38439077</v>
      </c>
      <c r="P282" t="s">
        <v>1287</v>
      </c>
      <c r="Q282">
        <v>92455</v>
      </c>
      <c r="R282" t="s">
        <v>1288</v>
      </c>
      <c r="S282">
        <v>145</v>
      </c>
      <c r="T282" t="b">
        <v>0</v>
      </c>
      <c r="U282">
        <v>6</v>
      </c>
      <c r="V282">
        <v>18</v>
      </c>
      <c r="W282" t="s">
        <v>35</v>
      </c>
      <c r="X282" t="s">
        <v>29</v>
      </c>
      <c r="Y282" t="s">
        <v>29</v>
      </c>
      <c r="Z282" t="s">
        <v>37</v>
      </c>
    </row>
    <row r="283" spans="1:26">
      <c r="A283">
        <v>1.8683364824880748E+18</v>
      </c>
      <c r="B283" t="s">
        <v>1280</v>
      </c>
      <c r="C283" t="s">
        <v>1281</v>
      </c>
      <c r="D283" t="s">
        <v>1582</v>
      </c>
      <c r="E283" t="s">
        <v>1583</v>
      </c>
      <c r="F283" t="s">
        <v>1584</v>
      </c>
      <c r="G283" t="s">
        <v>1585</v>
      </c>
      <c r="H283" t="s">
        <v>29</v>
      </c>
      <c r="I283">
        <v>333</v>
      </c>
      <c r="J283">
        <v>219</v>
      </c>
      <c r="K283">
        <v>2073</v>
      </c>
      <c r="L283">
        <v>273466</v>
      </c>
      <c r="M283" t="s">
        <v>52</v>
      </c>
      <c r="N283" t="s">
        <v>1286</v>
      </c>
      <c r="O283">
        <v>38438998</v>
      </c>
      <c r="P283" t="s">
        <v>1287</v>
      </c>
      <c r="Q283">
        <v>92455</v>
      </c>
      <c r="R283" t="s">
        <v>1288</v>
      </c>
      <c r="S283">
        <v>145</v>
      </c>
      <c r="T283" t="b">
        <v>0</v>
      </c>
      <c r="U283">
        <v>113</v>
      </c>
      <c r="V283">
        <v>11</v>
      </c>
      <c r="W283" t="s">
        <v>35</v>
      </c>
      <c r="X283" t="s">
        <v>29</v>
      </c>
      <c r="Y283" t="s">
        <v>29</v>
      </c>
      <c r="Z283" t="s">
        <v>37</v>
      </c>
    </row>
    <row r="284" spans="1:26">
      <c r="A284">
        <v>1.8682829375921277E+18</v>
      </c>
      <c r="B284" t="s">
        <v>1363</v>
      </c>
      <c r="C284" t="s">
        <v>1364</v>
      </c>
      <c r="D284" t="s">
        <v>1586</v>
      </c>
      <c r="E284" t="s">
        <v>1587</v>
      </c>
      <c r="F284" t="s">
        <v>29</v>
      </c>
      <c r="G284" t="s">
        <v>1588</v>
      </c>
      <c r="H284" t="s">
        <v>296</v>
      </c>
      <c r="I284">
        <v>2</v>
      </c>
      <c r="J284">
        <v>30</v>
      </c>
      <c r="K284">
        <v>390</v>
      </c>
      <c r="L284">
        <v>12818</v>
      </c>
      <c r="M284" t="s">
        <v>1589</v>
      </c>
      <c r="N284" t="s">
        <v>1369</v>
      </c>
      <c r="O284">
        <v>462263</v>
      </c>
      <c r="P284" t="s">
        <v>1370</v>
      </c>
      <c r="Q284">
        <v>16271</v>
      </c>
      <c r="R284" t="s">
        <v>1371</v>
      </c>
      <c r="S284">
        <v>38</v>
      </c>
      <c r="T284" t="b">
        <v>0</v>
      </c>
      <c r="U284">
        <v>8</v>
      </c>
      <c r="V284">
        <v>3</v>
      </c>
      <c r="W284" t="s">
        <v>35</v>
      </c>
      <c r="X284" t="s">
        <v>29</v>
      </c>
      <c r="Y284" t="s">
        <v>29</v>
      </c>
      <c r="Z284" t="s">
        <v>37</v>
      </c>
    </row>
    <row r="285" spans="1:26">
      <c r="A285">
        <v>1.8682798679656696E+18</v>
      </c>
      <c r="B285" t="s">
        <v>1363</v>
      </c>
      <c r="C285" t="s">
        <v>1364</v>
      </c>
      <c r="D285" t="s">
        <v>1590</v>
      </c>
      <c r="E285" t="s">
        <v>1591</v>
      </c>
      <c r="F285" t="s">
        <v>29</v>
      </c>
      <c r="G285" t="s">
        <v>1592</v>
      </c>
      <c r="H285" t="s">
        <v>29</v>
      </c>
      <c r="I285">
        <v>31</v>
      </c>
      <c r="J285">
        <v>182</v>
      </c>
      <c r="K285">
        <v>1513</v>
      </c>
      <c r="L285">
        <v>45300</v>
      </c>
      <c r="M285" t="s">
        <v>1438</v>
      </c>
      <c r="N285" t="s">
        <v>1593</v>
      </c>
      <c r="O285">
        <v>462263</v>
      </c>
      <c r="P285" t="s">
        <v>1370</v>
      </c>
      <c r="Q285">
        <v>16271</v>
      </c>
      <c r="R285" t="s">
        <v>1371</v>
      </c>
      <c r="S285">
        <v>38</v>
      </c>
      <c r="T285" t="b">
        <v>0</v>
      </c>
      <c r="U285">
        <v>53</v>
      </c>
      <c r="V285">
        <v>6</v>
      </c>
      <c r="W285" t="s">
        <v>35</v>
      </c>
      <c r="X285" t="s">
        <v>29</v>
      </c>
      <c r="Y285" t="s">
        <v>29</v>
      </c>
      <c r="Z285" t="s">
        <v>37</v>
      </c>
    </row>
    <row r="286" spans="1:26">
      <c r="A286">
        <v>1.8682841949857674E+18</v>
      </c>
      <c r="B286" t="s">
        <v>1363</v>
      </c>
      <c r="C286" t="s">
        <v>1364</v>
      </c>
      <c r="D286" t="s">
        <v>1594</v>
      </c>
      <c r="E286" t="s">
        <v>1595</v>
      </c>
      <c r="F286" t="s">
        <v>1596</v>
      </c>
      <c r="G286" t="s">
        <v>1597</v>
      </c>
      <c r="H286" t="s">
        <v>29</v>
      </c>
      <c r="I286">
        <v>16</v>
      </c>
      <c r="J286">
        <v>148</v>
      </c>
      <c r="K286">
        <v>2046</v>
      </c>
      <c r="L286">
        <v>38686</v>
      </c>
      <c r="M286" t="s">
        <v>52</v>
      </c>
      <c r="N286" t="s">
        <v>1369</v>
      </c>
      <c r="O286">
        <v>462263</v>
      </c>
      <c r="P286" t="s">
        <v>1370</v>
      </c>
      <c r="Q286">
        <v>16271</v>
      </c>
      <c r="R286" t="s">
        <v>1371</v>
      </c>
      <c r="S286">
        <v>38</v>
      </c>
      <c r="T286" t="b">
        <v>0</v>
      </c>
      <c r="U286">
        <v>35</v>
      </c>
      <c r="V286">
        <v>33</v>
      </c>
      <c r="W286" t="s">
        <v>35</v>
      </c>
      <c r="X286" t="s">
        <v>29</v>
      </c>
      <c r="Y286" t="s">
        <v>29</v>
      </c>
      <c r="Z286" t="s">
        <v>37</v>
      </c>
    </row>
    <row r="287" spans="1:26">
      <c r="A287">
        <v>1.8682194457363049E+18</v>
      </c>
      <c r="B287" t="s">
        <v>275</v>
      </c>
      <c r="C287" t="s">
        <v>276</v>
      </c>
      <c r="D287" t="s">
        <v>1598</v>
      </c>
      <c r="E287" t="s">
        <v>720</v>
      </c>
      <c r="F287" t="s">
        <v>1599</v>
      </c>
      <c r="G287" t="s">
        <v>1600</v>
      </c>
      <c r="H287" t="s">
        <v>29</v>
      </c>
      <c r="I287">
        <v>27</v>
      </c>
      <c r="J287">
        <v>159</v>
      </c>
      <c r="K287">
        <v>1859</v>
      </c>
      <c r="L287">
        <v>49212</v>
      </c>
      <c r="M287" t="s">
        <v>52</v>
      </c>
      <c r="N287" t="s">
        <v>1601</v>
      </c>
      <c r="O287">
        <v>8539604</v>
      </c>
      <c r="P287" t="s">
        <v>282</v>
      </c>
      <c r="Q287">
        <v>75535</v>
      </c>
      <c r="R287" t="s">
        <v>283</v>
      </c>
      <c r="S287">
        <v>117</v>
      </c>
      <c r="T287" t="b">
        <v>0</v>
      </c>
      <c r="U287">
        <v>17</v>
      </c>
      <c r="V287">
        <v>6</v>
      </c>
      <c r="W287" t="s">
        <v>35</v>
      </c>
      <c r="X287" t="s">
        <v>29</v>
      </c>
      <c r="Y287" t="s">
        <v>29</v>
      </c>
      <c r="Z287" t="s">
        <v>37</v>
      </c>
    </row>
    <row r="288" spans="1:26">
      <c r="A288">
        <v>1.8683283242813197E+18</v>
      </c>
      <c r="B288" t="s">
        <v>1267</v>
      </c>
      <c r="C288" t="s">
        <v>1268</v>
      </c>
      <c r="D288" t="s">
        <v>1602</v>
      </c>
      <c r="E288" t="s">
        <v>1603</v>
      </c>
      <c r="F288" t="s">
        <v>1604</v>
      </c>
      <c r="G288" t="s">
        <v>1605</v>
      </c>
      <c r="H288" t="s">
        <v>29</v>
      </c>
      <c r="I288">
        <v>83</v>
      </c>
      <c r="J288">
        <v>137</v>
      </c>
      <c r="K288">
        <v>2254</v>
      </c>
      <c r="L288">
        <v>99024</v>
      </c>
      <c r="M288" t="s">
        <v>52</v>
      </c>
      <c r="N288" t="s">
        <v>1273</v>
      </c>
      <c r="O288">
        <v>17891301</v>
      </c>
      <c r="P288" t="s">
        <v>1274</v>
      </c>
      <c r="Q288">
        <v>168939</v>
      </c>
      <c r="R288" t="s">
        <v>1275</v>
      </c>
      <c r="S288">
        <v>47365</v>
      </c>
      <c r="T288" t="b">
        <v>0</v>
      </c>
      <c r="U288">
        <v>12</v>
      </c>
      <c r="V288">
        <v>8</v>
      </c>
      <c r="W288" t="s">
        <v>35</v>
      </c>
      <c r="X288" t="s">
        <v>29</v>
      </c>
      <c r="Y288" t="s">
        <v>29</v>
      </c>
      <c r="Z288" t="s">
        <v>37</v>
      </c>
    </row>
    <row r="289" spans="1:26">
      <c r="A289">
        <v>1.868319362488087E+18</v>
      </c>
      <c r="B289" t="s">
        <v>1267</v>
      </c>
      <c r="C289" t="s">
        <v>1268</v>
      </c>
      <c r="D289" t="s">
        <v>1606</v>
      </c>
      <c r="E289" t="s">
        <v>1607</v>
      </c>
      <c r="F289" t="s">
        <v>1608</v>
      </c>
      <c r="G289" t="s">
        <v>1609</v>
      </c>
      <c r="H289" t="s">
        <v>29</v>
      </c>
      <c r="I289">
        <v>112</v>
      </c>
      <c r="J289">
        <v>348</v>
      </c>
      <c r="K289">
        <v>4164</v>
      </c>
      <c r="L289">
        <v>169903</v>
      </c>
      <c r="M289" t="s">
        <v>52</v>
      </c>
      <c r="N289" t="s">
        <v>1610</v>
      </c>
      <c r="O289">
        <v>17891377</v>
      </c>
      <c r="P289" t="s">
        <v>1274</v>
      </c>
      <c r="Q289">
        <v>168939</v>
      </c>
      <c r="R289" t="s">
        <v>1275</v>
      </c>
      <c r="S289">
        <v>47365</v>
      </c>
      <c r="T289" t="b">
        <v>0</v>
      </c>
      <c r="U289">
        <v>39</v>
      </c>
      <c r="V289">
        <v>32</v>
      </c>
      <c r="W289" t="s">
        <v>35</v>
      </c>
      <c r="X289" t="s">
        <v>29</v>
      </c>
      <c r="Y289" t="s">
        <v>29</v>
      </c>
      <c r="Z289" t="s">
        <v>37</v>
      </c>
    </row>
    <row r="290" spans="1:26">
      <c r="A290">
        <v>1.8682209595154271E+18</v>
      </c>
      <c r="B290" t="s">
        <v>1267</v>
      </c>
      <c r="C290" t="s">
        <v>1268</v>
      </c>
      <c r="D290" t="s">
        <v>1611</v>
      </c>
      <c r="E290" t="s">
        <v>1612</v>
      </c>
      <c r="F290" t="s">
        <v>1613</v>
      </c>
      <c r="G290" t="s">
        <v>1614</v>
      </c>
      <c r="H290" t="s">
        <v>29</v>
      </c>
      <c r="I290">
        <v>337</v>
      </c>
      <c r="J290">
        <v>861</v>
      </c>
      <c r="K290">
        <v>7699</v>
      </c>
      <c r="L290">
        <v>889292</v>
      </c>
      <c r="M290" t="s">
        <v>52</v>
      </c>
      <c r="N290" t="s">
        <v>1273</v>
      </c>
      <c r="O290">
        <v>17891377</v>
      </c>
      <c r="P290" t="s">
        <v>1274</v>
      </c>
      <c r="Q290">
        <v>168939</v>
      </c>
      <c r="R290" t="s">
        <v>1275</v>
      </c>
      <c r="S290">
        <v>47365</v>
      </c>
      <c r="T290" t="b">
        <v>0</v>
      </c>
      <c r="U290">
        <v>183</v>
      </c>
      <c r="V290">
        <v>46</v>
      </c>
      <c r="W290" t="s">
        <v>35</v>
      </c>
      <c r="X290" t="s">
        <v>29</v>
      </c>
      <c r="Y290" t="s">
        <v>29</v>
      </c>
      <c r="Z290" t="s">
        <v>37</v>
      </c>
    </row>
    <row r="291" spans="1:26">
      <c r="A291">
        <v>1.868345605673931E+18</v>
      </c>
      <c r="B291" t="s">
        <v>1267</v>
      </c>
      <c r="C291" t="s">
        <v>1268</v>
      </c>
      <c r="D291" t="s">
        <v>1615</v>
      </c>
      <c r="E291" t="s">
        <v>1616</v>
      </c>
      <c r="F291" t="s">
        <v>1617</v>
      </c>
      <c r="G291" t="s">
        <v>1618</v>
      </c>
      <c r="H291" t="s">
        <v>29</v>
      </c>
      <c r="I291">
        <v>226</v>
      </c>
      <c r="J291">
        <v>650</v>
      </c>
      <c r="K291">
        <v>7418</v>
      </c>
      <c r="L291">
        <v>442629</v>
      </c>
      <c r="M291" t="s">
        <v>52</v>
      </c>
      <c r="N291" t="s">
        <v>1273</v>
      </c>
      <c r="O291">
        <v>17891377</v>
      </c>
      <c r="P291" t="s">
        <v>1274</v>
      </c>
      <c r="Q291">
        <v>168939</v>
      </c>
      <c r="R291" t="s">
        <v>1275</v>
      </c>
      <c r="S291">
        <v>47365</v>
      </c>
      <c r="T291" t="b">
        <v>0</v>
      </c>
      <c r="U291">
        <v>85</v>
      </c>
      <c r="V291">
        <v>25</v>
      </c>
      <c r="W291" t="s">
        <v>35</v>
      </c>
      <c r="X291" t="s">
        <v>29</v>
      </c>
      <c r="Y291" t="s">
        <v>29</v>
      </c>
      <c r="Z291" t="s">
        <v>37</v>
      </c>
    </row>
    <row r="292" spans="1:26">
      <c r="A292">
        <v>1.8683456022010104E+18</v>
      </c>
      <c r="B292" t="s">
        <v>1280</v>
      </c>
      <c r="C292" t="s">
        <v>1281</v>
      </c>
      <c r="D292" t="s">
        <v>1619</v>
      </c>
      <c r="E292" t="s">
        <v>1620</v>
      </c>
      <c r="F292" t="s">
        <v>29</v>
      </c>
      <c r="G292" t="s">
        <v>1621</v>
      </c>
      <c r="H292" t="s">
        <v>29</v>
      </c>
      <c r="I292">
        <v>672</v>
      </c>
      <c r="J292">
        <v>358</v>
      </c>
      <c r="K292">
        <v>3545</v>
      </c>
      <c r="L292">
        <v>317642</v>
      </c>
      <c r="M292" t="s">
        <v>1302</v>
      </c>
      <c r="N292" t="s">
        <v>1286</v>
      </c>
      <c r="O292">
        <v>38439077</v>
      </c>
      <c r="P292" t="s">
        <v>1287</v>
      </c>
      <c r="Q292">
        <v>92455</v>
      </c>
      <c r="R292" t="s">
        <v>1288</v>
      </c>
      <c r="S292">
        <v>145</v>
      </c>
      <c r="T292" t="b">
        <v>0</v>
      </c>
      <c r="U292">
        <v>109</v>
      </c>
      <c r="V292">
        <v>15</v>
      </c>
      <c r="W292" t="s">
        <v>35</v>
      </c>
      <c r="X292" t="s">
        <v>29</v>
      </c>
      <c r="Y292" t="s">
        <v>29</v>
      </c>
      <c r="Z292" t="s">
        <v>37</v>
      </c>
    </row>
    <row r="293" spans="1:26">
      <c r="A293">
        <v>1.8684240439189466E+18</v>
      </c>
      <c r="B293" t="s">
        <v>1280</v>
      </c>
      <c r="C293" t="s">
        <v>1281</v>
      </c>
      <c r="D293" t="s">
        <v>1622</v>
      </c>
      <c r="E293" t="s">
        <v>1623</v>
      </c>
      <c r="F293" t="s">
        <v>29</v>
      </c>
      <c r="G293" t="s">
        <v>1624</v>
      </c>
      <c r="H293" t="s">
        <v>29</v>
      </c>
      <c r="I293">
        <v>76</v>
      </c>
      <c r="J293">
        <v>253</v>
      </c>
      <c r="K293">
        <v>3502</v>
      </c>
      <c r="L293">
        <v>166039</v>
      </c>
      <c r="M293" t="s">
        <v>1625</v>
      </c>
      <c r="N293" t="s">
        <v>1286</v>
      </c>
      <c r="O293">
        <v>38439078</v>
      </c>
      <c r="P293" t="s">
        <v>1287</v>
      </c>
      <c r="Q293">
        <v>92455</v>
      </c>
      <c r="R293" t="s">
        <v>1288</v>
      </c>
      <c r="S293">
        <v>145</v>
      </c>
      <c r="T293" t="b">
        <v>0</v>
      </c>
      <c r="U293">
        <v>1</v>
      </c>
      <c r="V293">
        <v>7</v>
      </c>
      <c r="W293" t="s">
        <v>35</v>
      </c>
      <c r="X293" t="s">
        <v>29</v>
      </c>
      <c r="Y293" t="s">
        <v>29</v>
      </c>
      <c r="Z293" t="s">
        <v>37</v>
      </c>
    </row>
    <row r="294" spans="1:26">
      <c r="A294">
        <v>1.868257194870985E+18</v>
      </c>
      <c r="B294" t="s">
        <v>1303</v>
      </c>
      <c r="C294" t="s">
        <v>1304</v>
      </c>
      <c r="D294" t="s">
        <v>1626</v>
      </c>
      <c r="E294" t="s">
        <v>1627</v>
      </c>
      <c r="F294" t="s">
        <v>1628</v>
      </c>
      <c r="G294" t="s">
        <v>1629</v>
      </c>
      <c r="H294" t="s">
        <v>1323</v>
      </c>
      <c r="I294">
        <v>22</v>
      </c>
      <c r="J294">
        <v>69</v>
      </c>
      <c r="K294">
        <v>764</v>
      </c>
      <c r="L294">
        <v>56719</v>
      </c>
      <c r="M294" t="s">
        <v>52</v>
      </c>
      <c r="N294" t="s">
        <v>1273</v>
      </c>
      <c r="O294">
        <v>240106</v>
      </c>
      <c r="P294" t="s">
        <v>1309</v>
      </c>
      <c r="Q294">
        <v>29070</v>
      </c>
      <c r="R294" t="s">
        <v>1310</v>
      </c>
      <c r="S294">
        <v>799</v>
      </c>
      <c r="T294" t="b">
        <v>0</v>
      </c>
      <c r="U294">
        <v>40</v>
      </c>
      <c r="V294">
        <v>12</v>
      </c>
      <c r="W294" t="s">
        <v>35</v>
      </c>
      <c r="X294" t="s">
        <v>29</v>
      </c>
      <c r="Y294" t="s">
        <v>29</v>
      </c>
      <c r="Z294" t="s">
        <v>37</v>
      </c>
    </row>
    <row r="295" spans="1:26">
      <c r="A295">
        <v>1.8683152591588106E+18</v>
      </c>
      <c r="B295" t="s">
        <v>1363</v>
      </c>
      <c r="C295" t="s">
        <v>1364</v>
      </c>
      <c r="D295" t="s">
        <v>1630</v>
      </c>
      <c r="E295" t="s">
        <v>1631</v>
      </c>
      <c r="F295" t="s">
        <v>1632</v>
      </c>
      <c r="G295" t="s">
        <v>1633</v>
      </c>
      <c r="H295" t="s">
        <v>1434</v>
      </c>
      <c r="I295">
        <v>5</v>
      </c>
      <c r="J295">
        <v>44</v>
      </c>
      <c r="K295">
        <v>476</v>
      </c>
      <c r="L295">
        <v>15281</v>
      </c>
      <c r="M295" t="s">
        <v>52</v>
      </c>
      <c r="N295" t="s">
        <v>1369</v>
      </c>
      <c r="O295">
        <v>462263</v>
      </c>
      <c r="P295" t="s">
        <v>1370</v>
      </c>
      <c r="Q295">
        <v>16271</v>
      </c>
      <c r="R295" t="s">
        <v>1371</v>
      </c>
      <c r="S295">
        <v>38</v>
      </c>
      <c r="T295" t="b">
        <v>0</v>
      </c>
      <c r="U295">
        <v>4</v>
      </c>
      <c r="V295">
        <v>4</v>
      </c>
      <c r="W295" t="s">
        <v>35</v>
      </c>
      <c r="X295" t="s">
        <v>29</v>
      </c>
      <c r="Y295" t="s">
        <v>29</v>
      </c>
      <c r="Z295" t="s">
        <v>37</v>
      </c>
    </row>
    <row r="296" spans="1:26">
      <c r="A296">
        <v>1.8683116876460649E+18</v>
      </c>
      <c r="B296" t="s">
        <v>1363</v>
      </c>
      <c r="C296" t="s">
        <v>1364</v>
      </c>
      <c r="D296" t="s">
        <v>1634</v>
      </c>
      <c r="E296" t="s">
        <v>1635</v>
      </c>
      <c r="F296" t="s">
        <v>29</v>
      </c>
      <c r="G296" t="s">
        <v>1636</v>
      </c>
      <c r="H296" t="s">
        <v>29</v>
      </c>
      <c r="I296">
        <v>2</v>
      </c>
      <c r="J296">
        <v>15</v>
      </c>
      <c r="K296">
        <v>256</v>
      </c>
      <c r="L296">
        <v>13624</v>
      </c>
      <c r="M296" t="s">
        <v>1368</v>
      </c>
      <c r="N296" t="s">
        <v>1369</v>
      </c>
      <c r="O296">
        <v>462263</v>
      </c>
      <c r="P296" t="s">
        <v>1370</v>
      </c>
      <c r="Q296">
        <v>16271</v>
      </c>
      <c r="R296" t="s">
        <v>1371</v>
      </c>
      <c r="S296">
        <v>38</v>
      </c>
      <c r="T296" t="b">
        <v>0</v>
      </c>
      <c r="U296">
        <v>1</v>
      </c>
      <c r="V296">
        <v>1</v>
      </c>
      <c r="W296" t="s">
        <v>35</v>
      </c>
      <c r="X296" t="s">
        <v>29</v>
      </c>
      <c r="Y296" t="s">
        <v>29</v>
      </c>
      <c r="Z296" t="s">
        <v>37</v>
      </c>
    </row>
    <row r="297" spans="1:26">
      <c r="A297">
        <v>1.868347287845409E+18</v>
      </c>
      <c r="B297" t="s">
        <v>1363</v>
      </c>
      <c r="C297" t="s">
        <v>1364</v>
      </c>
      <c r="D297" t="s">
        <v>1637</v>
      </c>
      <c r="E297" t="s">
        <v>1638</v>
      </c>
      <c r="F297" t="s">
        <v>1639</v>
      </c>
      <c r="G297" t="s">
        <v>1640</v>
      </c>
      <c r="H297" t="s">
        <v>29</v>
      </c>
      <c r="I297">
        <v>10</v>
      </c>
      <c r="J297">
        <v>54</v>
      </c>
      <c r="K297">
        <v>842</v>
      </c>
      <c r="L297">
        <v>18769</v>
      </c>
      <c r="M297" t="s">
        <v>52</v>
      </c>
      <c r="N297" t="s">
        <v>1369</v>
      </c>
      <c r="O297">
        <v>462263</v>
      </c>
      <c r="P297" t="s">
        <v>1370</v>
      </c>
      <c r="Q297">
        <v>16271</v>
      </c>
      <c r="R297" t="s">
        <v>1371</v>
      </c>
      <c r="S297">
        <v>38</v>
      </c>
      <c r="T297" t="b">
        <v>0</v>
      </c>
      <c r="U297">
        <v>3</v>
      </c>
      <c r="V297">
        <v>2</v>
      </c>
      <c r="W297" t="s">
        <v>35</v>
      </c>
      <c r="X297" t="s">
        <v>29</v>
      </c>
      <c r="Y297" t="s">
        <v>29</v>
      </c>
      <c r="Z297" t="s">
        <v>37</v>
      </c>
    </row>
    <row r="298" spans="1:26">
      <c r="A298">
        <v>1.8683565993305172E+18</v>
      </c>
      <c r="B298" t="s">
        <v>1363</v>
      </c>
      <c r="C298" t="s">
        <v>1364</v>
      </c>
      <c r="D298" t="s">
        <v>1641</v>
      </c>
      <c r="E298" t="s">
        <v>1642</v>
      </c>
      <c r="F298" t="s">
        <v>1643</v>
      </c>
      <c r="G298" t="s">
        <v>1644</v>
      </c>
      <c r="H298" t="s">
        <v>29</v>
      </c>
      <c r="I298">
        <v>9</v>
      </c>
      <c r="J298">
        <v>104</v>
      </c>
      <c r="K298">
        <v>871</v>
      </c>
      <c r="L298">
        <v>25400</v>
      </c>
      <c r="M298" t="s">
        <v>52</v>
      </c>
      <c r="N298" t="s">
        <v>1645</v>
      </c>
      <c r="O298">
        <v>462263</v>
      </c>
      <c r="P298" t="s">
        <v>1370</v>
      </c>
      <c r="Q298">
        <v>16271</v>
      </c>
      <c r="R298" t="s">
        <v>1371</v>
      </c>
      <c r="S298">
        <v>38</v>
      </c>
      <c r="T298" t="b">
        <v>0</v>
      </c>
      <c r="U298">
        <v>7</v>
      </c>
      <c r="V298">
        <v>7</v>
      </c>
      <c r="W298" t="s">
        <v>35</v>
      </c>
      <c r="X298" t="s">
        <v>29</v>
      </c>
      <c r="Y298" t="s">
        <v>29</v>
      </c>
      <c r="Z298" t="s">
        <v>37</v>
      </c>
    </row>
    <row r="299" spans="1:26">
      <c r="A299">
        <v>1.8684580742030956E+18</v>
      </c>
      <c r="B299" t="s">
        <v>1646</v>
      </c>
      <c r="C299" t="s">
        <v>1647</v>
      </c>
      <c r="D299" t="s">
        <v>1648</v>
      </c>
      <c r="E299" t="s">
        <v>1649</v>
      </c>
      <c r="F299" t="s">
        <v>29</v>
      </c>
      <c r="G299" t="s">
        <v>1650</v>
      </c>
      <c r="H299" t="s">
        <v>29</v>
      </c>
      <c r="I299">
        <v>82</v>
      </c>
      <c r="J299">
        <v>79</v>
      </c>
      <c r="K299">
        <v>1076</v>
      </c>
      <c r="L299">
        <v>234965</v>
      </c>
      <c r="M299" t="s">
        <v>1651</v>
      </c>
      <c r="N299" t="s">
        <v>1652</v>
      </c>
      <c r="O299">
        <v>3768943</v>
      </c>
      <c r="P299" t="s">
        <v>1653</v>
      </c>
      <c r="Q299">
        <v>897934</v>
      </c>
      <c r="R299" t="s">
        <v>1654</v>
      </c>
      <c r="S299">
        <v>28</v>
      </c>
      <c r="T299" t="b">
        <v>0</v>
      </c>
      <c r="U299">
        <v>200</v>
      </c>
      <c r="V299">
        <v>61</v>
      </c>
      <c r="W299" t="s">
        <v>35</v>
      </c>
      <c r="X299" t="s">
        <v>1655</v>
      </c>
      <c r="Y299" t="s">
        <v>29</v>
      </c>
      <c r="Z299" t="s">
        <v>37</v>
      </c>
    </row>
    <row r="300" spans="1:26">
      <c r="A300">
        <v>1.8684881017539546E+18</v>
      </c>
      <c r="B300" t="s">
        <v>1656</v>
      </c>
      <c r="C300" t="s">
        <v>1657</v>
      </c>
      <c r="D300" t="s">
        <v>1658</v>
      </c>
      <c r="E300" t="s">
        <v>1659</v>
      </c>
      <c r="F300" t="s">
        <v>29</v>
      </c>
      <c r="G300" t="s">
        <v>1660</v>
      </c>
      <c r="H300" t="s">
        <v>29</v>
      </c>
      <c r="I300">
        <v>36</v>
      </c>
      <c r="J300">
        <v>6</v>
      </c>
      <c r="K300">
        <v>63</v>
      </c>
      <c r="L300">
        <v>3199</v>
      </c>
      <c r="M300" t="s">
        <v>1661</v>
      </c>
      <c r="N300" t="s">
        <v>29</v>
      </c>
      <c r="O300">
        <v>2819404</v>
      </c>
      <c r="P300" t="s">
        <v>1662</v>
      </c>
      <c r="Q300">
        <v>286268</v>
      </c>
      <c r="R300" t="s">
        <v>1663</v>
      </c>
      <c r="S300">
        <v>4</v>
      </c>
      <c r="T300" t="b">
        <v>0</v>
      </c>
      <c r="U300">
        <v>5</v>
      </c>
      <c r="V300">
        <v>1</v>
      </c>
      <c r="W300" t="s">
        <v>35</v>
      </c>
      <c r="X300" t="s">
        <v>1664</v>
      </c>
      <c r="Y300" t="s">
        <v>29</v>
      </c>
      <c r="Z300" t="s">
        <v>37</v>
      </c>
    </row>
    <row r="301" spans="1:26">
      <c r="A301">
        <v>1.8683670695713385E+18</v>
      </c>
      <c r="B301" t="s">
        <v>1646</v>
      </c>
      <c r="C301" t="s">
        <v>1647</v>
      </c>
      <c r="D301" t="s">
        <v>1665</v>
      </c>
      <c r="E301" t="s">
        <v>1666</v>
      </c>
      <c r="F301" t="s">
        <v>29</v>
      </c>
      <c r="G301" t="s">
        <v>1667</v>
      </c>
      <c r="H301" t="s">
        <v>29</v>
      </c>
      <c r="I301">
        <v>1</v>
      </c>
      <c r="J301">
        <v>1</v>
      </c>
      <c r="K301">
        <v>52</v>
      </c>
      <c r="L301">
        <v>9266</v>
      </c>
      <c r="M301" t="s">
        <v>1668</v>
      </c>
      <c r="N301" t="s">
        <v>1669</v>
      </c>
      <c r="O301">
        <v>3768943</v>
      </c>
      <c r="P301" t="s">
        <v>1653</v>
      </c>
      <c r="Q301">
        <v>897934</v>
      </c>
      <c r="R301" t="s">
        <v>1654</v>
      </c>
      <c r="S301">
        <v>28</v>
      </c>
      <c r="T301" t="b">
        <v>0</v>
      </c>
      <c r="U301">
        <v>0</v>
      </c>
      <c r="V301">
        <v>1</v>
      </c>
      <c r="W301" t="s">
        <v>35</v>
      </c>
      <c r="X301" t="s">
        <v>1670</v>
      </c>
      <c r="Y301" t="s">
        <v>29</v>
      </c>
      <c r="Z301" t="s">
        <v>37</v>
      </c>
    </row>
    <row r="302" spans="1:26">
      <c r="A302">
        <v>1.8683646913171704E+18</v>
      </c>
      <c r="B302" t="s">
        <v>1646</v>
      </c>
      <c r="C302" t="s">
        <v>1647</v>
      </c>
      <c r="D302" t="s">
        <v>1671</v>
      </c>
      <c r="E302" t="s">
        <v>1672</v>
      </c>
      <c r="F302" t="s">
        <v>29</v>
      </c>
      <c r="G302" t="s">
        <v>1673</v>
      </c>
      <c r="H302" t="s">
        <v>29</v>
      </c>
      <c r="I302">
        <v>3</v>
      </c>
      <c r="J302">
        <v>1</v>
      </c>
      <c r="K302">
        <v>36</v>
      </c>
      <c r="L302">
        <v>8202</v>
      </c>
      <c r="M302" t="s">
        <v>1674</v>
      </c>
      <c r="N302" t="s">
        <v>1675</v>
      </c>
      <c r="O302">
        <v>3768943</v>
      </c>
      <c r="P302" t="s">
        <v>1653</v>
      </c>
      <c r="Q302">
        <v>897934</v>
      </c>
      <c r="R302" t="s">
        <v>1654</v>
      </c>
      <c r="S302">
        <v>28</v>
      </c>
      <c r="T302" t="b">
        <v>0</v>
      </c>
      <c r="U302">
        <v>0</v>
      </c>
      <c r="V302">
        <v>1</v>
      </c>
      <c r="W302" t="s">
        <v>35</v>
      </c>
      <c r="X302" t="s">
        <v>1676</v>
      </c>
      <c r="Y302" t="s">
        <v>29</v>
      </c>
      <c r="Z302" t="s">
        <v>37</v>
      </c>
    </row>
    <row r="303" spans="1:26">
      <c r="A303">
        <v>1.868363612173058E+18</v>
      </c>
      <c r="B303" t="s">
        <v>1646</v>
      </c>
      <c r="C303" t="s">
        <v>1647</v>
      </c>
      <c r="D303" t="s">
        <v>1677</v>
      </c>
      <c r="E303" t="s">
        <v>1678</v>
      </c>
      <c r="F303" t="s">
        <v>29</v>
      </c>
      <c r="G303" t="s">
        <v>1679</v>
      </c>
      <c r="H303" t="s">
        <v>29</v>
      </c>
      <c r="I303">
        <v>0</v>
      </c>
      <c r="J303">
        <v>1</v>
      </c>
      <c r="K303">
        <v>25</v>
      </c>
      <c r="L303">
        <v>8583</v>
      </c>
      <c r="M303" t="s">
        <v>1680</v>
      </c>
      <c r="N303" t="s">
        <v>1652</v>
      </c>
      <c r="O303">
        <v>3768943</v>
      </c>
      <c r="P303" t="s">
        <v>1653</v>
      </c>
      <c r="Q303">
        <v>897934</v>
      </c>
      <c r="R303" t="s">
        <v>1654</v>
      </c>
      <c r="S303">
        <v>28</v>
      </c>
      <c r="T303" t="b">
        <v>0</v>
      </c>
      <c r="U303">
        <v>1</v>
      </c>
      <c r="V303">
        <v>1</v>
      </c>
      <c r="W303" t="s">
        <v>35</v>
      </c>
      <c r="X303" t="s">
        <v>1681</v>
      </c>
      <c r="Y303" t="s">
        <v>29</v>
      </c>
      <c r="Z303" t="s">
        <v>37</v>
      </c>
    </row>
    <row r="304" spans="1:26">
      <c r="A304">
        <v>1.8681858239605806E+18</v>
      </c>
      <c r="B304" t="s">
        <v>1646</v>
      </c>
      <c r="C304" t="s">
        <v>1647</v>
      </c>
      <c r="D304" t="s">
        <v>1682</v>
      </c>
      <c r="E304" t="s">
        <v>1683</v>
      </c>
      <c r="F304" t="s">
        <v>29</v>
      </c>
      <c r="G304" t="s">
        <v>1684</v>
      </c>
      <c r="H304" t="s">
        <v>29</v>
      </c>
      <c r="I304">
        <v>2</v>
      </c>
      <c r="J304">
        <v>1</v>
      </c>
      <c r="K304">
        <v>10</v>
      </c>
      <c r="L304">
        <v>11266</v>
      </c>
      <c r="M304" t="s">
        <v>1685</v>
      </c>
      <c r="N304" t="s">
        <v>1686</v>
      </c>
      <c r="O304">
        <v>3768943</v>
      </c>
      <c r="P304" t="s">
        <v>1653</v>
      </c>
      <c r="Q304">
        <v>897934</v>
      </c>
      <c r="R304" t="s">
        <v>1654</v>
      </c>
      <c r="S304">
        <v>28</v>
      </c>
      <c r="T304" t="b">
        <v>0</v>
      </c>
      <c r="U304">
        <v>0</v>
      </c>
      <c r="V304">
        <v>2</v>
      </c>
      <c r="W304" t="s">
        <v>35</v>
      </c>
      <c r="X304" t="s">
        <v>1687</v>
      </c>
      <c r="Y304" t="s">
        <v>29</v>
      </c>
      <c r="Z304" t="s">
        <v>37</v>
      </c>
    </row>
    <row r="305" spans="1:26">
      <c r="A305">
        <v>1.8681356512724956E+18</v>
      </c>
      <c r="B305" t="s">
        <v>1646</v>
      </c>
      <c r="C305" t="s">
        <v>1647</v>
      </c>
      <c r="D305" t="s">
        <v>1688</v>
      </c>
      <c r="E305" t="s">
        <v>1689</v>
      </c>
      <c r="F305" t="s">
        <v>29</v>
      </c>
      <c r="G305" t="s">
        <v>1690</v>
      </c>
      <c r="H305" t="s">
        <v>1691</v>
      </c>
      <c r="I305">
        <v>3</v>
      </c>
      <c r="J305">
        <v>2</v>
      </c>
      <c r="K305">
        <v>24</v>
      </c>
      <c r="L305">
        <v>11961</v>
      </c>
      <c r="M305" t="s">
        <v>52</v>
      </c>
      <c r="N305" t="s">
        <v>1692</v>
      </c>
      <c r="O305">
        <v>3768943</v>
      </c>
      <c r="P305" t="s">
        <v>1653</v>
      </c>
      <c r="Q305">
        <v>897934</v>
      </c>
      <c r="R305" t="s">
        <v>1654</v>
      </c>
      <c r="S305">
        <v>28</v>
      </c>
      <c r="T305" t="b">
        <v>0</v>
      </c>
      <c r="U305">
        <v>0</v>
      </c>
      <c r="V305">
        <v>4</v>
      </c>
      <c r="W305" t="s">
        <v>35</v>
      </c>
      <c r="X305" t="s">
        <v>29</v>
      </c>
      <c r="Y305" t="s">
        <v>1693</v>
      </c>
      <c r="Z305" t="s">
        <v>37</v>
      </c>
    </row>
    <row r="306" spans="1:26">
      <c r="A306">
        <v>1.8683232628259476E+18</v>
      </c>
      <c r="B306" t="s">
        <v>1656</v>
      </c>
      <c r="C306" t="s">
        <v>1657</v>
      </c>
      <c r="D306" t="s">
        <v>1694</v>
      </c>
      <c r="E306" t="s">
        <v>1695</v>
      </c>
      <c r="F306" t="s">
        <v>29</v>
      </c>
      <c r="G306" t="s">
        <v>1696</v>
      </c>
      <c r="H306" t="s">
        <v>29</v>
      </c>
      <c r="I306">
        <v>128</v>
      </c>
      <c r="J306">
        <v>15</v>
      </c>
      <c r="K306">
        <v>195</v>
      </c>
      <c r="L306">
        <v>10944</v>
      </c>
      <c r="M306" t="s">
        <v>1697</v>
      </c>
      <c r="N306" t="s">
        <v>29</v>
      </c>
      <c r="O306">
        <v>2819408</v>
      </c>
      <c r="P306" t="s">
        <v>1662</v>
      </c>
      <c r="Q306">
        <v>286269</v>
      </c>
      <c r="R306" t="s">
        <v>1663</v>
      </c>
      <c r="S306">
        <v>4</v>
      </c>
      <c r="T306" t="b">
        <v>0</v>
      </c>
      <c r="U306">
        <v>4</v>
      </c>
      <c r="V306">
        <v>1</v>
      </c>
      <c r="W306" t="s">
        <v>35</v>
      </c>
      <c r="X306" t="s">
        <v>1698</v>
      </c>
      <c r="Y306" t="s">
        <v>29</v>
      </c>
      <c r="Z306" t="s">
        <v>37</v>
      </c>
    </row>
    <row r="307" spans="1:26">
      <c r="A307">
        <v>1.8684591579189742E+18</v>
      </c>
      <c r="B307" t="s">
        <v>1646</v>
      </c>
      <c r="C307" t="s">
        <v>1647</v>
      </c>
      <c r="D307" t="s">
        <v>1699</v>
      </c>
      <c r="E307" t="s">
        <v>1700</v>
      </c>
      <c r="F307" t="s">
        <v>29</v>
      </c>
      <c r="G307" t="s">
        <v>1701</v>
      </c>
      <c r="H307" t="s">
        <v>29</v>
      </c>
      <c r="I307">
        <v>0</v>
      </c>
      <c r="J307">
        <v>2</v>
      </c>
      <c r="K307">
        <v>21</v>
      </c>
      <c r="L307">
        <v>10813</v>
      </c>
      <c r="M307" t="s">
        <v>1702</v>
      </c>
      <c r="N307" t="s">
        <v>1703</v>
      </c>
      <c r="O307">
        <v>3768942</v>
      </c>
      <c r="P307" t="s">
        <v>1653</v>
      </c>
      <c r="Q307">
        <v>897934</v>
      </c>
      <c r="R307" t="s">
        <v>1654</v>
      </c>
      <c r="S307">
        <v>28</v>
      </c>
      <c r="T307" t="b">
        <v>0</v>
      </c>
      <c r="U307">
        <v>1</v>
      </c>
      <c r="V307">
        <v>2</v>
      </c>
      <c r="W307" t="s">
        <v>35</v>
      </c>
      <c r="X307" t="s">
        <v>1704</v>
      </c>
      <c r="Y307" t="s">
        <v>29</v>
      </c>
      <c r="Z307" t="s">
        <v>37</v>
      </c>
    </row>
    <row r="308" spans="1:26">
      <c r="A308">
        <v>1.8683567896804275E+18</v>
      </c>
      <c r="B308" t="s">
        <v>1646</v>
      </c>
      <c r="C308" t="s">
        <v>1647</v>
      </c>
      <c r="D308" t="s">
        <v>1705</v>
      </c>
      <c r="E308" t="s">
        <v>1706</v>
      </c>
      <c r="F308" t="s">
        <v>29</v>
      </c>
      <c r="G308" t="s">
        <v>1707</v>
      </c>
      <c r="H308" t="s">
        <v>29</v>
      </c>
      <c r="I308">
        <v>2</v>
      </c>
      <c r="J308">
        <v>1</v>
      </c>
      <c r="K308">
        <v>18</v>
      </c>
      <c r="L308">
        <v>8072</v>
      </c>
      <c r="M308" t="s">
        <v>1708</v>
      </c>
      <c r="N308" t="s">
        <v>1652</v>
      </c>
      <c r="O308">
        <v>3768943</v>
      </c>
      <c r="P308" t="s">
        <v>1653</v>
      </c>
      <c r="Q308">
        <v>897934</v>
      </c>
      <c r="R308" t="s">
        <v>1654</v>
      </c>
      <c r="S308">
        <v>28</v>
      </c>
      <c r="T308" t="b">
        <v>0</v>
      </c>
      <c r="U308">
        <v>0</v>
      </c>
      <c r="V308">
        <v>1</v>
      </c>
      <c r="W308" t="s">
        <v>35</v>
      </c>
      <c r="X308" t="s">
        <v>1709</v>
      </c>
      <c r="Y308" t="s">
        <v>29</v>
      </c>
      <c r="Z308" t="s">
        <v>37</v>
      </c>
    </row>
    <row r="309" spans="1:26">
      <c r="A309">
        <v>1.8681039668163668E+18</v>
      </c>
      <c r="B309" t="s">
        <v>1646</v>
      </c>
      <c r="C309" t="s">
        <v>1647</v>
      </c>
      <c r="D309" t="s">
        <v>1710</v>
      </c>
      <c r="E309" t="s">
        <v>1711</v>
      </c>
      <c r="F309" t="s">
        <v>29</v>
      </c>
      <c r="G309" t="s">
        <v>1712</v>
      </c>
      <c r="H309" t="s">
        <v>29</v>
      </c>
      <c r="I309">
        <v>1</v>
      </c>
      <c r="J309">
        <v>2</v>
      </c>
      <c r="K309">
        <v>23</v>
      </c>
      <c r="L309">
        <v>11353</v>
      </c>
      <c r="M309" t="s">
        <v>1713</v>
      </c>
      <c r="N309" t="s">
        <v>1652</v>
      </c>
      <c r="O309">
        <v>3768943</v>
      </c>
      <c r="P309" t="s">
        <v>1653</v>
      </c>
      <c r="Q309">
        <v>897934</v>
      </c>
      <c r="R309" t="s">
        <v>1654</v>
      </c>
      <c r="S309">
        <v>28</v>
      </c>
      <c r="T309" t="b">
        <v>0</v>
      </c>
      <c r="U309">
        <v>0</v>
      </c>
      <c r="V309">
        <v>2</v>
      </c>
      <c r="W309" t="s">
        <v>35</v>
      </c>
      <c r="X309" t="s">
        <v>1714</v>
      </c>
      <c r="Y309" t="s">
        <v>29</v>
      </c>
      <c r="Z309" t="s">
        <v>37</v>
      </c>
    </row>
    <row r="310" spans="1:26">
      <c r="A310">
        <v>1.8683572379843466E+18</v>
      </c>
      <c r="B310" t="s">
        <v>1656</v>
      </c>
      <c r="C310" t="s">
        <v>1657</v>
      </c>
      <c r="D310" t="s">
        <v>1715</v>
      </c>
      <c r="E310" t="s">
        <v>1716</v>
      </c>
      <c r="F310" t="s">
        <v>29</v>
      </c>
      <c r="G310" t="s">
        <v>1717</v>
      </c>
      <c r="H310" t="s">
        <v>29</v>
      </c>
      <c r="I310">
        <v>1</v>
      </c>
      <c r="J310">
        <v>2</v>
      </c>
      <c r="K310">
        <v>42</v>
      </c>
      <c r="L310">
        <v>12068</v>
      </c>
      <c r="M310" t="s">
        <v>1718</v>
      </c>
      <c r="N310" t="s">
        <v>29</v>
      </c>
      <c r="O310">
        <v>2819406</v>
      </c>
      <c r="P310" t="s">
        <v>1662</v>
      </c>
      <c r="Q310">
        <v>286269</v>
      </c>
      <c r="R310" t="s">
        <v>1663</v>
      </c>
      <c r="S310">
        <v>4</v>
      </c>
      <c r="T310" t="b">
        <v>0</v>
      </c>
      <c r="U310">
        <v>18</v>
      </c>
      <c r="V310">
        <v>2</v>
      </c>
      <c r="W310" t="s">
        <v>35</v>
      </c>
      <c r="X310" t="s">
        <v>1719</v>
      </c>
      <c r="Y310" t="s">
        <v>29</v>
      </c>
      <c r="Z310" t="s">
        <v>37</v>
      </c>
    </row>
    <row r="311" spans="1:26">
      <c r="A311">
        <v>1.8684412755880837E+18</v>
      </c>
      <c r="B311" t="s">
        <v>1646</v>
      </c>
      <c r="C311" t="s">
        <v>1647</v>
      </c>
      <c r="D311" t="s">
        <v>1720</v>
      </c>
      <c r="E311" t="s">
        <v>1721</v>
      </c>
      <c r="F311" t="s">
        <v>29</v>
      </c>
      <c r="G311" t="s">
        <v>1722</v>
      </c>
      <c r="H311" t="s">
        <v>29</v>
      </c>
      <c r="I311">
        <v>4</v>
      </c>
      <c r="J311">
        <v>4</v>
      </c>
      <c r="K311">
        <v>60</v>
      </c>
      <c r="L311">
        <v>19434</v>
      </c>
      <c r="M311" t="s">
        <v>1723</v>
      </c>
      <c r="N311" t="s">
        <v>1652</v>
      </c>
      <c r="O311">
        <v>3768943</v>
      </c>
      <c r="P311" t="s">
        <v>1653</v>
      </c>
      <c r="Q311">
        <v>897934</v>
      </c>
      <c r="R311" t="s">
        <v>1654</v>
      </c>
      <c r="S311">
        <v>28</v>
      </c>
      <c r="T311" t="b">
        <v>0</v>
      </c>
      <c r="U311">
        <v>5</v>
      </c>
      <c r="V311">
        <v>2</v>
      </c>
      <c r="W311" t="s">
        <v>35</v>
      </c>
      <c r="X311" t="s">
        <v>1724</v>
      </c>
      <c r="Y311" t="s">
        <v>29</v>
      </c>
      <c r="Z311" t="s">
        <v>37</v>
      </c>
    </row>
    <row r="312" spans="1:26">
      <c r="A312">
        <v>1.8681191536907264E+18</v>
      </c>
      <c r="B312" t="s">
        <v>1646</v>
      </c>
      <c r="C312" t="s">
        <v>1647</v>
      </c>
      <c r="D312" t="s">
        <v>1725</v>
      </c>
      <c r="E312" t="s">
        <v>1726</v>
      </c>
      <c r="F312" t="s">
        <v>29</v>
      </c>
      <c r="G312" t="s">
        <v>1727</v>
      </c>
      <c r="H312" t="s">
        <v>29</v>
      </c>
      <c r="I312">
        <v>2</v>
      </c>
      <c r="J312">
        <v>2</v>
      </c>
      <c r="K312">
        <v>14</v>
      </c>
      <c r="L312">
        <v>11382</v>
      </c>
      <c r="M312" t="s">
        <v>1728</v>
      </c>
      <c r="N312" t="s">
        <v>1652</v>
      </c>
      <c r="O312">
        <v>3768943</v>
      </c>
      <c r="P312" t="s">
        <v>1653</v>
      </c>
      <c r="Q312">
        <v>897934</v>
      </c>
      <c r="R312" t="s">
        <v>1654</v>
      </c>
      <c r="S312">
        <v>28</v>
      </c>
      <c r="T312" t="b">
        <v>0</v>
      </c>
      <c r="U312">
        <v>0</v>
      </c>
      <c r="V312">
        <v>1</v>
      </c>
      <c r="W312" t="s">
        <v>35</v>
      </c>
      <c r="X312" t="s">
        <v>1729</v>
      </c>
      <c r="Y312" t="s">
        <v>29</v>
      </c>
      <c r="Z312" t="s">
        <v>37</v>
      </c>
    </row>
    <row r="313" spans="1:26">
      <c r="A313">
        <v>1.8684825477110825E+18</v>
      </c>
      <c r="B313" t="s">
        <v>1656</v>
      </c>
      <c r="C313" t="s">
        <v>1657</v>
      </c>
      <c r="D313" t="s">
        <v>1730</v>
      </c>
      <c r="E313" t="s">
        <v>1731</v>
      </c>
      <c r="F313" t="s">
        <v>29</v>
      </c>
      <c r="G313" t="s">
        <v>1732</v>
      </c>
      <c r="H313" t="s">
        <v>29</v>
      </c>
      <c r="I313">
        <v>5</v>
      </c>
      <c r="J313">
        <v>1</v>
      </c>
      <c r="K313">
        <v>19</v>
      </c>
      <c r="L313">
        <v>4825</v>
      </c>
      <c r="M313" t="s">
        <v>52</v>
      </c>
      <c r="N313" t="s">
        <v>1733</v>
      </c>
      <c r="O313">
        <v>2819405</v>
      </c>
      <c r="P313" t="s">
        <v>1662</v>
      </c>
      <c r="Q313">
        <v>286268</v>
      </c>
      <c r="R313" t="s">
        <v>1663</v>
      </c>
      <c r="S313">
        <v>4</v>
      </c>
      <c r="T313" t="b">
        <v>0</v>
      </c>
      <c r="U313">
        <v>1</v>
      </c>
      <c r="V313">
        <v>1</v>
      </c>
      <c r="W313" t="s">
        <v>35</v>
      </c>
      <c r="X313" t="s">
        <v>29</v>
      </c>
      <c r="Y313" t="s">
        <v>1734</v>
      </c>
      <c r="Z313" t="s">
        <v>37</v>
      </c>
    </row>
    <row r="314" spans="1:26">
      <c r="A314">
        <v>1.8683566538355057E+18</v>
      </c>
      <c r="B314" t="s">
        <v>1656</v>
      </c>
      <c r="C314" t="s">
        <v>1657</v>
      </c>
      <c r="D314" t="s">
        <v>1735</v>
      </c>
      <c r="E314" t="s">
        <v>1736</v>
      </c>
      <c r="F314" t="s">
        <v>29</v>
      </c>
      <c r="G314" t="s">
        <v>1737</v>
      </c>
      <c r="H314" t="s">
        <v>1738</v>
      </c>
      <c r="I314">
        <v>12</v>
      </c>
      <c r="J314">
        <v>20</v>
      </c>
      <c r="K314">
        <v>115</v>
      </c>
      <c r="L314">
        <v>8047</v>
      </c>
      <c r="M314" t="s">
        <v>1739</v>
      </c>
      <c r="N314" t="s">
        <v>29</v>
      </c>
      <c r="O314">
        <v>2819406</v>
      </c>
      <c r="P314" t="s">
        <v>1662</v>
      </c>
      <c r="Q314">
        <v>286269</v>
      </c>
      <c r="R314" t="s">
        <v>1663</v>
      </c>
      <c r="S314">
        <v>4</v>
      </c>
      <c r="T314" t="b">
        <v>0</v>
      </c>
      <c r="U314">
        <v>1</v>
      </c>
      <c r="V314">
        <v>1</v>
      </c>
      <c r="W314" t="s">
        <v>35</v>
      </c>
      <c r="X314" t="s">
        <v>1740</v>
      </c>
      <c r="Y314" t="s">
        <v>29</v>
      </c>
      <c r="Z314" t="s">
        <v>37</v>
      </c>
    </row>
    <row r="315" spans="1:26">
      <c r="A315">
        <v>1.8684187074179197E+18</v>
      </c>
      <c r="B315" t="s">
        <v>1646</v>
      </c>
      <c r="C315" t="s">
        <v>1647</v>
      </c>
      <c r="D315" t="s">
        <v>1741</v>
      </c>
      <c r="E315" t="s">
        <v>1742</v>
      </c>
      <c r="F315" t="s">
        <v>29</v>
      </c>
      <c r="G315" t="s">
        <v>1743</v>
      </c>
      <c r="H315" t="s">
        <v>29</v>
      </c>
      <c r="I315">
        <v>14</v>
      </c>
      <c r="J315">
        <v>8</v>
      </c>
      <c r="K315">
        <v>201</v>
      </c>
      <c r="L315">
        <v>10256</v>
      </c>
      <c r="M315" t="s">
        <v>1744</v>
      </c>
      <c r="N315" t="s">
        <v>1652</v>
      </c>
      <c r="O315">
        <v>3768943</v>
      </c>
      <c r="P315" t="s">
        <v>1653</v>
      </c>
      <c r="Q315">
        <v>897934</v>
      </c>
      <c r="R315" t="s">
        <v>1654</v>
      </c>
      <c r="S315">
        <v>28</v>
      </c>
      <c r="T315" t="b">
        <v>0</v>
      </c>
      <c r="U315">
        <v>2</v>
      </c>
      <c r="V315">
        <v>1</v>
      </c>
      <c r="W315" t="s">
        <v>35</v>
      </c>
      <c r="X315" t="s">
        <v>1745</v>
      </c>
      <c r="Y315" t="s">
        <v>29</v>
      </c>
      <c r="Z315" t="s">
        <v>37</v>
      </c>
    </row>
    <row r="316" spans="1:26">
      <c r="A316">
        <v>1.8684014412174298E+18</v>
      </c>
      <c r="B316" t="s">
        <v>1646</v>
      </c>
      <c r="C316" t="s">
        <v>1647</v>
      </c>
      <c r="D316" t="s">
        <v>1746</v>
      </c>
      <c r="E316" t="s">
        <v>1747</v>
      </c>
      <c r="F316" t="s">
        <v>29</v>
      </c>
      <c r="G316" t="s">
        <v>1748</v>
      </c>
      <c r="H316" t="s">
        <v>29</v>
      </c>
      <c r="I316">
        <v>3</v>
      </c>
      <c r="J316">
        <v>1</v>
      </c>
      <c r="K316">
        <v>19</v>
      </c>
      <c r="L316">
        <v>7790</v>
      </c>
      <c r="M316" t="s">
        <v>1749</v>
      </c>
      <c r="N316" t="s">
        <v>1675</v>
      </c>
      <c r="O316">
        <v>3768943</v>
      </c>
      <c r="P316" t="s">
        <v>1653</v>
      </c>
      <c r="Q316">
        <v>897934</v>
      </c>
      <c r="R316" t="s">
        <v>1654</v>
      </c>
      <c r="S316">
        <v>28</v>
      </c>
      <c r="T316" t="b">
        <v>0</v>
      </c>
      <c r="U316">
        <v>0</v>
      </c>
      <c r="V316">
        <v>1</v>
      </c>
      <c r="W316" t="s">
        <v>35</v>
      </c>
      <c r="X316" t="s">
        <v>1750</v>
      </c>
      <c r="Y316" t="s">
        <v>29</v>
      </c>
      <c r="Z316" t="s">
        <v>37</v>
      </c>
    </row>
    <row r="317" spans="1:26">
      <c r="A317">
        <v>1.8683485433389673E+18</v>
      </c>
      <c r="B317" t="s">
        <v>1646</v>
      </c>
      <c r="C317" t="s">
        <v>1647</v>
      </c>
      <c r="D317" t="s">
        <v>1751</v>
      </c>
      <c r="E317" t="s">
        <v>1752</v>
      </c>
      <c r="F317" t="s">
        <v>29</v>
      </c>
      <c r="G317" t="s">
        <v>1753</v>
      </c>
      <c r="H317" t="s">
        <v>29</v>
      </c>
      <c r="I317">
        <v>10</v>
      </c>
      <c r="J317">
        <v>1</v>
      </c>
      <c r="K317">
        <v>30</v>
      </c>
      <c r="L317">
        <v>12019</v>
      </c>
      <c r="M317" t="s">
        <v>1754</v>
      </c>
      <c r="N317" t="s">
        <v>1675</v>
      </c>
      <c r="O317">
        <v>3768924</v>
      </c>
      <c r="P317" t="s">
        <v>1653</v>
      </c>
      <c r="Q317">
        <v>897934</v>
      </c>
      <c r="R317" t="s">
        <v>1654</v>
      </c>
      <c r="S317">
        <v>28</v>
      </c>
      <c r="T317" t="b">
        <v>0</v>
      </c>
      <c r="U317">
        <v>1</v>
      </c>
      <c r="V317">
        <v>0</v>
      </c>
      <c r="W317" t="s">
        <v>35</v>
      </c>
      <c r="X317" t="s">
        <v>1755</v>
      </c>
      <c r="Y317" t="s">
        <v>29</v>
      </c>
      <c r="Z317" t="s">
        <v>37</v>
      </c>
    </row>
    <row r="318" spans="1:26">
      <c r="A318">
        <v>1.8681067023205256E+18</v>
      </c>
      <c r="B318" t="s">
        <v>1646</v>
      </c>
      <c r="C318" t="s">
        <v>1647</v>
      </c>
      <c r="D318" t="s">
        <v>1756</v>
      </c>
      <c r="E318" t="s">
        <v>1757</v>
      </c>
      <c r="F318" t="s">
        <v>29</v>
      </c>
      <c r="G318" t="s">
        <v>1758</v>
      </c>
      <c r="H318" t="s">
        <v>29</v>
      </c>
      <c r="I318">
        <v>3</v>
      </c>
      <c r="J318">
        <v>1</v>
      </c>
      <c r="K318">
        <v>13</v>
      </c>
      <c r="L318">
        <v>11598</v>
      </c>
      <c r="M318" t="s">
        <v>1759</v>
      </c>
      <c r="N318" t="s">
        <v>1760</v>
      </c>
      <c r="O318">
        <v>3768943</v>
      </c>
      <c r="P318" t="s">
        <v>1653</v>
      </c>
      <c r="Q318">
        <v>897934</v>
      </c>
      <c r="R318" t="s">
        <v>1654</v>
      </c>
      <c r="S318">
        <v>28</v>
      </c>
      <c r="T318" t="b">
        <v>0</v>
      </c>
      <c r="U318">
        <v>1</v>
      </c>
      <c r="V318">
        <v>3</v>
      </c>
      <c r="W318" t="s">
        <v>35</v>
      </c>
      <c r="X318" t="s">
        <v>1761</v>
      </c>
      <c r="Y318" t="s">
        <v>29</v>
      </c>
      <c r="Z318" t="s">
        <v>37</v>
      </c>
    </row>
    <row r="319" spans="1:26">
      <c r="A319">
        <v>1.8683818493843256E+18</v>
      </c>
      <c r="B319" t="s">
        <v>1656</v>
      </c>
      <c r="C319" t="s">
        <v>1657</v>
      </c>
      <c r="D319" t="s">
        <v>1762</v>
      </c>
      <c r="E319" t="s">
        <v>1763</v>
      </c>
      <c r="F319" t="s">
        <v>29</v>
      </c>
      <c r="G319" t="s">
        <v>1764</v>
      </c>
      <c r="H319" t="s">
        <v>29</v>
      </c>
      <c r="I319">
        <v>12</v>
      </c>
      <c r="J319">
        <v>31</v>
      </c>
      <c r="K319">
        <v>126</v>
      </c>
      <c r="L319">
        <v>8807</v>
      </c>
      <c r="M319" t="s">
        <v>52</v>
      </c>
      <c r="N319" t="s">
        <v>1765</v>
      </c>
      <c r="O319">
        <v>2819406</v>
      </c>
      <c r="P319" t="s">
        <v>1662</v>
      </c>
      <c r="Q319">
        <v>286268</v>
      </c>
      <c r="R319" t="s">
        <v>1663</v>
      </c>
      <c r="S319">
        <v>4</v>
      </c>
      <c r="T319" t="b">
        <v>0</v>
      </c>
      <c r="U319">
        <v>4</v>
      </c>
      <c r="V319">
        <v>2</v>
      </c>
      <c r="W319" t="s">
        <v>35</v>
      </c>
      <c r="X319" t="s">
        <v>29</v>
      </c>
      <c r="Y319" t="s">
        <v>1766</v>
      </c>
      <c r="Z319" t="s">
        <v>37</v>
      </c>
    </row>
    <row r="320" spans="1:26">
      <c r="A320">
        <v>1.8684000203509681E+18</v>
      </c>
      <c r="B320" t="s">
        <v>1646</v>
      </c>
      <c r="C320" t="s">
        <v>1647</v>
      </c>
      <c r="D320" t="s">
        <v>1767</v>
      </c>
      <c r="E320" t="s">
        <v>1768</v>
      </c>
      <c r="F320" t="s">
        <v>29</v>
      </c>
      <c r="G320" t="s">
        <v>1769</v>
      </c>
      <c r="H320" t="s">
        <v>29</v>
      </c>
      <c r="I320">
        <v>1</v>
      </c>
      <c r="J320">
        <v>1</v>
      </c>
      <c r="K320">
        <v>48</v>
      </c>
      <c r="L320">
        <v>7864</v>
      </c>
      <c r="M320" t="s">
        <v>1770</v>
      </c>
      <c r="N320" t="s">
        <v>1771</v>
      </c>
      <c r="O320">
        <v>3768943</v>
      </c>
      <c r="P320" t="s">
        <v>1653</v>
      </c>
      <c r="Q320">
        <v>897934</v>
      </c>
      <c r="R320" t="s">
        <v>1654</v>
      </c>
      <c r="S320">
        <v>28</v>
      </c>
      <c r="T320" t="b">
        <v>0</v>
      </c>
      <c r="U320">
        <v>0</v>
      </c>
      <c r="V320">
        <v>1</v>
      </c>
      <c r="W320" t="s">
        <v>35</v>
      </c>
      <c r="X320" t="s">
        <v>1772</v>
      </c>
      <c r="Y320" t="s">
        <v>29</v>
      </c>
      <c r="Z320" t="s">
        <v>37</v>
      </c>
    </row>
    <row r="321" spans="1:26">
      <c r="A321">
        <v>1.8683011597079183E+18</v>
      </c>
      <c r="B321" t="s">
        <v>1646</v>
      </c>
      <c r="C321" t="s">
        <v>1647</v>
      </c>
      <c r="D321" t="s">
        <v>1773</v>
      </c>
      <c r="E321" t="s">
        <v>1774</v>
      </c>
      <c r="F321" t="s">
        <v>29</v>
      </c>
      <c r="G321" t="s">
        <v>1775</v>
      </c>
      <c r="H321" t="s">
        <v>29</v>
      </c>
      <c r="I321">
        <v>3</v>
      </c>
      <c r="J321">
        <v>18</v>
      </c>
      <c r="K321">
        <v>279</v>
      </c>
      <c r="L321">
        <v>14168</v>
      </c>
      <c r="M321" t="s">
        <v>1776</v>
      </c>
      <c r="N321" t="s">
        <v>1652</v>
      </c>
      <c r="O321">
        <v>3768943</v>
      </c>
      <c r="P321" t="s">
        <v>1653</v>
      </c>
      <c r="Q321">
        <v>897934</v>
      </c>
      <c r="R321" t="s">
        <v>1654</v>
      </c>
      <c r="S321">
        <v>28</v>
      </c>
      <c r="T321" t="b">
        <v>0</v>
      </c>
      <c r="U321">
        <v>4</v>
      </c>
      <c r="V321">
        <v>1</v>
      </c>
      <c r="W321" t="s">
        <v>35</v>
      </c>
      <c r="X321" t="s">
        <v>1777</v>
      </c>
      <c r="Y321" t="s">
        <v>29</v>
      </c>
      <c r="Z321" t="s">
        <v>37</v>
      </c>
    </row>
    <row r="322" spans="1:26">
      <c r="A322">
        <v>1.8681559625712806E+18</v>
      </c>
      <c r="B322" t="s">
        <v>1646</v>
      </c>
      <c r="C322" t="s">
        <v>1647</v>
      </c>
      <c r="D322" t="s">
        <v>1778</v>
      </c>
      <c r="E322" t="s">
        <v>1779</v>
      </c>
      <c r="F322" t="s">
        <v>29</v>
      </c>
      <c r="G322" t="s">
        <v>1780</v>
      </c>
      <c r="H322" t="s">
        <v>29</v>
      </c>
      <c r="I322">
        <v>2</v>
      </c>
      <c r="J322">
        <v>2</v>
      </c>
      <c r="K322">
        <v>10</v>
      </c>
      <c r="L322">
        <v>9985</v>
      </c>
      <c r="M322" t="s">
        <v>1781</v>
      </c>
      <c r="N322" t="s">
        <v>1760</v>
      </c>
      <c r="O322">
        <v>3768943</v>
      </c>
      <c r="P322" t="s">
        <v>1653</v>
      </c>
      <c r="Q322">
        <v>897934</v>
      </c>
      <c r="R322" t="s">
        <v>1654</v>
      </c>
      <c r="S322">
        <v>28</v>
      </c>
      <c r="T322" t="b">
        <v>0</v>
      </c>
      <c r="U322">
        <v>0</v>
      </c>
      <c r="V322">
        <v>1</v>
      </c>
      <c r="W322" t="s">
        <v>35</v>
      </c>
      <c r="X322" t="s">
        <v>1782</v>
      </c>
      <c r="Y322" t="s">
        <v>29</v>
      </c>
      <c r="Z322" t="s">
        <v>37</v>
      </c>
    </row>
    <row r="323" spans="1:26">
      <c r="A323">
        <v>1.8680835570313462E+18</v>
      </c>
      <c r="B323" t="s">
        <v>1646</v>
      </c>
      <c r="C323" t="s">
        <v>1647</v>
      </c>
      <c r="D323" t="s">
        <v>1783</v>
      </c>
      <c r="E323" t="s">
        <v>1784</v>
      </c>
      <c r="F323" t="s">
        <v>29</v>
      </c>
      <c r="G323" t="s">
        <v>1785</v>
      </c>
      <c r="H323" t="s">
        <v>29</v>
      </c>
      <c r="I323">
        <v>3</v>
      </c>
      <c r="J323">
        <v>2</v>
      </c>
      <c r="K323">
        <v>28</v>
      </c>
      <c r="L323">
        <v>9948</v>
      </c>
      <c r="M323" t="s">
        <v>1786</v>
      </c>
      <c r="N323" t="s">
        <v>1787</v>
      </c>
      <c r="O323">
        <v>3768944</v>
      </c>
      <c r="P323" t="s">
        <v>1653</v>
      </c>
      <c r="Q323">
        <v>897934</v>
      </c>
      <c r="R323" t="s">
        <v>1654</v>
      </c>
      <c r="S323">
        <v>28</v>
      </c>
      <c r="T323" t="b">
        <v>0</v>
      </c>
      <c r="U323">
        <v>0</v>
      </c>
      <c r="V323">
        <v>3</v>
      </c>
      <c r="W323" t="s">
        <v>35</v>
      </c>
      <c r="X323" t="s">
        <v>29</v>
      </c>
      <c r="Y323" t="s">
        <v>1788</v>
      </c>
      <c r="Z323" t="s">
        <v>37</v>
      </c>
    </row>
    <row r="324" spans="1:26">
      <c r="A324">
        <v>1.8683638475573663E+18</v>
      </c>
      <c r="B324" t="s">
        <v>1656</v>
      </c>
      <c r="C324" t="s">
        <v>1657</v>
      </c>
      <c r="D324" t="s">
        <v>1789</v>
      </c>
      <c r="E324" t="s">
        <v>1790</v>
      </c>
      <c r="F324" t="s">
        <v>29</v>
      </c>
      <c r="G324" t="s">
        <v>1791</v>
      </c>
      <c r="H324" t="s">
        <v>29</v>
      </c>
      <c r="I324">
        <v>2</v>
      </c>
      <c r="J324">
        <v>1</v>
      </c>
      <c r="K324">
        <v>23</v>
      </c>
      <c r="L324">
        <v>7604</v>
      </c>
      <c r="M324" t="s">
        <v>1792</v>
      </c>
      <c r="N324" t="s">
        <v>29</v>
      </c>
      <c r="O324">
        <v>2819406</v>
      </c>
      <c r="P324" t="s">
        <v>1662</v>
      </c>
      <c r="Q324">
        <v>286269</v>
      </c>
      <c r="R324" t="s">
        <v>1663</v>
      </c>
      <c r="S324">
        <v>4</v>
      </c>
      <c r="T324" t="b">
        <v>0</v>
      </c>
      <c r="U324">
        <v>1</v>
      </c>
      <c r="V324">
        <v>1</v>
      </c>
      <c r="W324" t="s">
        <v>35</v>
      </c>
      <c r="X324" t="s">
        <v>1793</v>
      </c>
      <c r="Y324" t="s">
        <v>29</v>
      </c>
      <c r="Z324" t="s">
        <v>37</v>
      </c>
    </row>
    <row r="325" spans="1:26">
      <c r="A325">
        <v>1.8684232901566221E+18</v>
      </c>
      <c r="B325" t="s">
        <v>1794</v>
      </c>
      <c r="C325" t="s">
        <v>1795</v>
      </c>
      <c r="D325" t="s">
        <v>1796</v>
      </c>
      <c r="E325" t="s">
        <v>1797</v>
      </c>
      <c r="F325" t="s">
        <v>29</v>
      </c>
      <c r="G325" t="s">
        <v>1798</v>
      </c>
      <c r="H325" t="s">
        <v>29</v>
      </c>
      <c r="I325">
        <v>50</v>
      </c>
      <c r="J325">
        <v>34</v>
      </c>
      <c r="K325">
        <v>388</v>
      </c>
      <c r="L325">
        <v>10053</v>
      </c>
      <c r="M325" t="s">
        <v>1799</v>
      </c>
      <c r="N325" t="s">
        <v>29</v>
      </c>
      <c r="O325">
        <v>509204</v>
      </c>
      <c r="P325" t="s">
        <v>1800</v>
      </c>
      <c r="Q325">
        <v>147136</v>
      </c>
      <c r="R325" t="s">
        <v>1801</v>
      </c>
      <c r="S325">
        <v>2446</v>
      </c>
      <c r="T325" t="b">
        <v>0</v>
      </c>
      <c r="U325">
        <v>12</v>
      </c>
      <c r="V325">
        <v>5</v>
      </c>
      <c r="W325" t="s">
        <v>35</v>
      </c>
      <c r="X325" t="s">
        <v>1802</v>
      </c>
      <c r="Y325" t="s">
        <v>29</v>
      </c>
      <c r="Z325" t="s">
        <v>37</v>
      </c>
    </row>
    <row r="326" spans="1:26">
      <c r="A326">
        <v>1.8684444830014259E+18</v>
      </c>
      <c r="B326" t="s">
        <v>1656</v>
      </c>
      <c r="C326" t="s">
        <v>1657</v>
      </c>
      <c r="D326" t="s">
        <v>1803</v>
      </c>
      <c r="E326" t="s">
        <v>1804</v>
      </c>
      <c r="F326" t="s">
        <v>29</v>
      </c>
      <c r="G326" t="s">
        <v>1805</v>
      </c>
      <c r="H326" t="s">
        <v>29</v>
      </c>
      <c r="I326">
        <v>11</v>
      </c>
      <c r="J326">
        <v>35</v>
      </c>
      <c r="K326">
        <v>185</v>
      </c>
      <c r="L326">
        <v>14310</v>
      </c>
      <c r="M326" t="s">
        <v>52</v>
      </c>
      <c r="N326" t="s">
        <v>1806</v>
      </c>
      <c r="O326">
        <v>2819405</v>
      </c>
      <c r="P326" t="s">
        <v>1662</v>
      </c>
      <c r="Q326">
        <v>286268</v>
      </c>
      <c r="R326" t="s">
        <v>1663</v>
      </c>
      <c r="S326">
        <v>4</v>
      </c>
      <c r="T326" t="b">
        <v>0</v>
      </c>
      <c r="U326">
        <v>2</v>
      </c>
      <c r="V326">
        <v>3</v>
      </c>
      <c r="W326" t="s">
        <v>35</v>
      </c>
      <c r="X326" t="s">
        <v>29</v>
      </c>
      <c r="Y326" t="s">
        <v>1807</v>
      </c>
      <c r="Z326" t="s">
        <v>37</v>
      </c>
    </row>
    <row r="327" spans="1:26">
      <c r="A327">
        <v>1.8683249273690527E+18</v>
      </c>
      <c r="B327" t="s">
        <v>1656</v>
      </c>
      <c r="C327" t="s">
        <v>1657</v>
      </c>
      <c r="D327" t="s">
        <v>1808</v>
      </c>
      <c r="E327" t="s">
        <v>1809</v>
      </c>
      <c r="F327" t="s">
        <v>29</v>
      </c>
      <c r="G327" t="s">
        <v>1810</v>
      </c>
      <c r="H327" t="s">
        <v>29</v>
      </c>
      <c r="I327">
        <v>209</v>
      </c>
      <c r="J327">
        <v>51</v>
      </c>
      <c r="K327">
        <v>643</v>
      </c>
      <c r="L327">
        <v>21326</v>
      </c>
      <c r="M327" t="s">
        <v>1811</v>
      </c>
      <c r="N327" t="s">
        <v>29</v>
      </c>
      <c r="O327">
        <v>2819405</v>
      </c>
      <c r="P327" t="s">
        <v>1662</v>
      </c>
      <c r="Q327">
        <v>286269</v>
      </c>
      <c r="R327" t="s">
        <v>1663</v>
      </c>
      <c r="S327">
        <v>4</v>
      </c>
      <c r="T327" t="b">
        <v>0</v>
      </c>
      <c r="U327">
        <v>8</v>
      </c>
      <c r="V327">
        <v>3</v>
      </c>
      <c r="W327" t="s">
        <v>35</v>
      </c>
      <c r="X327" t="s">
        <v>1812</v>
      </c>
      <c r="Y327" t="s">
        <v>29</v>
      </c>
      <c r="Z327" t="s">
        <v>37</v>
      </c>
    </row>
    <row r="328" spans="1:26">
      <c r="A328">
        <v>1.8684534789111688E+18</v>
      </c>
      <c r="B328" t="s">
        <v>1646</v>
      </c>
      <c r="C328" t="s">
        <v>1647</v>
      </c>
      <c r="D328" t="s">
        <v>1813</v>
      </c>
      <c r="E328" t="s">
        <v>1814</v>
      </c>
      <c r="F328" t="s">
        <v>29</v>
      </c>
      <c r="G328" t="s">
        <v>1815</v>
      </c>
      <c r="H328" t="s">
        <v>29</v>
      </c>
      <c r="I328">
        <v>10</v>
      </c>
      <c r="J328">
        <v>15</v>
      </c>
      <c r="K328">
        <v>144</v>
      </c>
      <c r="L328">
        <v>13487</v>
      </c>
      <c r="M328" t="s">
        <v>1816</v>
      </c>
      <c r="N328" t="s">
        <v>1817</v>
      </c>
      <c r="O328">
        <v>3768943</v>
      </c>
      <c r="P328" t="s">
        <v>1653</v>
      </c>
      <c r="Q328">
        <v>897934</v>
      </c>
      <c r="R328" t="s">
        <v>1654</v>
      </c>
      <c r="S328">
        <v>28</v>
      </c>
      <c r="T328" t="b">
        <v>0</v>
      </c>
      <c r="U328">
        <v>3</v>
      </c>
      <c r="V328">
        <v>1</v>
      </c>
      <c r="W328" t="s">
        <v>35</v>
      </c>
      <c r="X328" t="s">
        <v>1818</v>
      </c>
      <c r="Y328" t="s">
        <v>29</v>
      </c>
      <c r="Z328" t="s">
        <v>37</v>
      </c>
    </row>
    <row r="329" spans="1:26">
      <c r="A329">
        <v>1.8683179074130371E+18</v>
      </c>
      <c r="B329" t="s">
        <v>1646</v>
      </c>
      <c r="C329" t="s">
        <v>1647</v>
      </c>
      <c r="D329" t="s">
        <v>1819</v>
      </c>
      <c r="E329" t="s">
        <v>1820</v>
      </c>
      <c r="F329" t="s">
        <v>1821</v>
      </c>
      <c r="G329" t="s">
        <v>1822</v>
      </c>
      <c r="H329" t="s">
        <v>29</v>
      </c>
      <c r="I329">
        <v>9</v>
      </c>
      <c r="J329">
        <v>39</v>
      </c>
      <c r="K329">
        <v>914</v>
      </c>
      <c r="L329">
        <v>16048</v>
      </c>
      <c r="M329" t="s">
        <v>52</v>
      </c>
      <c r="N329" t="s">
        <v>1823</v>
      </c>
      <c r="O329">
        <v>3768924</v>
      </c>
      <c r="P329" t="s">
        <v>1653</v>
      </c>
      <c r="Q329">
        <v>897934</v>
      </c>
      <c r="R329" t="s">
        <v>1654</v>
      </c>
      <c r="S329">
        <v>28</v>
      </c>
      <c r="T329" t="b">
        <v>0</v>
      </c>
      <c r="U329">
        <v>1</v>
      </c>
      <c r="V329">
        <v>2</v>
      </c>
      <c r="W329" t="s">
        <v>35</v>
      </c>
      <c r="X329" t="s">
        <v>29</v>
      </c>
      <c r="Y329" t="s">
        <v>29</v>
      </c>
      <c r="Z329" t="s">
        <v>37</v>
      </c>
    </row>
    <row r="330" spans="1:26">
      <c r="A330">
        <v>1.8683139688858301E+18</v>
      </c>
      <c r="B330" t="s">
        <v>1646</v>
      </c>
      <c r="C330" t="s">
        <v>1647</v>
      </c>
      <c r="D330" t="s">
        <v>1824</v>
      </c>
      <c r="E330" t="s">
        <v>1825</v>
      </c>
      <c r="F330" t="s">
        <v>29</v>
      </c>
      <c r="G330" t="s">
        <v>1826</v>
      </c>
      <c r="H330" t="s">
        <v>29</v>
      </c>
      <c r="I330">
        <v>4</v>
      </c>
      <c r="J330">
        <v>1</v>
      </c>
      <c r="K330">
        <v>21</v>
      </c>
      <c r="L330">
        <v>7480</v>
      </c>
      <c r="M330" t="s">
        <v>1827</v>
      </c>
      <c r="N330" t="s">
        <v>1652</v>
      </c>
      <c r="O330">
        <v>3768943</v>
      </c>
      <c r="P330" t="s">
        <v>1653</v>
      </c>
      <c r="Q330">
        <v>897934</v>
      </c>
      <c r="R330" t="s">
        <v>1654</v>
      </c>
      <c r="S330">
        <v>28</v>
      </c>
      <c r="T330" t="b">
        <v>0</v>
      </c>
      <c r="U330">
        <v>0</v>
      </c>
      <c r="V330">
        <v>1</v>
      </c>
      <c r="W330" t="s">
        <v>35</v>
      </c>
      <c r="X330" t="s">
        <v>1828</v>
      </c>
      <c r="Y330" t="s">
        <v>29</v>
      </c>
      <c r="Z330" t="s">
        <v>37</v>
      </c>
    </row>
    <row r="331" spans="1:26">
      <c r="A331">
        <v>1.8683934194224543E+18</v>
      </c>
      <c r="B331" t="s">
        <v>1646</v>
      </c>
      <c r="C331" t="s">
        <v>1647</v>
      </c>
      <c r="D331" t="s">
        <v>1829</v>
      </c>
      <c r="E331" t="s">
        <v>1830</v>
      </c>
      <c r="F331" t="s">
        <v>29</v>
      </c>
      <c r="G331" t="s">
        <v>1831</v>
      </c>
      <c r="H331" t="s">
        <v>29</v>
      </c>
      <c r="I331">
        <v>4</v>
      </c>
      <c r="J331">
        <v>2</v>
      </c>
      <c r="K331">
        <v>42</v>
      </c>
      <c r="L331">
        <v>9174</v>
      </c>
      <c r="M331" t="s">
        <v>1832</v>
      </c>
      <c r="N331" t="s">
        <v>1652</v>
      </c>
      <c r="O331">
        <v>3768943</v>
      </c>
      <c r="P331" t="s">
        <v>1653</v>
      </c>
      <c r="Q331">
        <v>897934</v>
      </c>
      <c r="R331" t="s">
        <v>1654</v>
      </c>
      <c r="S331">
        <v>28</v>
      </c>
      <c r="T331" t="b">
        <v>0</v>
      </c>
      <c r="U331">
        <v>1</v>
      </c>
      <c r="V331">
        <v>1</v>
      </c>
      <c r="W331" t="s">
        <v>35</v>
      </c>
      <c r="X331" t="s">
        <v>1833</v>
      </c>
      <c r="Y331" t="s">
        <v>29</v>
      </c>
      <c r="Z331" t="s">
        <v>37</v>
      </c>
    </row>
    <row r="332" spans="1:26">
      <c r="A332">
        <v>1.8680973084594097E+18</v>
      </c>
      <c r="B332" t="s">
        <v>1646</v>
      </c>
      <c r="C332" t="s">
        <v>1647</v>
      </c>
      <c r="D332" t="s">
        <v>1834</v>
      </c>
      <c r="E332" t="s">
        <v>1835</v>
      </c>
      <c r="F332" t="s">
        <v>29</v>
      </c>
      <c r="G332" t="s">
        <v>1836</v>
      </c>
      <c r="H332" t="s">
        <v>29</v>
      </c>
      <c r="I332">
        <v>3</v>
      </c>
      <c r="J332">
        <v>2</v>
      </c>
      <c r="K332">
        <v>30</v>
      </c>
      <c r="L332">
        <v>11560</v>
      </c>
      <c r="M332" t="s">
        <v>1837</v>
      </c>
      <c r="N332" t="s">
        <v>1652</v>
      </c>
      <c r="O332">
        <v>3768944</v>
      </c>
      <c r="P332" t="s">
        <v>1653</v>
      </c>
      <c r="Q332">
        <v>897934</v>
      </c>
      <c r="R332" t="s">
        <v>1654</v>
      </c>
      <c r="S332">
        <v>28</v>
      </c>
      <c r="T332" t="b">
        <v>0</v>
      </c>
      <c r="U332">
        <v>0</v>
      </c>
      <c r="V332">
        <v>2</v>
      </c>
      <c r="W332" t="s">
        <v>35</v>
      </c>
      <c r="X332" t="s">
        <v>1838</v>
      </c>
      <c r="Y332" t="s">
        <v>29</v>
      </c>
      <c r="Z332" t="s">
        <v>37</v>
      </c>
    </row>
    <row r="333" spans="1:26">
      <c r="A333">
        <v>1.8684206634777027E+18</v>
      </c>
      <c r="B333" t="s">
        <v>1656</v>
      </c>
      <c r="C333" t="s">
        <v>1657</v>
      </c>
      <c r="D333" t="s">
        <v>1839</v>
      </c>
      <c r="E333" t="s">
        <v>1840</v>
      </c>
      <c r="F333" t="s">
        <v>29</v>
      </c>
      <c r="G333" t="s">
        <v>1841</v>
      </c>
      <c r="H333" t="s">
        <v>29</v>
      </c>
      <c r="I333">
        <v>8</v>
      </c>
      <c r="J333">
        <v>13</v>
      </c>
      <c r="K333">
        <v>114</v>
      </c>
      <c r="L333">
        <v>8571</v>
      </c>
      <c r="M333" t="s">
        <v>1842</v>
      </c>
      <c r="N333" t="s">
        <v>29</v>
      </c>
      <c r="O333">
        <v>2819405</v>
      </c>
      <c r="P333" t="s">
        <v>1662</v>
      </c>
      <c r="Q333">
        <v>286268</v>
      </c>
      <c r="R333" t="s">
        <v>1663</v>
      </c>
      <c r="S333">
        <v>4</v>
      </c>
      <c r="T333" t="b">
        <v>0</v>
      </c>
      <c r="U333">
        <v>1</v>
      </c>
      <c r="V333">
        <v>1</v>
      </c>
      <c r="W333" t="s">
        <v>35</v>
      </c>
      <c r="X333" t="s">
        <v>1843</v>
      </c>
      <c r="Y333" t="s">
        <v>29</v>
      </c>
      <c r="Z333" t="s">
        <v>37</v>
      </c>
    </row>
    <row r="334" spans="1:26">
      <c r="A334">
        <v>1.8683191998162537E+18</v>
      </c>
      <c r="B334" t="s">
        <v>1656</v>
      </c>
      <c r="C334" t="s">
        <v>1657</v>
      </c>
      <c r="D334" t="s">
        <v>1844</v>
      </c>
      <c r="E334" t="s">
        <v>1845</v>
      </c>
      <c r="F334" t="s">
        <v>29</v>
      </c>
      <c r="G334" t="s">
        <v>1846</v>
      </c>
      <c r="H334" t="s">
        <v>29</v>
      </c>
      <c r="I334">
        <v>2</v>
      </c>
      <c r="J334">
        <v>3</v>
      </c>
      <c r="K334">
        <v>29</v>
      </c>
      <c r="L334">
        <v>7219</v>
      </c>
      <c r="M334" t="s">
        <v>1847</v>
      </c>
      <c r="N334" t="s">
        <v>29</v>
      </c>
      <c r="O334">
        <v>2819408</v>
      </c>
      <c r="P334" t="s">
        <v>1662</v>
      </c>
      <c r="Q334">
        <v>286269</v>
      </c>
      <c r="R334" t="s">
        <v>1663</v>
      </c>
      <c r="S334">
        <v>4</v>
      </c>
      <c r="T334" t="b">
        <v>0</v>
      </c>
      <c r="U334">
        <v>1</v>
      </c>
      <c r="V334">
        <v>1</v>
      </c>
      <c r="W334" t="s">
        <v>35</v>
      </c>
      <c r="X334" t="s">
        <v>1848</v>
      </c>
      <c r="Y334" t="s">
        <v>29</v>
      </c>
      <c r="Z334" t="s">
        <v>37</v>
      </c>
    </row>
    <row r="335" spans="1:26">
      <c r="A335">
        <v>1.8683111380032064E+18</v>
      </c>
      <c r="B335" t="s">
        <v>1656</v>
      </c>
      <c r="C335" t="s">
        <v>1657</v>
      </c>
      <c r="D335" t="s">
        <v>1849</v>
      </c>
      <c r="E335" t="s">
        <v>1850</v>
      </c>
      <c r="F335" t="s">
        <v>29</v>
      </c>
      <c r="G335" t="s">
        <v>1851</v>
      </c>
      <c r="H335" t="s">
        <v>29</v>
      </c>
      <c r="I335">
        <v>24</v>
      </c>
      <c r="J335">
        <v>8</v>
      </c>
      <c r="K335">
        <v>89</v>
      </c>
      <c r="L335">
        <v>6944</v>
      </c>
      <c r="M335" t="s">
        <v>52</v>
      </c>
      <c r="N335" t="s">
        <v>1765</v>
      </c>
      <c r="O335">
        <v>2819408</v>
      </c>
      <c r="P335" t="s">
        <v>1662</v>
      </c>
      <c r="Q335">
        <v>286269</v>
      </c>
      <c r="R335" t="s">
        <v>1663</v>
      </c>
      <c r="S335">
        <v>4</v>
      </c>
      <c r="T335" t="b">
        <v>0</v>
      </c>
      <c r="U335">
        <v>3</v>
      </c>
      <c r="V335">
        <v>1</v>
      </c>
      <c r="W335" t="s">
        <v>35</v>
      </c>
      <c r="X335" t="s">
        <v>29</v>
      </c>
      <c r="Y335" t="s">
        <v>1852</v>
      </c>
      <c r="Z335" t="s">
        <v>37</v>
      </c>
    </row>
    <row r="336" spans="1:26">
      <c r="A336">
        <v>1.8684409582383557E+18</v>
      </c>
      <c r="B336" t="s">
        <v>1656</v>
      </c>
      <c r="C336" t="s">
        <v>1657</v>
      </c>
      <c r="D336" t="s">
        <v>1853</v>
      </c>
      <c r="E336" t="s">
        <v>1854</v>
      </c>
      <c r="F336" t="s">
        <v>29</v>
      </c>
      <c r="G336" t="s">
        <v>1855</v>
      </c>
      <c r="H336" t="s">
        <v>29</v>
      </c>
      <c r="I336">
        <v>19</v>
      </c>
      <c r="J336">
        <v>1</v>
      </c>
      <c r="K336">
        <v>71</v>
      </c>
      <c r="L336">
        <v>9154</v>
      </c>
      <c r="M336" t="s">
        <v>1856</v>
      </c>
      <c r="N336" t="s">
        <v>29</v>
      </c>
      <c r="O336">
        <v>2819409</v>
      </c>
      <c r="P336" t="s">
        <v>1662</v>
      </c>
      <c r="Q336">
        <v>286269</v>
      </c>
      <c r="R336" t="s">
        <v>1663</v>
      </c>
      <c r="S336">
        <v>4</v>
      </c>
      <c r="T336" t="b">
        <v>0</v>
      </c>
      <c r="U336">
        <v>2</v>
      </c>
      <c r="V336">
        <v>2</v>
      </c>
      <c r="W336" t="s">
        <v>35</v>
      </c>
      <c r="X336" t="s">
        <v>1857</v>
      </c>
      <c r="Y336" t="s">
        <v>29</v>
      </c>
      <c r="Z336" t="s">
        <v>37</v>
      </c>
    </row>
    <row r="337" spans="1:26">
      <c r="A337">
        <v>1.868309777727554E+18</v>
      </c>
      <c r="B337" t="s">
        <v>1656</v>
      </c>
      <c r="C337" t="s">
        <v>1657</v>
      </c>
      <c r="D337" t="s">
        <v>1858</v>
      </c>
      <c r="E337" t="s">
        <v>1859</v>
      </c>
      <c r="F337" t="s">
        <v>29</v>
      </c>
      <c r="G337" t="s">
        <v>1860</v>
      </c>
      <c r="H337" t="s">
        <v>29</v>
      </c>
      <c r="I337">
        <v>327</v>
      </c>
      <c r="J337">
        <v>236</v>
      </c>
      <c r="K337">
        <v>1026</v>
      </c>
      <c r="L337">
        <v>33354</v>
      </c>
      <c r="M337" t="s">
        <v>52</v>
      </c>
      <c r="N337" t="s">
        <v>1765</v>
      </c>
      <c r="O337">
        <v>2819409</v>
      </c>
      <c r="P337" t="s">
        <v>1662</v>
      </c>
      <c r="Q337">
        <v>286269</v>
      </c>
      <c r="R337" t="s">
        <v>1663</v>
      </c>
      <c r="S337">
        <v>4</v>
      </c>
      <c r="T337" t="b">
        <v>0</v>
      </c>
      <c r="U337">
        <v>22</v>
      </c>
      <c r="V337">
        <v>16</v>
      </c>
      <c r="W337" t="s">
        <v>35</v>
      </c>
      <c r="X337" t="s">
        <v>29</v>
      </c>
      <c r="Y337" t="s">
        <v>1861</v>
      </c>
      <c r="Z337" t="s">
        <v>37</v>
      </c>
    </row>
    <row r="338" spans="1:26">
      <c r="A338">
        <v>1.8684328616588291E+18</v>
      </c>
      <c r="B338" t="s">
        <v>1862</v>
      </c>
      <c r="C338" t="s">
        <v>1863</v>
      </c>
      <c r="D338" t="s">
        <v>1864</v>
      </c>
      <c r="E338" t="s">
        <v>1865</v>
      </c>
      <c r="F338" t="s">
        <v>29</v>
      </c>
      <c r="G338" t="s">
        <v>1866</v>
      </c>
      <c r="H338" t="s">
        <v>29</v>
      </c>
      <c r="I338">
        <v>123</v>
      </c>
      <c r="J338">
        <v>513</v>
      </c>
      <c r="K338">
        <v>5064</v>
      </c>
      <c r="L338">
        <v>198322</v>
      </c>
      <c r="M338" t="s">
        <v>52</v>
      </c>
      <c r="N338" t="s">
        <v>1867</v>
      </c>
      <c r="O338">
        <v>13492430</v>
      </c>
      <c r="P338" t="s">
        <v>1868</v>
      </c>
      <c r="Q338">
        <v>314515</v>
      </c>
      <c r="R338" t="s">
        <v>1869</v>
      </c>
      <c r="S338">
        <v>708</v>
      </c>
      <c r="T338" t="b">
        <v>0</v>
      </c>
      <c r="U338">
        <v>225</v>
      </c>
      <c r="V338">
        <v>115</v>
      </c>
      <c r="W338" t="s">
        <v>35</v>
      </c>
      <c r="X338" t="s">
        <v>29</v>
      </c>
      <c r="Y338" t="s">
        <v>1870</v>
      </c>
      <c r="Z338" t="s">
        <v>37</v>
      </c>
    </row>
    <row r="339" spans="1:26">
      <c r="A339">
        <v>1.8684300644144947E+18</v>
      </c>
      <c r="B339" t="s">
        <v>1862</v>
      </c>
      <c r="C339" t="s">
        <v>1863</v>
      </c>
      <c r="D339" t="s">
        <v>1871</v>
      </c>
      <c r="E339" t="s">
        <v>1872</v>
      </c>
      <c r="F339" t="s">
        <v>29</v>
      </c>
      <c r="G339" t="s">
        <v>1873</v>
      </c>
      <c r="H339" t="s">
        <v>1874</v>
      </c>
      <c r="I339">
        <v>23</v>
      </c>
      <c r="J339">
        <v>101</v>
      </c>
      <c r="K339">
        <v>1359</v>
      </c>
      <c r="L339">
        <v>42037</v>
      </c>
      <c r="M339" t="s">
        <v>52</v>
      </c>
      <c r="N339" t="s">
        <v>1867</v>
      </c>
      <c r="O339">
        <v>13492430</v>
      </c>
      <c r="P339" t="s">
        <v>1868</v>
      </c>
      <c r="Q339">
        <v>314515</v>
      </c>
      <c r="R339" t="s">
        <v>1869</v>
      </c>
      <c r="S339">
        <v>708</v>
      </c>
      <c r="T339" t="b">
        <v>0</v>
      </c>
      <c r="U339">
        <v>3</v>
      </c>
      <c r="V339">
        <v>37</v>
      </c>
      <c r="W339" t="s">
        <v>35</v>
      </c>
      <c r="X339" t="s">
        <v>29</v>
      </c>
      <c r="Y339" t="s">
        <v>1875</v>
      </c>
      <c r="Z339" t="s">
        <v>37</v>
      </c>
    </row>
    <row r="340" spans="1:26">
      <c r="A340">
        <v>1.8684296182960005E+18</v>
      </c>
      <c r="B340" t="s">
        <v>1862</v>
      </c>
      <c r="C340" t="s">
        <v>1863</v>
      </c>
      <c r="D340" t="s">
        <v>1876</v>
      </c>
      <c r="E340" t="s">
        <v>1877</v>
      </c>
      <c r="F340" t="s">
        <v>29</v>
      </c>
      <c r="G340" t="s">
        <v>1878</v>
      </c>
      <c r="H340" t="s">
        <v>1874</v>
      </c>
      <c r="I340">
        <v>18</v>
      </c>
      <c r="J340">
        <v>89</v>
      </c>
      <c r="K340">
        <v>1049</v>
      </c>
      <c r="L340">
        <v>21052</v>
      </c>
      <c r="M340" t="s">
        <v>52</v>
      </c>
      <c r="N340" t="s">
        <v>1867</v>
      </c>
      <c r="O340">
        <v>13492430</v>
      </c>
      <c r="P340" t="s">
        <v>1868</v>
      </c>
      <c r="Q340">
        <v>314515</v>
      </c>
      <c r="R340" t="s">
        <v>1869</v>
      </c>
      <c r="S340">
        <v>708</v>
      </c>
      <c r="T340" t="b">
        <v>0</v>
      </c>
      <c r="U340">
        <v>3</v>
      </c>
      <c r="V340">
        <v>37</v>
      </c>
      <c r="W340" t="s">
        <v>35</v>
      </c>
      <c r="X340" t="s">
        <v>29</v>
      </c>
      <c r="Y340" t="s">
        <v>1879</v>
      </c>
      <c r="Z340" t="s">
        <v>37</v>
      </c>
    </row>
    <row r="341" spans="1:26">
      <c r="A341">
        <v>1.8684237413460997E+18</v>
      </c>
      <c r="B341" t="s">
        <v>1862</v>
      </c>
      <c r="C341" t="s">
        <v>1863</v>
      </c>
      <c r="D341" t="s">
        <v>1880</v>
      </c>
      <c r="E341" t="s">
        <v>1881</v>
      </c>
      <c r="F341" t="s">
        <v>29</v>
      </c>
      <c r="G341" t="s">
        <v>1882</v>
      </c>
      <c r="H341" t="s">
        <v>29</v>
      </c>
      <c r="I341">
        <v>33</v>
      </c>
      <c r="J341">
        <v>68</v>
      </c>
      <c r="K341">
        <v>437</v>
      </c>
      <c r="L341">
        <v>25553</v>
      </c>
      <c r="M341" t="s">
        <v>52</v>
      </c>
      <c r="N341" t="s">
        <v>1867</v>
      </c>
      <c r="O341">
        <v>13492430</v>
      </c>
      <c r="P341" t="s">
        <v>1868</v>
      </c>
      <c r="Q341">
        <v>314515</v>
      </c>
      <c r="R341" t="s">
        <v>1869</v>
      </c>
      <c r="S341">
        <v>708</v>
      </c>
      <c r="T341" t="b">
        <v>0</v>
      </c>
      <c r="U341">
        <v>65</v>
      </c>
      <c r="V341">
        <v>24</v>
      </c>
      <c r="W341" t="s">
        <v>35</v>
      </c>
      <c r="X341" t="s">
        <v>29</v>
      </c>
      <c r="Y341" t="s">
        <v>1883</v>
      </c>
      <c r="Z341" t="s">
        <v>37</v>
      </c>
    </row>
    <row r="342" spans="1:26">
      <c r="A342">
        <v>1.868420657110729E+18</v>
      </c>
      <c r="B342" t="s">
        <v>1862</v>
      </c>
      <c r="C342" t="s">
        <v>1863</v>
      </c>
      <c r="D342" t="s">
        <v>1884</v>
      </c>
      <c r="E342" t="s">
        <v>1885</v>
      </c>
      <c r="F342" t="s">
        <v>29</v>
      </c>
      <c r="G342" t="s">
        <v>1886</v>
      </c>
      <c r="H342" t="s">
        <v>29</v>
      </c>
      <c r="I342">
        <v>12</v>
      </c>
      <c r="J342">
        <v>49</v>
      </c>
      <c r="K342">
        <v>401</v>
      </c>
      <c r="L342">
        <v>12697</v>
      </c>
      <c r="M342" t="s">
        <v>52</v>
      </c>
      <c r="N342" t="s">
        <v>1867</v>
      </c>
      <c r="O342">
        <v>13492430</v>
      </c>
      <c r="P342" t="s">
        <v>1868</v>
      </c>
      <c r="Q342">
        <v>314515</v>
      </c>
      <c r="R342" t="s">
        <v>1869</v>
      </c>
      <c r="S342">
        <v>708</v>
      </c>
      <c r="T342" t="b">
        <v>0</v>
      </c>
      <c r="U342">
        <v>15</v>
      </c>
      <c r="V342">
        <v>20</v>
      </c>
      <c r="W342" t="s">
        <v>35</v>
      </c>
      <c r="X342" t="s">
        <v>29</v>
      </c>
      <c r="Y342" t="s">
        <v>1887</v>
      </c>
      <c r="Z342" t="s">
        <v>37</v>
      </c>
    </row>
    <row r="343" spans="1:26">
      <c r="A343">
        <v>1.8684041468496407E+18</v>
      </c>
      <c r="B343" t="s">
        <v>1862</v>
      </c>
      <c r="C343" t="s">
        <v>1863</v>
      </c>
      <c r="D343" t="s">
        <v>1888</v>
      </c>
      <c r="E343" t="s">
        <v>1889</v>
      </c>
      <c r="F343" t="s">
        <v>29</v>
      </c>
      <c r="G343" t="s">
        <v>1890</v>
      </c>
      <c r="H343" t="s">
        <v>1891</v>
      </c>
      <c r="I343">
        <v>4</v>
      </c>
      <c r="J343">
        <v>43</v>
      </c>
      <c r="K343">
        <v>231</v>
      </c>
      <c r="L343">
        <v>11412</v>
      </c>
      <c r="M343" t="s">
        <v>52</v>
      </c>
      <c r="N343" t="s">
        <v>1867</v>
      </c>
      <c r="O343">
        <v>13492430</v>
      </c>
      <c r="P343" t="s">
        <v>1868</v>
      </c>
      <c r="Q343">
        <v>314515</v>
      </c>
      <c r="R343" t="s">
        <v>1869</v>
      </c>
      <c r="S343">
        <v>708</v>
      </c>
      <c r="T343" t="b">
        <v>0</v>
      </c>
      <c r="U343">
        <v>11</v>
      </c>
      <c r="V343">
        <v>9</v>
      </c>
      <c r="W343" t="s">
        <v>35</v>
      </c>
      <c r="X343" t="s">
        <v>29</v>
      </c>
      <c r="Y343" t="s">
        <v>1892</v>
      </c>
      <c r="Z343" t="s">
        <v>37</v>
      </c>
    </row>
    <row r="344" spans="1:26">
      <c r="A344">
        <v>1.868394864259285E+18</v>
      </c>
      <c r="B344" t="s">
        <v>1862</v>
      </c>
      <c r="C344" t="s">
        <v>1863</v>
      </c>
      <c r="D344" t="s">
        <v>1893</v>
      </c>
      <c r="E344" t="s">
        <v>1894</v>
      </c>
      <c r="F344" t="s">
        <v>29</v>
      </c>
      <c r="G344" t="s">
        <v>1895</v>
      </c>
      <c r="H344" t="s">
        <v>29</v>
      </c>
      <c r="I344">
        <v>16</v>
      </c>
      <c r="J344">
        <v>41</v>
      </c>
      <c r="K344">
        <v>357</v>
      </c>
      <c r="L344">
        <v>16887</v>
      </c>
      <c r="M344" t="s">
        <v>52</v>
      </c>
      <c r="N344" t="s">
        <v>1867</v>
      </c>
      <c r="O344">
        <v>13492372</v>
      </c>
      <c r="P344" t="s">
        <v>1868</v>
      </c>
      <c r="Q344">
        <v>314515</v>
      </c>
      <c r="R344" t="s">
        <v>1869</v>
      </c>
      <c r="S344">
        <v>708</v>
      </c>
      <c r="T344" t="b">
        <v>0</v>
      </c>
      <c r="U344">
        <v>18</v>
      </c>
      <c r="V344">
        <v>11</v>
      </c>
      <c r="W344" t="s">
        <v>35</v>
      </c>
      <c r="X344" t="s">
        <v>29</v>
      </c>
      <c r="Y344" t="s">
        <v>1896</v>
      </c>
      <c r="Z344" t="s">
        <v>37</v>
      </c>
    </row>
    <row r="345" spans="1:26">
      <c r="A345">
        <v>1.8683897319579075E+18</v>
      </c>
      <c r="B345" t="s">
        <v>1862</v>
      </c>
      <c r="C345" t="s">
        <v>1863</v>
      </c>
      <c r="D345" t="s">
        <v>1897</v>
      </c>
      <c r="E345" t="s">
        <v>1898</v>
      </c>
      <c r="F345" t="s">
        <v>29</v>
      </c>
      <c r="G345" t="s">
        <v>1899</v>
      </c>
      <c r="H345" t="s">
        <v>29</v>
      </c>
      <c r="I345">
        <v>12</v>
      </c>
      <c r="J345">
        <v>48</v>
      </c>
      <c r="K345">
        <v>328</v>
      </c>
      <c r="L345">
        <v>14538</v>
      </c>
      <c r="M345" t="s">
        <v>52</v>
      </c>
      <c r="N345" t="s">
        <v>1867</v>
      </c>
      <c r="O345">
        <v>13492430</v>
      </c>
      <c r="P345" t="s">
        <v>1868</v>
      </c>
      <c r="Q345">
        <v>314515</v>
      </c>
      <c r="R345" t="s">
        <v>1869</v>
      </c>
      <c r="S345">
        <v>708</v>
      </c>
      <c r="T345" t="b">
        <v>0</v>
      </c>
      <c r="U345">
        <v>11</v>
      </c>
      <c r="V345">
        <v>17</v>
      </c>
      <c r="W345" t="s">
        <v>35</v>
      </c>
      <c r="X345" t="s">
        <v>29</v>
      </c>
      <c r="Y345" t="s">
        <v>1900</v>
      </c>
      <c r="Z345" t="s">
        <v>37</v>
      </c>
    </row>
    <row r="346" spans="1:26">
      <c r="A346">
        <v>1.8683860786859052E+18</v>
      </c>
      <c r="B346" t="s">
        <v>1862</v>
      </c>
      <c r="C346" t="s">
        <v>1863</v>
      </c>
      <c r="D346" t="s">
        <v>1901</v>
      </c>
      <c r="E346" t="s">
        <v>1902</v>
      </c>
      <c r="F346" t="s">
        <v>1903</v>
      </c>
      <c r="G346" t="s">
        <v>1904</v>
      </c>
      <c r="H346" t="s">
        <v>1891</v>
      </c>
      <c r="I346">
        <v>8</v>
      </c>
      <c r="J346">
        <v>19</v>
      </c>
      <c r="K346">
        <v>192</v>
      </c>
      <c r="L346">
        <v>9508</v>
      </c>
      <c r="M346" t="s">
        <v>52</v>
      </c>
      <c r="N346" t="s">
        <v>1867</v>
      </c>
      <c r="O346">
        <v>13492430</v>
      </c>
      <c r="P346" t="s">
        <v>1868</v>
      </c>
      <c r="Q346">
        <v>314515</v>
      </c>
      <c r="R346" t="s">
        <v>1869</v>
      </c>
      <c r="S346">
        <v>708</v>
      </c>
      <c r="T346" t="b">
        <v>0</v>
      </c>
      <c r="U346">
        <v>1</v>
      </c>
      <c r="V346">
        <v>4</v>
      </c>
      <c r="W346" t="s">
        <v>35</v>
      </c>
      <c r="X346" t="s">
        <v>29</v>
      </c>
      <c r="Y346" t="s">
        <v>29</v>
      </c>
      <c r="Z346" t="s">
        <v>37</v>
      </c>
    </row>
    <row r="347" spans="1:26">
      <c r="A347">
        <v>1.8683767484815652E+18</v>
      </c>
      <c r="B347" t="s">
        <v>1862</v>
      </c>
      <c r="C347" t="s">
        <v>1863</v>
      </c>
      <c r="D347" t="s">
        <v>1905</v>
      </c>
      <c r="E347" t="s">
        <v>1906</v>
      </c>
      <c r="F347" t="s">
        <v>1907</v>
      </c>
      <c r="G347" t="s">
        <v>1908</v>
      </c>
      <c r="H347" t="s">
        <v>1909</v>
      </c>
      <c r="I347">
        <v>11</v>
      </c>
      <c r="J347">
        <v>17</v>
      </c>
      <c r="K347">
        <v>211</v>
      </c>
      <c r="L347">
        <v>11435</v>
      </c>
      <c r="M347" t="s">
        <v>52</v>
      </c>
      <c r="N347" t="s">
        <v>1867</v>
      </c>
      <c r="O347">
        <v>13492430</v>
      </c>
      <c r="P347" t="s">
        <v>1868</v>
      </c>
      <c r="Q347">
        <v>314515</v>
      </c>
      <c r="R347" t="s">
        <v>1869</v>
      </c>
      <c r="S347">
        <v>708</v>
      </c>
      <c r="T347" t="b">
        <v>0</v>
      </c>
      <c r="U347">
        <v>1</v>
      </c>
      <c r="V347">
        <v>4</v>
      </c>
      <c r="W347" t="s">
        <v>35</v>
      </c>
      <c r="X347" t="s">
        <v>29</v>
      </c>
      <c r="Y347" t="s">
        <v>29</v>
      </c>
      <c r="Z347" t="s">
        <v>37</v>
      </c>
    </row>
    <row r="348" spans="1:26">
      <c r="A348">
        <v>1.868378816789312E+18</v>
      </c>
      <c r="B348" t="s">
        <v>1862</v>
      </c>
      <c r="C348" t="s">
        <v>1863</v>
      </c>
      <c r="D348" t="s">
        <v>1910</v>
      </c>
      <c r="E348" t="s">
        <v>1911</v>
      </c>
      <c r="F348" t="s">
        <v>1912</v>
      </c>
      <c r="G348" t="s">
        <v>1913</v>
      </c>
      <c r="H348" t="s">
        <v>1914</v>
      </c>
      <c r="I348">
        <v>2</v>
      </c>
      <c r="J348">
        <v>18</v>
      </c>
      <c r="K348">
        <v>174</v>
      </c>
      <c r="L348">
        <v>9979</v>
      </c>
      <c r="M348" t="s">
        <v>52</v>
      </c>
      <c r="N348" t="s">
        <v>1867</v>
      </c>
      <c r="O348">
        <v>13492430</v>
      </c>
      <c r="P348" t="s">
        <v>1868</v>
      </c>
      <c r="Q348">
        <v>314515</v>
      </c>
      <c r="R348" t="s">
        <v>1869</v>
      </c>
      <c r="S348">
        <v>708</v>
      </c>
      <c r="T348" t="b">
        <v>0</v>
      </c>
      <c r="U348">
        <v>0</v>
      </c>
      <c r="V348">
        <v>4</v>
      </c>
      <c r="W348" t="s">
        <v>35</v>
      </c>
      <c r="X348" t="s">
        <v>29</v>
      </c>
      <c r="Y348" t="s">
        <v>29</v>
      </c>
      <c r="Z348" t="s">
        <v>37</v>
      </c>
    </row>
    <row r="349" spans="1:26">
      <c r="A349">
        <v>1.8681208753812152E+18</v>
      </c>
      <c r="B349" t="s">
        <v>1656</v>
      </c>
      <c r="C349" t="s">
        <v>1657</v>
      </c>
      <c r="D349" t="s">
        <v>1915</v>
      </c>
      <c r="E349" t="s">
        <v>1916</v>
      </c>
      <c r="F349" t="s">
        <v>29</v>
      </c>
      <c r="G349" t="s">
        <v>1917</v>
      </c>
      <c r="H349" t="s">
        <v>29</v>
      </c>
      <c r="I349">
        <v>8</v>
      </c>
      <c r="J349">
        <v>8</v>
      </c>
      <c r="K349">
        <v>53</v>
      </c>
      <c r="L349">
        <v>15149</v>
      </c>
      <c r="M349" t="s">
        <v>52</v>
      </c>
      <c r="N349" t="s">
        <v>1918</v>
      </c>
      <c r="O349">
        <v>2819409</v>
      </c>
      <c r="P349" t="s">
        <v>1662</v>
      </c>
      <c r="Q349">
        <v>286269</v>
      </c>
      <c r="R349" t="s">
        <v>1663</v>
      </c>
      <c r="S349">
        <v>4</v>
      </c>
      <c r="T349" t="b">
        <v>0</v>
      </c>
      <c r="U349">
        <v>3</v>
      </c>
      <c r="V349">
        <v>3</v>
      </c>
      <c r="W349" t="s">
        <v>35</v>
      </c>
      <c r="X349" t="s">
        <v>29</v>
      </c>
      <c r="Y349" t="s">
        <v>1919</v>
      </c>
      <c r="Z349" t="s">
        <v>37</v>
      </c>
    </row>
    <row r="350" spans="1:26">
      <c r="A350">
        <v>1.8684317008054769E+18</v>
      </c>
      <c r="B350" t="s">
        <v>1862</v>
      </c>
      <c r="C350" t="s">
        <v>1863</v>
      </c>
      <c r="D350" t="s">
        <v>1920</v>
      </c>
      <c r="E350" t="s">
        <v>1921</v>
      </c>
      <c r="F350" t="s">
        <v>29</v>
      </c>
      <c r="G350" t="s">
        <v>1922</v>
      </c>
      <c r="H350" t="s">
        <v>29</v>
      </c>
      <c r="I350">
        <v>18</v>
      </c>
      <c r="J350">
        <v>58</v>
      </c>
      <c r="K350">
        <v>280</v>
      </c>
      <c r="L350">
        <v>18157</v>
      </c>
      <c r="M350" t="s">
        <v>52</v>
      </c>
      <c r="N350" t="s">
        <v>1923</v>
      </c>
      <c r="O350">
        <v>13492430</v>
      </c>
      <c r="P350" t="s">
        <v>1868</v>
      </c>
      <c r="Q350">
        <v>314515</v>
      </c>
      <c r="R350" t="s">
        <v>1869</v>
      </c>
      <c r="S350">
        <v>708</v>
      </c>
      <c r="T350" t="b">
        <v>0</v>
      </c>
      <c r="U350">
        <v>27</v>
      </c>
      <c r="V350">
        <v>15</v>
      </c>
      <c r="W350" t="s">
        <v>35</v>
      </c>
      <c r="X350" t="s">
        <v>29</v>
      </c>
      <c r="Y350" t="s">
        <v>1924</v>
      </c>
      <c r="Z350" t="s">
        <v>37</v>
      </c>
    </row>
    <row r="351" spans="1:26">
      <c r="A351">
        <v>1.8684285925790108E+18</v>
      </c>
      <c r="B351" t="s">
        <v>1862</v>
      </c>
      <c r="C351" t="s">
        <v>1863</v>
      </c>
      <c r="D351" t="s">
        <v>1925</v>
      </c>
      <c r="E351" t="s">
        <v>1926</v>
      </c>
      <c r="F351" t="s">
        <v>29</v>
      </c>
      <c r="G351" t="s">
        <v>1927</v>
      </c>
      <c r="H351" t="s">
        <v>1874</v>
      </c>
      <c r="I351">
        <v>8</v>
      </c>
      <c r="J351">
        <v>91</v>
      </c>
      <c r="K351">
        <v>866</v>
      </c>
      <c r="L351">
        <v>51447</v>
      </c>
      <c r="M351" t="s">
        <v>52</v>
      </c>
      <c r="N351" t="s">
        <v>1867</v>
      </c>
      <c r="O351">
        <v>13492430</v>
      </c>
      <c r="P351" t="s">
        <v>1868</v>
      </c>
      <c r="Q351">
        <v>314515</v>
      </c>
      <c r="R351" t="s">
        <v>1869</v>
      </c>
      <c r="S351">
        <v>708</v>
      </c>
      <c r="T351" t="b">
        <v>0</v>
      </c>
      <c r="U351">
        <v>3</v>
      </c>
      <c r="V351">
        <v>27</v>
      </c>
      <c r="W351" t="s">
        <v>35</v>
      </c>
      <c r="X351" t="s">
        <v>29</v>
      </c>
      <c r="Y351" t="s">
        <v>1928</v>
      </c>
      <c r="Z351" t="s">
        <v>37</v>
      </c>
    </row>
    <row r="352" spans="1:26">
      <c r="A352">
        <v>1.8684156242480128E+18</v>
      </c>
      <c r="B352" t="s">
        <v>1862</v>
      </c>
      <c r="C352" t="s">
        <v>1863</v>
      </c>
      <c r="D352" t="s">
        <v>1929</v>
      </c>
      <c r="E352" t="s">
        <v>1930</v>
      </c>
      <c r="F352" t="s">
        <v>29</v>
      </c>
      <c r="G352" t="s">
        <v>1931</v>
      </c>
      <c r="H352" t="s">
        <v>29</v>
      </c>
      <c r="I352">
        <v>20</v>
      </c>
      <c r="J352">
        <v>38</v>
      </c>
      <c r="K352">
        <v>442</v>
      </c>
      <c r="L352">
        <v>14985</v>
      </c>
      <c r="M352" t="s">
        <v>52</v>
      </c>
      <c r="N352" t="s">
        <v>1867</v>
      </c>
      <c r="O352">
        <v>13492372</v>
      </c>
      <c r="P352" t="s">
        <v>1868</v>
      </c>
      <c r="Q352">
        <v>314515</v>
      </c>
      <c r="R352" t="s">
        <v>1869</v>
      </c>
      <c r="S352">
        <v>708</v>
      </c>
      <c r="T352" t="b">
        <v>0</v>
      </c>
      <c r="U352">
        <v>6</v>
      </c>
      <c r="V352">
        <v>9</v>
      </c>
      <c r="W352" t="s">
        <v>35</v>
      </c>
      <c r="X352" t="s">
        <v>29</v>
      </c>
      <c r="Y352" t="s">
        <v>1932</v>
      </c>
      <c r="Z352" t="s">
        <v>37</v>
      </c>
    </row>
    <row r="353" spans="1:26">
      <c r="A353">
        <v>1.8684126616096812E+18</v>
      </c>
      <c r="B353" t="s">
        <v>1862</v>
      </c>
      <c r="C353" t="s">
        <v>1863</v>
      </c>
      <c r="D353" t="s">
        <v>1933</v>
      </c>
      <c r="E353" t="s">
        <v>1934</v>
      </c>
      <c r="F353" t="s">
        <v>29</v>
      </c>
      <c r="G353" t="s">
        <v>1935</v>
      </c>
      <c r="H353" t="s">
        <v>29</v>
      </c>
      <c r="I353">
        <v>3</v>
      </c>
      <c r="J353">
        <v>20</v>
      </c>
      <c r="K353">
        <v>129</v>
      </c>
      <c r="L353">
        <v>8869</v>
      </c>
      <c r="M353" t="s">
        <v>52</v>
      </c>
      <c r="N353" t="s">
        <v>1867</v>
      </c>
      <c r="O353">
        <v>13492430</v>
      </c>
      <c r="P353" t="s">
        <v>1868</v>
      </c>
      <c r="Q353">
        <v>314515</v>
      </c>
      <c r="R353" t="s">
        <v>1869</v>
      </c>
      <c r="S353">
        <v>708</v>
      </c>
      <c r="T353" t="b">
        <v>0</v>
      </c>
      <c r="U353">
        <v>4</v>
      </c>
      <c r="V353">
        <v>13</v>
      </c>
      <c r="W353" t="s">
        <v>35</v>
      </c>
      <c r="X353" t="s">
        <v>29</v>
      </c>
      <c r="Y353" t="s">
        <v>1936</v>
      </c>
      <c r="Z353" t="s">
        <v>37</v>
      </c>
    </row>
    <row r="354" spans="1:26">
      <c r="A354">
        <v>1.8684077772084838E+18</v>
      </c>
      <c r="B354" t="s">
        <v>1862</v>
      </c>
      <c r="C354" t="s">
        <v>1863</v>
      </c>
      <c r="D354" t="s">
        <v>1937</v>
      </c>
      <c r="E354" t="s">
        <v>1938</v>
      </c>
      <c r="F354" t="s">
        <v>29</v>
      </c>
      <c r="G354" t="s">
        <v>1939</v>
      </c>
      <c r="H354" t="s">
        <v>29</v>
      </c>
      <c r="I354">
        <v>12</v>
      </c>
      <c r="J354">
        <v>107</v>
      </c>
      <c r="K354">
        <v>613</v>
      </c>
      <c r="L354">
        <v>21774</v>
      </c>
      <c r="M354" t="s">
        <v>52</v>
      </c>
      <c r="N354" t="s">
        <v>1867</v>
      </c>
      <c r="O354">
        <v>13492430</v>
      </c>
      <c r="P354" t="s">
        <v>1868</v>
      </c>
      <c r="Q354">
        <v>314515</v>
      </c>
      <c r="R354" t="s">
        <v>1869</v>
      </c>
      <c r="S354">
        <v>708</v>
      </c>
      <c r="T354" t="b">
        <v>0</v>
      </c>
      <c r="U354">
        <v>57</v>
      </c>
      <c r="V354">
        <v>31</v>
      </c>
      <c r="W354" t="s">
        <v>35</v>
      </c>
      <c r="X354" t="s">
        <v>29</v>
      </c>
      <c r="Y354" t="s">
        <v>1940</v>
      </c>
      <c r="Z354" t="s">
        <v>37</v>
      </c>
    </row>
    <row r="355" spans="1:26">
      <c r="A355">
        <v>1.868451827131298E+18</v>
      </c>
      <c r="B355" t="s">
        <v>1862</v>
      </c>
      <c r="C355" t="s">
        <v>1863</v>
      </c>
      <c r="D355" t="s">
        <v>1941</v>
      </c>
      <c r="E355" t="s">
        <v>1942</v>
      </c>
      <c r="F355" t="s">
        <v>1943</v>
      </c>
      <c r="G355" t="s">
        <v>1944</v>
      </c>
      <c r="H355" t="s">
        <v>1874</v>
      </c>
      <c r="I355">
        <v>30</v>
      </c>
      <c r="J355">
        <v>261</v>
      </c>
      <c r="K355">
        <v>5324</v>
      </c>
      <c r="L355">
        <v>95358</v>
      </c>
      <c r="M355" t="s">
        <v>52</v>
      </c>
      <c r="N355" t="s">
        <v>1867</v>
      </c>
      <c r="O355">
        <v>13492372</v>
      </c>
      <c r="P355" t="s">
        <v>1868</v>
      </c>
      <c r="Q355">
        <v>314515</v>
      </c>
      <c r="R355" t="s">
        <v>1869</v>
      </c>
      <c r="S355">
        <v>708</v>
      </c>
      <c r="T355" t="b">
        <v>0</v>
      </c>
      <c r="U355">
        <v>15</v>
      </c>
      <c r="V355">
        <v>66</v>
      </c>
      <c r="W355" t="s">
        <v>35</v>
      </c>
      <c r="X355" t="s">
        <v>29</v>
      </c>
      <c r="Y355" t="s">
        <v>29</v>
      </c>
      <c r="Z355" t="s">
        <v>1945</v>
      </c>
    </row>
    <row r="356" spans="1:26">
      <c r="A356">
        <v>1.8684218496269394E+18</v>
      </c>
      <c r="B356" t="s">
        <v>1862</v>
      </c>
      <c r="C356" t="s">
        <v>1863</v>
      </c>
      <c r="D356" t="s">
        <v>1946</v>
      </c>
      <c r="E356" t="s">
        <v>1947</v>
      </c>
      <c r="F356" t="s">
        <v>29</v>
      </c>
      <c r="G356" t="s">
        <v>1948</v>
      </c>
      <c r="H356" t="s">
        <v>29</v>
      </c>
      <c r="I356">
        <v>95</v>
      </c>
      <c r="J356">
        <v>64</v>
      </c>
      <c r="K356">
        <v>934</v>
      </c>
      <c r="L356">
        <v>60599</v>
      </c>
      <c r="M356" t="s">
        <v>52</v>
      </c>
      <c r="N356" t="s">
        <v>1867</v>
      </c>
      <c r="O356">
        <v>13492430</v>
      </c>
      <c r="P356" t="s">
        <v>1868</v>
      </c>
      <c r="Q356">
        <v>314515</v>
      </c>
      <c r="R356" t="s">
        <v>1869</v>
      </c>
      <c r="S356">
        <v>708</v>
      </c>
      <c r="T356" t="b">
        <v>0</v>
      </c>
      <c r="U356">
        <v>83</v>
      </c>
      <c r="V356">
        <v>28</v>
      </c>
      <c r="W356" t="s">
        <v>35</v>
      </c>
      <c r="X356" t="s">
        <v>29</v>
      </c>
      <c r="Y356" t="s">
        <v>1949</v>
      </c>
      <c r="Z356" t="s">
        <v>37</v>
      </c>
    </row>
    <row r="357" spans="1:26">
      <c r="A357">
        <v>1.8684286700852349E+18</v>
      </c>
      <c r="B357" t="s">
        <v>1862</v>
      </c>
      <c r="C357" t="s">
        <v>1863</v>
      </c>
      <c r="D357" t="s">
        <v>1950</v>
      </c>
      <c r="E357" t="s">
        <v>1951</v>
      </c>
      <c r="F357" t="s">
        <v>1952</v>
      </c>
      <c r="G357" t="s">
        <v>1953</v>
      </c>
      <c r="H357" t="s">
        <v>1874</v>
      </c>
      <c r="I357">
        <v>100</v>
      </c>
      <c r="J357">
        <v>492</v>
      </c>
      <c r="K357">
        <v>6129</v>
      </c>
      <c r="L357">
        <v>121959</v>
      </c>
      <c r="M357" t="s">
        <v>52</v>
      </c>
      <c r="N357" t="s">
        <v>1867</v>
      </c>
      <c r="O357">
        <v>13492430</v>
      </c>
      <c r="P357" t="s">
        <v>1868</v>
      </c>
      <c r="Q357">
        <v>314515</v>
      </c>
      <c r="R357" t="s">
        <v>1869</v>
      </c>
      <c r="S357">
        <v>708</v>
      </c>
      <c r="T357" t="b">
        <v>0</v>
      </c>
      <c r="U357">
        <v>47</v>
      </c>
      <c r="V357">
        <v>79</v>
      </c>
      <c r="W357" t="s">
        <v>35</v>
      </c>
      <c r="X357" t="s">
        <v>29</v>
      </c>
      <c r="Y357" t="s">
        <v>29</v>
      </c>
      <c r="Z357" t="s">
        <v>37</v>
      </c>
    </row>
    <row r="358" spans="1:26">
      <c r="A358">
        <v>1.8682881482430876E+18</v>
      </c>
      <c r="B358" t="s">
        <v>1862</v>
      </c>
      <c r="C358" t="s">
        <v>1863</v>
      </c>
      <c r="D358" t="s">
        <v>1954</v>
      </c>
      <c r="E358" t="s">
        <v>1955</v>
      </c>
      <c r="F358" t="s">
        <v>29</v>
      </c>
      <c r="G358" t="s">
        <v>1956</v>
      </c>
      <c r="H358" t="s">
        <v>29</v>
      </c>
      <c r="I358">
        <v>8</v>
      </c>
      <c r="J358">
        <v>19</v>
      </c>
      <c r="K358">
        <v>130</v>
      </c>
      <c r="L358">
        <v>13069</v>
      </c>
      <c r="M358" t="s">
        <v>52</v>
      </c>
      <c r="N358" t="s">
        <v>1867</v>
      </c>
      <c r="O358">
        <v>13492430</v>
      </c>
      <c r="P358" t="s">
        <v>1868</v>
      </c>
      <c r="Q358">
        <v>314515</v>
      </c>
      <c r="R358" t="s">
        <v>1869</v>
      </c>
      <c r="S358">
        <v>708</v>
      </c>
      <c r="T358" t="b">
        <v>0</v>
      </c>
      <c r="U358">
        <v>11</v>
      </c>
      <c r="V358">
        <v>3</v>
      </c>
      <c r="W358" t="s">
        <v>35</v>
      </c>
      <c r="X358" t="s">
        <v>29</v>
      </c>
      <c r="Y358" t="s">
        <v>1957</v>
      </c>
      <c r="Z358" t="s">
        <v>37</v>
      </c>
    </row>
    <row r="359" spans="1:26">
      <c r="A359">
        <v>1.8681047791524252E+18</v>
      </c>
      <c r="B359" t="s">
        <v>1862</v>
      </c>
      <c r="C359" t="s">
        <v>1863</v>
      </c>
      <c r="D359" t="s">
        <v>1958</v>
      </c>
      <c r="E359" t="s">
        <v>1959</v>
      </c>
      <c r="F359" t="s">
        <v>29</v>
      </c>
      <c r="G359" t="s">
        <v>1960</v>
      </c>
      <c r="H359" t="s">
        <v>29</v>
      </c>
      <c r="I359">
        <v>14</v>
      </c>
      <c r="J359">
        <v>14</v>
      </c>
      <c r="K359">
        <v>126</v>
      </c>
      <c r="L359">
        <v>18466</v>
      </c>
      <c r="M359" t="s">
        <v>52</v>
      </c>
      <c r="N359" t="s">
        <v>1961</v>
      </c>
      <c r="O359">
        <v>13492430</v>
      </c>
      <c r="P359" t="s">
        <v>1868</v>
      </c>
      <c r="Q359">
        <v>314515</v>
      </c>
      <c r="R359" t="s">
        <v>1869</v>
      </c>
      <c r="S359">
        <v>708</v>
      </c>
      <c r="T359" t="b">
        <v>0</v>
      </c>
      <c r="U359">
        <v>8</v>
      </c>
      <c r="V359">
        <v>17</v>
      </c>
      <c r="W359" t="s">
        <v>35</v>
      </c>
      <c r="X359" t="s">
        <v>29</v>
      </c>
      <c r="Y359" t="s">
        <v>1962</v>
      </c>
      <c r="Z359" t="s">
        <v>37</v>
      </c>
    </row>
    <row r="360" spans="1:26">
      <c r="A360">
        <v>1.868092274002764E+18</v>
      </c>
      <c r="B360" t="s">
        <v>1862</v>
      </c>
      <c r="C360" t="s">
        <v>1863</v>
      </c>
      <c r="D360" t="s">
        <v>1963</v>
      </c>
      <c r="E360" t="s">
        <v>1964</v>
      </c>
      <c r="F360" t="s">
        <v>29</v>
      </c>
      <c r="G360" t="s">
        <v>1965</v>
      </c>
      <c r="H360" t="s">
        <v>29</v>
      </c>
      <c r="I360">
        <v>4</v>
      </c>
      <c r="J360">
        <v>9</v>
      </c>
      <c r="K360">
        <v>88</v>
      </c>
      <c r="L360">
        <v>9825</v>
      </c>
      <c r="M360" t="s">
        <v>52</v>
      </c>
      <c r="N360" t="s">
        <v>1961</v>
      </c>
      <c r="O360">
        <v>13492372</v>
      </c>
      <c r="P360" t="s">
        <v>1868</v>
      </c>
      <c r="Q360">
        <v>314515</v>
      </c>
      <c r="R360" t="s">
        <v>1869</v>
      </c>
      <c r="S360">
        <v>708</v>
      </c>
      <c r="T360" t="b">
        <v>0</v>
      </c>
      <c r="U360">
        <v>3</v>
      </c>
      <c r="V360">
        <v>4</v>
      </c>
      <c r="W360" t="s">
        <v>35</v>
      </c>
      <c r="X360" t="s">
        <v>29</v>
      </c>
      <c r="Y360" t="s">
        <v>1966</v>
      </c>
      <c r="Z360" t="s">
        <v>37</v>
      </c>
    </row>
    <row r="361" spans="1:26">
      <c r="A361">
        <v>1.8682144074253768E+18</v>
      </c>
      <c r="B361" t="s">
        <v>1656</v>
      </c>
      <c r="C361" t="s">
        <v>1657</v>
      </c>
      <c r="D361" t="s">
        <v>1967</v>
      </c>
      <c r="E361" t="s">
        <v>1968</v>
      </c>
      <c r="F361" t="s">
        <v>29</v>
      </c>
      <c r="G361" t="s">
        <v>1969</v>
      </c>
      <c r="H361" t="s">
        <v>29</v>
      </c>
      <c r="I361">
        <v>94</v>
      </c>
      <c r="J361">
        <v>5</v>
      </c>
      <c r="K361">
        <v>69</v>
      </c>
      <c r="L361">
        <v>14061</v>
      </c>
      <c r="M361" t="s">
        <v>1970</v>
      </c>
      <c r="N361" t="s">
        <v>29</v>
      </c>
      <c r="O361">
        <v>2819409</v>
      </c>
      <c r="P361" t="s">
        <v>1662</v>
      </c>
      <c r="Q361">
        <v>286269</v>
      </c>
      <c r="R361" t="s">
        <v>1663</v>
      </c>
      <c r="S361">
        <v>4</v>
      </c>
      <c r="T361" t="b">
        <v>0</v>
      </c>
      <c r="U361">
        <v>4</v>
      </c>
      <c r="V361">
        <v>4</v>
      </c>
      <c r="W361" t="s">
        <v>35</v>
      </c>
      <c r="X361" t="s">
        <v>1971</v>
      </c>
      <c r="Y361" t="s">
        <v>29</v>
      </c>
      <c r="Z361" t="s">
        <v>37</v>
      </c>
    </row>
    <row r="362" spans="1:26">
      <c r="A362">
        <v>1.8680990717407196E+18</v>
      </c>
      <c r="B362" t="s">
        <v>1656</v>
      </c>
      <c r="C362" t="s">
        <v>1657</v>
      </c>
      <c r="D362" t="s">
        <v>1972</v>
      </c>
      <c r="E362" t="s">
        <v>1973</v>
      </c>
      <c r="F362" t="s">
        <v>29</v>
      </c>
      <c r="G362" t="s">
        <v>1974</v>
      </c>
      <c r="H362" t="s">
        <v>29</v>
      </c>
      <c r="I362">
        <v>4</v>
      </c>
      <c r="J362">
        <v>7</v>
      </c>
      <c r="K362">
        <v>73</v>
      </c>
      <c r="L362">
        <v>11543</v>
      </c>
      <c r="M362" t="s">
        <v>1975</v>
      </c>
      <c r="N362" t="s">
        <v>29</v>
      </c>
      <c r="O362">
        <v>2819408</v>
      </c>
      <c r="P362" t="s">
        <v>1662</v>
      </c>
      <c r="Q362">
        <v>286269</v>
      </c>
      <c r="R362" t="s">
        <v>1663</v>
      </c>
      <c r="S362">
        <v>4</v>
      </c>
      <c r="T362" t="b">
        <v>0</v>
      </c>
      <c r="U362">
        <v>1</v>
      </c>
      <c r="V362">
        <v>1</v>
      </c>
      <c r="W362" t="s">
        <v>35</v>
      </c>
      <c r="X362" t="s">
        <v>1976</v>
      </c>
      <c r="Y362" t="s">
        <v>29</v>
      </c>
      <c r="Z362" t="s">
        <v>37</v>
      </c>
    </row>
    <row r="363" spans="1:26">
      <c r="A363">
        <v>1.8684381262862833E+18</v>
      </c>
      <c r="B363" t="s">
        <v>1862</v>
      </c>
      <c r="C363" t="s">
        <v>1863</v>
      </c>
      <c r="D363" t="s">
        <v>1977</v>
      </c>
      <c r="E363" t="s">
        <v>1978</v>
      </c>
      <c r="F363" t="s">
        <v>29</v>
      </c>
      <c r="G363" t="s">
        <v>1979</v>
      </c>
      <c r="H363" t="s">
        <v>29</v>
      </c>
      <c r="I363">
        <v>20</v>
      </c>
      <c r="J363">
        <v>46</v>
      </c>
      <c r="K363">
        <v>413</v>
      </c>
      <c r="L363">
        <v>14755</v>
      </c>
      <c r="M363" t="s">
        <v>52</v>
      </c>
      <c r="N363" t="s">
        <v>1867</v>
      </c>
      <c r="O363">
        <v>13492430</v>
      </c>
      <c r="P363" t="s">
        <v>1868</v>
      </c>
      <c r="Q363">
        <v>314515</v>
      </c>
      <c r="R363" t="s">
        <v>1869</v>
      </c>
      <c r="S363">
        <v>708</v>
      </c>
      <c r="T363" t="b">
        <v>0</v>
      </c>
      <c r="U363">
        <v>8</v>
      </c>
      <c r="V363">
        <v>11</v>
      </c>
      <c r="W363" t="s">
        <v>35</v>
      </c>
      <c r="X363" t="s">
        <v>29</v>
      </c>
      <c r="Y363" t="s">
        <v>1980</v>
      </c>
      <c r="Z363" t="s">
        <v>37</v>
      </c>
    </row>
    <row r="364" spans="1:26">
      <c r="A364">
        <v>1.8684364827230331E+18</v>
      </c>
      <c r="B364" t="s">
        <v>1862</v>
      </c>
      <c r="C364" t="s">
        <v>1863</v>
      </c>
      <c r="D364" t="s">
        <v>1981</v>
      </c>
      <c r="E364" t="s">
        <v>1982</v>
      </c>
      <c r="F364" t="s">
        <v>29</v>
      </c>
      <c r="G364" t="s">
        <v>1983</v>
      </c>
      <c r="H364" t="s">
        <v>29</v>
      </c>
      <c r="I364">
        <v>8</v>
      </c>
      <c r="J364">
        <v>22</v>
      </c>
      <c r="K364">
        <v>156</v>
      </c>
      <c r="L364">
        <v>10164</v>
      </c>
      <c r="M364" t="s">
        <v>52</v>
      </c>
      <c r="N364" t="s">
        <v>1867</v>
      </c>
      <c r="O364">
        <v>13492430</v>
      </c>
      <c r="P364" t="s">
        <v>1868</v>
      </c>
      <c r="Q364">
        <v>314515</v>
      </c>
      <c r="R364" t="s">
        <v>1869</v>
      </c>
      <c r="S364">
        <v>708</v>
      </c>
      <c r="T364" t="b">
        <v>0</v>
      </c>
      <c r="U364">
        <v>4</v>
      </c>
      <c r="V364">
        <v>10</v>
      </c>
      <c r="W364" t="s">
        <v>35</v>
      </c>
      <c r="X364" t="s">
        <v>29</v>
      </c>
      <c r="Y364" t="s">
        <v>1984</v>
      </c>
      <c r="Z364" t="s">
        <v>37</v>
      </c>
    </row>
    <row r="365" spans="1:26">
      <c r="A365">
        <v>1.86843233000559E+18</v>
      </c>
      <c r="B365" t="s">
        <v>1862</v>
      </c>
      <c r="C365" t="s">
        <v>1863</v>
      </c>
      <c r="D365" t="s">
        <v>1985</v>
      </c>
      <c r="E365" t="s">
        <v>1986</v>
      </c>
      <c r="F365" t="s">
        <v>29</v>
      </c>
      <c r="G365" t="s">
        <v>1987</v>
      </c>
      <c r="H365" t="s">
        <v>29</v>
      </c>
      <c r="I365">
        <v>6</v>
      </c>
      <c r="J365">
        <v>23</v>
      </c>
      <c r="K365">
        <v>170</v>
      </c>
      <c r="L365">
        <v>11849</v>
      </c>
      <c r="M365" t="s">
        <v>52</v>
      </c>
      <c r="N365" t="s">
        <v>1867</v>
      </c>
      <c r="O365">
        <v>13492430</v>
      </c>
      <c r="P365" t="s">
        <v>1868</v>
      </c>
      <c r="Q365">
        <v>314515</v>
      </c>
      <c r="R365" t="s">
        <v>1869</v>
      </c>
      <c r="S365">
        <v>708</v>
      </c>
      <c r="T365" t="b">
        <v>0</v>
      </c>
      <c r="U365">
        <v>10</v>
      </c>
      <c r="V365">
        <v>13</v>
      </c>
      <c r="W365" t="s">
        <v>35</v>
      </c>
      <c r="X365" t="s">
        <v>29</v>
      </c>
      <c r="Y365" t="s">
        <v>1988</v>
      </c>
      <c r="Z365" t="s">
        <v>37</v>
      </c>
    </row>
    <row r="366" spans="1:26">
      <c r="A366">
        <v>1.8684186656300608E+18</v>
      </c>
      <c r="B366" t="s">
        <v>1862</v>
      </c>
      <c r="C366" t="s">
        <v>1863</v>
      </c>
      <c r="D366" t="s">
        <v>1989</v>
      </c>
      <c r="E366" t="s">
        <v>1990</v>
      </c>
      <c r="F366" t="s">
        <v>29</v>
      </c>
      <c r="G366" t="s">
        <v>1991</v>
      </c>
      <c r="H366" t="s">
        <v>1992</v>
      </c>
      <c r="I366">
        <v>22</v>
      </c>
      <c r="J366">
        <v>46</v>
      </c>
      <c r="K366">
        <v>254</v>
      </c>
      <c r="L366">
        <v>9926</v>
      </c>
      <c r="M366" t="s">
        <v>52</v>
      </c>
      <c r="N366" t="s">
        <v>1867</v>
      </c>
      <c r="O366">
        <v>13492430</v>
      </c>
      <c r="P366" t="s">
        <v>1868</v>
      </c>
      <c r="Q366">
        <v>314515</v>
      </c>
      <c r="R366" t="s">
        <v>1869</v>
      </c>
      <c r="S366">
        <v>708</v>
      </c>
      <c r="T366" t="b">
        <v>0</v>
      </c>
      <c r="U366">
        <v>3</v>
      </c>
      <c r="V366">
        <v>14</v>
      </c>
      <c r="W366" t="s">
        <v>35</v>
      </c>
      <c r="X366" t="s">
        <v>29</v>
      </c>
      <c r="Y366" t="s">
        <v>1993</v>
      </c>
      <c r="Z366" t="s">
        <v>37</v>
      </c>
    </row>
    <row r="367" spans="1:26">
      <c r="A367">
        <v>1.8684182435488932E+18</v>
      </c>
      <c r="B367" t="s">
        <v>1862</v>
      </c>
      <c r="C367" t="s">
        <v>1863</v>
      </c>
      <c r="D367" t="s">
        <v>1994</v>
      </c>
      <c r="E367" t="s">
        <v>1995</v>
      </c>
      <c r="F367" t="s">
        <v>29</v>
      </c>
      <c r="G367" t="s">
        <v>1996</v>
      </c>
      <c r="H367" t="s">
        <v>29</v>
      </c>
      <c r="I367">
        <v>7</v>
      </c>
      <c r="J367">
        <v>61</v>
      </c>
      <c r="K367">
        <v>222</v>
      </c>
      <c r="L367">
        <v>10301</v>
      </c>
      <c r="M367" t="s">
        <v>52</v>
      </c>
      <c r="N367" t="s">
        <v>1867</v>
      </c>
      <c r="O367">
        <v>13492430</v>
      </c>
      <c r="P367" t="s">
        <v>1868</v>
      </c>
      <c r="Q367">
        <v>314515</v>
      </c>
      <c r="R367" t="s">
        <v>1869</v>
      </c>
      <c r="S367">
        <v>708</v>
      </c>
      <c r="T367" t="b">
        <v>0</v>
      </c>
      <c r="U367">
        <v>10</v>
      </c>
      <c r="V367">
        <v>18</v>
      </c>
      <c r="W367" t="s">
        <v>35</v>
      </c>
      <c r="X367" t="s">
        <v>29</v>
      </c>
      <c r="Y367" t="s">
        <v>1997</v>
      </c>
      <c r="Z367" t="s">
        <v>37</v>
      </c>
    </row>
    <row r="368" spans="1:26">
      <c r="A368">
        <v>1.8683994309839549E+18</v>
      </c>
      <c r="B368" t="s">
        <v>1862</v>
      </c>
      <c r="C368" t="s">
        <v>1863</v>
      </c>
      <c r="D368" t="s">
        <v>1998</v>
      </c>
      <c r="E368" t="s">
        <v>1999</v>
      </c>
      <c r="F368" t="s">
        <v>29</v>
      </c>
      <c r="G368" t="s">
        <v>2000</v>
      </c>
      <c r="H368" t="s">
        <v>29</v>
      </c>
      <c r="I368">
        <v>37</v>
      </c>
      <c r="J368">
        <v>30</v>
      </c>
      <c r="K368">
        <v>183</v>
      </c>
      <c r="L368">
        <v>16545</v>
      </c>
      <c r="M368" t="s">
        <v>52</v>
      </c>
      <c r="N368" t="s">
        <v>1867</v>
      </c>
      <c r="O368">
        <v>13492430</v>
      </c>
      <c r="P368" t="s">
        <v>1868</v>
      </c>
      <c r="Q368">
        <v>314515</v>
      </c>
      <c r="R368" t="s">
        <v>1869</v>
      </c>
      <c r="S368">
        <v>708</v>
      </c>
      <c r="T368" t="b">
        <v>0</v>
      </c>
      <c r="U368">
        <v>35</v>
      </c>
      <c r="V368">
        <v>10</v>
      </c>
      <c r="W368" t="s">
        <v>35</v>
      </c>
      <c r="X368" t="s">
        <v>29</v>
      </c>
      <c r="Y368" t="s">
        <v>2001</v>
      </c>
      <c r="Z368" t="s">
        <v>37</v>
      </c>
    </row>
    <row r="369" spans="1:26">
      <c r="A369">
        <v>1.86810455799935E+18</v>
      </c>
      <c r="B369" t="s">
        <v>1656</v>
      </c>
      <c r="C369" t="s">
        <v>1657</v>
      </c>
      <c r="D369" t="s">
        <v>2002</v>
      </c>
      <c r="E369" t="s">
        <v>2003</v>
      </c>
      <c r="F369" t="s">
        <v>29</v>
      </c>
      <c r="G369" t="s">
        <v>2004</v>
      </c>
      <c r="H369" t="s">
        <v>29</v>
      </c>
      <c r="I369">
        <v>18</v>
      </c>
      <c r="J369">
        <v>13</v>
      </c>
      <c r="K369">
        <v>73</v>
      </c>
      <c r="L369">
        <v>13828</v>
      </c>
      <c r="M369" t="s">
        <v>2005</v>
      </c>
      <c r="N369" t="s">
        <v>29</v>
      </c>
      <c r="O369">
        <v>2819408</v>
      </c>
      <c r="P369" t="s">
        <v>1662</v>
      </c>
      <c r="Q369">
        <v>286269</v>
      </c>
      <c r="R369" t="s">
        <v>1663</v>
      </c>
      <c r="S369">
        <v>4</v>
      </c>
      <c r="T369" t="b">
        <v>0</v>
      </c>
      <c r="U369">
        <v>4</v>
      </c>
      <c r="V369">
        <v>2</v>
      </c>
      <c r="W369" t="s">
        <v>35</v>
      </c>
      <c r="X369" t="s">
        <v>2006</v>
      </c>
      <c r="Y369" t="s">
        <v>29</v>
      </c>
      <c r="Z369" t="s">
        <v>37</v>
      </c>
    </row>
    <row r="370" spans="1:26">
      <c r="A370">
        <v>1.868452175829185E+18</v>
      </c>
      <c r="B370" t="s">
        <v>1862</v>
      </c>
      <c r="C370" t="s">
        <v>1863</v>
      </c>
      <c r="D370" t="s">
        <v>2007</v>
      </c>
      <c r="E370" t="s">
        <v>2008</v>
      </c>
      <c r="F370" t="s">
        <v>29</v>
      </c>
      <c r="G370" t="s">
        <v>2009</v>
      </c>
      <c r="H370" t="s">
        <v>29</v>
      </c>
      <c r="I370">
        <v>4</v>
      </c>
      <c r="J370">
        <v>17</v>
      </c>
      <c r="K370">
        <v>136</v>
      </c>
      <c r="L370">
        <v>9853</v>
      </c>
      <c r="M370" t="s">
        <v>52</v>
      </c>
      <c r="N370" t="s">
        <v>2010</v>
      </c>
      <c r="O370">
        <v>13492430</v>
      </c>
      <c r="P370" t="s">
        <v>1868</v>
      </c>
      <c r="Q370">
        <v>314515</v>
      </c>
      <c r="R370" t="s">
        <v>1869</v>
      </c>
      <c r="S370">
        <v>708</v>
      </c>
      <c r="T370" t="b">
        <v>0</v>
      </c>
      <c r="U370">
        <v>3</v>
      </c>
      <c r="V370">
        <v>8</v>
      </c>
      <c r="W370" t="s">
        <v>35</v>
      </c>
      <c r="X370" t="s">
        <v>29</v>
      </c>
      <c r="Y370" t="s">
        <v>2011</v>
      </c>
      <c r="Z370" t="s">
        <v>37</v>
      </c>
    </row>
    <row r="371" spans="1:26">
      <c r="A371">
        <v>1.8684337052927798E+18</v>
      </c>
      <c r="B371" t="s">
        <v>1862</v>
      </c>
      <c r="C371" t="s">
        <v>1863</v>
      </c>
      <c r="D371" t="s">
        <v>2012</v>
      </c>
      <c r="E371" t="s">
        <v>2013</v>
      </c>
      <c r="F371" t="s">
        <v>29</v>
      </c>
      <c r="G371" t="s">
        <v>2014</v>
      </c>
      <c r="H371" t="s">
        <v>29</v>
      </c>
      <c r="I371">
        <v>9</v>
      </c>
      <c r="J371">
        <v>22</v>
      </c>
      <c r="K371">
        <v>152</v>
      </c>
      <c r="L371">
        <v>10194</v>
      </c>
      <c r="M371" t="s">
        <v>52</v>
      </c>
      <c r="N371" t="s">
        <v>1867</v>
      </c>
      <c r="O371">
        <v>13492430</v>
      </c>
      <c r="P371" t="s">
        <v>1868</v>
      </c>
      <c r="Q371">
        <v>314515</v>
      </c>
      <c r="R371" t="s">
        <v>1869</v>
      </c>
      <c r="S371">
        <v>708</v>
      </c>
      <c r="T371" t="b">
        <v>0</v>
      </c>
      <c r="U371">
        <v>3</v>
      </c>
      <c r="V371">
        <v>6</v>
      </c>
      <c r="W371" t="s">
        <v>35</v>
      </c>
      <c r="X371" t="s">
        <v>29</v>
      </c>
      <c r="Y371" t="s">
        <v>2015</v>
      </c>
      <c r="Z371" t="s">
        <v>37</v>
      </c>
    </row>
    <row r="372" spans="1:26">
      <c r="A372">
        <v>1.8684349860528581E+18</v>
      </c>
      <c r="B372" t="s">
        <v>1862</v>
      </c>
      <c r="C372" t="s">
        <v>1863</v>
      </c>
      <c r="D372" t="s">
        <v>2016</v>
      </c>
      <c r="E372" t="s">
        <v>2017</v>
      </c>
      <c r="F372" t="s">
        <v>29</v>
      </c>
      <c r="G372" t="s">
        <v>2018</v>
      </c>
      <c r="H372" t="s">
        <v>29</v>
      </c>
      <c r="I372">
        <v>15</v>
      </c>
      <c r="J372">
        <v>58</v>
      </c>
      <c r="K372">
        <v>466</v>
      </c>
      <c r="L372">
        <v>18500</v>
      </c>
      <c r="M372" t="s">
        <v>52</v>
      </c>
      <c r="N372" t="s">
        <v>1867</v>
      </c>
      <c r="O372">
        <v>13492430</v>
      </c>
      <c r="P372" t="s">
        <v>1868</v>
      </c>
      <c r="Q372">
        <v>314515</v>
      </c>
      <c r="R372" t="s">
        <v>1869</v>
      </c>
      <c r="S372">
        <v>708</v>
      </c>
      <c r="T372" t="b">
        <v>0</v>
      </c>
      <c r="U372">
        <v>9</v>
      </c>
      <c r="V372">
        <v>24</v>
      </c>
      <c r="W372" t="s">
        <v>35</v>
      </c>
      <c r="X372" t="s">
        <v>29</v>
      </c>
      <c r="Y372" t="s">
        <v>2019</v>
      </c>
      <c r="Z372" t="s">
        <v>37</v>
      </c>
    </row>
    <row r="373" spans="1:26">
      <c r="A373">
        <v>1.868430586404086E+18</v>
      </c>
      <c r="B373" t="s">
        <v>1862</v>
      </c>
      <c r="C373" t="s">
        <v>1863</v>
      </c>
      <c r="D373" t="s">
        <v>2020</v>
      </c>
      <c r="E373" t="s">
        <v>2021</v>
      </c>
      <c r="F373" t="s">
        <v>29</v>
      </c>
      <c r="G373" t="s">
        <v>2022</v>
      </c>
      <c r="H373" t="s">
        <v>1874</v>
      </c>
      <c r="I373">
        <v>18</v>
      </c>
      <c r="J373">
        <v>150</v>
      </c>
      <c r="K373">
        <v>1740</v>
      </c>
      <c r="L373">
        <v>43252</v>
      </c>
      <c r="M373" t="s">
        <v>52</v>
      </c>
      <c r="N373" t="s">
        <v>1867</v>
      </c>
      <c r="O373">
        <v>13492372</v>
      </c>
      <c r="P373" t="s">
        <v>1868</v>
      </c>
      <c r="Q373">
        <v>314515</v>
      </c>
      <c r="R373" t="s">
        <v>1869</v>
      </c>
      <c r="S373">
        <v>708</v>
      </c>
      <c r="T373" t="b">
        <v>0</v>
      </c>
      <c r="U373">
        <v>17</v>
      </c>
      <c r="V373">
        <v>45</v>
      </c>
      <c r="W373" t="s">
        <v>35</v>
      </c>
      <c r="X373" t="s">
        <v>29</v>
      </c>
      <c r="Y373" t="s">
        <v>2023</v>
      </c>
      <c r="Z373" t="s">
        <v>37</v>
      </c>
    </row>
    <row r="374" spans="1:26">
      <c r="A374">
        <v>1.8684202794514601E+18</v>
      </c>
      <c r="B374" t="s">
        <v>1862</v>
      </c>
      <c r="C374" t="s">
        <v>1863</v>
      </c>
      <c r="D374" t="s">
        <v>2024</v>
      </c>
      <c r="E374" t="s">
        <v>2025</v>
      </c>
      <c r="F374" t="s">
        <v>29</v>
      </c>
      <c r="G374" t="s">
        <v>2026</v>
      </c>
      <c r="H374" t="s">
        <v>29</v>
      </c>
      <c r="I374">
        <v>23</v>
      </c>
      <c r="J374">
        <v>60</v>
      </c>
      <c r="K374">
        <v>399</v>
      </c>
      <c r="L374">
        <v>19688</v>
      </c>
      <c r="M374" t="s">
        <v>52</v>
      </c>
      <c r="N374" t="s">
        <v>1867</v>
      </c>
      <c r="O374">
        <v>13492430</v>
      </c>
      <c r="P374" t="s">
        <v>1868</v>
      </c>
      <c r="Q374">
        <v>314515</v>
      </c>
      <c r="R374" t="s">
        <v>1869</v>
      </c>
      <c r="S374">
        <v>708</v>
      </c>
      <c r="T374" t="b">
        <v>0</v>
      </c>
      <c r="U374">
        <v>27</v>
      </c>
      <c r="V374">
        <v>20</v>
      </c>
      <c r="W374" t="s">
        <v>35</v>
      </c>
      <c r="X374" t="s">
        <v>29</v>
      </c>
      <c r="Y374" t="s">
        <v>2027</v>
      </c>
      <c r="Z374" t="s">
        <v>37</v>
      </c>
    </row>
    <row r="375" spans="1:26">
      <c r="A375">
        <v>1.8683952884796416E+18</v>
      </c>
      <c r="B375" t="s">
        <v>1862</v>
      </c>
      <c r="C375" t="s">
        <v>1863</v>
      </c>
      <c r="D375" t="s">
        <v>2028</v>
      </c>
      <c r="E375" t="s">
        <v>2029</v>
      </c>
      <c r="F375" t="s">
        <v>29</v>
      </c>
      <c r="G375" t="s">
        <v>2030</v>
      </c>
      <c r="H375" t="s">
        <v>29</v>
      </c>
      <c r="I375">
        <v>4</v>
      </c>
      <c r="J375">
        <v>20</v>
      </c>
      <c r="K375">
        <v>151</v>
      </c>
      <c r="L375">
        <v>9038</v>
      </c>
      <c r="M375" t="s">
        <v>52</v>
      </c>
      <c r="N375" t="s">
        <v>1867</v>
      </c>
      <c r="O375">
        <v>13492430</v>
      </c>
      <c r="P375" t="s">
        <v>1868</v>
      </c>
      <c r="Q375">
        <v>314515</v>
      </c>
      <c r="R375" t="s">
        <v>1869</v>
      </c>
      <c r="S375">
        <v>708</v>
      </c>
      <c r="T375" t="b">
        <v>0</v>
      </c>
      <c r="U375">
        <v>6</v>
      </c>
      <c r="V375">
        <v>3</v>
      </c>
      <c r="W375" t="s">
        <v>35</v>
      </c>
      <c r="X375" t="s">
        <v>29</v>
      </c>
      <c r="Y375" t="s">
        <v>2031</v>
      </c>
      <c r="Z375" t="s">
        <v>37</v>
      </c>
    </row>
    <row r="376" spans="1:26">
      <c r="A376">
        <v>1.868393371951039E+18</v>
      </c>
      <c r="B376" t="s">
        <v>1862</v>
      </c>
      <c r="C376" t="s">
        <v>1863</v>
      </c>
      <c r="D376" t="s">
        <v>2032</v>
      </c>
      <c r="E376" t="s">
        <v>2033</v>
      </c>
      <c r="F376" t="s">
        <v>29</v>
      </c>
      <c r="G376" t="s">
        <v>2034</v>
      </c>
      <c r="H376" t="s">
        <v>2035</v>
      </c>
      <c r="I376">
        <v>8</v>
      </c>
      <c r="J376">
        <v>30</v>
      </c>
      <c r="K376">
        <v>163</v>
      </c>
      <c r="L376">
        <v>8633</v>
      </c>
      <c r="M376" t="s">
        <v>52</v>
      </c>
      <c r="N376" t="s">
        <v>1867</v>
      </c>
      <c r="O376">
        <v>13492430</v>
      </c>
      <c r="P376" t="s">
        <v>1868</v>
      </c>
      <c r="Q376">
        <v>314515</v>
      </c>
      <c r="R376" t="s">
        <v>1869</v>
      </c>
      <c r="S376">
        <v>708</v>
      </c>
      <c r="T376" t="b">
        <v>0</v>
      </c>
      <c r="U376">
        <v>7</v>
      </c>
      <c r="V376">
        <v>8</v>
      </c>
      <c r="W376" t="s">
        <v>35</v>
      </c>
      <c r="X376" t="s">
        <v>29</v>
      </c>
      <c r="Y376" t="s">
        <v>2036</v>
      </c>
      <c r="Z376" t="s">
        <v>37</v>
      </c>
    </row>
    <row r="377" spans="1:26">
      <c r="A377">
        <v>1.8680901287421586E+18</v>
      </c>
      <c r="B377" t="s">
        <v>1862</v>
      </c>
      <c r="C377" t="s">
        <v>1863</v>
      </c>
      <c r="D377" t="s">
        <v>2037</v>
      </c>
      <c r="E377" t="s">
        <v>2038</v>
      </c>
      <c r="F377" t="s">
        <v>29</v>
      </c>
      <c r="G377" t="s">
        <v>2039</v>
      </c>
      <c r="H377" t="s">
        <v>29</v>
      </c>
      <c r="I377">
        <v>5</v>
      </c>
      <c r="J377">
        <v>11</v>
      </c>
      <c r="K377">
        <v>156</v>
      </c>
      <c r="L377">
        <v>10678</v>
      </c>
      <c r="M377" t="s">
        <v>52</v>
      </c>
      <c r="N377" t="s">
        <v>1961</v>
      </c>
      <c r="O377">
        <v>13492430</v>
      </c>
      <c r="P377" t="s">
        <v>1868</v>
      </c>
      <c r="Q377">
        <v>314515</v>
      </c>
      <c r="R377" t="s">
        <v>1869</v>
      </c>
      <c r="S377">
        <v>708</v>
      </c>
      <c r="T377" t="b">
        <v>0</v>
      </c>
      <c r="U377">
        <v>6</v>
      </c>
      <c r="V377">
        <v>9</v>
      </c>
      <c r="W377" t="s">
        <v>35</v>
      </c>
      <c r="X377" t="s">
        <v>29</v>
      </c>
      <c r="Y377" t="s">
        <v>2040</v>
      </c>
      <c r="Z377" t="s">
        <v>37</v>
      </c>
    </row>
    <row r="378" spans="1:26">
      <c r="A378">
        <v>1.8682993587827999E+18</v>
      </c>
      <c r="B378" t="s">
        <v>1656</v>
      </c>
      <c r="C378" t="s">
        <v>1657</v>
      </c>
      <c r="D378" t="s">
        <v>2041</v>
      </c>
      <c r="E378" t="s">
        <v>2042</v>
      </c>
      <c r="F378" t="s">
        <v>29</v>
      </c>
      <c r="G378" t="s">
        <v>2043</v>
      </c>
      <c r="H378" t="s">
        <v>29</v>
      </c>
      <c r="I378">
        <v>193</v>
      </c>
      <c r="J378">
        <v>71</v>
      </c>
      <c r="K378">
        <v>847</v>
      </c>
      <c r="L378">
        <v>23155</v>
      </c>
      <c r="M378" t="s">
        <v>2044</v>
      </c>
      <c r="N378" t="s">
        <v>29</v>
      </c>
      <c r="O378">
        <v>2819409</v>
      </c>
      <c r="P378" t="s">
        <v>1662</v>
      </c>
      <c r="Q378">
        <v>286269</v>
      </c>
      <c r="R378" t="s">
        <v>1663</v>
      </c>
      <c r="S378">
        <v>4</v>
      </c>
      <c r="T378" t="b">
        <v>0</v>
      </c>
      <c r="U378">
        <v>19</v>
      </c>
      <c r="V378">
        <v>3</v>
      </c>
      <c r="W378" t="s">
        <v>35</v>
      </c>
      <c r="X378" t="s">
        <v>2045</v>
      </c>
      <c r="Y378" t="s">
        <v>29</v>
      </c>
      <c r="Z378" t="s">
        <v>37</v>
      </c>
    </row>
    <row r="379" spans="1:26">
      <c r="A379">
        <v>1.8682216160079176E+18</v>
      </c>
      <c r="B379" t="s">
        <v>1656</v>
      </c>
      <c r="C379" t="s">
        <v>1657</v>
      </c>
      <c r="D379" t="s">
        <v>2046</v>
      </c>
      <c r="E379" t="s">
        <v>2047</v>
      </c>
      <c r="F379" t="s">
        <v>29</v>
      </c>
      <c r="G379" t="s">
        <v>2048</v>
      </c>
      <c r="H379" t="s">
        <v>2049</v>
      </c>
      <c r="I379">
        <v>29</v>
      </c>
      <c r="J379">
        <v>40</v>
      </c>
      <c r="K379">
        <v>154</v>
      </c>
      <c r="L379">
        <v>18057</v>
      </c>
      <c r="M379" t="s">
        <v>2050</v>
      </c>
      <c r="N379" t="s">
        <v>29</v>
      </c>
      <c r="O379">
        <v>2819409</v>
      </c>
      <c r="P379" t="s">
        <v>1662</v>
      </c>
      <c r="Q379">
        <v>286269</v>
      </c>
      <c r="R379" t="s">
        <v>1663</v>
      </c>
      <c r="S379">
        <v>4</v>
      </c>
      <c r="T379" t="b">
        <v>0</v>
      </c>
      <c r="U379">
        <v>6</v>
      </c>
      <c r="V379">
        <v>14</v>
      </c>
      <c r="W379" t="s">
        <v>35</v>
      </c>
      <c r="X379" t="s">
        <v>2051</v>
      </c>
      <c r="Y379" t="s">
        <v>29</v>
      </c>
      <c r="Z379" t="s">
        <v>37</v>
      </c>
    </row>
    <row r="380" spans="1:26">
      <c r="A380">
        <v>1.8684371794347709E+18</v>
      </c>
      <c r="B380" t="s">
        <v>1862</v>
      </c>
      <c r="C380" t="s">
        <v>1863</v>
      </c>
      <c r="D380" t="s">
        <v>2052</v>
      </c>
      <c r="E380" t="s">
        <v>2053</v>
      </c>
      <c r="F380" t="s">
        <v>29</v>
      </c>
      <c r="G380" t="s">
        <v>2054</v>
      </c>
      <c r="H380" t="s">
        <v>29</v>
      </c>
      <c r="I380">
        <v>9</v>
      </c>
      <c r="J380">
        <v>41</v>
      </c>
      <c r="K380">
        <v>325</v>
      </c>
      <c r="L380">
        <v>13861</v>
      </c>
      <c r="M380" t="s">
        <v>52</v>
      </c>
      <c r="N380" t="s">
        <v>1867</v>
      </c>
      <c r="O380">
        <v>13492430</v>
      </c>
      <c r="P380" t="s">
        <v>1868</v>
      </c>
      <c r="Q380">
        <v>314515</v>
      </c>
      <c r="R380" t="s">
        <v>1869</v>
      </c>
      <c r="S380">
        <v>708</v>
      </c>
      <c r="T380" t="b">
        <v>0</v>
      </c>
      <c r="U380">
        <v>5</v>
      </c>
      <c r="V380">
        <v>14</v>
      </c>
      <c r="W380" t="s">
        <v>35</v>
      </c>
      <c r="X380" t="s">
        <v>29</v>
      </c>
      <c r="Y380" t="s">
        <v>2055</v>
      </c>
      <c r="Z380" t="s">
        <v>37</v>
      </c>
    </row>
    <row r="381" spans="1:26">
      <c r="A381">
        <v>1.8684051906315267E+18</v>
      </c>
      <c r="B381" t="s">
        <v>1862</v>
      </c>
      <c r="C381" t="s">
        <v>1863</v>
      </c>
      <c r="D381" t="s">
        <v>2056</v>
      </c>
      <c r="E381" t="s">
        <v>2057</v>
      </c>
      <c r="F381" t="s">
        <v>29</v>
      </c>
      <c r="G381" t="s">
        <v>2058</v>
      </c>
      <c r="H381" t="s">
        <v>2059</v>
      </c>
      <c r="I381">
        <v>5</v>
      </c>
      <c r="J381">
        <v>18</v>
      </c>
      <c r="K381">
        <v>196</v>
      </c>
      <c r="L381">
        <v>19291</v>
      </c>
      <c r="M381" t="s">
        <v>52</v>
      </c>
      <c r="N381" t="s">
        <v>1867</v>
      </c>
      <c r="O381">
        <v>13492430</v>
      </c>
      <c r="P381" t="s">
        <v>1868</v>
      </c>
      <c r="Q381">
        <v>314515</v>
      </c>
      <c r="R381" t="s">
        <v>1869</v>
      </c>
      <c r="S381">
        <v>708</v>
      </c>
      <c r="T381" t="b">
        <v>0</v>
      </c>
      <c r="U381">
        <v>2</v>
      </c>
      <c r="V381">
        <v>11</v>
      </c>
      <c r="W381" t="s">
        <v>35</v>
      </c>
      <c r="X381" t="s">
        <v>29</v>
      </c>
      <c r="Y381" t="s">
        <v>2060</v>
      </c>
      <c r="Z381" t="s">
        <v>37</v>
      </c>
    </row>
    <row r="382" spans="1:26">
      <c r="A382">
        <v>1.8683998456327949E+18</v>
      </c>
      <c r="B382" t="s">
        <v>1862</v>
      </c>
      <c r="C382" t="s">
        <v>1863</v>
      </c>
      <c r="D382" t="s">
        <v>2061</v>
      </c>
      <c r="E382" t="s">
        <v>2062</v>
      </c>
      <c r="F382" t="s">
        <v>29</v>
      </c>
      <c r="G382" t="s">
        <v>2063</v>
      </c>
      <c r="H382" t="s">
        <v>2064</v>
      </c>
      <c r="I382">
        <v>16</v>
      </c>
      <c r="J382">
        <v>29</v>
      </c>
      <c r="K382">
        <v>168</v>
      </c>
      <c r="L382">
        <v>9901</v>
      </c>
      <c r="M382" t="s">
        <v>52</v>
      </c>
      <c r="N382" t="s">
        <v>1867</v>
      </c>
      <c r="O382">
        <v>13492430</v>
      </c>
      <c r="P382" t="s">
        <v>1868</v>
      </c>
      <c r="Q382">
        <v>314515</v>
      </c>
      <c r="R382" t="s">
        <v>1869</v>
      </c>
      <c r="S382">
        <v>708</v>
      </c>
      <c r="T382" t="b">
        <v>0</v>
      </c>
      <c r="U382">
        <v>12</v>
      </c>
      <c r="V382">
        <v>8</v>
      </c>
      <c r="W382" t="s">
        <v>35</v>
      </c>
      <c r="X382" t="s">
        <v>29</v>
      </c>
      <c r="Y382" t="s">
        <v>2065</v>
      </c>
      <c r="Z382" t="s">
        <v>37</v>
      </c>
    </row>
    <row r="383" spans="1:26">
      <c r="A383">
        <v>1.8684006435195085E+18</v>
      </c>
      <c r="B383" t="s">
        <v>1862</v>
      </c>
      <c r="C383" t="s">
        <v>1863</v>
      </c>
      <c r="D383" t="s">
        <v>2066</v>
      </c>
      <c r="E383" t="s">
        <v>2067</v>
      </c>
      <c r="F383" t="s">
        <v>29</v>
      </c>
      <c r="G383" t="s">
        <v>2068</v>
      </c>
      <c r="H383" t="s">
        <v>29</v>
      </c>
      <c r="I383">
        <v>3</v>
      </c>
      <c r="J383">
        <v>37</v>
      </c>
      <c r="K383">
        <v>362</v>
      </c>
      <c r="L383">
        <v>12778</v>
      </c>
      <c r="M383" t="s">
        <v>52</v>
      </c>
      <c r="N383" t="s">
        <v>1867</v>
      </c>
      <c r="O383">
        <v>13492430</v>
      </c>
      <c r="P383" t="s">
        <v>1868</v>
      </c>
      <c r="Q383">
        <v>314515</v>
      </c>
      <c r="R383" t="s">
        <v>1869</v>
      </c>
      <c r="S383">
        <v>708</v>
      </c>
      <c r="T383" t="b">
        <v>0</v>
      </c>
      <c r="U383">
        <v>9</v>
      </c>
      <c r="V383">
        <v>18</v>
      </c>
      <c r="W383" t="s">
        <v>35</v>
      </c>
      <c r="X383" t="s">
        <v>29</v>
      </c>
      <c r="Y383" t="s">
        <v>2069</v>
      </c>
      <c r="Z383" t="s">
        <v>37</v>
      </c>
    </row>
    <row r="384" spans="1:26">
      <c r="A384">
        <v>1.8684291252007777E+18</v>
      </c>
      <c r="B384" t="s">
        <v>1862</v>
      </c>
      <c r="C384" t="s">
        <v>1863</v>
      </c>
      <c r="D384" t="s">
        <v>2070</v>
      </c>
      <c r="E384" t="s">
        <v>2071</v>
      </c>
      <c r="F384" t="s">
        <v>29</v>
      </c>
      <c r="G384" t="s">
        <v>2072</v>
      </c>
      <c r="H384" t="s">
        <v>1874</v>
      </c>
      <c r="I384">
        <v>19</v>
      </c>
      <c r="J384">
        <v>188</v>
      </c>
      <c r="K384">
        <v>2072</v>
      </c>
      <c r="L384">
        <v>50637</v>
      </c>
      <c r="M384" t="s">
        <v>52</v>
      </c>
      <c r="N384" t="s">
        <v>2073</v>
      </c>
      <c r="O384">
        <v>13492430</v>
      </c>
      <c r="P384" t="s">
        <v>1868</v>
      </c>
      <c r="Q384">
        <v>314515</v>
      </c>
      <c r="R384" t="s">
        <v>1869</v>
      </c>
      <c r="S384">
        <v>708</v>
      </c>
      <c r="T384" t="b">
        <v>0</v>
      </c>
      <c r="U384">
        <v>16</v>
      </c>
      <c r="V384">
        <v>82</v>
      </c>
      <c r="W384" t="s">
        <v>35</v>
      </c>
      <c r="X384" t="s">
        <v>29</v>
      </c>
      <c r="Y384" t="s">
        <v>2074</v>
      </c>
      <c r="Z384" t="s">
        <v>37</v>
      </c>
    </row>
    <row r="385" spans="1:26">
      <c r="A385">
        <v>1.8683923999630666E+18</v>
      </c>
      <c r="B385" t="s">
        <v>1862</v>
      </c>
      <c r="C385" t="s">
        <v>1863</v>
      </c>
      <c r="D385" t="s">
        <v>2075</v>
      </c>
      <c r="E385" t="s">
        <v>2076</v>
      </c>
      <c r="F385" t="s">
        <v>29</v>
      </c>
      <c r="G385" t="s">
        <v>2077</v>
      </c>
      <c r="H385" t="s">
        <v>2078</v>
      </c>
      <c r="I385">
        <v>8</v>
      </c>
      <c r="J385">
        <v>31</v>
      </c>
      <c r="K385">
        <v>159</v>
      </c>
      <c r="L385">
        <v>11001</v>
      </c>
      <c r="M385" t="s">
        <v>52</v>
      </c>
      <c r="N385" t="s">
        <v>1867</v>
      </c>
      <c r="O385">
        <v>13492372</v>
      </c>
      <c r="P385" t="s">
        <v>1868</v>
      </c>
      <c r="Q385">
        <v>314515</v>
      </c>
      <c r="R385" t="s">
        <v>1869</v>
      </c>
      <c r="S385">
        <v>708</v>
      </c>
      <c r="T385" t="b">
        <v>0</v>
      </c>
      <c r="U385">
        <v>10</v>
      </c>
      <c r="V385">
        <v>10</v>
      </c>
      <c r="W385" t="s">
        <v>35</v>
      </c>
      <c r="X385" t="s">
        <v>29</v>
      </c>
      <c r="Y385" t="s">
        <v>2079</v>
      </c>
      <c r="Z385" t="s">
        <v>37</v>
      </c>
    </row>
    <row r="386" spans="1:26">
      <c r="A386">
        <v>1.8683867041653926E+18</v>
      </c>
      <c r="B386" t="s">
        <v>1862</v>
      </c>
      <c r="C386" t="s">
        <v>1863</v>
      </c>
      <c r="D386" t="s">
        <v>2080</v>
      </c>
      <c r="E386" t="s">
        <v>2081</v>
      </c>
      <c r="F386" t="s">
        <v>29</v>
      </c>
      <c r="G386" t="s">
        <v>2082</v>
      </c>
      <c r="H386" t="s">
        <v>2083</v>
      </c>
      <c r="I386">
        <v>14</v>
      </c>
      <c r="J386">
        <v>38</v>
      </c>
      <c r="K386">
        <v>553</v>
      </c>
      <c r="L386">
        <v>23858</v>
      </c>
      <c r="M386" t="s">
        <v>52</v>
      </c>
      <c r="N386" t="s">
        <v>1867</v>
      </c>
      <c r="O386">
        <v>13492430</v>
      </c>
      <c r="P386" t="s">
        <v>1868</v>
      </c>
      <c r="Q386">
        <v>314515</v>
      </c>
      <c r="R386" t="s">
        <v>1869</v>
      </c>
      <c r="S386">
        <v>708</v>
      </c>
      <c r="T386" t="b">
        <v>0</v>
      </c>
      <c r="U386">
        <v>12</v>
      </c>
      <c r="V386">
        <v>14</v>
      </c>
      <c r="W386" t="s">
        <v>35</v>
      </c>
      <c r="X386" t="s">
        <v>29</v>
      </c>
      <c r="Y386" t="s">
        <v>2084</v>
      </c>
      <c r="Z386" t="s">
        <v>37</v>
      </c>
    </row>
    <row r="387" spans="1:26">
      <c r="A387">
        <v>1.8683859587707169E+18</v>
      </c>
      <c r="B387" t="s">
        <v>1862</v>
      </c>
      <c r="C387" t="s">
        <v>1863</v>
      </c>
      <c r="D387" t="s">
        <v>2085</v>
      </c>
      <c r="E387" t="s">
        <v>2086</v>
      </c>
      <c r="F387" t="s">
        <v>29</v>
      </c>
      <c r="G387" t="s">
        <v>2087</v>
      </c>
      <c r="H387" t="s">
        <v>29</v>
      </c>
      <c r="I387">
        <v>16</v>
      </c>
      <c r="J387">
        <v>21</v>
      </c>
      <c r="K387">
        <v>213</v>
      </c>
      <c r="L387">
        <v>17733</v>
      </c>
      <c r="M387" t="s">
        <v>52</v>
      </c>
      <c r="N387" t="s">
        <v>1867</v>
      </c>
      <c r="O387">
        <v>13492430</v>
      </c>
      <c r="P387" t="s">
        <v>1868</v>
      </c>
      <c r="Q387">
        <v>314515</v>
      </c>
      <c r="R387" t="s">
        <v>1869</v>
      </c>
      <c r="S387">
        <v>708</v>
      </c>
      <c r="T387" t="b">
        <v>0</v>
      </c>
      <c r="U387">
        <v>4</v>
      </c>
      <c r="V387">
        <v>6</v>
      </c>
      <c r="W387" t="s">
        <v>35</v>
      </c>
      <c r="X387" t="s">
        <v>29</v>
      </c>
      <c r="Y387" t="s">
        <v>2088</v>
      </c>
      <c r="Z387" t="s">
        <v>37</v>
      </c>
    </row>
    <row r="388" spans="1:26">
      <c r="A388">
        <v>1.868424825582027E+18</v>
      </c>
      <c r="B388" t="s">
        <v>1862</v>
      </c>
      <c r="C388" t="s">
        <v>1863</v>
      </c>
      <c r="D388" t="s">
        <v>2089</v>
      </c>
      <c r="E388" t="s">
        <v>2090</v>
      </c>
      <c r="F388" t="s">
        <v>29</v>
      </c>
      <c r="G388" t="s">
        <v>2091</v>
      </c>
      <c r="H388" t="s">
        <v>29</v>
      </c>
      <c r="I388">
        <v>11</v>
      </c>
      <c r="J388">
        <v>51</v>
      </c>
      <c r="K388">
        <v>241</v>
      </c>
      <c r="L388">
        <v>13200</v>
      </c>
      <c r="M388" t="s">
        <v>52</v>
      </c>
      <c r="N388" t="s">
        <v>1867</v>
      </c>
      <c r="O388">
        <v>13492430</v>
      </c>
      <c r="P388" t="s">
        <v>1868</v>
      </c>
      <c r="Q388">
        <v>314515</v>
      </c>
      <c r="R388" t="s">
        <v>1869</v>
      </c>
      <c r="S388">
        <v>708</v>
      </c>
      <c r="T388" t="b">
        <v>0</v>
      </c>
      <c r="U388">
        <v>13</v>
      </c>
      <c r="V388">
        <v>19</v>
      </c>
      <c r="W388" t="s">
        <v>35</v>
      </c>
      <c r="X388" t="s">
        <v>29</v>
      </c>
      <c r="Y388" t="s">
        <v>2092</v>
      </c>
      <c r="Z388" t="s">
        <v>37</v>
      </c>
    </row>
    <row r="389" spans="1:26">
      <c r="A389">
        <v>1.8684148112869996E+18</v>
      </c>
      <c r="B389" t="s">
        <v>1862</v>
      </c>
      <c r="C389" t="s">
        <v>1863</v>
      </c>
      <c r="D389" t="s">
        <v>2093</v>
      </c>
      <c r="E389" t="s">
        <v>2094</v>
      </c>
      <c r="F389" t="s">
        <v>29</v>
      </c>
      <c r="G389" t="s">
        <v>2095</v>
      </c>
      <c r="H389" t="s">
        <v>29</v>
      </c>
      <c r="I389">
        <v>23</v>
      </c>
      <c r="J389">
        <v>22</v>
      </c>
      <c r="K389">
        <v>225</v>
      </c>
      <c r="L389">
        <v>12492</v>
      </c>
      <c r="M389" t="s">
        <v>52</v>
      </c>
      <c r="N389" t="s">
        <v>1867</v>
      </c>
      <c r="O389">
        <v>13492430</v>
      </c>
      <c r="P389" t="s">
        <v>1868</v>
      </c>
      <c r="Q389">
        <v>314515</v>
      </c>
      <c r="R389" t="s">
        <v>1869</v>
      </c>
      <c r="S389">
        <v>708</v>
      </c>
      <c r="T389" t="b">
        <v>0</v>
      </c>
      <c r="U389">
        <v>10</v>
      </c>
      <c r="V389">
        <v>5</v>
      </c>
      <c r="W389" t="s">
        <v>35</v>
      </c>
      <c r="X389" t="s">
        <v>29</v>
      </c>
      <c r="Y389" t="s">
        <v>2096</v>
      </c>
      <c r="Z389" t="s">
        <v>37</v>
      </c>
    </row>
    <row r="390" spans="1:26">
      <c r="A390">
        <v>1.8684072457356534E+18</v>
      </c>
      <c r="B390" t="s">
        <v>1862</v>
      </c>
      <c r="C390" t="s">
        <v>1863</v>
      </c>
      <c r="D390" t="s">
        <v>2097</v>
      </c>
      <c r="E390" t="s">
        <v>2098</v>
      </c>
      <c r="F390" t="s">
        <v>29</v>
      </c>
      <c r="G390" t="s">
        <v>2099</v>
      </c>
      <c r="H390" t="s">
        <v>29</v>
      </c>
      <c r="I390">
        <v>34</v>
      </c>
      <c r="J390">
        <v>116</v>
      </c>
      <c r="K390">
        <v>759</v>
      </c>
      <c r="L390">
        <v>25820</v>
      </c>
      <c r="M390" t="s">
        <v>52</v>
      </c>
      <c r="N390" t="s">
        <v>1867</v>
      </c>
      <c r="O390">
        <v>13492430</v>
      </c>
      <c r="P390" t="s">
        <v>1868</v>
      </c>
      <c r="Q390">
        <v>314515</v>
      </c>
      <c r="R390" t="s">
        <v>1869</v>
      </c>
      <c r="S390">
        <v>708</v>
      </c>
      <c r="T390" t="b">
        <v>0</v>
      </c>
      <c r="U390">
        <v>55</v>
      </c>
      <c r="V390">
        <v>22</v>
      </c>
      <c r="W390" t="s">
        <v>35</v>
      </c>
      <c r="X390" t="s">
        <v>29</v>
      </c>
      <c r="Y390" t="s">
        <v>2100</v>
      </c>
      <c r="Z390" t="s">
        <v>37</v>
      </c>
    </row>
    <row r="391" spans="1:26">
      <c r="A391">
        <v>1.8684018118806328E+18</v>
      </c>
      <c r="B391" t="s">
        <v>1862</v>
      </c>
      <c r="C391" t="s">
        <v>1863</v>
      </c>
      <c r="D391" t="s">
        <v>2101</v>
      </c>
      <c r="E391" t="s">
        <v>2102</v>
      </c>
      <c r="F391" t="s">
        <v>29</v>
      </c>
      <c r="G391" t="s">
        <v>2103</v>
      </c>
      <c r="H391" t="s">
        <v>29</v>
      </c>
      <c r="I391">
        <v>10</v>
      </c>
      <c r="J391">
        <v>20</v>
      </c>
      <c r="K391">
        <v>300</v>
      </c>
      <c r="L391">
        <v>14058</v>
      </c>
      <c r="M391" t="s">
        <v>52</v>
      </c>
      <c r="N391" t="s">
        <v>1867</v>
      </c>
      <c r="O391">
        <v>13492430</v>
      </c>
      <c r="P391" t="s">
        <v>1868</v>
      </c>
      <c r="Q391">
        <v>314515</v>
      </c>
      <c r="R391" t="s">
        <v>1869</v>
      </c>
      <c r="S391">
        <v>708</v>
      </c>
      <c r="T391" t="b">
        <v>0</v>
      </c>
      <c r="U391">
        <v>8</v>
      </c>
      <c r="V391">
        <v>16</v>
      </c>
      <c r="W391" t="s">
        <v>35</v>
      </c>
      <c r="X391" t="s">
        <v>29</v>
      </c>
      <c r="Y391" t="s">
        <v>2104</v>
      </c>
      <c r="Z391" t="s">
        <v>37</v>
      </c>
    </row>
    <row r="392" spans="1:26">
      <c r="A392">
        <v>1.8684244897819238E+18</v>
      </c>
      <c r="B392" t="s">
        <v>1862</v>
      </c>
      <c r="C392" t="s">
        <v>1863</v>
      </c>
      <c r="D392" t="s">
        <v>2105</v>
      </c>
      <c r="E392" t="s">
        <v>2106</v>
      </c>
      <c r="F392" t="s">
        <v>29</v>
      </c>
      <c r="G392" t="s">
        <v>2107</v>
      </c>
      <c r="H392" t="s">
        <v>29</v>
      </c>
      <c r="I392">
        <v>21</v>
      </c>
      <c r="J392">
        <v>81</v>
      </c>
      <c r="K392">
        <v>518</v>
      </c>
      <c r="L392">
        <v>20858</v>
      </c>
      <c r="M392" t="s">
        <v>52</v>
      </c>
      <c r="N392" t="s">
        <v>1867</v>
      </c>
      <c r="O392">
        <v>13492430</v>
      </c>
      <c r="P392" t="s">
        <v>1868</v>
      </c>
      <c r="Q392">
        <v>314515</v>
      </c>
      <c r="R392" t="s">
        <v>1869</v>
      </c>
      <c r="S392">
        <v>708</v>
      </c>
      <c r="T392" t="b">
        <v>0</v>
      </c>
      <c r="U392">
        <v>34</v>
      </c>
      <c r="V392">
        <v>27</v>
      </c>
      <c r="W392" t="s">
        <v>35</v>
      </c>
      <c r="X392" t="s">
        <v>29</v>
      </c>
      <c r="Y392" t="s">
        <v>2108</v>
      </c>
      <c r="Z392" t="s">
        <v>37</v>
      </c>
    </row>
    <row r="393" spans="1:26">
      <c r="A393">
        <v>1.8681055832508662E+18</v>
      </c>
      <c r="B393" t="s">
        <v>1862</v>
      </c>
      <c r="C393" t="s">
        <v>1863</v>
      </c>
      <c r="D393" t="s">
        <v>2109</v>
      </c>
      <c r="E393" t="s">
        <v>2110</v>
      </c>
      <c r="F393" t="s">
        <v>29</v>
      </c>
      <c r="G393" t="s">
        <v>2111</v>
      </c>
      <c r="H393" t="s">
        <v>29</v>
      </c>
      <c r="I393">
        <v>24</v>
      </c>
      <c r="J393">
        <v>36</v>
      </c>
      <c r="K393">
        <v>344</v>
      </c>
      <c r="L393">
        <v>23941</v>
      </c>
      <c r="M393" t="s">
        <v>52</v>
      </c>
      <c r="N393" t="s">
        <v>1961</v>
      </c>
      <c r="O393">
        <v>13492430</v>
      </c>
      <c r="P393" t="s">
        <v>1868</v>
      </c>
      <c r="Q393">
        <v>314515</v>
      </c>
      <c r="R393" t="s">
        <v>1869</v>
      </c>
      <c r="S393">
        <v>708</v>
      </c>
      <c r="T393" t="b">
        <v>0</v>
      </c>
      <c r="U393">
        <v>14</v>
      </c>
      <c r="V393">
        <v>32</v>
      </c>
      <c r="W393" t="s">
        <v>35</v>
      </c>
      <c r="X393" t="s">
        <v>29</v>
      </c>
      <c r="Y393" t="s">
        <v>2112</v>
      </c>
      <c r="Z393" t="s">
        <v>37</v>
      </c>
    </row>
    <row r="394" spans="1:26">
      <c r="A394">
        <v>1.8680910764660905E+18</v>
      </c>
      <c r="B394" t="s">
        <v>1862</v>
      </c>
      <c r="C394" t="s">
        <v>1863</v>
      </c>
      <c r="D394" t="s">
        <v>2113</v>
      </c>
      <c r="E394" t="s">
        <v>2114</v>
      </c>
      <c r="F394" t="s">
        <v>29</v>
      </c>
      <c r="G394" t="s">
        <v>2115</v>
      </c>
      <c r="H394" t="s">
        <v>29</v>
      </c>
      <c r="I394">
        <v>4</v>
      </c>
      <c r="J394">
        <v>7</v>
      </c>
      <c r="K394">
        <v>122</v>
      </c>
      <c r="L394">
        <v>10865</v>
      </c>
      <c r="M394" t="s">
        <v>52</v>
      </c>
      <c r="N394" t="s">
        <v>1961</v>
      </c>
      <c r="O394">
        <v>13492430</v>
      </c>
      <c r="P394" t="s">
        <v>1868</v>
      </c>
      <c r="Q394">
        <v>314515</v>
      </c>
      <c r="R394" t="s">
        <v>1869</v>
      </c>
      <c r="S394">
        <v>708</v>
      </c>
      <c r="T394" t="b">
        <v>0</v>
      </c>
      <c r="U394">
        <v>1</v>
      </c>
      <c r="V394">
        <v>6</v>
      </c>
      <c r="W394" t="s">
        <v>35</v>
      </c>
      <c r="X394" t="s">
        <v>29</v>
      </c>
      <c r="Y394" t="s">
        <v>2116</v>
      </c>
      <c r="Z394" t="s">
        <v>37</v>
      </c>
    </row>
    <row r="395" spans="1:26">
      <c r="A395">
        <v>1.8683203492400952E+18</v>
      </c>
      <c r="B395" t="s">
        <v>1656</v>
      </c>
      <c r="C395" t="s">
        <v>1657</v>
      </c>
      <c r="D395" t="s">
        <v>2117</v>
      </c>
      <c r="E395" t="s">
        <v>2118</v>
      </c>
      <c r="F395" t="s">
        <v>29</v>
      </c>
      <c r="G395" t="s">
        <v>2119</v>
      </c>
      <c r="H395" t="s">
        <v>29</v>
      </c>
      <c r="I395">
        <v>32</v>
      </c>
      <c r="J395">
        <v>8</v>
      </c>
      <c r="K395">
        <v>55</v>
      </c>
      <c r="L395">
        <v>17704</v>
      </c>
      <c r="M395" t="s">
        <v>2120</v>
      </c>
      <c r="N395" t="s">
        <v>29</v>
      </c>
      <c r="O395">
        <v>2819409</v>
      </c>
      <c r="P395" t="s">
        <v>1662</v>
      </c>
      <c r="Q395">
        <v>286269</v>
      </c>
      <c r="R395" t="s">
        <v>1663</v>
      </c>
      <c r="S395">
        <v>4</v>
      </c>
      <c r="T395" t="b">
        <v>0</v>
      </c>
      <c r="U395">
        <v>2</v>
      </c>
      <c r="V395">
        <v>2</v>
      </c>
      <c r="W395" t="s">
        <v>35</v>
      </c>
      <c r="X395" t="s">
        <v>2121</v>
      </c>
      <c r="Y395" t="s">
        <v>29</v>
      </c>
      <c r="Z395" t="s">
        <v>37</v>
      </c>
    </row>
    <row r="396" spans="1:26">
      <c r="A396">
        <v>1.8682744609371302E+18</v>
      </c>
      <c r="B396" t="s">
        <v>1656</v>
      </c>
      <c r="C396" t="s">
        <v>1657</v>
      </c>
      <c r="D396" t="s">
        <v>2122</v>
      </c>
      <c r="E396" t="s">
        <v>2123</v>
      </c>
      <c r="F396" t="s">
        <v>29</v>
      </c>
      <c r="G396" t="s">
        <v>2124</v>
      </c>
      <c r="H396" t="s">
        <v>29</v>
      </c>
      <c r="I396">
        <v>73</v>
      </c>
      <c r="J396">
        <v>22</v>
      </c>
      <c r="K396">
        <v>174</v>
      </c>
      <c r="L396">
        <v>13779</v>
      </c>
      <c r="M396" t="s">
        <v>52</v>
      </c>
      <c r="N396" t="s">
        <v>1765</v>
      </c>
      <c r="O396">
        <v>2819409</v>
      </c>
      <c r="P396" t="s">
        <v>1662</v>
      </c>
      <c r="Q396">
        <v>286269</v>
      </c>
      <c r="R396" t="s">
        <v>1663</v>
      </c>
      <c r="S396">
        <v>4</v>
      </c>
      <c r="T396" t="b">
        <v>0</v>
      </c>
      <c r="U396">
        <v>5</v>
      </c>
      <c r="V396">
        <v>1</v>
      </c>
      <c r="W396" t="s">
        <v>35</v>
      </c>
      <c r="X396" t="s">
        <v>29</v>
      </c>
      <c r="Y396" t="s">
        <v>2125</v>
      </c>
      <c r="Z396" t="s">
        <v>37</v>
      </c>
    </row>
    <row r="397" spans="1:26">
      <c r="A397">
        <v>1.8680838071123561E+18</v>
      </c>
      <c r="B397" t="s">
        <v>1656</v>
      </c>
      <c r="C397" t="s">
        <v>1657</v>
      </c>
      <c r="D397" t="s">
        <v>2126</v>
      </c>
      <c r="E397" t="s">
        <v>2127</v>
      </c>
      <c r="F397" t="s">
        <v>29</v>
      </c>
      <c r="G397" t="s">
        <v>2128</v>
      </c>
      <c r="H397" t="s">
        <v>29</v>
      </c>
      <c r="I397">
        <v>83</v>
      </c>
      <c r="J397">
        <v>38</v>
      </c>
      <c r="K397">
        <v>169</v>
      </c>
      <c r="L397">
        <v>17769</v>
      </c>
      <c r="M397" t="s">
        <v>52</v>
      </c>
      <c r="N397" t="s">
        <v>2129</v>
      </c>
      <c r="O397">
        <v>2819408</v>
      </c>
      <c r="P397" t="s">
        <v>1662</v>
      </c>
      <c r="Q397">
        <v>286269</v>
      </c>
      <c r="R397" t="s">
        <v>1663</v>
      </c>
      <c r="S397">
        <v>4</v>
      </c>
      <c r="T397" t="b">
        <v>0</v>
      </c>
      <c r="U397">
        <v>4</v>
      </c>
      <c r="V397">
        <v>3</v>
      </c>
      <c r="W397" t="s">
        <v>35</v>
      </c>
      <c r="X397" t="s">
        <v>29</v>
      </c>
      <c r="Y397" t="s">
        <v>2130</v>
      </c>
      <c r="Z397" t="s">
        <v>37</v>
      </c>
    </row>
    <row r="398" spans="1:26">
      <c r="A398">
        <v>1.8684865776742075E+18</v>
      </c>
      <c r="B398" t="s">
        <v>1862</v>
      </c>
      <c r="C398" t="s">
        <v>1863</v>
      </c>
      <c r="D398" t="s">
        <v>2131</v>
      </c>
      <c r="E398" t="s">
        <v>2132</v>
      </c>
      <c r="F398" t="s">
        <v>29</v>
      </c>
      <c r="G398" t="s">
        <v>2133</v>
      </c>
      <c r="H398" t="s">
        <v>2134</v>
      </c>
      <c r="I398">
        <v>3</v>
      </c>
      <c r="J398">
        <v>6</v>
      </c>
      <c r="K398">
        <v>49</v>
      </c>
      <c r="L398">
        <v>4168</v>
      </c>
      <c r="M398" t="s">
        <v>52</v>
      </c>
      <c r="N398" t="s">
        <v>2135</v>
      </c>
      <c r="O398">
        <v>13492430</v>
      </c>
      <c r="P398" t="s">
        <v>1868</v>
      </c>
      <c r="Q398">
        <v>314515</v>
      </c>
      <c r="R398" t="s">
        <v>1869</v>
      </c>
      <c r="S398">
        <v>708</v>
      </c>
      <c r="T398" t="b">
        <v>0</v>
      </c>
      <c r="U398">
        <v>2</v>
      </c>
      <c r="V398">
        <v>3</v>
      </c>
      <c r="W398" t="s">
        <v>35</v>
      </c>
      <c r="X398" t="s">
        <v>29</v>
      </c>
      <c r="Y398" t="s">
        <v>2136</v>
      </c>
      <c r="Z398" t="s">
        <v>37</v>
      </c>
    </row>
    <row r="399" spans="1:26">
      <c r="A399">
        <v>1.8684275852075584E+18</v>
      </c>
      <c r="B399" t="s">
        <v>1862</v>
      </c>
      <c r="C399" t="s">
        <v>1863</v>
      </c>
      <c r="D399" t="s">
        <v>2137</v>
      </c>
      <c r="E399" t="s">
        <v>2138</v>
      </c>
      <c r="F399" t="s">
        <v>29</v>
      </c>
      <c r="G399" t="s">
        <v>2139</v>
      </c>
      <c r="H399" t="s">
        <v>1874</v>
      </c>
      <c r="I399">
        <v>29</v>
      </c>
      <c r="J399">
        <v>225</v>
      </c>
      <c r="K399">
        <v>1891</v>
      </c>
      <c r="L399">
        <v>42884</v>
      </c>
      <c r="M399" t="s">
        <v>52</v>
      </c>
      <c r="N399" t="s">
        <v>1867</v>
      </c>
      <c r="O399">
        <v>13492430</v>
      </c>
      <c r="P399" t="s">
        <v>1868</v>
      </c>
      <c r="Q399">
        <v>314515</v>
      </c>
      <c r="R399" t="s">
        <v>1869</v>
      </c>
      <c r="S399">
        <v>708</v>
      </c>
      <c r="T399" t="b">
        <v>0</v>
      </c>
      <c r="U399">
        <v>15</v>
      </c>
      <c r="V399">
        <v>84</v>
      </c>
      <c r="W399" t="s">
        <v>35</v>
      </c>
      <c r="X399" t="s">
        <v>29</v>
      </c>
      <c r="Y399" t="s">
        <v>2140</v>
      </c>
      <c r="Z399" t="s">
        <v>37</v>
      </c>
    </row>
    <row r="400" spans="1:26">
      <c r="A400">
        <v>1.8684230036057006E+18</v>
      </c>
      <c r="B400" t="s">
        <v>1862</v>
      </c>
      <c r="C400" t="s">
        <v>1863</v>
      </c>
      <c r="D400" t="s">
        <v>2141</v>
      </c>
      <c r="E400" t="s">
        <v>2142</v>
      </c>
      <c r="F400" t="s">
        <v>29</v>
      </c>
      <c r="G400" t="s">
        <v>2143</v>
      </c>
      <c r="H400" t="s">
        <v>29</v>
      </c>
      <c r="I400">
        <v>6</v>
      </c>
      <c r="J400">
        <v>27</v>
      </c>
      <c r="K400">
        <v>204</v>
      </c>
      <c r="L400">
        <v>10437</v>
      </c>
      <c r="M400" t="s">
        <v>52</v>
      </c>
      <c r="N400" t="s">
        <v>1867</v>
      </c>
      <c r="O400">
        <v>13492430</v>
      </c>
      <c r="P400" t="s">
        <v>1868</v>
      </c>
      <c r="Q400">
        <v>314515</v>
      </c>
      <c r="R400" t="s">
        <v>1869</v>
      </c>
      <c r="S400">
        <v>708</v>
      </c>
      <c r="T400" t="b">
        <v>0</v>
      </c>
      <c r="U400">
        <v>6</v>
      </c>
      <c r="V400">
        <v>11</v>
      </c>
      <c r="W400" t="s">
        <v>35</v>
      </c>
      <c r="X400" t="s">
        <v>29</v>
      </c>
      <c r="Y400" t="s">
        <v>2144</v>
      </c>
      <c r="Z400" t="s">
        <v>37</v>
      </c>
    </row>
    <row r="401" spans="1:26">
      <c r="A401">
        <v>1.8684223950458145E+18</v>
      </c>
      <c r="B401" t="s">
        <v>1862</v>
      </c>
      <c r="C401" t="s">
        <v>1863</v>
      </c>
      <c r="D401" t="s">
        <v>2145</v>
      </c>
      <c r="E401" t="s">
        <v>2146</v>
      </c>
      <c r="F401" t="s">
        <v>29</v>
      </c>
      <c r="G401" t="s">
        <v>2147</v>
      </c>
      <c r="H401" t="s">
        <v>29</v>
      </c>
      <c r="I401">
        <v>4</v>
      </c>
      <c r="J401">
        <v>28</v>
      </c>
      <c r="K401">
        <v>183</v>
      </c>
      <c r="L401">
        <v>10233</v>
      </c>
      <c r="M401" t="s">
        <v>52</v>
      </c>
      <c r="N401" t="s">
        <v>1867</v>
      </c>
      <c r="O401">
        <v>13492430</v>
      </c>
      <c r="P401" t="s">
        <v>1868</v>
      </c>
      <c r="Q401">
        <v>314515</v>
      </c>
      <c r="R401" t="s">
        <v>1869</v>
      </c>
      <c r="S401">
        <v>708</v>
      </c>
      <c r="T401" t="b">
        <v>0</v>
      </c>
      <c r="U401">
        <v>5</v>
      </c>
      <c r="V401">
        <v>12</v>
      </c>
      <c r="W401" t="s">
        <v>35</v>
      </c>
      <c r="X401" t="s">
        <v>29</v>
      </c>
      <c r="Y401" t="s">
        <v>2148</v>
      </c>
      <c r="Z401" t="s">
        <v>37</v>
      </c>
    </row>
    <row r="402" spans="1:26">
      <c r="A402">
        <v>1.8684120927739786E+18</v>
      </c>
      <c r="B402" t="s">
        <v>1862</v>
      </c>
      <c r="C402" t="s">
        <v>1863</v>
      </c>
      <c r="D402" t="s">
        <v>2149</v>
      </c>
      <c r="E402" t="s">
        <v>2150</v>
      </c>
      <c r="F402" t="s">
        <v>29</v>
      </c>
      <c r="G402" t="s">
        <v>2151</v>
      </c>
      <c r="H402" t="s">
        <v>29</v>
      </c>
      <c r="I402">
        <v>6</v>
      </c>
      <c r="J402">
        <v>22</v>
      </c>
      <c r="K402">
        <v>156</v>
      </c>
      <c r="L402">
        <v>9837</v>
      </c>
      <c r="M402" t="s">
        <v>52</v>
      </c>
      <c r="N402" t="s">
        <v>1867</v>
      </c>
      <c r="O402">
        <v>13492430</v>
      </c>
      <c r="P402" t="s">
        <v>1868</v>
      </c>
      <c r="Q402">
        <v>314515</v>
      </c>
      <c r="R402" t="s">
        <v>1869</v>
      </c>
      <c r="S402">
        <v>708</v>
      </c>
      <c r="T402" t="b">
        <v>0</v>
      </c>
      <c r="U402">
        <v>8</v>
      </c>
      <c r="V402">
        <v>11</v>
      </c>
      <c r="W402" t="s">
        <v>35</v>
      </c>
      <c r="X402" t="s">
        <v>29</v>
      </c>
      <c r="Y402" t="s">
        <v>2152</v>
      </c>
      <c r="Z402" t="s">
        <v>37</v>
      </c>
    </row>
    <row r="403" spans="1:26">
      <c r="A403">
        <v>1.8684061815567857E+18</v>
      </c>
      <c r="B403" t="s">
        <v>1862</v>
      </c>
      <c r="C403" t="s">
        <v>1863</v>
      </c>
      <c r="D403" t="s">
        <v>2153</v>
      </c>
      <c r="E403" t="s">
        <v>2154</v>
      </c>
      <c r="F403" t="s">
        <v>29</v>
      </c>
      <c r="G403" t="s">
        <v>2155</v>
      </c>
      <c r="H403" t="s">
        <v>29</v>
      </c>
      <c r="I403">
        <v>11</v>
      </c>
      <c r="J403">
        <v>37</v>
      </c>
      <c r="K403">
        <v>292</v>
      </c>
      <c r="L403">
        <v>16662</v>
      </c>
      <c r="M403" t="s">
        <v>52</v>
      </c>
      <c r="N403" t="s">
        <v>1867</v>
      </c>
      <c r="O403">
        <v>13492372</v>
      </c>
      <c r="P403" t="s">
        <v>1868</v>
      </c>
      <c r="Q403">
        <v>314515</v>
      </c>
      <c r="R403" t="s">
        <v>1869</v>
      </c>
      <c r="S403">
        <v>708</v>
      </c>
      <c r="T403" t="b">
        <v>0</v>
      </c>
      <c r="U403">
        <v>29</v>
      </c>
      <c r="V403">
        <v>13</v>
      </c>
      <c r="W403" t="s">
        <v>35</v>
      </c>
      <c r="X403" t="s">
        <v>29</v>
      </c>
      <c r="Y403" t="s">
        <v>2156</v>
      </c>
      <c r="Z403" t="s">
        <v>37</v>
      </c>
    </row>
    <row r="404" spans="1:26">
      <c r="A404">
        <v>1.8684011322607291E+18</v>
      </c>
      <c r="B404" t="s">
        <v>1862</v>
      </c>
      <c r="C404" t="s">
        <v>1863</v>
      </c>
      <c r="D404" t="s">
        <v>2157</v>
      </c>
      <c r="E404" t="s">
        <v>2158</v>
      </c>
      <c r="F404" t="s">
        <v>29</v>
      </c>
      <c r="G404" t="s">
        <v>2159</v>
      </c>
      <c r="H404" t="s">
        <v>29</v>
      </c>
      <c r="I404">
        <v>6</v>
      </c>
      <c r="J404">
        <v>32</v>
      </c>
      <c r="K404">
        <v>276</v>
      </c>
      <c r="L404">
        <v>11985</v>
      </c>
      <c r="M404" t="s">
        <v>52</v>
      </c>
      <c r="N404" t="s">
        <v>1867</v>
      </c>
      <c r="O404">
        <v>13492430</v>
      </c>
      <c r="P404" t="s">
        <v>1868</v>
      </c>
      <c r="Q404">
        <v>314515</v>
      </c>
      <c r="R404" t="s">
        <v>1869</v>
      </c>
      <c r="S404">
        <v>708</v>
      </c>
      <c r="T404" t="b">
        <v>0</v>
      </c>
      <c r="U404">
        <v>7</v>
      </c>
      <c r="V404">
        <v>12</v>
      </c>
      <c r="W404" t="s">
        <v>35</v>
      </c>
      <c r="X404" t="s">
        <v>29</v>
      </c>
      <c r="Y404" t="s">
        <v>2160</v>
      </c>
      <c r="Z404" t="s">
        <v>37</v>
      </c>
    </row>
    <row r="405" spans="1:26">
      <c r="A405">
        <v>1.8683933611256056E+18</v>
      </c>
      <c r="B405" t="s">
        <v>1862</v>
      </c>
      <c r="C405" t="s">
        <v>1863</v>
      </c>
      <c r="D405" t="s">
        <v>2161</v>
      </c>
      <c r="E405" t="s">
        <v>2162</v>
      </c>
      <c r="F405" t="s">
        <v>29</v>
      </c>
      <c r="G405" t="s">
        <v>2163</v>
      </c>
      <c r="H405" t="s">
        <v>29</v>
      </c>
      <c r="I405">
        <v>11</v>
      </c>
      <c r="J405">
        <v>27</v>
      </c>
      <c r="K405">
        <v>271</v>
      </c>
      <c r="L405">
        <v>13614</v>
      </c>
      <c r="M405" t="s">
        <v>52</v>
      </c>
      <c r="N405" t="s">
        <v>1867</v>
      </c>
      <c r="O405">
        <v>13492430</v>
      </c>
      <c r="P405" t="s">
        <v>1868</v>
      </c>
      <c r="Q405">
        <v>314515</v>
      </c>
      <c r="R405" t="s">
        <v>1869</v>
      </c>
      <c r="S405">
        <v>708</v>
      </c>
      <c r="T405" t="b">
        <v>0</v>
      </c>
      <c r="U405">
        <v>9</v>
      </c>
      <c r="V405">
        <v>14</v>
      </c>
      <c r="W405" t="s">
        <v>35</v>
      </c>
      <c r="X405" t="s">
        <v>29</v>
      </c>
      <c r="Y405" t="s">
        <v>2164</v>
      </c>
      <c r="Z405" t="s">
        <v>37</v>
      </c>
    </row>
    <row r="406" spans="1:26">
      <c r="A406">
        <v>1.8683847947210427E+18</v>
      </c>
      <c r="B406" t="s">
        <v>1862</v>
      </c>
      <c r="C406" t="s">
        <v>1863</v>
      </c>
      <c r="D406" t="s">
        <v>2165</v>
      </c>
      <c r="E406" t="s">
        <v>2166</v>
      </c>
      <c r="F406" t="s">
        <v>29</v>
      </c>
      <c r="G406" t="s">
        <v>2167</v>
      </c>
      <c r="H406" t="s">
        <v>2168</v>
      </c>
      <c r="I406">
        <v>13</v>
      </c>
      <c r="J406">
        <v>37</v>
      </c>
      <c r="K406">
        <v>217</v>
      </c>
      <c r="L406">
        <v>13569</v>
      </c>
      <c r="M406" t="s">
        <v>52</v>
      </c>
      <c r="N406" t="s">
        <v>1867</v>
      </c>
      <c r="O406">
        <v>13492430</v>
      </c>
      <c r="P406" t="s">
        <v>1868</v>
      </c>
      <c r="Q406">
        <v>314515</v>
      </c>
      <c r="R406" t="s">
        <v>1869</v>
      </c>
      <c r="S406">
        <v>708</v>
      </c>
      <c r="T406" t="b">
        <v>0</v>
      </c>
      <c r="U406">
        <v>16</v>
      </c>
      <c r="V406">
        <v>13</v>
      </c>
      <c r="W406" t="s">
        <v>35</v>
      </c>
      <c r="X406" t="s">
        <v>29</v>
      </c>
      <c r="Y406" t="s">
        <v>2169</v>
      </c>
      <c r="Z406" t="s">
        <v>37</v>
      </c>
    </row>
    <row r="407" spans="1:26">
      <c r="A407">
        <v>1.8682748365034908E+18</v>
      </c>
      <c r="B407" t="s">
        <v>1656</v>
      </c>
      <c r="C407" t="s">
        <v>1657</v>
      </c>
      <c r="D407" t="s">
        <v>2170</v>
      </c>
      <c r="E407" t="s">
        <v>2171</v>
      </c>
      <c r="F407" t="s">
        <v>29</v>
      </c>
      <c r="G407" t="s">
        <v>2172</v>
      </c>
      <c r="H407" t="s">
        <v>29</v>
      </c>
      <c r="I407">
        <v>739</v>
      </c>
      <c r="J407">
        <v>18</v>
      </c>
      <c r="K407">
        <v>172</v>
      </c>
      <c r="L407">
        <v>30755</v>
      </c>
      <c r="M407" t="s">
        <v>2173</v>
      </c>
      <c r="N407" t="s">
        <v>29</v>
      </c>
      <c r="O407">
        <v>2819409</v>
      </c>
      <c r="P407" t="s">
        <v>1662</v>
      </c>
      <c r="Q407">
        <v>286269</v>
      </c>
      <c r="R407" t="s">
        <v>1663</v>
      </c>
      <c r="S407">
        <v>4</v>
      </c>
      <c r="T407" t="b">
        <v>0</v>
      </c>
      <c r="U407">
        <v>19</v>
      </c>
      <c r="V407">
        <v>4</v>
      </c>
      <c r="W407" t="s">
        <v>35</v>
      </c>
      <c r="X407" t="s">
        <v>2174</v>
      </c>
      <c r="Y407" t="s">
        <v>29</v>
      </c>
      <c r="Z407" t="s">
        <v>37</v>
      </c>
    </row>
    <row r="408" spans="1:26">
      <c r="A408">
        <v>1.8682286307213069E+18</v>
      </c>
      <c r="B408" t="s">
        <v>1656</v>
      </c>
      <c r="C408" t="s">
        <v>1657</v>
      </c>
      <c r="D408" t="s">
        <v>2175</v>
      </c>
      <c r="E408" t="s">
        <v>2176</v>
      </c>
      <c r="F408" t="s">
        <v>29</v>
      </c>
      <c r="G408" t="s">
        <v>2177</v>
      </c>
      <c r="H408" t="s">
        <v>29</v>
      </c>
      <c r="I408">
        <v>32</v>
      </c>
      <c r="J408">
        <v>8</v>
      </c>
      <c r="K408">
        <v>56</v>
      </c>
      <c r="L408">
        <v>14114</v>
      </c>
      <c r="M408" t="s">
        <v>2178</v>
      </c>
      <c r="N408" t="s">
        <v>29</v>
      </c>
      <c r="O408">
        <v>2819409</v>
      </c>
      <c r="P408" t="s">
        <v>1662</v>
      </c>
      <c r="Q408">
        <v>286269</v>
      </c>
      <c r="R408" t="s">
        <v>1663</v>
      </c>
      <c r="S408">
        <v>4</v>
      </c>
      <c r="T408" t="b">
        <v>0</v>
      </c>
      <c r="U408">
        <v>3</v>
      </c>
      <c r="V408">
        <v>1</v>
      </c>
      <c r="W408" t="s">
        <v>35</v>
      </c>
      <c r="X408" t="s">
        <v>2179</v>
      </c>
      <c r="Y408" t="s">
        <v>29</v>
      </c>
      <c r="Z408" t="s">
        <v>37</v>
      </c>
    </row>
    <row r="409" spans="1:26">
      <c r="A409">
        <v>1.8681107558678449E+18</v>
      </c>
      <c r="B409" t="s">
        <v>1656</v>
      </c>
      <c r="C409" t="s">
        <v>1657</v>
      </c>
      <c r="D409" t="s">
        <v>2180</v>
      </c>
      <c r="E409" t="s">
        <v>2181</v>
      </c>
      <c r="F409" t="s">
        <v>29</v>
      </c>
      <c r="G409" t="s">
        <v>2182</v>
      </c>
      <c r="H409" t="s">
        <v>29</v>
      </c>
      <c r="I409">
        <v>24</v>
      </c>
      <c r="J409">
        <v>7</v>
      </c>
      <c r="K409">
        <v>55</v>
      </c>
      <c r="L409">
        <v>12053</v>
      </c>
      <c r="M409" t="s">
        <v>2183</v>
      </c>
      <c r="N409" t="s">
        <v>29</v>
      </c>
      <c r="O409">
        <v>2819408</v>
      </c>
      <c r="P409" t="s">
        <v>1662</v>
      </c>
      <c r="Q409">
        <v>286269</v>
      </c>
      <c r="R409" t="s">
        <v>1663</v>
      </c>
      <c r="S409">
        <v>4</v>
      </c>
      <c r="T409" t="b">
        <v>0</v>
      </c>
      <c r="U409">
        <v>4</v>
      </c>
      <c r="V409">
        <v>1</v>
      </c>
      <c r="W409" t="s">
        <v>35</v>
      </c>
      <c r="X409" t="s">
        <v>2184</v>
      </c>
      <c r="Y409" t="s">
        <v>29</v>
      </c>
      <c r="Z409" t="s">
        <v>37</v>
      </c>
    </row>
    <row r="410" spans="1:26">
      <c r="A410">
        <v>1.8684320089735334E+18</v>
      </c>
      <c r="B410" t="s">
        <v>1862</v>
      </c>
      <c r="C410" t="s">
        <v>1863</v>
      </c>
      <c r="D410" t="s">
        <v>2185</v>
      </c>
      <c r="E410" t="s">
        <v>2186</v>
      </c>
      <c r="F410" t="s">
        <v>29</v>
      </c>
      <c r="G410" t="s">
        <v>2187</v>
      </c>
      <c r="H410" t="s">
        <v>29</v>
      </c>
      <c r="I410">
        <v>5</v>
      </c>
      <c r="J410">
        <v>43</v>
      </c>
      <c r="K410">
        <v>295</v>
      </c>
      <c r="L410">
        <v>16633</v>
      </c>
      <c r="M410" t="s">
        <v>52</v>
      </c>
      <c r="N410" t="s">
        <v>1867</v>
      </c>
      <c r="O410">
        <v>13492430</v>
      </c>
      <c r="P410" t="s">
        <v>1868</v>
      </c>
      <c r="Q410">
        <v>314515</v>
      </c>
      <c r="R410" t="s">
        <v>1869</v>
      </c>
      <c r="S410">
        <v>708</v>
      </c>
      <c r="T410" t="b">
        <v>0</v>
      </c>
      <c r="U410">
        <v>7</v>
      </c>
      <c r="V410">
        <v>14</v>
      </c>
      <c r="W410" t="s">
        <v>35</v>
      </c>
      <c r="X410" t="s">
        <v>29</v>
      </c>
      <c r="Y410" t="s">
        <v>2188</v>
      </c>
      <c r="Z410" t="s">
        <v>37</v>
      </c>
    </row>
    <row r="411" spans="1:26">
      <c r="A411">
        <v>1.8684234900946417E+18</v>
      </c>
      <c r="B411" t="s">
        <v>1862</v>
      </c>
      <c r="C411" t="s">
        <v>1863</v>
      </c>
      <c r="D411" t="s">
        <v>2189</v>
      </c>
      <c r="E411" t="s">
        <v>2190</v>
      </c>
      <c r="F411" t="s">
        <v>29</v>
      </c>
      <c r="G411" t="s">
        <v>2191</v>
      </c>
      <c r="H411" t="s">
        <v>29</v>
      </c>
      <c r="I411">
        <v>5</v>
      </c>
      <c r="J411">
        <v>32</v>
      </c>
      <c r="K411">
        <v>269</v>
      </c>
      <c r="L411">
        <v>13069</v>
      </c>
      <c r="M411" t="s">
        <v>52</v>
      </c>
      <c r="N411" t="s">
        <v>1867</v>
      </c>
      <c r="O411">
        <v>13492430</v>
      </c>
      <c r="P411" t="s">
        <v>1868</v>
      </c>
      <c r="Q411">
        <v>314515</v>
      </c>
      <c r="R411" t="s">
        <v>1869</v>
      </c>
      <c r="S411">
        <v>708</v>
      </c>
      <c r="T411" t="b">
        <v>0</v>
      </c>
      <c r="U411">
        <v>5</v>
      </c>
      <c r="V411">
        <v>20</v>
      </c>
      <c r="W411" t="s">
        <v>35</v>
      </c>
      <c r="X411" t="s">
        <v>29</v>
      </c>
      <c r="Y411" t="s">
        <v>2192</v>
      </c>
      <c r="Z411" t="s">
        <v>37</v>
      </c>
    </row>
    <row r="412" spans="1:26">
      <c r="A412">
        <v>1.8684227870664829E+18</v>
      </c>
      <c r="B412" t="s">
        <v>1862</v>
      </c>
      <c r="C412" t="s">
        <v>1863</v>
      </c>
      <c r="D412" t="s">
        <v>2193</v>
      </c>
      <c r="E412" t="s">
        <v>2194</v>
      </c>
      <c r="F412" t="s">
        <v>29</v>
      </c>
      <c r="G412" t="s">
        <v>2195</v>
      </c>
      <c r="H412" t="s">
        <v>2078</v>
      </c>
      <c r="I412">
        <v>9</v>
      </c>
      <c r="J412">
        <v>51</v>
      </c>
      <c r="K412">
        <v>330</v>
      </c>
      <c r="L412">
        <v>14211</v>
      </c>
      <c r="M412" t="s">
        <v>52</v>
      </c>
      <c r="N412" t="s">
        <v>1867</v>
      </c>
      <c r="O412">
        <v>13492430</v>
      </c>
      <c r="P412" t="s">
        <v>1868</v>
      </c>
      <c r="Q412">
        <v>314515</v>
      </c>
      <c r="R412" t="s">
        <v>1869</v>
      </c>
      <c r="S412">
        <v>708</v>
      </c>
      <c r="T412" t="b">
        <v>0</v>
      </c>
      <c r="U412">
        <v>17</v>
      </c>
      <c r="V412">
        <v>14</v>
      </c>
      <c r="W412" t="s">
        <v>35</v>
      </c>
      <c r="X412" t="s">
        <v>29</v>
      </c>
      <c r="Y412" t="s">
        <v>2196</v>
      </c>
      <c r="Z412" t="s">
        <v>37</v>
      </c>
    </row>
    <row r="413" spans="1:26">
      <c r="A413">
        <v>1.8684080609531087E+18</v>
      </c>
      <c r="B413" t="s">
        <v>1862</v>
      </c>
      <c r="C413" t="s">
        <v>1863</v>
      </c>
      <c r="D413" t="s">
        <v>2197</v>
      </c>
      <c r="E413" t="s">
        <v>2198</v>
      </c>
      <c r="F413" t="s">
        <v>29</v>
      </c>
      <c r="G413" t="s">
        <v>2199</v>
      </c>
      <c r="H413" t="s">
        <v>29</v>
      </c>
      <c r="I413">
        <v>3</v>
      </c>
      <c r="J413">
        <v>75</v>
      </c>
      <c r="K413">
        <v>517</v>
      </c>
      <c r="L413">
        <v>15980</v>
      </c>
      <c r="M413" t="s">
        <v>52</v>
      </c>
      <c r="N413" t="s">
        <v>1867</v>
      </c>
      <c r="O413">
        <v>13492430</v>
      </c>
      <c r="P413" t="s">
        <v>1868</v>
      </c>
      <c r="Q413">
        <v>314515</v>
      </c>
      <c r="R413" t="s">
        <v>1869</v>
      </c>
      <c r="S413">
        <v>708</v>
      </c>
      <c r="T413" t="b">
        <v>0</v>
      </c>
      <c r="U413">
        <v>18</v>
      </c>
      <c r="V413">
        <v>18</v>
      </c>
      <c r="W413" t="s">
        <v>35</v>
      </c>
      <c r="X413" t="s">
        <v>29</v>
      </c>
      <c r="Y413" t="s">
        <v>2200</v>
      </c>
      <c r="Z413" t="s">
        <v>37</v>
      </c>
    </row>
    <row r="414" spans="1:26">
      <c r="A414">
        <v>1.8684066306031949E+18</v>
      </c>
      <c r="B414" t="s">
        <v>1862</v>
      </c>
      <c r="C414" t="s">
        <v>1863</v>
      </c>
      <c r="D414" t="s">
        <v>2201</v>
      </c>
      <c r="E414" t="s">
        <v>2202</v>
      </c>
      <c r="F414" t="s">
        <v>29</v>
      </c>
      <c r="G414" t="s">
        <v>2203</v>
      </c>
      <c r="H414" t="s">
        <v>29</v>
      </c>
      <c r="I414">
        <v>14</v>
      </c>
      <c r="J414">
        <v>91</v>
      </c>
      <c r="K414">
        <v>826</v>
      </c>
      <c r="L414">
        <v>25771</v>
      </c>
      <c r="M414" t="s">
        <v>52</v>
      </c>
      <c r="N414" t="s">
        <v>1867</v>
      </c>
      <c r="O414">
        <v>13492430</v>
      </c>
      <c r="P414" t="s">
        <v>1868</v>
      </c>
      <c r="Q414">
        <v>314515</v>
      </c>
      <c r="R414" t="s">
        <v>1869</v>
      </c>
      <c r="S414">
        <v>708</v>
      </c>
      <c r="T414" t="b">
        <v>0</v>
      </c>
      <c r="U414">
        <v>35</v>
      </c>
      <c r="V414">
        <v>32</v>
      </c>
      <c r="W414" t="s">
        <v>35</v>
      </c>
      <c r="X414" t="s">
        <v>29</v>
      </c>
      <c r="Y414" t="s">
        <v>2204</v>
      </c>
      <c r="Z414" t="s">
        <v>37</v>
      </c>
    </row>
    <row r="415" spans="1:26">
      <c r="A415">
        <v>1.8683972063544079E+18</v>
      </c>
      <c r="B415" t="s">
        <v>1862</v>
      </c>
      <c r="C415" t="s">
        <v>1863</v>
      </c>
      <c r="D415" t="s">
        <v>2205</v>
      </c>
      <c r="E415" t="s">
        <v>2206</v>
      </c>
      <c r="F415" t="s">
        <v>29</v>
      </c>
      <c r="G415" t="s">
        <v>2207</v>
      </c>
      <c r="H415" t="s">
        <v>2208</v>
      </c>
      <c r="I415">
        <v>14</v>
      </c>
      <c r="J415">
        <v>33</v>
      </c>
      <c r="K415">
        <v>274</v>
      </c>
      <c r="L415">
        <v>11818</v>
      </c>
      <c r="M415" t="s">
        <v>52</v>
      </c>
      <c r="N415" t="s">
        <v>1867</v>
      </c>
      <c r="O415">
        <v>13492430</v>
      </c>
      <c r="P415" t="s">
        <v>1868</v>
      </c>
      <c r="Q415">
        <v>314515</v>
      </c>
      <c r="R415" t="s">
        <v>1869</v>
      </c>
      <c r="S415">
        <v>708</v>
      </c>
      <c r="T415" t="b">
        <v>0</v>
      </c>
      <c r="U415">
        <v>15</v>
      </c>
      <c r="V415">
        <v>11</v>
      </c>
      <c r="W415" t="s">
        <v>35</v>
      </c>
      <c r="X415" t="s">
        <v>29</v>
      </c>
      <c r="Y415" t="s">
        <v>2209</v>
      </c>
      <c r="Z415" t="s">
        <v>37</v>
      </c>
    </row>
    <row r="416" spans="1:26">
      <c r="A416">
        <v>1.8684865093445225E+18</v>
      </c>
      <c r="B416" t="s">
        <v>1862</v>
      </c>
      <c r="C416" t="s">
        <v>1863</v>
      </c>
      <c r="D416" t="s">
        <v>2210</v>
      </c>
      <c r="E416" t="s">
        <v>2211</v>
      </c>
      <c r="F416" t="s">
        <v>29</v>
      </c>
      <c r="G416" t="s">
        <v>2212</v>
      </c>
      <c r="H416" t="s">
        <v>2134</v>
      </c>
      <c r="I416">
        <v>2</v>
      </c>
      <c r="J416">
        <v>6</v>
      </c>
      <c r="K416">
        <v>40</v>
      </c>
      <c r="L416">
        <v>3419</v>
      </c>
      <c r="M416" t="s">
        <v>52</v>
      </c>
      <c r="N416" t="s">
        <v>2135</v>
      </c>
      <c r="O416">
        <v>13492430</v>
      </c>
      <c r="P416" t="s">
        <v>1868</v>
      </c>
      <c r="Q416">
        <v>314515</v>
      </c>
      <c r="R416" t="s">
        <v>1869</v>
      </c>
      <c r="S416">
        <v>708</v>
      </c>
      <c r="T416" t="b">
        <v>0</v>
      </c>
      <c r="U416">
        <v>2</v>
      </c>
      <c r="V416">
        <v>3</v>
      </c>
      <c r="W416" t="s">
        <v>35</v>
      </c>
      <c r="X416" t="s">
        <v>29</v>
      </c>
      <c r="Y416" t="s">
        <v>2213</v>
      </c>
      <c r="Z416" t="s">
        <v>37</v>
      </c>
    </row>
    <row r="417" spans="1:26">
      <c r="A417">
        <v>1.8683842504515955E+18</v>
      </c>
      <c r="B417" t="s">
        <v>1862</v>
      </c>
      <c r="C417" t="s">
        <v>1863</v>
      </c>
      <c r="D417" t="s">
        <v>2214</v>
      </c>
      <c r="E417" t="s">
        <v>2215</v>
      </c>
      <c r="F417" t="s">
        <v>29</v>
      </c>
      <c r="G417" t="s">
        <v>2216</v>
      </c>
      <c r="H417" t="s">
        <v>29</v>
      </c>
      <c r="I417">
        <v>32</v>
      </c>
      <c r="J417">
        <v>38</v>
      </c>
      <c r="K417">
        <v>438</v>
      </c>
      <c r="L417">
        <v>34373</v>
      </c>
      <c r="M417" t="s">
        <v>52</v>
      </c>
      <c r="N417" t="s">
        <v>1867</v>
      </c>
      <c r="O417">
        <v>13492372</v>
      </c>
      <c r="P417" t="s">
        <v>1868</v>
      </c>
      <c r="Q417">
        <v>314515</v>
      </c>
      <c r="R417" t="s">
        <v>1869</v>
      </c>
      <c r="S417">
        <v>708</v>
      </c>
      <c r="T417" t="b">
        <v>0</v>
      </c>
      <c r="U417">
        <v>43</v>
      </c>
      <c r="V417">
        <v>17</v>
      </c>
      <c r="W417" t="s">
        <v>35</v>
      </c>
      <c r="X417" t="s">
        <v>29</v>
      </c>
      <c r="Y417" t="s">
        <v>2217</v>
      </c>
      <c r="Z417" t="s">
        <v>37</v>
      </c>
    </row>
    <row r="418" spans="1:26">
      <c r="A418">
        <v>1.8680997520441797E+18</v>
      </c>
      <c r="B418" t="s">
        <v>1862</v>
      </c>
      <c r="C418" t="s">
        <v>1863</v>
      </c>
      <c r="D418" t="s">
        <v>2218</v>
      </c>
      <c r="E418" t="s">
        <v>2219</v>
      </c>
      <c r="F418" t="s">
        <v>29</v>
      </c>
      <c r="G418" t="s">
        <v>2220</v>
      </c>
      <c r="H418" t="s">
        <v>29</v>
      </c>
      <c r="I418">
        <v>4</v>
      </c>
      <c r="J418">
        <v>6</v>
      </c>
      <c r="K418">
        <v>85</v>
      </c>
      <c r="L418">
        <v>11226</v>
      </c>
      <c r="M418" t="s">
        <v>52</v>
      </c>
      <c r="N418" t="s">
        <v>1961</v>
      </c>
      <c r="O418">
        <v>13492430</v>
      </c>
      <c r="P418" t="s">
        <v>1868</v>
      </c>
      <c r="Q418">
        <v>314515</v>
      </c>
      <c r="R418" t="s">
        <v>1869</v>
      </c>
      <c r="S418">
        <v>708</v>
      </c>
      <c r="T418" t="b">
        <v>0</v>
      </c>
      <c r="U418">
        <v>1</v>
      </c>
      <c r="V418">
        <v>7</v>
      </c>
      <c r="W418" t="s">
        <v>35</v>
      </c>
      <c r="X418" t="s">
        <v>29</v>
      </c>
      <c r="Y418" t="s">
        <v>2221</v>
      </c>
      <c r="Z418" t="s">
        <v>37</v>
      </c>
    </row>
    <row r="419" spans="1:26">
      <c r="A419">
        <v>1.8680897391500291E+18</v>
      </c>
      <c r="B419" t="s">
        <v>1862</v>
      </c>
      <c r="C419" t="s">
        <v>1863</v>
      </c>
      <c r="D419" t="s">
        <v>2222</v>
      </c>
      <c r="E419" t="s">
        <v>2223</v>
      </c>
      <c r="F419" t="s">
        <v>29</v>
      </c>
      <c r="G419" t="s">
        <v>2224</v>
      </c>
      <c r="H419" t="s">
        <v>29</v>
      </c>
      <c r="I419">
        <v>19</v>
      </c>
      <c r="J419">
        <v>32</v>
      </c>
      <c r="K419">
        <v>253</v>
      </c>
      <c r="L419">
        <v>19096</v>
      </c>
      <c r="M419" t="s">
        <v>52</v>
      </c>
      <c r="N419" t="s">
        <v>1961</v>
      </c>
      <c r="O419">
        <v>13492430</v>
      </c>
      <c r="P419" t="s">
        <v>1868</v>
      </c>
      <c r="Q419">
        <v>314515</v>
      </c>
      <c r="R419" t="s">
        <v>1869</v>
      </c>
      <c r="S419">
        <v>708</v>
      </c>
      <c r="T419" t="b">
        <v>0</v>
      </c>
      <c r="U419">
        <v>8</v>
      </c>
      <c r="V419">
        <v>25</v>
      </c>
      <c r="W419" t="s">
        <v>35</v>
      </c>
      <c r="X419" t="s">
        <v>29</v>
      </c>
      <c r="Y419" t="s">
        <v>2225</v>
      </c>
      <c r="Z419" t="s">
        <v>37</v>
      </c>
    </row>
    <row r="420" spans="1:26">
      <c r="A420">
        <v>1.8680835539105303E+18</v>
      </c>
      <c r="B420" t="s">
        <v>1862</v>
      </c>
      <c r="C420" t="s">
        <v>1863</v>
      </c>
      <c r="D420" t="s">
        <v>2226</v>
      </c>
      <c r="E420" t="s">
        <v>1784</v>
      </c>
      <c r="F420" t="s">
        <v>29</v>
      </c>
      <c r="G420" t="s">
        <v>2227</v>
      </c>
      <c r="H420" t="s">
        <v>29</v>
      </c>
      <c r="I420">
        <v>3</v>
      </c>
      <c r="J420">
        <v>3</v>
      </c>
      <c r="K420">
        <v>81</v>
      </c>
      <c r="L420">
        <v>8192</v>
      </c>
      <c r="M420" t="s">
        <v>52</v>
      </c>
      <c r="N420" t="s">
        <v>2228</v>
      </c>
      <c r="O420">
        <v>13492432</v>
      </c>
      <c r="P420" t="s">
        <v>1868</v>
      </c>
      <c r="Q420">
        <v>314515</v>
      </c>
      <c r="R420" t="s">
        <v>1869</v>
      </c>
      <c r="S420">
        <v>708</v>
      </c>
      <c r="T420" t="b">
        <v>0</v>
      </c>
      <c r="U420">
        <v>3</v>
      </c>
      <c r="V420">
        <v>1</v>
      </c>
      <c r="W420" t="s">
        <v>35</v>
      </c>
      <c r="X420" t="s">
        <v>29</v>
      </c>
      <c r="Y420" t="s">
        <v>2229</v>
      </c>
      <c r="Z420" t="s">
        <v>37</v>
      </c>
    </row>
    <row r="421" spans="1:26">
      <c r="A421">
        <v>1.8684769528745372E+18</v>
      </c>
      <c r="B421" t="s">
        <v>2230</v>
      </c>
      <c r="C421" t="s">
        <v>2231</v>
      </c>
      <c r="D421" t="s">
        <v>2232</v>
      </c>
      <c r="E421" t="s">
        <v>2233</v>
      </c>
      <c r="F421" t="s">
        <v>2234</v>
      </c>
      <c r="G421" t="s">
        <v>2235</v>
      </c>
      <c r="H421" t="s">
        <v>29</v>
      </c>
      <c r="I421">
        <v>35</v>
      </c>
      <c r="J421">
        <v>2</v>
      </c>
      <c r="K421">
        <v>46</v>
      </c>
      <c r="L421">
        <v>28282</v>
      </c>
      <c r="M421" t="s">
        <v>2236</v>
      </c>
      <c r="N421" t="s">
        <v>29</v>
      </c>
      <c r="O421">
        <v>3313886</v>
      </c>
      <c r="P421" t="s">
        <v>2237</v>
      </c>
      <c r="Q421">
        <v>706459</v>
      </c>
      <c r="R421" t="s">
        <v>2238</v>
      </c>
      <c r="S421">
        <v>10308</v>
      </c>
      <c r="T421" t="b">
        <v>0</v>
      </c>
      <c r="U421">
        <v>5</v>
      </c>
      <c r="V421">
        <v>3</v>
      </c>
      <c r="W421" t="s">
        <v>35</v>
      </c>
      <c r="X421" t="s">
        <v>29</v>
      </c>
      <c r="Y421" t="s">
        <v>29</v>
      </c>
      <c r="Z421" t="s">
        <v>37</v>
      </c>
    </row>
    <row r="422" spans="1:26">
      <c r="A422">
        <v>1.8683581675638377E+18</v>
      </c>
      <c r="B422" t="s">
        <v>2230</v>
      </c>
      <c r="C422" t="s">
        <v>2231</v>
      </c>
      <c r="D422" t="s">
        <v>2239</v>
      </c>
      <c r="E422" t="s">
        <v>2240</v>
      </c>
      <c r="F422" t="s">
        <v>2241</v>
      </c>
      <c r="G422" t="s">
        <v>2242</v>
      </c>
      <c r="H422" t="s">
        <v>29</v>
      </c>
      <c r="I422">
        <v>140</v>
      </c>
      <c r="J422">
        <v>77</v>
      </c>
      <c r="K422">
        <v>220</v>
      </c>
      <c r="L422">
        <v>64837</v>
      </c>
      <c r="M422" t="s">
        <v>2243</v>
      </c>
      <c r="N422" t="s">
        <v>29</v>
      </c>
      <c r="O422">
        <v>3313888</v>
      </c>
      <c r="P422" t="s">
        <v>2237</v>
      </c>
      <c r="Q422">
        <v>706459</v>
      </c>
      <c r="R422" t="s">
        <v>2238</v>
      </c>
      <c r="S422">
        <v>10308</v>
      </c>
      <c r="T422" t="b">
        <v>0</v>
      </c>
      <c r="U422">
        <v>30</v>
      </c>
      <c r="V422">
        <v>29</v>
      </c>
      <c r="W422" t="s">
        <v>35</v>
      </c>
      <c r="X422" t="s">
        <v>29</v>
      </c>
      <c r="Y422" t="s">
        <v>29</v>
      </c>
      <c r="Z422" t="s">
        <v>37</v>
      </c>
    </row>
    <row r="423" spans="1:26">
      <c r="A423">
        <v>1.86834924734029E+18</v>
      </c>
      <c r="B423" t="s">
        <v>2230</v>
      </c>
      <c r="C423" t="s">
        <v>2231</v>
      </c>
      <c r="D423" t="s">
        <v>2244</v>
      </c>
      <c r="E423" t="s">
        <v>2245</v>
      </c>
      <c r="F423" t="s">
        <v>2246</v>
      </c>
      <c r="G423" t="s">
        <v>2247</v>
      </c>
      <c r="H423" t="s">
        <v>29</v>
      </c>
      <c r="I423">
        <v>120</v>
      </c>
      <c r="J423">
        <v>62</v>
      </c>
      <c r="K423">
        <v>353</v>
      </c>
      <c r="L423">
        <v>46025</v>
      </c>
      <c r="M423" t="s">
        <v>2248</v>
      </c>
      <c r="N423" t="s">
        <v>29</v>
      </c>
      <c r="O423">
        <v>3313888</v>
      </c>
      <c r="P423" t="s">
        <v>2237</v>
      </c>
      <c r="Q423">
        <v>706459</v>
      </c>
      <c r="R423" t="s">
        <v>2238</v>
      </c>
      <c r="S423">
        <v>10308</v>
      </c>
      <c r="T423" t="b">
        <v>0</v>
      </c>
      <c r="U423">
        <v>11</v>
      </c>
      <c r="V423">
        <v>12</v>
      </c>
      <c r="W423" t="s">
        <v>35</v>
      </c>
      <c r="X423" t="s">
        <v>29</v>
      </c>
      <c r="Y423" t="s">
        <v>29</v>
      </c>
      <c r="Z423" t="s">
        <v>37</v>
      </c>
    </row>
    <row r="424" spans="1:26">
      <c r="A424">
        <v>1.8683417028359621E+18</v>
      </c>
      <c r="B424" t="s">
        <v>2230</v>
      </c>
      <c r="C424" t="s">
        <v>2231</v>
      </c>
      <c r="D424" t="s">
        <v>2249</v>
      </c>
      <c r="E424" t="s">
        <v>2250</v>
      </c>
      <c r="F424" t="s">
        <v>2251</v>
      </c>
      <c r="G424" t="s">
        <v>2252</v>
      </c>
      <c r="H424" t="s">
        <v>29</v>
      </c>
      <c r="I424">
        <v>12</v>
      </c>
      <c r="J424">
        <v>10</v>
      </c>
      <c r="K424">
        <v>25</v>
      </c>
      <c r="L424">
        <v>20432</v>
      </c>
      <c r="M424" t="s">
        <v>2253</v>
      </c>
      <c r="N424" t="s">
        <v>29</v>
      </c>
      <c r="O424">
        <v>3313889</v>
      </c>
      <c r="P424" t="s">
        <v>2237</v>
      </c>
      <c r="Q424">
        <v>706459</v>
      </c>
      <c r="R424" t="s">
        <v>2238</v>
      </c>
      <c r="S424">
        <v>10308</v>
      </c>
      <c r="T424" t="b">
        <v>0</v>
      </c>
      <c r="U424">
        <v>1</v>
      </c>
      <c r="V424">
        <v>3</v>
      </c>
      <c r="W424" t="s">
        <v>35</v>
      </c>
      <c r="X424" t="s">
        <v>29</v>
      </c>
      <c r="Y424" t="s">
        <v>29</v>
      </c>
      <c r="Z424" t="s">
        <v>37</v>
      </c>
    </row>
    <row r="425" spans="1:26">
      <c r="A425">
        <v>1.8683357202820672E+18</v>
      </c>
      <c r="B425" t="s">
        <v>2230</v>
      </c>
      <c r="C425" t="s">
        <v>2231</v>
      </c>
      <c r="D425" t="s">
        <v>2254</v>
      </c>
      <c r="E425" t="s">
        <v>2255</v>
      </c>
      <c r="F425" t="s">
        <v>2256</v>
      </c>
      <c r="G425" t="s">
        <v>2257</v>
      </c>
      <c r="H425" t="s">
        <v>29</v>
      </c>
      <c r="I425">
        <v>87</v>
      </c>
      <c r="J425">
        <v>89</v>
      </c>
      <c r="K425">
        <v>242</v>
      </c>
      <c r="L425">
        <v>48141</v>
      </c>
      <c r="M425" t="s">
        <v>2258</v>
      </c>
      <c r="N425" t="s">
        <v>29</v>
      </c>
      <c r="O425">
        <v>3313889</v>
      </c>
      <c r="P425" t="s">
        <v>2237</v>
      </c>
      <c r="Q425">
        <v>706459</v>
      </c>
      <c r="R425" t="s">
        <v>2238</v>
      </c>
      <c r="S425">
        <v>10308</v>
      </c>
      <c r="T425" t="b">
        <v>0</v>
      </c>
      <c r="U425">
        <v>19</v>
      </c>
      <c r="V425">
        <v>23</v>
      </c>
      <c r="W425" t="s">
        <v>35</v>
      </c>
      <c r="X425" t="s">
        <v>29</v>
      </c>
      <c r="Y425" t="s">
        <v>29</v>
      </c>
      <c r="Z425" t="s">
        <v>37</v>
      </c>
    </row>
    <row r="426" spans="1:26">
      <c r="A426">
        <v>1.8683228346755689E+18</v>
      </c>
      <c r="B426" t="s">
        <v>2230</v>
      </c>
      <c r="C426" t="s">
        <v>2231</v>
      </c>
      <c r="D426" t="s">
        <v>2259</v>
      </c>
      <c r="E426" t="s">
        <v>2260</v>
      </c>
      <c r="F426" t="s">
        <v>2261</v>
      </c>
      <c r="G426" t="s">
        <v>2262</v>
      </c>
      <c r="H426" t="s">
        <v>29</v>
      </c>
      <c r="I426">
        <v>2705</v>
      </c>
      <c r="J426">
        <v>814</v>
      </c>
      <c r="K426">
        <v>9651</v>
      </c>
      <c r="L426">
        <v>2555996</v>
      </c>
      <c r="M426" t="s">
        <v>2263</v>
      </c>
      <c r="N426" t="s">
        <v>29</v>
      </c>
      <c r="O426">
        <v>3313889</v>
      </c>
      <c r="P426" t="s">
        <v>2237</v>
      </c>
      <c r="Q426">
        <v>706459</v>
      </c>
      <c r="R426" t="s">
        <v>2238</v>
      </c>
      <c r="S426">
        <v>10308</v>
      </c>
      <c r="T426" t="b">
        <v>0</v>
      </c>
      <c r="U426">
        <v>602</v>
      </c>
      <c r="V426">
        <v>466</v>
      </c>
      <c r="W426" t="s">
        <v>35</v>
      </c>
      <c r="X426" t="s">
        <v>29</v>
      </c>
      <c r="Y426" t="s">
        <v>29</v>
      </c>
      <c r="Z426" t="s">
        <v>37</v>
      </c>
    </row>
    <row r="427" spans="1:26">
      <c r="A427">
        <v>1.8682999241918139E+18</v>
      </c>
      <c r="B427" t="s">
        <v>2230</v>
      </c>
      <c r="C427" t="s">
        <v>2231</v>
      </c>
      <c r="D427" t="s">
        <v>2264</v>
      </c>
      <c r="E427" t="s">
        <v>2265</v>
      </c>
      <c r="F427" t="s">
        <v>2266</v>
      </c>
      <c r="G427" t="s">
        <v>2267</v>
      </c>
      <c r="H427" t="s">
        <v>29</v>
      </c>
      <c r="I427">
        <v>84</v>
      </c>
      <c r="J427">
        <v>3</v>
      </c>
      <c r="K427">
        <v>18</v>
      </c>
      <c r="L427">
        <v>24847</v>
      </c>
      <c r="M427" t="s">
        <v>2268</v>
      </c>
      <c r="N427" t="s">
        <v>29</v>
      </c>
      <c r="O427">
        <v>3313890</v>
      </c>
      <c r="P427" t="s">
        <v>2237</v>
      </c>
      <c r="Q427">
        <v>706459</v>
      </c>
      <c r="R427" t="s">
        <v>2238</v>
      </c>
      <c r="S427">
        <v>10308</v>
      </c>
      <c r="T427" t="b">
        <v>0</v>
      </c>
      <c r="U427">
        <v>1</v>
      </c>
      <c r="V427">
        <v>1</v>
      </c>
      <c r="W427" t="s">
        <v>35</v>
      </c>
      <c r="X427" t="s">
        <v>29</v>
      </c>
      <c r="Y427" t="s">
        <v>29</v>
      </c>
      <c r="Z427" t="s">
        <v>37</v>
      </c>
    </row>
    <row r="428" spans="1:26">
      <c r="A428">
        <v>1.8682881974798172E+18</v>
      </c>
      <c r="B428" t="s">
        <v>2230</v>
      </c>
      <c r="C428" t="s">
        <v>2231</v>
      </c>
      <c r="D428" t="s">
        <v>2269</v>
      </c>
      <c r="E428" t="s">
        <v>2270</v>
      </c>
      <c r="F428" t="s">
        <v>2271</v>
      </c>
      <c r="G428" t="s">
        <v>2272</v>
      </c>
      <c r="H428" t="s">
        <v>29</v>
      </c>
      <c r="I428">
        <v>90</v>
      </c>
      <c r="J428">
        <v>132</v>
      </c>
      <c r="K428">
        <v>596</v>
      </c>
      <c r="L428">
        <v>60439</v>
      </c>
      <c r="M428" t="s">
        <v>2273</v>
      </c>
      <c r="N428" t="s">
        <v>29</v>
      </c>
      <c r="O428">
        <v>3313891</v>
      </c>
      <c r="P428" t="s">
        <v>2237</v>
      </c>
      <c r="Q428">
        <v>706459</v>
      </c>
      <c r="R428" t="s">
        <v>2238</v>
      </c>
      <c r="S428">
        <v>10308</v>
      </c>
      <c r="T428" t="b">
        <v>0</v>
      </c>
      <c r="U428">
        <v>19</v>
      </c>
      <c r="V428">
        <v>28</v>
      </c>
      <c r="W428" t="s">
        <v>35</v>
      </c>
      <c r="X428" t="s">
        <v>29</v>
      </c>
      <c r="Y428" t="s">
        <v>29</v>
      </c>
      <c r="Z428" t="s">
        <v>37</v>
      </c>
    </row>
    <row r="429" spans="1:26">
      <c r="A429">
        <v>1.8682654483760581E+18</v>
      </c>
      <c r="B429" t="s">
        <v>2230</v>
      </c>
      <c r="C429" t="s">
        <v>2231</v>
      </c>
      <c r="D429" t="s">
        <v>2274</v>
      </c>
      <c r="E429" t="s">
        <v>2275</v>
      </c>
      <c r="F429" t="s">
        <v>2276</v>
      </c>
      <c r="G429" t="s">
        <v>2277</v>
      </c>
      <c r="H429" t="s">
        <v>29</v>
      </c>
      <c r="I429">
        <v>19</v>
      </c>
      <c r="J429">
        <v>2</v>
      </c>
      <c r="K429">
        <v>36</v>
      </c>
      <c r="L429">
        <v>28817</v>
      </c>
      <c r="M429" t="s">
        <v>2278</v>
      </c>
      <c r="N429" t="s">
        <v>29</v>
      </c>
      <c r="O429">
        <v>3313889</v>
      </c>
      <c r="P429" t="s">
        <v>2237</v>
      </c>
      <c r="Q429">
        <v>706459</v>
      </c>
      <c r="R429" t="s">
        <v>2238</v>
      </c>
      <c r="S429">
        <v>10308</v>
      </c>
      <c r="T429" t="b">
        <v>0</v>
      </c>
      <c r="U429">
        <v>1</v>
      </c>
      <c r="V429">
        <v>4</v>
      </c>
      <c r="W429" t="s">
        <v>35</v>
      </c>
      <c r="X429" t="s">
        <v>29</v>
      </c>
      <c r="Y429" t="s">
        <v>29</v>
      </c>
      <c r="Z429" t="s">
        <v>37</v>
      </c>
    </row>
    <row r="430" spans="1:26">
      <c r="A430">
        <v>1.868250241608098E+18</v>
      </c>
      <c r="B430" t="s">
        <v>2230</v>
      </c>
      <c r="C430" t="s">
        <v>2231</v>
      </c>
      <c r="D430" t="s">
        <v>2279</v>
      </c>
      <c r="E430" t="s">
        <v>2280</v>
      </c>
      <c r="F430" t="s">
        <v>2281</v>
      </c>
      <c r="G430" t="s">
        <v>2282</v>
      </c>
      <c r="H430" t="s">
        <v>29</v>
      </c>
      <c r="I430">
        <v>27</v>
      </c>
      <c r="J430">
        <v>19</v>
      </c>
      <c r="K430">
        <v>64</v>
      </c>
      <c r="L430">
        <v>32797</v>
      </c>
      <c r="M430" t="s">
        <v>2283</v>
      </c>
      <c r="N430" t="s">
        <v>29</v>
      </c>
      <c r="O430">
        <v>3313890</v>
      </c>
      <c r="P430" t="s">
        <v>2237</v>
      </c>
      <c r="Q430">
        <v>706459</v>
      </c>
      <c r="R430" t="s">
        <v>2238</v>
      </c>
      <c r="S430">
        <v>10308</v>
      </c>
      <c r="T430" t="b">
        <v>0</v>
      </c>
      <c r="U430">
        <v>6</v>
      </c>
      <c r="V430">
        <v>2</v>
      </c>
      <c r="W430" t="s">
        <v>35</v>
      </c>
      <c r="X430" t="s">
        <v>29</v>
      </c>
      <c r="Y430" t="s">
        <v>29</v>
      </c>
      <c r="Z430" t="s">
        <v>37</v>
      </c>
    </row>
    <row r="431" spans="1:26">
      <c r="A431">
        <v>1.8681785949434312E+18</v>
      </c>
      <c r="B431" t="s">
        <v>2230</v>
      </c>
      <c r="C431" t="s">
        <v>2231</v>
      </c>
      <c r="D431" t="s">
        <v>2284</v>
      </c>
      <c r="E431" t="s">
        <v>2285</v>
      </c>
      <c r="F431" t="s">
        <v>2286</v>
      </c>
      <c r="G431" t="s">
        <v>2287</v>
      </c>
      <c r="H431" t="s">
        <v>29</v>
      </c>
      <c r="I431">
        <v>55</v>
      </c>
      <c r="J431">
        <v>22</v>
      </c>
      <c r="K431">
        <v>98</v>
      </c>
      <c r="L431">
        <v>30417</v>
      </c>
      <c r="M431" t="s">
        <v>2288</v>
      </c>
      <c r="N431" t="s">
        <v>29</v>
      </c>
      <c r="O431">
        <v>3313891</v>
      </c>
      <c r="P431" t="s">
        <v>2237</v>
      </c>
      <c r="Q431">
        <v>706459</v>
      </c>
      <c r="R431" t="s">
        <v>2238</v>
      </c>
      <c r="S431">
        <v>10308</v>
      </c>
      <c r="T431" t="b">
        <v>0</v>
      </c>
      <c r="U431">
        <v>1</v>
      </c>
      <c r="V431">
        <v>3</v>
      </c>
      <c r="W431" t="s">
        <v>35</v>
      </c>
      <c r="X431" t="s">
        <v>29</v>
      </c>
      <c r="Y431" t="s">
        <v>29</v>
      </c>
      <c r="Z431" t="s">
        <v>37</v>
      </c>
    </row>
    <row r="432" spans="1:26">
      <c r="A432">
        <v>1.8681651949306801E+18</v>
      </c>
      <c r="B432" t="s">
        <v>2230</v>
      </c>
      <c r="C432" t="s">
        <v>2231</v>
      </c>
      <c r="D432" t="s">
        <v>2289</v>
      </c>
      <c r="E432" t="s">
        <v>2290</v>
      </c>
      <c r="F432" t="s">
        <v>2291</v>
      </c>
      <c r="G432" t="s">
        <v>2292</v>
      </c>
      <c r="H432" t="s">
        <v>29</v>
      </c>
      <c r="I432">
        <v>20</v>
      </c>
      <c r="J432">
        <v>3</v>
      </c>
      <c r="K432">
        <v>31</v>
      </c>
      <c r="L432">
        <v>28151</v>
      </c>
      <c r="M432" t="s">
        <v>2293</v>
      </c>
      <c r="N432" t="s">
        <v>29</v>
      </c>
      <c r="O432">
        <v>3313892</v>
      </c>
      <c r="P432" t="s">
        <v>2237</v>
      </c>
      <c r="Q432">
        <v>706459</v>
      </c>
      <c r="R432" t="s">
        <v>2238</v>
      </c>
      <c r="S432">
        <v>10308</v>
      </c>
      <c r="T432" t="b">
        <v>0</v>
      </c>
      <c r="U432">
        <v>1</v>
      </c>
      <c r="V432">
        <v>6</v>
      </c>
      <c r="W432" t="s">
        <v>35</v>
      </c>
      <c r="X432" t="s">
        <v>29</v>
      </c>
      <c r="Y432" t="s">
        <v>29</v>
      </c>
      <c r="Z432" t="s">
        <v>37</v>
      </c>
    </row>
    <row r="433" spans="1:26">
      <c r="A433">
        <v>1.868084396655264E+18</v>
      </c>
      <c r="B433" t="s">
        <v>2230</v>
      </c>
      <c r="C433" t="s">
        <v>2231</v>
      </c>
      <c r="D433" t="s">
        <v>2294</v>
      </c>
      <c r="E433" t="s">
        <v>2295</v>
      </c>
      <c r="F433" t="s">
        <v>2296</v>
      </c>
      <c r="G433" t="s">
        <v>2297</v>
      </c>
      <c r="H433" t="s">
        <v>29</v>
      </c>
      <c r="I433">
        <v>19</v>
      </c>
      <c r="J433">
        <v>9</v>
      </c>
      <c r="K433">
        <v>94</v>
      </c>
      <c r="L433">
        <v>26899</v>
      </c>
      <c r="M433" t="s">
        <v>2298</v>
      </c>
      <c r="N433" t="s">
        <v>29</v>
      </c>
      <c r="O433">
        <v>3313898</v>
      </c>
      <c r="P433" t="s">
        <v>2237</v>
      </c>
      <c r="Q433">
        <v>706459</v>
      </c>
      <c r="R433" t="s">
        <v>2238</v>
      </c>
      <c r="S433">
        <v>10308</v>
      </c>
      <c r="T433" t="b">
        <v>0</v>
      </c>
      <c r="U433">
        <v>1</v>
      </c>
      <c r="V433">
        <v>1</v>
      </c>
      <c r="W433" t="s">
        <v>35</v>
      </c>
      <c r="X433" t="s">
        <v>29</v>
      </c>
      <c r="Y433" t="s">
        <v>29</v>
      </c>
      <c r="Z433" t="s">
        <v>37</v>
      </c>
    </row>
    <row r="434" spans="1:26">
      <c r="A434">
        <v>1.8684223216077742E+18</v>
      </c>
      <c r="B434" t="s">
        <v>2230</v>
      </c>
      <c r="C434" t="s">
        <v>2231</v>
      </c>
      <c r="D434" t="s">
        <v>2299</v>
      </c>
      <c r="E434" t="s">
        <v>2300</v>
      </c>
      <c r="F434" t="s">
        <v>2301</v>
      </c>
      <c r="G434" t="s">
        <v>2302</v>
      </c>
      <c r="H434" t="s">
        <v>29</v>
      </c>
      <c r="I434">
        <v>34</v>
      </c>
      <c r="J434">
        <v>68</v>
      </c>
      <c r="K434">
        <v>198</v>
      </c>
      <c r="L434">
        <v>35073</v>
      </c>
      <c r="M434" t="s">
        <v>2303</v>
      </c>
      <c r="N434" t="s">
        <v>29</v>
      </c>
      <c r="O434">
        <v>3313886</v>
      </c>
      <c r="P434" t="s">
        <v>2237</v>
      </c>
      <c r="Q434">
        <v>706459</v>
      </c>
      <c r="R434" t="s">
        <v>2238</v>
      </c>
      <c r="S434">
        <v>10308</v>
      </c>
      <c r="T434" t="b">
        <v>0</v>
      </c>
      <c r="U434">
        <v>11</v>
      </c>
      <c r="V434">
        <v>9</v>
      </c>
      <c r="W434" t="s">
        <v>35</v>
      </c>
      <c r="X434" t="s">
        <v>29</v>
      </c>
      <c r="Y434" t="s">
        <v>29</v>
      </c>
      <c r="Z434" t="s">
        <v>37</v>
      </c>
    </row>
    <row r="435" spans="1:26">
      <c r="A435">
        <v>1.8684108045941555E+18</v>
      </c>
      <c r="B435" t="s">
        <v>2230</v>
      </c>
      <c r="C435" t="s">
        <v>2231</v>
      </c>
      <c r="D435" t="s">
        <v>2304</v>
      </c>
      <c r="E435" t="s">
        <v>2305</v>
      </c>
      <c r="F435" t="s">
        <v>2306</v>
      </c>
      <c r="G435" t="s">
        <v>2307</v>
      </c>
      <c r="H435" t="s">
        <v>29</v>
      </c>
      <c r="I435">
        <v>6</v>
      </c>
      <c r="J435">
        <v>3</v>
      </c>
      <c r="K435">
        <v>21</v>
      </c>
      <c r="L435">
        <v>23102</v>
      </c>
      <c r="M435" t="s">
        <v>2308</v>
      </c>
      <c r="N435" t="s">
        <v>29</v>
      </c>
      <c r="O435">
        <v>3313886</v>
      </c>
      <c r="P435" t="s">
        <v>2237</v>
      </c>
      <c r="Q435">
        <v>706459</v>
      </c>
      <c r="R435" t="s">
        <v>2238</v>
      </c>
      <c r="S435">
        <v>10308</v>
      </c>
      <c r="T435" t="b">
        <v>0</v>
      </c>
      <c r="U435">
        <v>1</v>
      </c>
      <c r="V435">
        <v>2</v>
      </c>
      <c r="W435" t="s">
        <v>35</v>
      </c>
      <c r="X435" t="s">
        <v>29</v>
      </c>
      <c r="Y435" t="s">
        <v>29</v>
      </c>
      <c r="Z435" t="s">
        <v>37</v>
      </c>
    </row>
    <row r="436" spans="1:26">
      <c r="A436">
        <v>1.8683966131414267E+18</v>
      </c>
      <c r="B436" t="s">
        <v>2230</v>
      </c>
      <c r="C436" t="s">
        <v>2231</v>
      </c>
      <c r="D436" t="s">
        <v>2309</v>
      </c>
      <c r="E436" t="s">
        <v>2310</v>
      </c>
      <c r="F436" t="s">
        <v>2311</v>
      </c>
      <c r="G436" t="s">
        <v>2312</v>
      </c>
      <c r="H436" t="s">
        <v>29</v>
      </c>
      <c r="I436">
        <v>40</v>
      </c>
      <c r="J436">
        <v>8</v>
      </c>
      <c r="K436">
        <v>36</v>
      </c>
      <c r="L436">
        <v>33808</v>
      </c>
      <c r="M436" t="s">
        <v>2313</v>
      </c>
      <c r="N436" t="s">
        <v>29</v>
      </c>
      <c r="O436">
        <v>3314167</v>
      </c>
      <c r="P436" t="s">
        <v>2237</v>
      </c>
      <c r="Q436">
        <v>706459</v>
      </c>
      <c r="R436" t="s">
        <v>2238</v>
      </c>
      <c r="S436">
        <v>10308</v>
      </c>
      <c r="T436" t="b">
        <v>0</v>
      </c>
      <c r="U436">
        <v>6</v>
      </c>
      <c r="V436">
        <v>9</v>
      </c>
      <c r="W436" t="s">
        <v>35</v>
      </c>
      <c r="X436" t="s">
        <v>29</v>
      </c>
      <c r="Y436" t="s">
        <v>29</v>
      </c>
      <c r="Z436" t="s">
        <v>37</v>
      </c>
    </row>
    <row r="437" spans="1:26">
      <c r="A437">
        <v>1.8683705655740708E+18</v>
      </c>
      <c r="B437" t="s">
        <v>2230</v>
      </c>
      <c r="C437" t="s">
        <v>2231</v>
      </c>
      <c r="D437" t="s">
        <v>2314</v>
      </c>
      <c r="E437" t="s">
        <v>2315</v>
      </c>
      <c r="F437" t="s">
        <v>2316</v>
      </c>
      <c r="G437" t="s">
        <v>2317</v>
      </c>
      <c r="H437" t="s">
        <v>29</v>
      </c>
      <c r="I437">
        <v>31</v>
      </c>
      <c r="J437">
        <v>32</v>
      </c>
      <c r="K437">
        <v>264</v>
      </c>
      <c r="L437">
        <v>23905</v>
      </c>
      <c r="M437" t="s">
        <v>2318</v>
      </c>
      <c r="N437" t="s">
        <v>29</v>
      </c>
      <c r="O437">
        <v>3313888</v>
      </c>
      <c r="P437" t="s">
        <v>2237</v>
      </c>
      <c r="Q437">
        <v>706459</v>
      </c>
      <c r="R437" t="s">
        <v>2238</v>
      </c>
      <c r="S437">
        <v>10308</v>
      </c>
      <c r="T437" t="b">
        <v>0</v>
      </c>
      <c r="U437">
        <v>3</v>
      </c>
      <c r="V437">
        <v>3</v>
      </c>
      <c r="W437" t="s">
        <v>35</v>
      </c>
      <c r="X437" t="s">
        <v>29</v>
      </c>
      <c r="Y437" t="s">
        <v>29</v>
      </c>
      <c r="Z437" t="s">
        <v>37</v>
      </c>
    </row>
    <row r="438" spans="1:26">
      <c r="A438">
        <v>1.8683628844990551E+18</v>
      </c>
      <c r="B438" t="s">
        <v>2230</v>
      </c>
      <c r="C438" t="s">
        <v>2231</v>
      </c>
      <c r="D438" t="s">
        <v>2319</v>
      </c>
      <c r="E438" t="s">
        <v>2320</v>
      </c>
      <c r="F438" t="s">
        <v>2321</v>
      </c>
      <c r="G438" t="s">
        <v>2322</v>
      </c>
      <c r="H438" t="s">
        <v>29</v>
      </c>
      <c r="I438">
        <v>51</v>
      </c>
      <c r="J438">
        <v>19</v>
      </c>
      <c r="K438">
        <v>69</v>
      </c>
      <c r="L438">
        <v>23409</v>
      </c>
      <c r="M438" t="s">
        <v>2323</v>
      </c>
      <c r="N438" t="s">
        <v>29</v>
      </c>
      <c r="O438">
        <v>3313888</v>
      </c>
      <c r="P438" t="s">
        <v>2237</v>
      </c>
      <c r="Q438">
        <v>706459</v>
      </c>
      <c r="R438" t="s">
        <v>2238</v>
      </c>
      <c r="S438">
        <v>10308</v>
      </c>
      <c r="T438" t="b">
        <v>0</v>
      </c>
      <c r="U438">
        <v>4</v>
      </c>
      <c r="V438">
        <v>6</v>
      </c>
      <c r="W438" t="s">
        <v>35</v>
      </c>
      <c r="X438" t="s">
        <v>29</v>
      </c>
      <c r="Y438" t="s">
        <v>29</v>
      </c>
      <c r="Z438" t="s">
        <v>37</v>
      </c>
    </row>
    <row r="439" spans="1:26">
      <c r="A439">
        <v>1.8683694359431168E+18</v>
      </c>
      <c r="B439" t="s">
        <v>2230</v>
      </c>
      <c r="C439" t="s">
        <v>2231</v>
      </c>
      <c r="D439" t="s">
        <v>2324</v>
      </c>
      <c r="E439" t="s">
        <v>2325</v>
      </c>
      <c r="F439" t="s">
        <v>2326</v>
      </c>
      <c r="G439" t="s">
        <v>2327</v>
      </c>
      <c r="H439" t="s">
        <v>29</v>
      </c>
      <c r="I439">
        <v>105</v>
      </c>
      <c r="J439">
        <v>68</v>
      </c>
      <c r="K439">
        <v>177</v>
      </c>
      <c r="L439">
        <v>36570</v>
      </c>
      <c r="M439" t="s">
        <v>2328</v>
      </c>
      <c r="N439" t="s">
        <v>29</v>
      </c>
      <c r="O439">
        <v>3313888</v>
      </c>
      <c r="P439" t="s">
        <v>2237</v>
      </c>
      <c r="Q439">
        <v>706459</v>
      </c>
      <c r="R439" t="s">
        <v>2238</v>
      </c>
      <c r="S439">
        <v>10308</v>
      </c>
      <c r="T439" t="b">
        <v>0</v>
      </c>
      <c r="U439">
        <v>9</v>
      </c>
      <c r="V439">
        <v>10</v>
      </c>
      <c r="W439" t="s">
        <v>35</v>
      </c>
      <c r="X439" t="s">
        <v>29</v>
      </c>
      <c r="Y439" t="s">
        <v>29</v>
      </c>
      <c r="Z439" t="s">
        <v>37</v>
      </c>
    </row>
    <row r="440" spans="1:26">
      <c r="A440">
        <v>1.8683444661148303E+18</v>
      </c>
      <c r="B440" t="s">
        <v>2230</v>
      </c>
      <c r="C440" t="s">
        <v>2231</v>
      </c>
      <c r="D440" t="s">
        <v>2269</v>
      </c>
      <c r="E440" t="s">
        <v>2329</v>
      </c>
      <c r="F440" t="s">
        <v>2330</v>
      </c>
      <c r="G440" t="s">
        <v>2331</v>
      </c>
      <c r="H440" t="s">
        <v>29</v>
      </c>
      <c r="I440">
        <v>34</v>
      </c>
      <c r="J440">
        <v>25</v>
      </c>
      <c r="K440">
        <v>82</v>
      </c>
      <c r="L440">
        <v>24694</v>
      </c>
      <c r="M440" t="s">
        <v>2332</v>
      </c>
      <c r="N440" t="s">
        <v>29</v>
      </c>
      <c r="O440">
        <v>3313888</v>
      </c>
      <c r="P440" t="s">
        <v>2237</v>
      </c>
      <c r="Q440">
        <v>706459</v>
      </c>
      <c r="R440" t="s">
        <v>2238</v>
      </c>
      <c r="S440">
        <v>10308</v>
      </c>
      <c r="T440" t="b">
        <v>0</v>
      </c>
      <c r="U440">
        <v>4</v>
      </c>
      <c r="V440">
        <v>13</v>
      </c>
      <c r="W440" t="s">
        <v>35</v>
      </c>
      <c r="X440" t="s">
        <v>29</v>
      </c>
      <c r="Y440" t="s">
        <v>29</v>
      </c>
      <c r="Z440" t="s">
        <v>37</v>
      </c>
    </row>
    <row r="441" spans="1:26">
      <c r="A441">
        <v>1.8683123183727124E+18</v>
      </c>
      <c r="B441" t="s">
        <v>2230</v>
      </c>
      <c r="C441" t="s">
        <v>2231</v>
      </c>
      <c r="D441" t="s">
        <v>2333</v>
      </c>
      <c r="E441" t="s">
        <v>2334</v>
      </c>
      <c r="F441" t="s">
        <v>2335</v>
      </c>
      <c r="G441" t="s">
        <v>2336</v>
      </c>
      <c r="H441" t="s">
        <v>29</v>
      </c>
      <c r="I441">
        <v>49</v>
      </c>
      <c r="J441">
        <v>11</v>
      </c>
      <c r="K441">
        <v>112</v>
      </c>
      <c r="L441">
        <v>33900</v>
      </c>
      <c r="M441" t="s">
        <v>2337</v>
      </c>
      <c r="N441" t="s">
        <v>29</v>
      </c>
      <c r="O441">
        <v>3313889</v>
      </c>
      <c r="P441" t="s">
        <v>2237</v>
      </c>
      <c r="Q441">
        <v>706459</v>
      </c>
      <c r="R441" t="s">
        <v>2238</v>
      </c>
      <c r="S441">
        <v>10308</v>
      </c>
      <c r="T441" t="b">
        <v>0</v>
      </c>
      <c r="U441">
        <v>5</v>
      </c>
      <c r="V441">
        <v>3</v>
      </c>
      <c r="W441" t="s">
        <v>35</v>
      </c>
      <c r="X441" t="s">
        <v>29</v>
      </c>
      <c r="Y441" t="s">
        <v>29</v>
      </c>
      <c r="Z441" t="s">
        <v>37</v>
      </c>
    </row>
    <row r="442" spans="1:26">
      <c r="A442">
        <v>1.8683023049667628E+18</v>
      </c>
      <c r="B442" t="s">
        <v>2230</v>
      </c>
      <c r="C442" t="s">
        <v>2231</v>
      </c>
      <c r="D442" t="s">
        <v>2338</v>
      </c>
      <c r="E442" t="s">
        <v>2339</v>
      </c>
      <c r="F442" t="s">
        <v>2340</v>
      </c>
      <c r="G442" t="s">
        <v>2341</v>
      </c>
      <c r="H442" t="s">
        <v>29</v>
      </c>
      <c r="I442">
        <v>54</v>
      </c>
      <c r="J442">
        <v>7</v>
      </c>
      <c r="K442">
        <v>181</v>
      </c>
      <c r="L442">
        <v>40073</v>
      </c>
      <c r="M442" t="s">
        <v>2342</v>
      </c>
      <c r="N442" t="s">
        <v>29</v>
      </c>
      <c r="O442">
        <v>3313888</v>
      </c>
      <c r="P442" t="s">
        <v>2237</v>
      </c>
      <c r="Q442">
        <v>706459</v>
      </c>
      <c r="R442" t="s">
        <v>2238</v>
      </c>
      <c r="S442">
        <v>10308</v>
      </c>
      <c r="T442" t="b">
        <v>0</v>
      </c>
      <c r="U442">
        <v>3</v>
      </c>
      <c r="V442">
        <v>7</v>
      </c>
      <c r="W442" t="s">
        <v>35</v>
      </c>
      <c r="X442" t="s">
        <v>29</v>
      </c>
      <c r="Y442" t="s">
        <v>29</v>
      </c>
      <c r="Z442" t="s">
        <v>37</v>
      </c>
    </row>
    <row r="443" spans="1:26">
      <c r="A443">
        <v>1.8681298798640622E+18</v>
      </c>
      <c r="B443" t="s">
        <v>2230</v>
      </c>
      <c r="C443" t="s">
        <v>2231</v>
      </c>
      <c r="D443" t="s">
        <v>2343</v>
      </c>
      <c r="E443" t="s">
        <v>2344</v>
      </c>
      <c r="F443" t="s">
        <v>2345</v>
      </c>
      <c r="G443" t="s">
        <v>2346</v>
      </c>
      <c r="H443" t="s">
        <v>29</v>
      </c>
      <c r="I443">
        <v>78</v>
      </c>
      <c r="J443">
        <v>64</v>
      </c>
      <c r="K443">
        <v>161</v>
      </c>
      <c r="L443">
        <v>42416</v>
      </c>
      <c r="M443" t="s">
        <v>2347</v>
      </c>
      <c r="N443" t="s">
        <v>29</v>
      </c>
      <c r="O443">
        <v>3313894</v>
      </c>
      <c r="P443" t="s">
        <v>2237</v>
      </c>
      <c r="Q443">
        <v>706459</v>
      </c>
      <c r="R443" t="s">
        <v>2238</v>
      </c>
      <c r="S443">
        <v>10308</v>
      </c>
      <c r="T443" t="b">
        <v>0</v>
      </c>
      <c r="U443">
        <v>6</v>
      </c>
      <c r="V443">
        <v>11</v>
      </c>
      <c r="W443" t="s">
        <v>35</v>
      </c>
      <c r="X443" t="s">
        <v>29</v>
      </c>
      <c r="Y443" t="s">
        <v>29</v>
      </c>
      <c r="Z443" t="s">
        <v>37</v>
      </c>
    </row>
    <row r="444" spans="1:26">
      <c r="A444">
        <v>1.8681103262914276E+18</v>
      </c>
      <c r="B444" t="s">
        <v>2230</v>
      </c>
      <c r="C444" t="s">
        <v>2231</v>
      </c>
      <c r="D444" t="s">
        <v>2348</v>
      </c>
      <c r="E444" t="s">
        <v>2349</v>
      </c>
      <c r="F444" t="s">
        <v>2350</v>
      </c>
      <c r="G444" t="s">
        <v>2351</v>
      </c>
      <c r="H444" t="s">
        <v>29</v>
      </c>
      <c r="I444">
        <v>20</v>
      </c>
      <c r="J444">
        <v>9</v>
      </c>
      <c r="K444">
        <v>165</v>
      </c>
      <c r="L444">
        <v>33076</v>
      </c>
      <c r="M444" t="s">
        <v>2352</v>
      </c>
      <c r="N444" t="s">
        <v>29</v>
      </c>
      <c r="O444">
        <v>3313894</v>
      </c>
      <c r="P444" t="s">
        <v>2237</v>
      </c>
      <c r="Q444">
        <v>706459</v>
      </c>
      <c r="R444" t="s">
        <v>2238</v>
      </c>
      <c r="S444">
        <v>10308</v>
      </c>
      <c r="T444" t="b">
        <v>0</v>
      </c>
      <c r="U444">
        <v>1</v>
      </c>
      <c r="V444">
        <v>2</v>
      </c>
      <c r="W444" t="s">
        <v>35</v>
      </c>
      <c r="X444" t="s">
        <v>29</v>
      </c>
      <c r="Y444" t="s">
        <v>29</v>
      </c>
      <c r="Z444" t="s">
        <v>37</v>
      </c>
    </row>
    <row r="445" spans="1:26">
      <c r="A445">
        <v>1.8061395310932585E+18</v>
      </c>
      <c r="B445" t="s">
        <v>2353</v>
      </c>
      <c r="C445" t="s">
        <v>2354</v>
      </c>
      <c r="D445" t="s">
        <v>2355</v>
      </c>
      <c r="E445" t="s">
        <v>2356</v>
      </c>
      <c r="F445" t="s">
        <v>29</v>
      </c>
      <c r="G445" t="s">
        <v>2357</v>
      </c>
      <c r="H445" t="s">
        <v>2358</v>
      </c>
      <c r="I445">
        <v>9</v>
      </c>
      <c r="J445">
        <v>3</v>
      </c>
      <c r="K445">
        <v>86</v>
      </c>
      <c r="L445">
        <v>9270</v>
      </c>
      <c r="M445" t="s">
        <v>2359</v>
      </c>
      <c r="N445" t="s">
        <v>2360</v>
      </c>
      <c r="O445">
        <v>1293</v>
      </c>
      <c r="P445" t="s">
        <v>2361</v>
      </c>
      <c r="Q445">
        <v>2739</v>
      </c>
      <c r="R445" t="s">
        <v>2362</v>
      </c>
      <c r="S445">
        <v>900</v>
      </c>
      <c r="T445" t="b">
        <v>0</v>
      </c>
      <c r="U445">
        <v>5</v>
      </c>
      <c r="V445">
        <v>0</v>
      </c>
      <c r="W445" t="s">
        <v>35</v>
      </c>
      <c r="X445" t="s">
        <v>2363</v>
      </c>
      <c r="Y445" t="s">
        <v>29</v>
      </c>
      <c r="Z445" t="s">
        <v>37</v>
      </c>
    </row>
    <row r="446" spans="1:26">
      <c r="A446">
        <v>1.8684293757643082E+18</v>
      </c>
      <c r="B446" t="s">
        <v>2230</v>
      </c>
      <c r="C446" t="s">
        <v>2231</v>
      </c>
      <c r="D446" t="s">
        <v>2364</v>
      </c>
      <c r="E446" t="s">
        <v>2365</v>
      </c>
      <c r="F446" t="s">
        <v>2366</v>
      </c>
      <c r="G446" t="s">
        <v>2367</v>
      </c>
      <c r="H446" t="s">
        <v>29</v>
      </c>
      <c r="I446">
        <v>70</v>
      </c>
      <c r="J446">
        <v>17</v>
      </c>
      <c r="K446">
        <v>60</v>
      </c>
      <c r="L446">
        <v>31869</v>
      </c>
      <c r="M446" t="s">
        <v>2368</v>
      </c>
      <c r="N446" t="s">
        <v>29</v>
      </c>
      <c r="O446">
        <v>3313886</v>
      </c>
      <c r="P446" t="s">
        <v>2237</v>
      </c>
      <c r="Q446">
        <v>706459</v>
      </c>
      <c r="R446" t="s">
        <v>2238</v>
      </c>
      <c r="S446">
        <v>10308</v>
      </c>
      <c r="T446" t="b">
        <v>0</v>
      </c>
      <c r="U446">
        <v>9</v>
      </c>
      <c r="V446">
        <v>7</v>
      </c>
      <c r="W446" t="s">
        <v>35</v>
      </c>
      <c r="X446" t="s">
        <v>29</v>
      </c>
      <c r="Y446" t="s">
        <v>29</v>
      </c>
      <c r="Z446" t="s">
        <v>37</v>
      </c>
    </row>
    <row r="447" spans="1:26">
      <c r="A447">
        <v>1.8684405018604134E+18</v>
      </c>
      <c r="B447" t="s">
        <v>2230</v>
      </c>
      <c r="C447" t="s">
        <v>2231</v>
      </c>
      <c r="D447" t="s">
        <v>2369</v>
      </c>
      <c r="E447" t="s">
        <v>2370</v>
      </c>
      <c r="F447" t="s">
        <v>2371</v>
      </c>
      <c r="G447" t="s">
        <v>2372</v>
      </c>
      <c r="H447" t="s">
        <v>29</v>
      </c>
      <c r="I447">
        <v>14</v>
      </c>
      <c r="J447">
        <v>3</v>
      </c>
      <c r="K447">
        <v>24</v>
      </c>
      <c r="L447">
        <v>26203</v>
      </c>
      <c r="M447" t="s">
        <v>2373</v>
      </c>
      <c r="N447" t="s">
        <v>29</v>
      </c>
      <c r="O447">
        <v>3313886</v>
      </c>
      <c r="P447" t="s">
        <v>2237</v>
      </c>
      <c r="Q447">
        <v>706459</v>
      </c>
      <c r="R447" t="s">
        <v>2238</v>
      </c>
      <c r="S447">
        <v>10308</v>
      </c>
      <c r="T447" t="b">
        <v>0</v>
      </c>
      <c r="U447">
        <v>1</v>
      </c>
      <c r="V447">
        <v>2</v>
      </c>
      <c r="W447" t="s">
        <v>35</v>
      </c>
      <c r="X447" t="s">
        <v>29</v>
      </c>
      <c r="Y447" t="s">
        <v>29</v>
      </c>
      <c r="Z447" t="s">
        <v>37</v>
      </c>
    </row>
    <row r="448" spans="1:26">
      <c r="A448">
        <v>1.868417381015458E+18</v>
      </c>
      <c r="B448" t="s">
        <v>2230</v>
      </c>
      <c r="C448" t="s">
        <v>2231</v>
      </c>
      <c r="D448" t="s">
        <v>2374</v>
      </c>
      <c r="E448" t="s">
        <v>2375</v>
      </c>
      <c r="F448" t="s">
        <v>2376</v>
      </c>
      <c r="G448" t="s">
        <v>2377</v>
      </c>
      <c r="H448" t="s">
        <v>29</v>
      </c>
      <c r="I448">
        <v>27</v>
      </c>
      <c r="J448">
        <v>6</v>
      </c>
      <c r="K448">
        <v>54</v>
      </c>
      <c r="L448">
        <v>33455</v>
      </c>
      <c r="M448" t="s">
        <v>2378</v>
      </c>
      <c r="N448" t="s">
        <v>29</v>
      </c>
      <c r="O448">
        <v>3313886</v>
      </c>
      <c r="P448" t="s">
        <v>2237</v>
      </c>
      <c r="Q448">
        <v>706459</v>
      </c>
      <c r="R448" t="s">
        <v>2238</v>
      </c>
      <c r="S448">
        <v>10308</v>
      </c>
      <c r="T448" t="b">
        <v>0</v>
      </c>
      <c r="U448">
        <v>1</v>
      </c>
      <c r="V448">
        <v>7</v>
      </c>
      <c r="W448" t="s">
        <v>35</v>
      </c>
      <c r="X448" t="s">
        <v>29</v>
      </c>
      <c r="Y448" t="s">
        <v>29</v>
      </c>
      <c r="Z448" t="s">
        <v>37</v>
      </c>
    </row>
    <row r="449" spans="1:26">
      <c r="A449">
        <v>1.8683900330586808E+18</v>
      </c>
      <c r="B449" t="s">
        <v>2230</v>
      </c>
      <c r="C449" t="s">
        <v>2231</v>
      </c>
      <c r="D449" t="s">
        <v>2379</v>
      </c>
      <c r="E449" t="s">
        <v>2380</v>
      </c>
      <c r="F449" t="s">
        <v>2381</v>
      </c>
      <c r="G449" t="s">
        <v>2382</v>
      </c>
      <c r="H449" t="s">
        <v>29</v>
      </c>
      <c r="I449">
        <v>18</v>
      </c>
      <c r="J449">
        <v>61</v>
      </c>
      <c r="K449">
        <v>437</v>
      </c>
      <c r="L449">
        <v>36089</v>
      </c>
      <c r="M449" t="s">
        <v>2383</v>
      </c>
      <c r="N449" t="s">
        <v>29</v>
      </c>
      <c r="O449">
        <v>3313887</v>
      </c>
      <c r="P449" t="s">
        <v>2237</v>
      </c>
      <c r="Q449">
        <v>706459</v>
      </c>
      <c r="R449" t="s">
        <v>2238</v>
      </c>
      <c r="S449">
        <v>10308</v>
      </c>
      <c r="T449" t="b">
        <v>0</v>
      </c>
      <c r="U449">
        <v>3</v>
      </c>
      <c r="V449">
        <v>8</v>
      </c>
      <c r="W449" t="s">
        <v>35</v>
      </c>
      <c r="X449" t="s">
        <v>29</v>
      </c>
      <c r="Y449" t="s">
        <v>29</v>
      </c>
      <c r="Z449" t="s">
        <v>37</v>
      </c>
    </row>
    <row r="450" spans="1:26">
      <c r="A450">
        <v>1.8684084043031186E+18</v>
      </c>
      <c r="B450" t="s">
        <v>2230</v>
      </c>
      <c r="C450" t="s">
        <v>2231</v>
      </c>
      <c r="D450" t="s">
        <v>2384</v>
      </c>
      <c r="E450" t="s">
        <v>2385</v>
      </c>
      <c r="F450" t="s">
        <v>2386</v>
      </c>
      <c r="G450" t="s">
        <v>2387</v>
      </c>
      <c r="H450" t="s">
        <v>29</v>
      </c>
      <c r="I450">
        <v>14</v>
      </c>
      <c r="J450">
        <v>2</v>
      </c>
      <c r="K450">
        <v>36</v>
      </c>
      <c r="L450">
        <v>23926</v>
      </c>
      <c r="M450" t="s">
        <v>2388</v>
      </c>
      <c r="N450" t="s">
        <v>29</v>
      </c>
      <c r="O450">
        <v>3313886</v>
      </c>
      <c r="P450" t="s">
        <v>2237</v>
      </c>
      <c r="Q450">
        <v>706459</v>
      </c>
      <c r="R450" t="s">
        <v>2238</v>
      </c>
      <c r="S450">
        <v>10308</v>
      </c>
      <c r="T450" t="b">
        <v>0</v>
      </c>
      <c r="U450">
        <v>1</v>
      </c>
      <c r="V450">
        <v>2</v>
      </c>
      <c r="W450" t="s">
        <v>35</v>
      </c>
      <c r="X450" t="s">
        <v>29</v>
      </c>
      <c r="Y450" t="s">
        <v>29</v>
      </c>
      <c r="Z450" t="s">
        <v>37</v>
      </c>
    </row>
    <row r="451" spans="1:26">
      <c r="A451">
        <v>1.8683392594022241E+18</v>
      </c>
      <c r="B451" t="s">
        <v>2230</v>
      </c>
      <c r="C451" t="s">
        <v>2231</v>
      </c>
      <c r="D451" t="s">
        <v>2389</v>
      </c>
      <c r="E451" t="s">
        <v>2390</v>
      </c>
      <c r="F451" t="s">
        <v>2391</v>
      </c>
      <c r="G451" t="s">
        <v>2392</v>
      </c>
      <c r="H451" t="s">
        <v>29</v>
      </c>
      <c r="I451">
        <v>48</v>
      </c>
      <c r="J451">
        <v>8</v>
      </c>
      <c r="K451">
        <v>129</v>
      </c>
      <c r="L451">
        <v>37326</v>
      </c>
      <c r="M451" t="s">
        <v>2393</v>
      </c>
      <c r="N451" t="s">
        <v>29</v>
      </c>
      <c r="O451">
        <v>3313888</v>
      </c>
      <c r="P451" t="s">
        <v>2237</v>
      </c>
      <c r="Q451">
        <v>706459</v>
      </c>
      <c r="R451" t="s">
        <v>2238</v>
      </c>
      <c r="S451">
        <v>10308</v>
      </c>
      <c r="T451" t="b">
        <v>0</v>
      </c>
      <c r="U451">
        <v>3</v>
      </c>
      <c r="V451">
        <v>10</v>
      </c>
      <c r="W451" t="s">
        <v>35</v>
      </c>
      <c r="X451" t="s">
        <v>29</v>
      </c>
      <c r="Y451" t="s">
        <v>29</v>
      </c>
      <c r="Z451" t="s">
        <v>37</v>
      </c>
    </row>
    <row r="452" spans="1:26">
      <c r="A452">
        <v>1.8683240423877061E+18</v>
      </c>
      <c r="B452" t="s">
        <v>2230</v>
      </c>
      <c r="C452" t="s">
        <v>2231</v>
      </c>
      <c r="D452" t="s">
        <v>2394</v>
      </c>
      <c r="E452" t="s">
        <v>2395</v>
      </c>
      <c r="F452" t="s">
        <v>2396</v>
      </c>
      <c r="G452" t="s">
        <v>2397</v>
      </c>
      <c r="H452" t="s">
        <v>29</v>
      </c>
      <c r="I452">
        <v>37</v>
      </c>
      <c r="J452">
        <v>17</v>
      </c>
      <c r="K452">
        <v>53</v>
      </c>
      <c r="L452">
        <v>23180</v>
      </c>
      <c r="M452" t="s">
        <v>2398</v>
      </c>
      <c r="N452" t="s">
        <v>29</v>
      </c>
      <c r="O452">
        <v>3313888</v>
      </c>
      <c r="P452" t="s">
        <v>2237</v>
      </c>
      <c r="Q452">
        <v>706459</v>
      </c>
      <c r="R452" t="s">
        <v>2238</v>
      </c>
      <c r="S452">
        <v>10308</v>
      </c>
      <c r="T452" t="b">
        <v>0</v>
      </c>
      <c r="U452">
        <v>4</v>
      </c>
      <c r="V452">
        <v>8</v>
      </c>
      <c r="W452" t="s">
        <v>35</v>
      </c>
      <c r="X452" t="s">
        <v>29</v>
      </c>
      <c r="Y452" t="s">
        <v>29</v>
      </c>
      <c r="Z452" t="s">
        <v>37</v>
      </c>
    </row>
    <row r="453" spans="1:26">
      <c r="A453">
        <v>1.8682375105659292E+18</v>
      </c>
      <c r="B453" t="s">
        <v>2230</v>
      </c>
      <c r="C453" t="s">
        <v>2231</v>
      </c>
      <c r="D453" t="s">
        <v>2399</v>
      </c>
      <c r="E453" t="s">
        <v>2400</v>
      </c>
      <c r="F453" t="s">
        <v>2401</v>
      </c>
      <c r="G453" t="s">
        <v>2402</v>
      </c>
      <c r="H453" t="s">
        <v>29</v>
      </c>
      <c r="I453">
        <v>21</v>
      </c>
      <c r="J453">
        <v>20</v>
      </c>
      <c r="K453">
        <v>67</v>
      </c>
      <c r="L453">
        <v>23955</v>
      </c>
      <c r="M453" t="s">
        <v>2403</v>
      </c>
      <c r="N453" t="s">
        <v>29</v>
      </c>
      <c r="O453">
        <v>3313891</v>
      </c>
      <c r="P453" t="s">
        <v>2237</v>
      </c>
      <c r="Q453">
        <v>706459</v>
      </c>
      <c r="R453" t="s">
        <v>2238</v>
      </c>
      <c r="S453">
        <v>10308</v>
      </c>
      <c r="T453" t="b">
        <v>0</v>
      </c>
      <c r="U453">
        <v>1</v>
      </c>
      <c r="V453">
        <v>4</v>
      </c>
      <c r="W453" t="s">
        <v>35</v>
      </c>
      <c r="X453" t="s">
        <v>29</v>
      </c>
      <c r="Y453" t="s">
        <v>29</v>
      </c>
      <c r="Z453" t="s">
        <v>37</v>
      </c>
    </row>
    <row r="454" spans="1:26">
      <c r="A454">
        <v>1.8681711140372933E+18</v>
      </c>
      <c r="B454" t="s">
        <v>2230</v>
      </c>
      <c r="C454" t="s">
        <v>2231</v>
      </c>
      <c r="D454" t="s">
        <v>2404</v>
      </c>
      <c r="E454" t="s">
        <v>2405</v>
      </c>
      <c r="F454" t="s">
        <v>2406</v>
      </c>
      <c r="G454" t="s">
        <v>2407</v>
      </c>
      <c r="H454" t="s">
        <v>29</v>
      </c>
      <c r="I454">
        <v>56</v>
      </c>
      <c r="J454">
        <v>44</v>
      </c>
      <c r="K454">
        <v>171</v>
      </c>
      <c r="L454">
        <v>43305</v>
      </c>
      <c r="M454" t="s">
        <v>2408</v>
      </c>
      <c r="N454" t="s">
        <v>29</v>
      </c>
      <c r="O454">
        <v>3313891</v>
      </c>
      <c r="P454" t="s">
        <v>2237</v>
      </c>
      <c r="Q454">
        <v>706459</v>
      </c>
      <c r="R454" t="s">
        <v>2238</v>
      </c>
      <c r="S454">
        <v>10308</v>
      </c>
      <c r="T454" t="b">
        <v>0</v>
      </c>
      <c r="U454">
        <v>13</v>
      </c>
      <c r="V454">
        <v>20</v>
      </c>
      <c r="W454" t="s">
        <v>35</v>
      </c>
      <c r="X454" t="s">
        <v>29</v>
      </c>
      <c r="Y454" t="s">
        <v>29</v>
      </c>
      <c r="Z454" t="s">
        <v>37</v>
      </c>
    </row>
    <row r="455" spans="1:26">
      <c r="A455">
        <v>1.8680879945083049E+18</v>
      </c>
      <c r="B455" t="s">
        <v>2230</v>
      </c>
      <c r="C455" t="s">
        <v>2231</v>
      </c>
      <c r="D455" t="s">
        <v>2409</v>
      </c>
      <c r="E455" t="s">
        <v>2410</v>
      </c>
      <c r="F455" t="s">
        <v>2411</v>
      </c>
      <c r="G455" t="s">
        <v>2412</v>
      </c>
      <c r="H455" t="s">
        <v>29</v>
      </c>
      <c r="I455">
        <v>30</v>
      </c>
      <c r="J455">
        <v>35</v>
      </c>
      <c r="K455">
        <v>132</v>
      </c>
      <c r="L455">
        <v>34451</v>
      </c>
      <c r="M455" t="s">
        <v>2413</v>
      </c>
      <c r="N455" t="s">
        <v>29</v>
      </c>
      <c r="O455">
        <v>3313898</v>
      </c>
      <c r="P455" t="s">
        <v>2237</v>
      </c>
      <c r="Q455">
        <v>706459</v>
      </c>
      <c r="R455" t="s">
        <v>2238</v>
      </c>
      <c r="S455">
        <v>10308</v>
      </c>
      <c r="T455" t="b">
        <v>0</v>
      </c>
      <c r="U455">
        <v>6</v>
      </c>
      <c r="V455">
        <v>9</v>
      </c>
      <c r="W455" t="s">
        <v>35</v>
      </c>
      <c r="X455" t="s">
        <v>29</v>
      </c>
      <c r="Y455" t="s">
        <v>29</v>
      </c>
      <c r="Z455" t="s">
        <v>37</v>
      </c>
    </row>
    <row r="456" spans="1:26">
      <c r="A456">
        <v>1.8684263801462459E+18</v>
      </c>
      <c r="B456" t="s">
        <v>2230</v>
      </c>
      <c r="C456" t="s">
        <v>2231</v>
      </c>
      <c r="D456" t="s">
        <v>2414</v>
      </c>
      <c r="E456" t="s">
        <v>2415</v>
      </c>
      <c r="F456" t="s">
        <v>2416</v>
      </c>
      <c r="G456" t="s">
        <v>2417</v>
      </c>
      <c r="H456" t="s">
        <v>29</v>
      </c>
      <c r="I456">
        <v>25</v>
      </c>
      <c r="J456">
        <v>9</v>
      </c>
      <c r="K456">
        <v>33</v>
      </c>
      <c r="L456">
        <v>30426</v>
      </c>
      <c r="M456" t="s">
        <v>2418</v>
      </c>
      <c r="N456" t="s">
        <v>29</v>
      </c>
      <c r="O456">
        <v>3313886</v>
      </c>
      <c r="P456" t="s">
        <v>2237</v>
      </c>
      <c r="Q456">
        <v>706459</v>
      </c>
      <c r="R456" t="s">
        <v>2238</v>
      </c>
      <c r="S456">
        <v>10308</v>
      </c>
      <c r="T456" t="b">
        <v>0</v>
      </c>
      <c r="U456">
        <v>8</v>
      </c>
      <c r="V456">
        <v>2</v>
      </c>
      <c r="W456" t="s">
        <v>35</v>
      </c>
      <c r="X456" t="s">
        <v>29</v>
      </c>
      <c r="Y456" t="s">
        <v>29</v>
      </c>
      <c r="Z456" t="s">
        <v>37</v>
      </c>
    </row>
    <row r="457" spans="1:26">
      <c r="A457">
        <v>1.8684445503158479E+18</v>
      </c>
      <c r="B457" t="s">
        <v>2230</v>
      </c>
      <c r="C457" t="s">
        <v>2231</v>
      </c>
      <c r="D457" t="s">
        <v>2419</v>
      </c>
      <c r="E457" t="s">
        <v>2420</v>
      </c>
      <c r="F457" t="s">
        <v>2421</v>
      </c>
      <c r="G457" t="s">
        <v>2422</v>
      </c>
      <c r="H457" t="s">
        <v>29</v>
      </c>
      <c r="I457">
        <v>14</v>
      </c>
      <c r="J457">
        <v>5</v>
      </c>
      <c r="K457">
        <v>31</v>
      </c>
      <c r="L457">
        <v>29239</v>
      </c>
      <c r="M457" t="s">
        <v>2423</v>
      </c>
      <c r="N457" t="s">
        <v>29</v>
      </c>
      <c r="O457">
        <v>3313886</v>
      </c>
      <c r="P457" t="s">
        <v>2237</v>
      </c>
      <c r="Q457">
        <v>706459</v>
      </c>
      <c r="R457" t="s">
        <v>2238</v>
      </c>
      <c r="S457">
        <v>10308</v>
      </c>
      <c r="T457" t="b">
        <v>0</v>
      </c>
      <c r="U457">
        <v>2</v>
      </c>
      <c r="V457">
        <v>2</v>
      </c>
      <c r="W457" t="s">
        <v>35</v>
      </c>
      <c r="X457" t="s">
        <v>29</v>
      </c>
      <c r="Y457" t="s">
        <v>29</v>
      </c>
      <c r="Z457" t="s">
        <v>37</v>
      </c>
    </row>
    <row r="458" spans="1:26">
      <c r="A458">
        <v>1.8684150321213115E+18</v>
      </c>
      <c r="B458" t="s">
        <v>2230</v>
      </c>
      <c r="C458" t="s">
        <v>2231</v>
      </c>
      <c r="D458" t="s">
        <v>2424</v>
      </c>
      <c r="E458" t="s">
        <v>2425</v>
      </c>
      <c r="F458" t="s">
        <v>2426</v>
      </c>
      <c r="G458" t="s">
        <v>2427</v>
      </c>
      <c r="H458" t="s">
        <v>29</v>
      </c>
      <c r="I458">
        <v>30</v>
      </c>
      <c r="J458">
        <v>21</v>
      </c>
      <c r="K458">
        <v>149</v>
      </c>
      <c r="L458">
        <v>24203</v>
      </c>
      <c r="M458" t="s">
        <v>2428</v>
      </c>
      <c r="N458" t="s">
        <v>29</v>
      </c>
      <c r="O458">
        <v>3313886</v>
      </c>
      <c r="P458" t="s">
        <v>2237</v>
      </c>
      <c r="Q458">
        <v>706459</v>
      </c>
      <c r="R458" t="s">
        <v>2238</v>
      </c>
      <c r="S458">
        <v>10308</v>
      </c>
      <c r="T458" t="b">
        <v>0</v>
      </c>
      <c r="U458">
        <v>1</v>
      </c>
      <c r="V458">
        <v>7</v>
      </c>
      <c r="W458" t="s">
        <v>35</v>
      </c>
      <c r="X458" t="s">
        <v>29</v>
      </c>
      <c r="Y458" t="s">
        <v>29</v>
      </c>
      <c r="Z458" t="s">
        <v>37</v>
      </c>
    </row>
    <row r="459" spans="1:26">
      <c r="A459">
        <v>1.8684113892508754E+18</v>
      </c>
      <c r="B459" t="s">
        <v>2230</v>
      </c>
      <c r="C459" t="s">
        <v>2231</v>
      </c>
      <c r="D459" t="s">
        <v>2429</v>
      </c>
      <c r="E459" t="s">
        <v>2430</v>
      </c>
      <c r="F459" t="s">
        <v>2431</v>
      </c>
      <c r="G459" t="s">
        <v>2432</v>
      </c>
      <c r="H459" t="s">
        <v>29</v>
      </c>
      <c r="I459">
        <v>152</v>
      </c>
      <c r="J459">
        <v>28</v>
      </c>
      <c r="K459">
        <v>102</v>
      </c>
      <c r="L459">
        <v>34559</v>
      </c>
      <c r="M459" t="s">
        <v>2433</v>
      </c>
      <c r="N459" t="s">
        <v>29</v>
      </c>
      <c r="O459">
        <v>3313886</v>
      </c>
      <c r="P459" t="s">
        <v>2237</v>
      </c>
      <c r="Q459">
        <v>706459</v>
      </c>
      <c r="R459" t="s">
        <v>2238</v>
      </c>
      <c r="S459">
        <v>10308</v>
      </c>
      <c r="T459" t="b">
        <v>0</v>
      </c>
      <c r="U459">
        <v>10</v>
      </c>
      <c r="V459">
        <v>7</v>
      </c>
      <c r="W459" t="s">
        <v>35</v>
      </c>
      <c r="X459" t="s">
        <v>29</v>
      </c>
      <c r="Y459" t="s">
        <v>29</v>
      </c>
      <c r="Z459" t="s">
        <v>37</v>
      </c>
    </row>
    <row r="460" spans="1:26">
      <c r="A460">
        <v>1.8684048105437473E+18</v>
      </c>
      <c r="B460" t="s">
        <v>2230</v>
      </c>
      <c r="C460" t="s">
        <v>2231</v>
      </c>
      <c r="D460" t="s">
        <v>2434</v>
      </c>
      <c r="E460" t="s">
        <v>2435</v>
      </c>
      <c r="F460" t="s">
        <v>2436</v>
      </c>
      <c r="G460" t="s">
        <v>2437</v>
      </c>
      <c r="H460" t="s">
        <v>29</v>
      </c>
      <c r="I460">
        <v>27</v>
      </c>
      <c r="J460">
        <v>18</v>
      </c>
      <c r="K460">
        <v>87</v>
      </c>
      <c r="L460">
        <v>25268</v>
      </c>
      <c r="M460" t="s">
        <v>2438</v>
      </c>
      <c r="N460" t="s">
        <v>29</v>
      </c>
      <c r="O460">
        <v>3313886</v>
      </c>
      <c r="P460" t="s">
        <v>2237</v>
      </c>
      <c r="Q460">
        <v>706459</v>
      </c>
      <c r="R460" t="s">
        <v>2238</v>
      </c>
      <c r="S460">
        <v>10308</v>
      </c>
      <c r="T460" t="b">
        <v>0</v>
      </c>
      <c r="U460">
        <v>2</v>
      </c>
      <c r="V460">
        <v>6</v>
      </c>
      <c r="W460" t="s">
        <v>35</v>
      </c>
      <c r="X460" t="s">
        <v>29</v>
      </c>
      <c r="Y460" t="s">
        <v>29</v>
      </c>
      <c r="Z460" t="s">
        <v>37</v>
      </c>
    </row>
    <row r="461" spans="1:26">
      <c r="A461">
        <v>1.8684030404384036E+18</v>
      </c>
      <c r="B461" t="s">
        <v>2230</v>
      </c>
      <c r="C461" t="s">
        <v>2231</v>
      </c>
      <c r="D461" t="s">
        <v>2439</v>
      </c>
      <c r="E461" t="s">
        <v>2440</v>
      </c>
      <c r="F461" t="s">
        <v>2441</v>
      </c>
      <c r="G461" t="s">
        <v>2442</v>
      </c>
      <c r="H461" t="s">
        <v>29</v>
      </c>
      <c r="I461">
        <v>43</v>
      </c>
      <c r="J461">
        <v>17</v>
      </c>
      <c r="K461">
        <v>25</v>
      </c>
      <c r="L461">
        <v>25120</v>
      </c>
      <c r="M461" t="s">
        <v>2443</v>
      </c>
      <c r="N461" t="s">
        <v>29</v>
      </c>
      <c r="O461">
        <v>3313886</v>
      </c>
      <c r="P461" t="s">
        <v>2237</v>
      </c>
      <c r="Q461">
        <v>706459</v>
      </c>
      <c r="R461" t="s">
        <v>2238</v>
      </c>
      <c r="S461">
        <v>10308</v>
      </c>
      <c r="T461" t="b">
        <v>0</v>
      </c>
      <c r="U461">
        <v>14</v>
      </c>
      <c r="V461">
        <v>3</v>
      </c>
      <c r="W461" t="s">
        <v>35</v>
      </c>
      <c r="X461" t="s">
        <v>29</v>
      </c>
      <c r="Y461" t="s">
        <v>29</v>
      </c>
      <c r="Z461" t="s">
        <v>37</v>
      </c>
    </row>
    <row r="462" spans="1:26">
      <c r="A462">
        <v>1.8684552145644669E+18</v>
      </c>
      <c r="B462" t="s">
        <v>2230</v>
      </c>
      <c r="C462" t="s">
        <v>2231</v>
      </c>
      <c r="D462" t="s">
        <v>2444</v>
      </c>
      <c r="E462" t="s">
        <v>2445</v>
      </c>
      <c r="F462" t="s">
        <v>2446</v>
      </c>
      <c r="G462" t="s">
        <v>2447</v>
      </c>
      <c r="H462" t="s">
        <v>29</v>
      </c>
      <c r="I462">
        <v>22</v>
      </c>
      <c r="J462">
        <v>4</v>
      </c>
      <c r="K462">
        <v>32</v>
      </c>
      <c r="L462">
        <v>31230</v>
      </c>
      <c r="M462" t="s">
        <v>2448</v>
      </c>
      <c r="N462" t="s">
        <v>29</v>
      </c>
      <c r="O462">
        <v>3313887</v>
      </c>
      <c r="P462" t="s">
        <v>2237</v>
      </c>
      <c r="Q462">
        <v>706459</v>
      </c>
      <c r="R462" t="s">
        <v>2238</v>
      </c>
      <c r="S462">
        <v>10308</v>
      </c>
      <c r="T462" t="b">
        <v>0</v>
      </c>
      <c r="U462">
        <v>1</v>
      </c>
      <c r="V462">
        <v>1</v>
      </c>
      <c r="W462" t="s">
        <v>35</v>
      </c>
      <c r="X462" t="s">
        <v>29</v>
      </c>
      <c r="Y462" t="s">
        <v>29</v>
      </c>
      <c r="Z462" t="s">
        <v>37</v>
      </c>
    </row>
    <row r="463" spans="1:26">
      <c r="A463">
        <v>1.8683605126830003E+18</v>
      </c>
      <c r="B463" t="s">
        <v>2230</v>
      </c>
      <c r="C463" t="s">
        <v>2231</v>
      </c>
      <c r="D463" t="s">
        <v>2449</v>
      </c>
      <c r="E463" t="s">
        <v>2450</v>
      </c>
      <c r="F463" t="s">
        <v>2451</v>
      </c>
      <c r="G463" t="s">
        <v>2452</v>
      </c>
      <c r="H463" t="s">
        <v>29</v>
      </c>
      <c r="I463">
        <v>181</v>
      </c>
      <c r="J463">
        <v>11</v>
      </c>
      <c r="K463">
        <v>146</v>
      </c>
      <c r="L463">
        <v>74093</v>
      </c>
      <c r="M463" t="s">
        <v>2453</v>
      </c>
      <c r="N463" t="s">
        <v>29</v>
      </c>
      <c r="O463">
        <v>3313887</v>
      </c>
      <c r="P463" t="s">
        <v>2237</v>
      </c>
      <c r="Q463">
        <v>706459</v>
      </c>
      <c r="R463" t="s">
        <v>2238</v>
      </c>
      <c r="S463">
        <v>10308</v>
      </c>
      <c r="T463" t="b">
        <v>0</v>
      </c>
      <c r="U463">
        <v>17</v>
      </c>
      <c r="V463">
        <v>3</v>
      </c>
      <c r="W463" t="s">
        <v>35</v>
      </c>
      <c r="X463" t="s">
        <v>29</v>
      </c>
      <c r="Y463" t="s">
        <v>29</v>
      </c>
      <c r="Z463" t="s">
        <v>37</v>
      </c>
    </row>
    <row r="464" spans="1:26">
      <c r="A464">
        <v>1.8683457938636557E+18</v>
      </c>
      <c r="B464" t="s">
        <v>2230</v>
      </c>
      <c r="C464" t="s">
        <v>2231</v>
      </c>
      <c r="D464" t="s">
        <v>2454</v>
      </c>
      <c r="E464" t="s">
        <v>2455</v>
      </c>
      <c r="F464" t="s">
        <v>2456</v>
      </c>
      <c r="G464" t="s">
        <v>2457</v>
      </c>
      <c r="H464" t="s">
        <v>29</v>
      </c>
      <c r="I464">
        <v>13</v>
      </c>
      <c r="J464">
        <v>5</v>
      </c>
      <c r="K464">
        <v>23</v>
      </c>
      <c r="L464">
        <v>24001</v>
      </c>
      <c r="M464" t="s">
        <v>2458</v>
      </c>
      <c r="N464" t="s">
        <v>29</v>
      </c>
      <c r="O464">
        <v>3313888</v>
      </c>
      <c r="P464" t="s">
        <v>2237</v>
      </c>
      <c r="Q464">
        <v>706459</v>
      </c>
      <c r="R464" t="s">
        <v>2238</v>
      </c>
      <c r="S464">
        <v>10308</v>
      </c>
      <c r="T464" t="b">
        <v>0</v>
      </c>
      <c r="U464">
        <v>1</v>
      </c>
      <c r="V464">
        <v>2</v>
      </c>
      <c r="W464" t="s">
        <v>35</v>
      </c>
      <c r="X464" t="s">
        <v>29</v>
      </c>
      <c r="Y464" t="s">
        <v>29</v>
      </c>
      <c r="Z464" t="s">
        <v>37</v>
      </c>
    </row>
    <row r="465" spans="1:26">
      <c r="A465">
        <v>1.8683216818250424E+18</v>
      </c>
      <c r="B465" t="s">
        <v>2230</v>
      </c>
      <c r="C465" t="s">
        <v>2231</v>
      </c>
      <c r="D465" t="s">
        <v>2459</v>
      </c>
      <c r="E465" t="s">
        <v>2460</v>
      </c>
      <c r="F465" t="s">
        <v>2461</v>
      </c>
      <c r="G465" t="s">
        <v>2462</v>
      </c>
      <c r="H465" t="s">
        <v>29</v>
      </c>
      <c r="I465">
        <v>23</v>
      </c>
      <c r="J465">
        <v>5</v>
      </c>
      <c r="K465">
        <v>40</v>
      </c>
      <c r="L465">
        <v>33420</v>
      </c>
      <c r="M465" t="s">
        <v>2463</v>
      </c>
      <c r="N465" t="s">
        <v>29</v>
      </c>
      <c r="O465">
        <v>3313888</v>
      </c>
      <c r="P465" t="s">
        <v>2237</v>
      </c>
      <c r="Q465">
        <v>706459</v>
      </c>
      <c r="R465" t="s">
        <v>2238</v>
      </c>
      <c r="S465">
        <v>10308</v>
      </c>
      <c r="T465" t="b">
        <v>0</v>
      </c>
      <c r="U465">
        <v>5</v>
      </c>
      <c r="V465">
        <v>1</v>
      </c>
      <c r="W465" t="s">
        <v>35</v>
      </c>
      <c r="X465" t="s">
        <v>29</v>
      </c>
      <c r="Y465" t="s">
        <v>29</v>
      </c>
      <c r="Z465" t="s">
        <v>37</v>
      </c>
    </row>
    <row r="466" spans="1:26">
      <c r="A466">
        <v>1.8683883011675633E+18</v>
      </c>
      <c r="B466" t="s">
        <v>2230</v>
      </c>
      <c r="C466" t="s">
        <v>2231</v>
      </c>
      <c r="D466" t="s">
        <v>2464</v>
      </c>
      <c r="E466" t="s">
        <v>2465</v>
      </c>
      <c r="F466" t="s">
        <v>2466</v>
      </c>
      <c r="G466" t="s">
        <v>2467</v>
      </c>
      <c r="H466" t="s">
        <v>29</v>
      </c>
      <c r="I466">
        <v>61</v>
      </c>
      <c r="J466">
        <v>7</v>
      </c>
      <c r="K466">
        <v>56</v>
      </c>
      <c r="L466">
        <v>30294</v>
      </c>
      <c r="M466" t="s">
        <v>2468</v>
      </c>
      <c r="N466" t="s">
        <v>29</v>
      </c>
      <c r="O466">
        <v>3313890</v>
      </c>
      <c r="P466" t="s">
        <v>2237</v>
      </c>
      <c r="Q466">
        <v>706459</v>
      </c>
      <c r="R466" t="s">
        <v>2238</v>
      </c>
      <c r="S466">
        <v>10308</v>
      </c>
      <c r="T466" t="b">
        <v>0</v>
      </c>
      <c r="U466">
        <v>4</v>
      </c>
      <c r="V466">
        <v>3</v>
      </c>
      <c r="W466" t="s">
        <v>35</v>
      </c>
      <c r="X466" t="s">
        <v>29</v>
      </c>
      <c r="Y466" t="s">
        <v>29</v>
      </c>
      <c r="Z466" t="s">
        <v>37</v>
      </c>
    </row>
    <row r="467" spans="1:26">
      <c r="A467">
        <v>1.8680968796212884E+18</v>
      </c>
      <c r="B467" t="s">
        <v>2230</v>
      </c>
      <c r="C467" t="s">
        <v>2231</v>
      </c>
      <c r="D467" t="s">
        <v>2469</v>
      </c>
      <c r="E467" t="s">
        <v>2470</v>
      </c>
      <c r="F467" t="s">
        <v>2471</v>
      </c>
      <c r="G467" t="s">
        <v>2472</v>
      </c>
      <c r="H467" t="s">
        <v>29</v>
      </c>
      <c r="I467">
        <v>311</v>
      </c>
      <c r="J467">
        <v>769</v>
      </c>
      <c r="K467">
        <v>5599</v>
      </c>
      <c r="L467">
        <v>162174</v>
      </c>
      <c r="M467" t="s">
        <v>2473</v>
      </c>
      <c r="N467" t="s">
        <v>29</v>
      </c>
      <c r="O467">
        <v>3313897</v>
      </c>
      <c r="P467" t="s">
        <v>2237</v>
      </c>
      <c r="Q467">
        <v>706459</v>
      </c>
      <c r="R467" t="s">
        <v>2238</v>
      </c>
      <c r="S467">
        <v>10308</v>
      </c>
      <c r="T467" t="b">
        <v>0</v>
      </c>
      <c r="U467">
        <v>64</v>
      </c>
      <c r="V467">
        <v>65</v>
      </c>
      <c r="W467" t="s">
        <v>35</v>
      </c>
      <c r="X467" t="s">
        <v>29</v>
      </c>
      <c r="Y467" t="s">
        <v>29</v>
      </c>
      <c r="Z467" t="s">
        <v>37</v>
      </c>
    </row>
    <row r="468" spans="1:26">
      <c r="A468">
        <v>1.8659635698854625E+18</v>
      </c>
      <c r="B468" t="s">
        <v>2474</v>
      </c>
      <c r="C468" t="s">
        <v>2475</v>
      </c>
      <c r="D468" t="s">
        <v>2476</v>
      </c>
      <c r="E468" t="s">
        <v>2477</v>
      </c>
      <c r="F468" t="s">
        <v>2478</v>
      </c>
      <c r="G468" t="s">
        <v>2479</v>
      </c>
      <c r="H468" t="s">
        <v>29</v>
      </c>
      <c r="I468">
        <v>6</v>
      </c>
      <c r="J468">
        <v>4</v>
      </c>
      <c r="K468">
        <v>26</v>
      </c>
      <c r="L468">
        <v>7347</v>
      </c>
      <c r="M468" t="s">
        <v>52</v>
      </c>
      <c r="N468" t="s">
        <v>2480</v>
      </c>
      <c r="O468">
        <v>1511252</v>
      </c>
      <c r="P468" t="s">
        <v>2481</v>
      </c>
      <c r="Q468">
        <v>56647</v>
      </c>
      <c r="R468" t="s">
        <v>2482</v>
      </c>
      <c r="S468">
        <v>80</v>
      </c>
      <c r="T468" t="b">
        <v>0</v>
      </c>
      <c r="U468">
        <v>1</v>
      </c>
      <c r="V468">
        <v>1</v>
      </c>
      <c r="W468" t="s">
        <v>35</v>
      </c>
      <c r="X468" t="s">
        <v>29</v>
      </c>
      <c r="Y468" t="s">
        <v>29</v>
      </c>
      <c r="Z468" t="s">
        <v>37</v>
      </c>
    </row>
    <row r="469" spans="1:26">
      <c r="A469">
        <v>1.818486327991468E+18</v>
      </c>
      <c r="B469" t="s">
        <v>2353</v>
      </c>
      <c r="C469" t="s">
        <v>2354</v>
      </c>
      <c r="D469" t="s">
        <v>2483</v>
      </c>
      <c r="E469" t="s">
        <v>2484</v>
      </c>
      <c r="F469" t="s">
        <v>2485</v>
      </c>
      <c r="G469" t="s">
        <v>2486</v>
      </c>
      <c r="H469" t="s">
        <v>2487</v>
      </c>
      <c r="I469">
        <v>7</v>
      </c>
      <c r="J469">
        <v>10</v>
      </c>
      <c r="K469">
        <v>209</v>
      </c>
      <c r="L469">
        <v>21525</v>
      </c>
      <c r="M469" t="s">
        <v>52</v>
      </c>
      <c r="N469" t="s">
        <v>2488</v>
      </c>
      <c r="O469">
        <v>1293</v>
      </c>
      <c r="P469" t="s">
        <v>2361</v>
      </c>
      <c r="Q469">
        <v>2739</v>
      </c>
      <c r="R469" t="s">
        <v>2362</v>
      </c>
      <c r="S469">
        <v>900</v>
      </c>
      <c r="T469" t="b">
        <v>0</v>
      </c>
      <c r="U469">
        <v>6</v>
      </c>
      <c r="V469">
        <v>1</v>
      </c>
      <c r="W469" t="s">
        <v>35</v>
      </c>
      <c r="X469" t="s">
        <v>29</v>
      </c>
      <c r="Y469" t="s">
        <v>29</v>
      </c>
      <c r="Z469" t="s">
        <v>37</v>
      </c>
    </row>
    <row r="470" spans="1:26">
      <c r="A470">
        <v>1.8684492547059548E+18</v>
      </c>
      <c r="B470" t="s">
        <v>2230</v>
      </c>
      <c r="C470" t="s">
        <v>2231</v>
      </c>
      <c r="D470" t="s">
        <v>2489</v>
      </c>
      <c r="E470" t="s">
        <v>2490</v>
      </c>
      <c r="F470" t="s">
        <v>2491</v>
      </c>
      <c r="G470" t="s">
        <v>2492</v>
      </c>
      <c r="H470" t="s">
        <v>29</v>
      </c>
      <c r="I470">
        <v>15</v>
      </c>
      <c r="J470">
        <v>4</v>
      </c>
      <c r="K470">
        <v>31</v>
      </c>
      <c r="L470">
        <v>28033</v>
      </c>
      <c r="M470" t="s">
        <v>2493</v>
      </c>
      <c r="N470" t="s">
        <v>29</v>
      </c>
      <c r="O470">
        <v>3313887</v>
      </c>
      <c r="P470" t="s">
        <v>2237</v>
      </c>
      <c r="Q470">
        <v>706459</v>
      </c>
      <c r="R470" t="s">
        <v>2238</v>
      </c>
      <c r="S470">
        <v>10308</v>
      </c>
      <c r="T470" t="b">
        <v>0</v>
      </c>
      <c r="U470">
        <v>1</v>
      </c>
      <c r="V470">
        <v>3</v>
      </c>
      <c r="W470" t="s">
        <v>35</v>
      </c>
      <c r="X470" t="s">
        <v>29</v>
      </c>
      <c r="Y470" t="s">
        <v>29</v>
      </c>
      <c r="Z470" t="s">
        <v>37</v>
      </c>
    </row>
    <row r="471" spans="1:26">
      <c r="A471">
        <v>1.8684228679368172E+18</v>
      </c>
      <c r="B471" t="s">
        <v>2230</v>
      </c>
      <c r="C471" t="s">
        <v>2231</v>
      </c>
      <c r="D471" t="s">
        <v>2494</v>
      </c>
      <c r="E471" t="s">
        <v>2495</v>
      </c>
      <c r="F471" t="s">
        <v>2496</v>
      </c>
      <c r="G471" t="s">
        <v>2497</v>
      </c>
      <c r="H471" t="s">
        <v>29</v>
      </c>
      <c r="I471">
        <v>30</v>
      </c>
      <c r="J471">
        <v>57</v>
      </c>
      <c r="K471">
        <v>269</v>
      </c>
      <c r="L471">
        <v>27095</v>
      </c>
      <c r="M471" t="s">
        <v>2498</v>
      </c>
      <c r="N471" t="s">
        <v>29</v>
      </c>
      <c r="O471">
        <v>3313886</v>
      </c>
      <c r="P471" t="s">
        <v>2237</v>
      </c>
      <c r="Q471">
        <v>706459</v>
      </c>
      <c r="R471" t="s">
        <v>2238</v>
      </c>
      <c r="S471">
        <v>10308</v>
      </c>
      <c r="T471" t="b">
        <v>0</v>
      </c>
      <c r="U471">
        <v>1</v>
      </c>
      <c r="V471">
        <v>8</v>
      </c>
      <c r="W471" t="s">
        <v>35</v>
      </c>
      <c r="X471" t="s">
        <v>29</v>
      </c>
      <c r="Y471" t="s">
        <v>29</v>
      </c>
      <c r="Z471" t="s">
        <v>37</v>
      </c>
    </row>
    <row r="472" spans="1:26">
      <c r="A472">
        <v>1.8684457081995963E+18</v>
      </c>
      <c r="B472" t="s">
        <v>2230</v>
      </c>
      <c r="C472" t="s">
        <v>2231</v>
      </c>
      <c r="D472" t="s">
        <v>2499</v>
      </c>
      <c r="E472" t="s">
        <v>2500</v>
      </c>
      <c r="F472" t="s">
        <v>2501</v>
      </c>
      <c r="G472" t="s">
        <v>2502</v>
      </c>
      <c r="H472" t="s">
        <v>29</v>
      </c>
      <c r="I472">
        <v>27</v>
      </c>
      <c r="J472">
        <v>2</v>
      </c>
      <c r="K472">
        <v>23</v>
      </c>
      <c r="L472">
        <v>25568</v>
      </c>
      <c r="M472" t="s">
        <v>2503</v>
      </c>
      <c r="N472" t="s">
        <v>29</v>
      </c>
      <c r="O472">
        <v>3313887</v>
      </c>
      <c r="P472" t="s">
        <v>2237</v>
      </c>
      <c r="Q472">
        <v>706459</v>
      </c>
      <c r="R472" t="s">
        <v>2238</v>
      </c>
      <c r="S472">
        <v>10308</v>
      </c>
      <c r="T472" t="b">
        <v>0</v>
      </c>
      <c r="U472">
        <v>1</v>
      </c>
      <c r="V472">
        <v>2</v>
      </c>
      <c r="W472" t="s">
        <v>35</v>
      </c>
      <c r="X472" t="s">
        <v>29</v>
      </c>
      <c r="Y472" t="s">
        <v>29</v>
      </c>
      <c r="Z472" t="s">
        <v>37</v>
      </c>
    </row>
    <row r="473" spans="1:26">
      <c r="A473">
        <v>1.868416186024641E+18</v>
      </c>
      <c r="B473" t="s">
        <v>2230</v>
      </c>
      <c r="C473" t="s">
        <v>2231</v>
      </c>
      <c r="D473" t="s">
        <v>2504</v>
      </c>
      <c r="E473" t="s">
        <v>2505</v>
      </c>
      <c r="F473" t="s">
        <v>2506</v>
      </c>
      <c r="G473" t="s">
        <v>2507</v>
      </c>
      <c r="H473" t="s">
        <v>29</v>
      </c>
      <c r="I473">
        <v>9</v>
      </c>
      <c r="J473">
        <v>3</v>
      </c>
      <c r="K473">
        <v>20</v>
      </c>
      <c r="L473">
        <v>21800</v>
      </c>
      <c r="M473" t="s">
        <v>2508</v>
      </c>
      <c r="N473" t="s">
        <v>29</v>
      </c>
      <c r="O473">
        <v>3313886</v>
      </c>
      <c r="P473" t="s">
        <v>2237</v>
      </c>
      <c r="Q473">
        <v>706459</v>
      </c>
      <c r="R473" t="s">
        <v>2238</v>
      </c>
      <c r="S473">
        <v>10308</v>
      </c>
      <c r="T473" t="b">
        <v>0</v>
      </c>
      <c r="U473">
        <v>1</v>
      </c>
      <c r="V473">
        <v>2</v>
      </c>
      <c r="W473" t="s">
        <v>35</v>
      </c>
      <c r="X473" t="s">
        <v>29</v>
      </c>
      <c r="Y473" t="s">
        <v>29</v>
      </c>
      <c r="Z473" t="s">
        <v>37</v>
      </c>
    </row>
    <row r="474" spans="1:26">
      <c r="A474">
        <v>1.8683935984225487E+18</v>
      </c>
      <c r="B474" t="s">
        <v>2230</v>
      </c>
      <c r="C474" t="s">
        <v>2231</v>
      </c>
      <c r="D474" t="s">
        <v>2509</v>
      </c>
      <c r="E474" t="s">
        <v>2510</v>
      </c>
      <c r="F474" t="s">
        <v>2511</v>
      </c>
      <c r="G474" t="s">
        <v>2512</v>
      </c>
      <c r="H474" t="s">
        <v>29</v>
      </c>
      <c r="I474">
        <v>148</v>
      </c>
      <c r="J474">
        <v>195</v>
      </c>
      <c r="K474">
        <v>949</v>
      </c>
      <c r="L474">
        <v>60809</v>
      </c>
      <c r="M474" t="s">
        <v>2513</v>
      </c>
      <c r="N474" t="s">
        <v>29</v>
      </c>
      <c r="O474">
        <v>3313887</v>
      </c>
      <c r="P474" t="s">
        <v>2237</v>
      </c>
      <c r="Q474">
        <v>706459</v>
      </c>
      <c r="R474" t="s">
        <v>2238</v>
      </c>
      <c r="S474">
        <v>10308</v>
      </c>
      <c r="T474" t="b">
        <v>0</v>
      </c>
      <c r="U474">
        <v>15</v>
      </c>
      <c r="V474">
        <v>33</v>
      </c>
      <c r="W474" t="s">
        <v>35</v>
      </c>
      <c r="X474" t="s">
        <v>29</v>
      </c>
      <c r="Y474" t="s">
        <v>29</v>
      </c>
      <c r="Z474" t="s">
        <v>37</v>
      </c>
    </row>
    <row r="475" spans="1:26">
      <c r="A475">
        <v>1.8684546172158364E+18</v>
      </c>
      <c r="B475" t="s">
        <v>2230</v>
      </c>
      <c r="C475" t="s">
        <v>2231</v>
      </c>
      <c r="D475" t="s">
        <v>2514</v>
      </c>
      <c r="E475" t="s">
        <v>2515</v>
      </c>
      <c r="F475" t="s">
        <v>2516</v>
      </c>
      <c r="G475" t="s">
        <v>2517</v>
      </c>
      <c r="H475" t="s">
        <v>29</v>
      </c>
      <c r="I475">
        <v>37</v>
      </c>
      <c r="J475">
        <v>69</v>
      </c>
      <c r="K475">
        <v>769</v>
      </c>
      <c r="L475">
        <v>31066</v>
      </c>
      <c r="M475" t="s">
        <v>2518</v>
      </c>
      <c r="N475" t="s">
        <v>29</v>
      </c>
      <c r="O475">
        <v>3313887</v>
      </c>
      <c r="P475" t="s">
        <v>2237</v>
      </c>
      <c r="Q475">
        <v>706459</v>
      </c>
      <c r="R475" t="s">
        <v>2238</v>
      </c>
      <c r="S475">
        <v>10308</v>
      </c>
      <c r="T475" t="b">
        <v>0</v>
      </c>
      <c r="U475">
        <v>7</v>
      </c>
      <c r="V475">
        <v>3</v>
      </c>
      <c r="W475" t="s">
        <v>35</v>
      </c>
      <c r="X475" t="s">
        <v>29</v>
      </c>
      <c r="Y475" t="s">
        <v>29</v>
      </c>
      <c r="Z475" t="s">
        <v>37</v>
      </c>
    </row>
    <row r="476" spans="1:26">
      <c r="A476">
        <v>1.8683813223825697E+18</v>
      </c>
      <c r="B476" t="s">
        <v>2230</v>
      </c>
      <c r="C476" t="s">
        <v>2231</v>
      </c>
      <c r="D476" t="s">
        <v>2519</v>
      </c>
      <c r="E476" t="s">
        <v>2520</v>
      </c>
      <c r="F476" t="s">
        <v>2521</v>
      </c>
      <c r="G476" t="s">
        <v>2522</v>
      </c>
      <c r="H476" t="s">
        <v>29</v>
      </c>
      <c r="I476">
        <v>41</v>
      </c>
      <c r="J476">
        <v>92</v>
      </c>
      <c r="K476">
        <v>429</v>
      </c>
      <c r="L476">
        <v>28149</v>
      </c>
      <c r="M476" t="s">
        <v>2523</v>
      </c>
      <c r="N476" t="s">
        <v>29</v>
      </c>
      <c r="O476">
        <v>3313887</v>
      </c>
      <c r="P476" t="s">
        <v>2237</v>
      </c>
      <c r="Q476">
        <v>706459</v>
      </c>
      <c r="R476" t="s">
        <v>2238</v>
      </c>
      <c r="S476">
        <v>10308</v>
      </c>
      <c r="T476" t="b">
        <v>0</v>
      </c>
      <c r="U476">
        <v>5</v>
      </c>
      <c r="V476">
        <v>5</v>
      </c>
      <c r="W476" t="s">
        <v>35</v>
      </c>
      <c r="X476" t="s">
        <v>29</v>
      </c>
      <c r="Y476" t="s">
        <v>29</v>
      </c>
      <c r="Z476" t="s">
        <v>37</v>
      </c>
    </row>
    <row r="477" spans="1:26">
      <c r="A477">
        <v>1.8684875839294016E+18</v>
      </c>
      <c r="B477" t="s">
        <v>2230</v>
      </c>
      <c r="C477" t="s">
        <v>2231</v>
      </c>
      <c r="D477" t="s">
        <v>2524</v>
      </c>
      <c r="E477" t="s">
        <v>2525</v>
      </c>
      <c r="F477" t="s">
        <v>2526</v>
      </c>
      <c r="G477" t="s">
        <v>2527</v>
      </c>
      <c r="H477" t="s">
        <v>29</v>
      </c>
      <c r="I477">
        <v>22</v>
      </c>
      <c r="J477">
        <v>59</v>
      </c>
      <c r="K477">
        <v>186</v>
      </c>
      <c r="L477">
        <v>31107</v>
      </c>
      <c r="M477" t="s">
        <v>2528</v>
      </c>
      <c r="N477" t="s">
        <v>29</v>
      </c>
      <c r="O477">
        <v>3313886</v>
      </c>
      <c r="P477" t="s">
        <v>2237</v>
      </c>
      <c r="Q477">
        <v>706459</v>
      </c>
      <c r="R477" t="s">
        <v>2238</v>
      </c>
      <c r="S477">
        <v>10308</v>
      </c>
      <c r="T477" t="b">
        <v>0</v>
      </c>
      <c r="U477">
        <v>7</v>
      </c>
      <c r="V477">
        <v>7</v>
      </c>
      <c r="W477" t="s">
        <v>35</v>
      </c>
      <c r="X477" t="s">
        <v>29</v>
      </c>
      <c r="Y477" t="s">
        <v>29</v>
      </c>
      <c r="Z477" t="s">
        <v>37</v>
      </c>
    </row>
    <row r="478" spans="1:26">
      <c r="A478">
        <v>1.8683569530568788E+18</v>
      </c>
      <c r="B478" t="s">
        <v>2230</v>
      </c>
      <c r="C478" t="s">
        <v>2231</v>
      </c>
      <c r="D478" t="s">
        <v>2529</v>
      </c>
      <c r="E478" t="s">
        <v>2530</v>
      </c>
      <c r="F478" t="s">
        <v>2531</v>
      </c>
      <c r="G478" t="s">
        <v>2532</v>
      </c>
      <c r="H478" t="s">
        <v>29</v>
      </c>
      <c r="I478">
        <v>25</v>
      </c>
      <c r="J478">
        <v>36</v>
      </c>
      <c r="K478">
        <v>91</v>
      </c>
      <c r="L478">
        <v>26600</v>
      </c>
      <c r="M478" t="s">
        <v>2533</v>
      </c>
      <c r="N478" t="s">
        <v>29</v>
      </c>
      <c r="O478">
        <v>3313887</v>
      </c>
      <c r="P478" t="s">
        <v>2237</v>
      </c>
      <c r="Q478">
        <v>706459</v>
      </c>
      <c r="R478" t="s">
        <v>2238</v>
      </c>
      <c r="S478">
        <v>10308</v>
      </c>
      <c r="T478" t="b">
        <v>0</v>
      </c>
      <c r="U478">
        <v>6</v>
      </c>
      <c r="V478">
        <v>9</v>
      </c>
      <c r="W478" t="s">
        <v>35</v>
      </c>
      <c r="X478" t="s">
        <v>29</v>
      </c>
      <c r="Y478" t="s">
        <v>29</v>
      </c>
      <c r="Z478" t="s">
        <v>37</v>
      </c>
    </row>
    <row r="479" spans="1:26">
      <c r="A479">
        <v>1.8683105899502638E+18</v>
      </c>
      <c r="B479" t="s">
        <v>2230</v>
      </c>
      <c r="C479" t="s">
        <v>2231</v>
      </c>
      <c r="D479" t="s">
        <v>2534</v>
      </c>
      <c r="E479" t="s">
        <v>2535</v>
      </c>
      <c r="F479" t="s">
        <v>2536</v>
      </c>
      <c r="G479" t="s">
        <v>2537</v>
      </c>
      <c r="H479" t="s">
        <v>29</v>
      </c>
      <c r="I479">
        <v>437</v>
      </c>
      <c r="J479">
        <v>65</v>
      </c>
      <c r="K479">
        <v>590</v>
      </c>
      <c r="L479">
        <v>68445</v>
      </c>
      <c r="M479" t="s">
        <v>2538</v>
      </c>
      <c r="N479" t="s">
        <v>29</v>
      </c>
      <c r="O479">
        <v>3313889</v>
      </c>
      <c r="P479" t="s">
        <v>2237</v>
      </c>
      <c r="Q479">
        <v>706459</v>
      </c>
      <c r="R479" t="s">
        <v>2238</v>
      </c>
      <c r="S479">
        <v>10308</v>
      </c>
      <c r="T479" t="b">
        <v>0</v>
      </c>
      <c r="U479">
        <v>41</v>
      </c>
      <c r="V479">
        <v>11</v>
      </c>
      <c r="W479" t="s">
        <v>35</v>
      </c>
      <c r="X479" t="s">
        <v>29</v>
      </c>
      <c r="Y479" t="s">
        <v>29</v>
      </c>
      <c r="Z479" t="s">
        <v>37</v>
      </c>
    </row>
    <row r="480" spans="1:26">
      <c r="A480">
        <v>1.8682689954109033E+18</v>
      </c>
      <c r="B480" t="s">
        <v>2230</v>
      </c>
      <c r="C480" t="s">
        <v>2231</v>
      </c>
      <c r="D480" t="s">
        <v>2539</v>
      </c>
      <c r="E480" t="s">
        <v>2540</v>
      </c>
      <c r="F480" t="s">
        <v>2541</v>
      </c>
      <c r="G480" t="s">
        <v>2542</v>
      </c>
      <c r="H480" t="s">
        <v>29</v>
      </c>
      <c r="I480">
        <v>18</v>
      </c>
      <c r="J480">
        <v>1</v>
      </c>
      <c r="K480">
        <v>13</v>
      </c>
      <c r="L480">
        <v>26797</v>
      </c>
      <c r="M480" t="s">
        <v>2543</v>
      </c>
      <c r="N480" t="s">
        <v>29</v>
      </c>
      <c r="O480">
        <v>3313891</v>
      </c>
      <c r="P480" t="s">
        <v>2237</v>
      </c>
      <c r="Q480">
        <v>706459</v>
      </c>
      <c r="R480" t="s">
        <v>2238</v>
      </c>
      <c r="S480">
        <v>10308</v>
      </c>
      <c r="T480" t="b">
        <v>0</v>
      </c>
      <c r="U480">
        <v>1</v>
      </c>
      <c r="V480">
        <v>1</v>
      </c>
      <c r="W480" t="s">
        <v>35</v>
      </c>
      <c r="X480" t="s">
        <v>29</v>
      </c>
      <c r="Y480" t="s">
        <v>29</v>
      </c>
      <c r="Z480" t="s">
        <v>37</v>
      </c>
    </row>
    <row r="481" spans="1:26">
      <c r="A481">
        <v>1.8683428146705372E+18</v>
      </c>
      <c r="B481" t="s">
        <v>2230</v>
      </c>
      <c r="C481" t="s">
        <v>2231</v>
      </c>
      <c r="D481" t="s">
        <v>2544</v>
      </c>
      <c r="E481" t="s">
        <v>2545</v>
      </c>
      <c r="F481" t="s">
        <v>2546</v>
      </c>
      <c r="G481" t="s">
        <v>2547</v>
      </c>
      <c r="H481" t="s">
        <v>29</v>
      </c>
      <c r="I481">
        <v>63</v>
      </c>
      <c r="J481">
        <v>352</v>
      </c>
      <c r="K481">
        <v>827</v>
      </c>
      <c r="L481">
        <v>65783</v>
      </c>
      <c r="M481" t="s">
        <v>2548</v>
      </c>
      <c r="N481" t="s">
        <v>29</v>
      </c>
      <c r="O481">
        <v>3313888</v>
      </c>
      <c r="P481" t="s">
        <v>2237</v>
      </c>
      <c r="Q481">
        <v>706459</v>
      </c>
      <c r="R481" t="s">
        <v>2238</v>
      </c>
      <c r="S481">
        <v>10308</v>
      </c>
      <c r="T481" t="b">
        <v>0</v>
      </c>
      <c r="U481">
        <v>24</v>
      </c>
      <c r="V481">
        <v>32</v>
      </c>
      <c r="W481" t="s">
        <v>35</v>
      </c>
      <c r="X481" t="s">
        <v>29</v>
      </c>
      <c r="Y481" t="s">
        <v>29</v>
      </c>
      <c r="Z481" t="s">
        <v>37</v>
      </c>
    </row>
    <row r="482" spans="1:26">
      <c r="A482">
        <v>1.8681564767678505E+18</v>
      </c>
      <c r="B482" t="s">
        <v>2230</v>
      </c>
      <c r="C482" t="s">
        <v>2231</v>
      </c>
      <c r="D482" t="s">
        <v>2549</v>
      </c>
      <c r="E482" t="s">
        <v>2550</v>
      </c>
      <c r="F482" t="s">
        <v>2551</v>
      </c>
      <c r="G482" t="s">
        <v>2552</v>
      </c>
      <c r="H482" t="s">
        <v>29</v>
      </c>
      <c r="I482">
        <v>62</v>
      </c>
      <c r="J482">
        <v>30</v>
      </c>
      <c r="K482">
        <v>138</v>
      </c>
      <c r="L482">
        <v>40923</v>
      </c>
      <c r="M482" t="s">
        <v>2553</v>
      </c>
      <c r="N482" t="s">
        <v>29</v>
      </c>
      <c r="O482">
        <v>3313892</v>
      </c>
      <c r="P482" t="s">
        <v>2237</v>
      </c>
      <c r="Q482">
        <v>706459</v>
      </c>
      <c r="R482" t="s">
        <v>2238</v>
      </c>
      <c r="S482">
        <v>10308</v>
      </c>
      <c r="T482" t="b">
        <v>0</v>
      </c>
      <c r="U482">
        <v>10</v>
      </c>
      <c r="V482">
        <v>18</v>
      </c>
      <c r="W482" t="s">
        <v>35</v>
      </c>
      <c r="X482" t="s">
        <v>29</v>
      </c>
      <c r="Y482" t="s">
        <v>29</v>
      </c>
      <c r="Z482" t="s">
        <v>37</v>
      </c>
    </row>
    <row r="483" spans="1:26">
      <c r="A483">
        <v>1.8681146128072297E+18</v>
      </c>
      <c r="B483" t="s">
        <v>2230</v>
      </c>
      <c r="C483" t="s">
        <v>2231</v>
      </c>
      <c r="D483" t="s">
        <v>2554</v>
      </c>
      <c r="E483" t="s">
        <v>2555</v>
      </c>
      <c r="F483" t="s">
        <v>2556</v>
      </c>
      <c r="G483" t="s">
        <v>2557</v>
      </c>
      <c r="H483" t="s">
        <v>29</v>
      </c>
      <c r="I483">
        <v>41</v>
      </c>
      <c r="J483">
        <v>18</v>
      </c>
      <c r="K483">
        <v>221</v>
      </c>
      <c r="L483">
        <v>41266</v>
      </c>
      <c r="M483" t="s">
        <v>2558</v>
      </c>
      <c r="N483" t="s">
        <v>29</v>
      </c>
      <c r="O483">
        <v>3313894</v>
      </c>
      <c r="P483" t="s">
        <v>2237</v>
      </c>
      <c r="Q483">
        <v>706459</v>
      </c>
      <c r="R483" t="s">
        <v>2238</v>
      </c>
      <c r="S483">
        <v>10308</v>
      </c>
      <c r="T483" t="b">
        <v>0</v>
      </c>
      <c r="U483">
        <v>8</v>
      </c>
      <c r="V483">
        <v>2</v>
      </c>
      <c r="W483" t="s">
        <v>35</v>
      </c>
      <c r="X483" t="s">
        <v>29</v>
      </c>
      <c r="Y483" t="s">
        <v>29</v>
      </c>
      <c r="Z483" t="s">
        <v>37</v>
      </c>
    </row>
    <row r="484" spans="1:26">
      <c r="A484">
        <v>1.8684922437969428E+18</v>
      </c>
      <c r="B484" t="s">
        <v>2230</v>
      </c>
      <c r="C484" t="s">
        <v>2231</v>
      </c>
      <c r="D484" t="s">
        <v>2559</v>
      </c>
      <c r="E484" t="s">
        <v>2560</v>
      </c>
      <c r="F484" t="s">
        <v>2561</v>
      </c>
      <c r="G484" t="s">
        <v>2562</v>
      </c>
      <c r="H484" t="s">
        <v>29</v>
      </c>
      <c r="I484">
        <v>9</v>
      </c>
      <c r="J484">
        <v>6</v>
      </c>
      <c r="K484">
        <v>27</v>
      </c>
      <c r="L484">
        <v>14975</v>
      </c>
      <c r="M484" t="s">
        <v>2563</v>
      </c>
      <c r="N484" t="s">
        <v>29</v>
      </c>
      <c r="O484">
        <v>3313886</v>
      </c>
      <c r="P484" t="s">
        <v>2237</v>
      </c>
      <c r="Q484">
        <v>706459</v>
      </c>
      <c r="R484" t="s">
        <v>2238</v>
      </c>
      <c r="S484">
        <v>10308</v>
      </c>
      <c r="T484" t="b">
        <v>0</v>
      </c>
      <c r="U484">
        <v>1</v>
      </c>
      <c r="V484">
        <v>3</v>
      </c>
      <c r="W484" t="s">
        <v>35</v>
      </c>
      <c r="X484" t="s">
        <v>29</v>
      </c>
      <c r="Y484" t="s">
        <v>29</v>
      </c>
      <c r="Z484" t="s">
        <v>37</v>
      </c>
    </row>
    <row r="485" spans="1:26">
      <c r="A485">
        <v>1.8683977742128868E+18</v>
      </c>
      <c r="B485" t="s">
        <v>2230</v>
      </c>
      <c r="C485" t="s">
        <v>2231</v>
      </c>
      <c r="D485" t="s">
        <v>2564</v>
      </c>
      <c r="E485" t="s">
        <v>2565</v>
      </c>
      <c r="F485" t="s">
        <v>2566</v>
      </c>
      <c r="G485" t="s">
        <v>2567</v>
      </c>
      <c r="H485" t="s">
        <v>29</v>
      </c>
      <c r="I485">
        <v>54</v>
      </c>
      <c r="J485">
        <v>87</v>
      </c>
      <c r="K485">
        <v>1143</v>
      </c>
      <c r="L485">
        <v>88259</v>
      </c>
      <c r="M485" t="s">
        <v>2568</v>
      </c>
      <c r="N485" t="s">
        <v>29</v>
      </c>
      <c r="O485">
        <v>3313886</v>
      </c>
      <c r="P485" t="s">
        <v>2237</v>
      </c>
      <c r="Q485">
        <v>706459</v>
      </c>
      <c r="R485" t="s">
        <v>2238</v>
      </c>
      <c r="S485">
        <v>10308</v>
      </c>
      <c r="T485" t="b">
        <v>0</v>
      </c>
      <c r="U485">
        <v>12</v>
      </c>
      <c r="V485">
        <v>35</v>
      </c>
      <c r="W485" t="s">
        <v>35</v>
      </c>
      <c r="X485" t="s">
        <v>29</v>
      </c>
      <c r="Y485" t="s">
        <v>29</v>
      </c>
      <c r="Z485" t="s">
        <v>37</v>
      </c>
    </row>
    <row r="486" spans="1:26">
      <c r="A486">
        <v>1.8683783414068308E+18</v>
      </c>
      <c r="B486" t="s">
        <v>2230</v>
      </c>
      <c r="C486" t="s">
        <v>2231</v>
      </c>
      <c r="D486" t="s">
        <v>2569</v>
      </c>
      <c r="E486" t="s">
        <v>2570</v>
      </c>
      <c r="F486" t="s">
        <v>2571</v>
      </c>
      <c r="G486" t="s">
        <v>2572</v>
      </c>
      <c r="H486" t="s">
        <v>29</v>
      </c>
      <c r="I486">
        <v>16</v>
      </c>
      <c r="J486">
        <v>10</v>
      </c>
      <c r="K486">
        <v>57</v>
      </c>
      <c r="L486">
        <v>44941</v>
      </c>
      <c r="M486" t="s">
        <v>2573</v>
      </c>
      <c r="N486" t="s">
        <v>29</v>
      </c>
      <c r="O486">
        <v>3313887</v>
      </c>
      <c r="P486" t="s">
        <v>2237</v>
      </c>
      <c r="Q486">
        <v>706459</v>
      </c>
      <c r="R486" t="s">
        <v>2238</v>
      </c>
      <c r="S486">
        <v>10308</v>
      </c>
      <c r="T486" t="b">
        <v>0</v>
      </c>
      <c r="U486">
        <v>5</v>
      </c>
      <c r="V486">
        <v>19</v>
      </c>
      <c r="W486" t="s">
        <v>35</v>
      </c>
      <c r="X486" t="s">
        <v>29</v>
      </c>
      <c r="Y486" t="s">
        <v>29</v>
      </c>
      <c r="Z486" t="s">
        <v>37</v>
      </c>
    </row>
    <row r="487" spans="1:26">
      <c r="A487">
        <v>1.8683640407385951E+18</v>
      </c>
      <c r="B487" t="s">
        <v>2230</v>
      </c>
      <c r="C487" t="s">
        <v>2231</v>
      </c>
      <c r="D487" t="s">
        <v>2574</v>
      </c>
      <c r="E487" t="s">
        <v>2575</v>
      </c>
      <c r="F487" t="s">
        <v>2576</v>
      </c>
      <c r="G487" t="s">
        <v>2577</v>
      </c>
      <c r="H487" t="s">
        <v>29</v>
      </c>
      <c r="I487">
        <v>58</v>
      </c>
      <c r="J487">
        <v>56</v>
      </c>
      <c r="K487">
        <v>157</v>
      </c>
      <c r="L487">
        <v>26593</v>
      </c>
      <c r="M487" t="s">
        <v>2578</v>
      </c>
      <c r="N487" t="s">
        <v>29</v>
      </c>
      <c r="O487">
        <v>3313888</v>
      </c>
      <c r="P487" t="s">
        <v>2237</v>
      </c>
      <c r="Q487">
        <v>706459</v>
      </c>
      <c r="R487" t="s">
        <v>2238</v>
      </c>
      <c r="S487">
        <v>10308</v>
      </c>
      <c r="T487" t="b">
        <v>0</v>
      </c>
      <c r="U487">
        <v>3</v>
      </c>
      <c r="V487">
        <v>3</v>
      </c>
      <c r="W487" t="s">
        <v>35</v>
      </c>
      <c r="X487" t="s">
        <v>29</v>
      </c>
      <c r="Y487" t="s">
        <v>29</v>
      </c>
      <c r="Z487" t="s">
        <v>37</v>
      </c>
    </row>
    <row r="488" spans="1:26">
      <c r="A488">
        <v>1.8683569507793966E+18</v>
      </c>
      <c r="B488" t="s">
        <v>2230</v>
      </c>
      <c r="C488" t="s">
        <v>2231</v>
      </c>
      <c r="D488" t="s">
        <v>2579</v>
      </c>
      <c r="E488" t="s">
        <v>2530</v>
      </c>
      <c r="F488" t="s">
        <v>2580</v>
      </c>
      <c r="G488" t="s">
        <v>2581</v>
      </c>
      <c r="H488" t="s">
        <v>29</v>
      </c>
      <c r="I488">
        <v>11</v>
      </c>
      <c r="J488">
        <v>4</v>
      </c>
      <c r="K488">
        <v>39</v>
      </c>
      <c r="L488">
        <v>21037</v>
      </c>
      <c r="M488" t="s">
        <v>2582</v>
      </c>
      <c r="N488" t="s">
        <v>29</v>
      </c>
      <c r="O488">
        <v>3313887</v>
      </c>
      <c r="P488" t="s">
        <v>2237</v>
      </c>
      <c r="Q488">
        <v>706459</v>
      </c>
      <c r="R488" t="s">
        <v>2238</v>
      </c>
      <c r="S488">
        <v>10308</v>
      </c>
      <c r="T488" t="b">
        <v>0</v>
      </c>
      <c r="U488">
        <v>1</v>
      </c>
      <c r="V488">
        <v>2</v>
      </c>
      <c r="W488" t="s">
        <v>35</v>
      </c>
      <c r="X488" t="s">
        <v>29</v>
      </c>
      <c r="Y488" t="s">
        <v>29</v>
      </c>
      <c r="Z488" t="s">
        <v>37</v>
      </c>
    </row>
    <row r="489" spans="1:26">
      <c r="A489">
        <v>1.8683442879575946E+18</v>
      </c>
      <c r="B489" t="s">
        <v>2230</v>
      </c>
      <c r="C489" t="s">
        <v>2231</v>
      </c>
      <c r="D489" t="s">
        <v>2583</v>
      </c>
      <c r="E489" t="s">
        <v>2584</v>
      </c>
      <c r="F489" t="s">
        <v>29</v>
      </c>
      <c r="G489" t="s">
        <v>2585</v>
      </c>
      <c r="H489" t="s">
        <v>29</v>
      </c>
      <c r="I489">
        <v>23</v>
      </c>
      <c r="J489">
        <v>24</v>
      </c>
      <c r="K489">
        <v>116</v>
      </c>
      <c r="L489">
        <v>39986</v>
      </c>
      <c r="M489" t="s">
        <v>2586</v>
      </c>
      <c r="N489" t="s">
        <v>29</v>
      </c>
      <c r="O489">
        <v>3313888</v>
      </c>
      <c r="P489" t="s">
        <v>2237</v>
      </c>
      <c r="Q489">
        <v>706459</v>
      </c>
      <c r="R489" t="s">
        <v>2238</v>
      </c>
      <c r="S489">
        <v>10308</v>
      </c>
      <c r="T489" t="b">
        <v>0</v>
      </c>
      <c r="U489">
        <v>8</v>
      </c>
      <c r="V489">
        <v>14</v>
      </c>
      <c r="W489" t="s">
        <v>35</v>
      </c>
      <c r="X489" t="s">
        <v>29</v>
      </c>
      <c r="Y489" t="s">
        <v>2587</v>
      </c>
      <c r="Z489" t="s">
        <v>37</v>
      </c>
    </row>
    <row r="490" spans="1:26">
      <c r="A490">
        <v>1.8683446145721754E+18</v>
      </c>
      <c r="B490" t="s">
        <v>2230</v>
      </c>
      <c r="C490" t="s">
        <v>2231</v>
      </c>
      <c r="D490" t="s">
        <v>2588</v>
      </c>
      <c r="E490" t="s">
        <v>2589</v>
      </c>
      <c r="F490" t="s">
        <v>2590</v>
      </c>
      <c r="G490" t="s">
        <v>2591</v>
      </c>
      <c r="H490" t="s">
        <v>29</v>
      </c>
      <c r="I490">
        <v>28</v>
      </c>
      <c r="J490">
        <v>24</v>
      </c>
      <c r="K490">
        <v>121</v>
      </c>
      <c r="L490">
        <v>23567</v>
      </c>
      <c r="M490" t="s">
        <v>2592</v>
      </c>
      <c r="N490" t="s">
        <v>29</v>
      </c>
      <c r="O490">
        <v>3313888</v>
      </c>
      <c r="P490" t="s">
        <v>2237</v>
      </c>
      <c r="Q490">
        <v>706459</v>
      </c>
      <c r="R490" t="s">
        <v>2238</v>
      </c>
      <c r="S490">
        <v>10308</v>
      </c>
      <c r="T490" t="b">
        <v>0</v>
      </c>
      <c r="U490">
        <v>3</v>
      </c>
      <c r="V490">
        <v>5</v>
      </c>
      <c r="W490" t="s">
        <v>35</v>
      </c>
      <c r="X490" t="s">
        <v>29</v>
      </c>
      <c r="Y490" t="s">
        <v>29</v>
      </c>
      <c r="Z490" t="s">
        <v>37</v>
      </c>
    </row>
    <row r="491" spans="1:26">
      <c r="A491">
        <v>1.8683369281242115E+18</v>
      </c>
      <c r="B491" t="s">
        <v>2230</v>
      </c>
      <c r="C491" t="s">
        <v>2231</v>
      </c>
      <c r="D491" t="s">
        <v>2593</v>
      </c>
      <c r="E491" t="s">
        <v>2594</v>
      </c>
      <c r="F491" t="s">
        <v>2595</v>
      </c>
      <c r="G491" t="s">
        <v>2596</v>
      </c>
      <c r="H491" t="s">
        <v>29</v>
      </c>
      <c r="I491">
        <v>37</v>
      </c>
      <c r="J491">
        <v>91</v>
      </c>
      <c r="K491">
        <v>433</v>
      </c>
      <c r="L491">
        <v>26764</v>
      </c>
      <c r="M491" t="s">
        <v>2597</v>
      </c>
      <c r="N491" t="s">
        <v>29</v>
      </c>
      <c r="O491">
        <v>3313888</v>
      </c>
      <c r="P491" t="s">
        <v>2237</v>
      </c>
      <c r="Q491">
        <v>706459</v>
      </c>
      <c r="R491" t="s">
        <v>2238</v>
      </c>
      <c r="S491">
        <v>10308</v>
      </c>
      <c r="T491" t="b">
        <v>0</v>
      </c>
      <c r="U491">
        <v>4</v>
      </c>
      <c r="V491">
        <v>9</v>
      </c>
      <c r="W491" t="s">
        <v>35</v>
      </c>
      <c r="X491" t="s">
        <v>29</v>
      </c>
      <c r="Y491" t="s">
        <v>29</v>
      </c>
      <c r="Z491" t="s">
        <v>37</v>
      </c>
    </row>
    <row r="492" spans="1:26">
      <c r="A492">
        <v>1.8683545119300652E+18</v>
      </c>
      <c r="B492" t="s">
        <v>2230</v>
      </c>
      <c r="C492" t="s">
        <v>2231</v>
      </c>
      <c r="D492" t="s">
        <v>2598</v>
      </c>
      <c r="E492" t="s">
        <v>2599</v>
      </c>
      <c r="F492" t="s">
        <v>2600</v>
      </c>
      <c r="G492" t="s">
        <v>2601</v>
      </c>
      <c r="H492" t="s">
        <v>29</v>
      </c>
      <c r="I492">
        <v>40</v>
      </c>
      <c r="J492">
        <v>16</v>
      </c>
      <c r="K492">
        <v>162</v>
      </c>
      <c r="L492">
        <v>21483</v>
      </c>
      <c r="M492" t="s">
        <v>2602</v>
      </c>
      <c r="N492" t="s">
        <v>29</v>
      </c>
      <c r="O492">
        <v>3313889</v>
      </c>
      <c r="P492" t="s">
        <v>2237</v>
      </c>
      <c r="Q492">
        <v>706459</v>
      </c>
      <c r="R492" t="s">
        <v>2238</v>
      </c>
      <c r="S492">
        <v>10308</v>
      </c>
      <c r="T492" t="b">
        <v>0</v>
      </c>
      <c r="U492">
        <v>1</v>
      </c>
      <c r="V492">
        <v>3</v>
      </c>
      <c r="W492" t="s">
        <v>35</v>
      </c>
      <c r="X492" t="s">
        <v>29</v>
      </c>
      <c r="Y492" t="s">
        <v>29</v>
      </c>
      <c r="Z492" t="s">
        <v>37</v>
      </c>
    </row>
    <row r="493" spans="1:26">
      <c r="A493">
        <v>1.868318768738304E+18</v>
      </c>
      <c r="B493" t="s">
        <v>2230</v>
      </c>
      <c r="C493" t="s">
        <v>2231</v>
      </c>
      <c r="D493" t="s">
        <v>2603</v>
      </c>
      <c r="E493" t="s">
        <v>2604</v>
      </c>
      <c r="F493" t="s">
        <v>2605</v>
      </c>
      <c r="G493" t="s">
        <v>2606</v>
      </c>
      <c r="H493" t="s">
        <v>29</v>
      </c>
      <c r="I493">
        <v>64</v>
      </c>
      <c r="J493">
        <v>8</v>
      </c>
      <c r="K493">
        <v>79</v>
      </c>
      <c r="L493">
        <v>35323</v>
      </c>
      <c r="M493" t="s">
        <v>2607</v>
      </c>
      <c r="N493" t="s">
        <v>29</v>
      </c>
      <c r="O493">
        <v>3313889</v>
      </c>
      <c r="P493" t="s">
        <v>2237</v>
      </c>
      <c r="Q493">
        <v>706459</v>
      </c>
      <c r="R493" t="s">
        <v>2238</v>
      </c>
      <c r="S493">
        <v>10308</v>
      </c>
      <c r="T493" t="b">
        <v>0</v>
      </c>
      <c r="U493">
        <v>7</v>
      </c>
      <c r="V493">
        <v>5</v>
      </c>
      <c r="W493" t="s">
        <v>35</v>
      </c>
      <c r="X493" t="s">
        <v>29</v>
      </c>
      <c r="Y493" t="s">
        <v>29</v>
      </c>
      <c r="Z493" t="s">
        <v>37</v>
      </c>
    </row>
    <row r="494" spans="1:26">
      <c r="A494">
        <v>1.8682590427804344E+18</v>
      </c>
      <c r="B494" t="s">
        <v>2230</v>
      </c>
      <c r="C494" t="s">
        <v>2231</v>
      </c>
      <c r="D494" t="s">
        <v>2608</v>
      </c>
      <c r="E494" t="s">
        <v>2609</v>
      </c>
      <c r="F494" t="s">
        <v>2610</v>
      </c>
      <c r="G494" t="s">
        <v>2611</v>
      </c>
      <c r="H494" t="s">
        <v>29</v>
      </c>
      <c r="I494">
        <v>18</v>
      </c>
      <c r="J494">
        <v>7</v>
      </c>
      <c r="K494">
        <v>37</v>
      </c>
      <c r="L494">
        <v>26182</v>
      </c>
      <c r="M494" t="s">
        <v>2612</v>
      </c>
      <c r="N494" t="s">
        <v>29</v>
      </c>
      <c r="O494">
        <v>3313891</v>
      </c>
      <c r="P494" t="s">
        <v>2237</v>
      </c>
      <c r="Q494">
        <v>706459</v>
      </c>
      <c r="R494" t="s">
        <v>2238</v>
      </c>
      <c r="S494">
        <v>10308</v>
      </c>
      <c r="T494" t="b">
        <v>0</v>
      </c>
      <c r="U494">
        <v>3</v>
      </c>
      <c r="V494">
        <v>1</v>
      </c>
      <c r="W494" t="s">
        <v>35</v>
      </c>
      <c r="X494" t="s">
        <v>29</v>
      </c>
      <c r="Y494" t="s">
        <v>29</v>
      </c>
      <c r="Z494" t="s">
        <v>37</v>
      </c>
    </row>
    <row r="495" spans="1:26">
      <c r="A495">
        <v>1.8682049595917315E+18</v>
      </c>
      <c r="B495" t="s">
        <v>2230</v>
      </c>
      <c r="C495" t="s">
        <v>2231</v>
      </c>
      <c r="D495" t="s">
        <v>2613</v>
      </c>
      <c r="E495" t="s">
        <v>2614</v>
      </c>
      <c r="F495" t="s">
        <v>2615</v>
      </c>
      <c r="G495" t="s">
        <v>2616</v>
      </c>
      <c r="H495" t="s">
        <v>29</v>
      </c>
      <c r="I495">
        <v>28</v>
      </c>
      <c r="J495">
        <v>4</v>
      </c>
      <c r="K495">
        <v>28</v>
      </c>
      <c r="L495">
        <v>22700</v>
      </c>
      <c r="M495" t="s">
        <v>2617</v>
      </c>
      <c r="N495" t="s">
        <v>29</v>
      </c>
      <c r="O495">
        <v>3314172</v>
      </c>
      <c r="P495" t="s">
        <v>2237</v>
      </c>
      <c r="Q495">
        <v>706459</v>
      </c>
      <c r="R495" t="s">
        <v>2238</v>
      </c>
      <c r="S495">
        <v>10308</v>
      </c>
      <c r="T495" t="b">
        <v>0</v>
      </c>
      <c r="U495">
        <v>3</v>
      </c>
      <c r="V495">
        <v>4</v>
      </c>
      <c r="W495" t="s">
        <v>35</v>
      </c>
      <c r="X495" t="s">
        <v>29</v>
      </c>
      <c r="Y495" t="s">
        <v>29</v>
      </c>
      <c r="Z495" t="s">
        <v>37</v>
      </c>
    </row>
    <row r="496" spans="1:26">
      <c r="A496">
        <v>1.8681080905679752E+18</v>
      </c>
      <c r="B496" t="s">
        <v>2230</v>
      </c>
      <c r="C496" t="s">
        <v>2231</v>
      </c>
      <c r="D496" t="s">
        <v>2618</v>
      </c>
      <c r="E496" t="s">
        <v>2619</v>
      </c>
      <c r="F496" t="s">
        <v>2620</v>
      </c>
      <c r="G496" t="s">
        <v>2621</v>
      </c>
      <c r="H496" t="s">
        <v>29</v>
      </c>
      <c r="I496">
        <v>63</v>
      </c>
      <c r="J496">
        <v>55</v>
      </c>
      <c r="K496">
        <v>232</v>
      </c>
      <c r="L496">
        <v>54458</v>
      </c>
      <c r="M496" t="s">
        <v>2622</v>
      </c>
      <c r="N496" t="s">
        <v>29</v>
      </c>
      <c r="O496">
        <v>3313894</v>
      </c>
      <c r="P496" t="s">
        <v>2237</v>
      </c>
      <c r="Q496">
        <v>706459</v>
      </c>
      <c r="R496" t="s">
        <v>2238</v>
      </c>
      <c r="S496">
        <v>10308</v>
      </c>
      <c r="T496" t="b">
        <v>0</v>
      </c>
      <c r="U496">
        <v>11</v>
      </c>
      <c r="V496">
        <v>19</v>
      </c>
      <c r="W496" t="s">
        <v>35</v>
      </c>
      <c r="X496" t="s">
        <v>29</v>
      </c>
      <c r="Y496" t="s">
        <v>29</v>
      </c>
      <c r="Z496" t="s">
        <v>37</v>
      </c>
    </row>
    <row r="497" spans="1:26">
      <c r="A497">
        <v>1.8651379806937705E+18</v>
      </c>
      <c r="B497" t="s">
        <v>2623</v>
      </c>
      <c r="C497" t="s">
        <v>2624</v>
      </c>
      <c r="D497" t="s">
        <v>2625</v>
      </c>
      <c r="E497" t="s">
        <v>2626</v>
      </c>
      <c r="F497" t="s">
        <v>2627</v>
      </c>
      <c r="G497" t="s">
        <v>2628</v>
      </c>
      <c r="H497" t="s">
        <v>29</v>
      </c>
      <c r="I497">
        <v>107</v>
      </c>
      <c r="J497">
        <v>13</v>
      </c>
      <c r="K497">
        <v>495</v>
      </c>
      <c r="L497">
        <v>42326</v>
      </c>
      <c r="M497" t="s">
        <v>52</v>
      </c>
      <c r="N497" t="s">
        <v>2629</v>
      </c>
      <c r="O497">
        <v>5138</v>
      </c>
      <c r="P497" t="s">
        <v>2630</v>
      </c>
      <c r="Q497">
        <v>8529</v>
      </c>
      <c r="R497" t="s">
        <v>2631</v>
      </c>
      <c r="S497">
        <v>216</v>
      </c>
      <c r="T497" t="b">
        <v>0</v>
      </c>
      <c r="U497">
        <v>9</v>
      </c>
      <c r="V497">
        <v>5</v>
      </c>
      <c r="W497" t="s">
        <v>35</v>
      </c>
      <c r="X497" t="s">
        <v>29</v>
      </c>
      <c r="Y497" t="s">
        <v>29</v>
      </c>
      <c r="Z497" t="s">
        <v>37</v>
      </c>
    </row>
    <row r="498" spans="1:26">
      <c r="A498">
        <v>1.815201979192267E+18</v>
      </c>
      <c r="B498" t="s">
        <v>2353</v>
      </c>
      <c r="C498" t="s">
        <v>2354</v>
      </c>
      <c r="D498" t="s">
        <v>2632</v>
      </c>
      <c r="E498" t="s">
        <v>2633</v>
      </c>
      <c r="F498" t="s">
        <v>2634</v>
      </c>
      <c r="G498" t="s">
        <v>2635</v>
      </c>
      <c r="H498" t="s">
        <v>2636</v>
      </c>
      <c r="I498">
        <v>1</v>
      </c>
      <c r="J498">
        <v>2</v>
      </c>
      <c r="K498">
        <v>63</v>
      </c>
      <c r="L498">
        <v>5042</v>
      </c>
      <c r="M498" t="s">
        <v>52</v>
      </c>
      <c r="N498" t="s">
        <v>29</v>
      </c>
      <c r="O498">
        <v>1293</v>
      </c>
      <c r="P498" t="s">
        <v>2361</v>
      </c>
      <c r="Q498">
        <v>2739</v>
      </c>
      <c r="R498" t="s">
        <v>2362</v>
      </c>
      <c r="S498">
        <v>900</v>
      </c>
      <c r="T498" t="b">
        <v>0</v>
      </c>
      <c r="U498">
        <v>2</v>
      </c>
      <c r="V498">
        <v>0</v>
      </c>
      <c r="W498" t="s">
        <v>35</v>
      </c>
      <c r="X498" t="s">
        <v>29</v>
      </c>
      <c r="Y498" t="s">
        <v>2637</v>
      </c>
      <c r="Z498" t="s">
        <v>37</v>
      </c>
    </row>
    <row r="499" spans="1:26">
      <c r="A499">
        <v>1.8684681318379113E+18</v>
      </c>
      <c r="B499" t="s">
        <v>2230</v>
      </c>
      <c r="C499" t="s">
        <v>2231</v>
      </c>
      <c r="D499" t="s">
        <v>2638</v>
      </c>
      <c r="E499" t="s">
        <v>2639</v>
      </c>
      <c r="F499" t="s">
        <v>2640</v>
      </c>
      <c r="G499" t="s">
        <v>2641</v>
      </c>
      <c r="H499" t="s">
        <v>29</v>
      </c>
      <c r="I499">
        <v>31</v>
      </c>
      <c r="J499">
        <v>75</v>
      </c>
      <c r="K499">
        <v>189</v>
      </c>
      <c r="L499">
        <v>32755</v>
      </c>
      <c r="M499" t="s">
        <v>2642</v>
      </c>
      <c r="N499" t="s">
        <v>29</v>
      </c>
      <c r="O499">
        <v>3313886</v>
      </c>
      <c r="P499" t="s">
        <v>2237</v>
      </c>
      <c r="Q499">
        <v>706459</v>
      </c>
      <c r="R499" t="s">
        <v>2238</v>
      </c>
      <c r="S499">
        <v>10308</v>
      </c>
      <c r="T499" t="b">
        <v>0</v>
      </c>
      <c r="U499">
        <v>5</v>
      </c>
      <c r="V499">
        <v>5</v>
      </c>
      <c r="W499" t="s">
        <v>35</v>
      </c>
      <c r="X499" t="s">
        <v>29</v>
      </c>
      <c r="Y499" t="s">
        <v>29</v>
      </c>
      <c r="Z499" t="s">
        <v>37</v>
      </c>
    </row>
    <row r="500" spans="1:26">
      <c r="A500">
        <v>1.8684375331613289E+18</v>
      </c>
      <c r="B500" t="s">
        <v>2230</v>
      </c>
      <c r="C500" t="s">
        <v>2231</v>
      </c>
      <c r="D500" t="s">
        <v>2643</v>
      </c>
      <c r="E500" t="s">
        <v>2644</v>
      </c>
      <c r="F500" t="s">
        <v>2645</v>
      </c>
      <c r="G500" t="s">
        <v>2646</v>
      </c>
      <c r="H500" t="s">
        <v>29</v>
      </c>
      <c r="I500">
        <v>38</v>
      </c>
      <c r="J500">
        <v>22</v>
      </c>
      <c r="K500">
        <v>107</v>
      </c>
      <c r="L500">
        <v>35101</v>
      </c>
      <c r="M500" t="s">
        <v>2647</v>
      </c>
      <c r="N500" t="s">
        <v>29</v>
      </c>
      <c r="O500">
        <v>3313887</v>
      </c>
      <c r="P500" t="s">
        <v>2237</v>
      </c>
      <c r="Q500">
        <v>706459</v>
      </c>
      <c r="R500" t="s">
        <v>2238</v>
      </c>
      <c r="S500">
        <v>10308</v>
      </c>
      <c r="T500" t="b">
        <v>0</v>
      </c>
      <c r="U500">
        <v>5</v>
      </c>
      <c r="V500">
        <v>7</v>
      </c>
      <c r="W500" t="s">
        <v>35</v>
      </c>
      <c r="X500" t="s">
        <v>29</v>
      </c>
      <c r="Y500" t="s">
        <v>29</v>
      </c>
      <c r="Z500" t="s">
        <v>37</v>
      </c>
    </row>
    <row r="501" spans="1:26">
      <c r="A501">
        <v>1.8684156211651955E+18</v>
      </c>
      <c r="B501" t="s">
        <v>2230</v>
      </c>
      <c r="C501" t="s">
        <v>2231</v>
      </c>
      <c r="D501" t="s">
        <v>2648</v>
      </c>
      <c r="E501" t="s">
        <v>1930</v>
      </c>
      <c r="F501" t="s">
        <v>2649</v>
      </c>
      <c r="G501" t="s">
        <v>2650</v>
      </c>
      <c r="H501" t="s">
        <v>29</v>
      </c>
      <c r="I501">
        <v>40</v>
      </c>
      <c r="J501">
        <v>17</v>
      </c>
      <c r="K501">
        <v>74</v>
      </c>
      <c r="L501">
        <v>35878</v>
      </c>
      <c r="M501" t="s">
        <v>2651</v>
      </c>
      <c r="N501" t="s">
        <v>29</v>
      </c>
      <c r="O501">
        <v>3313886</v>
      </c>
      <c r="P501" t="s">
        <v>2237</v>
      </c>
      <c r="Q501">
        <v>706459</v>
      </c>
      <c r="R501" t="s">
        <v>2238</v>
      </c>
      <c r="S501">
        <v>10308</v>
      </c>
      <c r="T501" t="b">
        <v>0</v>
      </c>
      <c r="U501">
        <v>3</v>
      </c>
      <c r="V501">
        <v>16</v>
      </c>
      <c r="W501" t="s">
        <v>35</v>
      </c>
      <c r="X501" t="s">
        <v>29</v>
      </c>
      <c r="Y501" t="s">
        <v>29</v>
      </c>
      <c r="Z501" t="s">
        <v>37</v>
      </c>
    </row>
    <row r="502" spans="1:26">
      <c r="A502">
        <v>1.8683818957355502E+18</v>
      </c>
      <c r="B502" t="s">
        <v>2230</v>
      </c>
      <c r="C502" t="s">
        <v>2231</v>
      </c>
      <c r="D502" t="s">
        <v>2652</v>
      </c>
      <c r="E502" t="s">
        <v>2653</v>
      </c>
      <c r="F502" t="s">
        <v>2654</v>
      </c>
      <c r="G502" t="s">
        <v>2655</v>
      </c>
      <c r="H502" t="s">
        <v>29</v>
      </c>
      <c r="I502">
        <v>19</v>
      </c>
      <c r="J502">
        <v>3</v>
      </c>
      <c r="K502">
        <v>23</v>
      </c>
      <c r="L502">
        <v>27830</v>
      </c>
      <c r="M502" t="s">
        <v>2656</v>
      </c>
      <c r="N502" t="s">
        <v>29</v>
      </c>
      <c r="O502">
        <v>3313886</v>
      </c>
      <c r="P502" t="s">
        <v>2237</v>
      </c>
      <c r="Q502">
        <v>706459</v>
      </c>
      <c r="R502" t="s">
        <v>2238</v>
      </c>
      <c r="S502">
        <v>10308</v>
      </c>
      <c r="T502" t="b">
        <v>0</v>
      </c>
      <c r="U502">
        <v>3</v>
      </c>
      <c r="V502">
        <v>3</v>
      </c>
      <c r="W502" t="s">
        <v>35</v>
      </c>
      <c r="X502" t="s">
        <v>29</v>
      </c>
      <c r="Y502" t="s">
        <v>29</v>
      </c>
      <c r="Z502" t="s">
        <v>37</v>
      </c>
    </row>
    <row r="503" spans="1:26">
      <c r="A503">
        <v>1.8683510215938993E+18</v>
      </c>
      <c r="B503" t="s">
        <v>2230</v>
      </c>
      <c r="C503" t="s">
        <v>2231</v>
      </c>
      <c r="D503" t="s">
        <v>2657</v>
      </c>
      <c r="E503" t="s">
        <v>2658</v>
      </c>
      <c r="F503" t="s">
        <v>2659</v>
      </c>
      <c r="G503" t="s">
        <v>2660</v>
      </c>
      <c r="H503" t="s">
        <v>29</v>
      </c>
      <c r="I503">
        <v>53</v>
      </c>
      <c r="J503">
        <v>8</v>
      </c>
      <c r="K503">
        <v>66</v>
      </c>
      <c r="L503">
        <v>32695</v>
      </c>
      <c r="M503" t="s">
        <v>2661</v>
      </c>
      <c r="N503" t="s">
        <v>29</v>
      </c>
      <c r="O503">
        <v>3313887</v>
      </c>
      <c r="P503" t="s">
        <v>2237</v>
      </c>
      <c r="Q503">
        <v>706459</v>
      </c>
      <c r="R503" t="s">
        <v>2238</v>
      </c>
      <c r="S503">
        <v>10308</v>
      </c>
      <c r="T503" t="b">
        <v>0</v>
      </c>
      <c r="U503">
        <v>6</v>
      </c>
      <c r="V503">
        <v>8</v>
      </c>
      <c r="W503" t="s">
        <v>35</v>
      </c>
      <c r="X503" t="s">
        <v>29</v>
      </c>
      <c r="Y503" t="s">
        <v>29</v>
      </c>
      <c r="Z503" t="s">
        <v>37</v>
      </c>
    </row>
    <row r="504" spans="1:26">
      <c r="A504">
        <v>1.8683422623268623E+18</v>
      </c>
      <c r="B504" t="s">
        <v>2230</v>
      </c>
      <c r="C504" t="s">
        <v>2231</v>
      </c>
      <c r="D504" t="s">
        <v>2662</v>
      </c>
      <c r="E504" t="s">
        <v>2663</v>
      </c>
      <c r="F504" t="s">
        <v>2664</v>
      </c>
      <c r="G504" t="s">
        <v>2665</v>
      </c>
      <c r="H504" t="s">
        <v>29</v>
      </c>
      <c r="I504">
        <v>99</v>
      </c>
      <c r="J504">
        <v>45</v>
      </c>
      <c r="K504">
        <v>219</v>
      </c>
      <c r="L504">
        <v>38903</v>
      </c>
      <c r="M504" t="s">
        <v>2666</v>
      </c>
      <c r="N504" t="s">
        <v>29</v>
      </c>
      <c r="O504">
        <v>3313888</v>
      </c>
      <c r="P504" t="s">
        <v>2237</v>
      </c>
      <c r="Q504">
        <v>706459</v>
      </c>
      <c r="R504" t="s">
        <v>2238</v>
      </c>
      <c r="S504">
        <v>10308</v>
      </c>
      <c r="T504" t="b">
        <v>0</v>
      </c>
      <c r="U504">
        <v>18</v>
      </c>
      <c r="V504">
        <v>5</v>
      </c>
      <c r="W504" t="s">
        <v>35</v>
      </c>
      <c r="X504" t="s">
        <v>29</v>
      </c>
      <c r="Y504" t="s">
        <v>29</v>
      </c>
      <c r="Z504" t="s">
        <v>37</v>
      </c>
    </row>
    <row r="505" spans="1:26">
      <c r="A505">
        <v>1.8683029138497009E+18</v>
      </c>
      <c r="B505" t="s">
        <v>2230</v>
      </c>
      <c r="C505" t="s">
        <v>2231</v>
      </c>
      <c r="D505" t="s">
        <v>2667</v>
      </c>
      <c r="E505" t="s">
        <v>2668</v>
      </c>
      <c r="F505" t="s">
        <v>2669</v>
      </c>
      <c r="G505" t="s">
        <v>2670</v>
      </c>
      <c r="H505" t="s">
        <v>29</v>
      </c>
      <c r="I505">
        <v>62</v>
      </c>
      <c r="J505">
        <v>23</v>
      </c>
      <c r="K505">
        <v>135</v>
      </c>
      <c r="L505">
        <v>36022</v>
      </c>
      <c r="M505" t="s">
        <v>2671</v>
      </c>
      <c r="N505" t="s">
        <v>29</v>
      </c>
      <c r="O505">
        <v>3314171</v>
      </c>
      <c r="P505" t="s">
        <v>2237</v>
      </c>
      <c r="Q505">
        <v>706459</v>
      </c>
      <c r="R505" t="s">
        <v>2238</v>
      </c>
      <c r="S505">
        <v>10308</v>
      </c>
      <c r="T505" t="b">
        <v>0</v>
      </c>
      <c r="U505">
        <v>17</v>
      </c>
      <c r="V505">
        <v>2</v>
      </c>
      <c r="W505" t="s">
        <v>35</v>
      </c>
      <c r="X505" t="s">
        <v>29</v>
      </c>
      <c r="Y505" t="s">
        <v>29</v>
      </c>
      <c r="Z505" t="s">
        <v>37</v>
      </c>
    </row>
    <row r="506" spans="1:26">
      <c r="A506">
        <v>1.8682916953951194E+18</v>
      </c>
      <c r="B506" t="s">
        <v>2230</v>
      </c>
      <c r="C506" t="s">
        <v>2231</v>
      </c>
      <c r="D506" t="s">
        <v>2672</v>
      </c>
      <c r="E506" t="s">
        <v>2673</v>
      </c>
      <c r="F506" t="s">
        <v>2674</v>
      </c>
      <c r="G506" t="s">
        <v>2675</v>
      </c>
      <c r="H506" t="s">
        <v>29</v>
      </c>
      <c r="I506">
        <v>38</v>
      </c>
      <c r="J506">
        <v>26</v>
      </c>
      <c r="K506">
        <v>106</v>
      </c>
      <c r="L506">
        <v>33206</v>
      </c>
      <c r="M506" t="s">
        <v>2676</v>
      </c>
      <c r="N506" t="s">
        <v>29</v>
      </c>
      <c r="O506">
        <v>3313889</v>
      </c>
      <c r="P506" t="s">
        <v>2237</v>
      </c>
      <c r="Q506">
        <v>706459</v>
      </c>
      <c r="R506" t="s">
        <v>2238</v>
      </c>
      <c r="S506">
        <v>10308</v>
      </c>
      <c r="T506" t="b">
        <v>0</v>
      </c>
      <c r="U506">
        <v>4</v>
      </c>
      <c r="V506">
        <v>8</v>
      </c>
      <c r="W506" t="s">
        <v>35</v>
      </c>
      <c r="X506" t="s">
        <v>29</v>
      </c>
      <c r="Y506" t="s">
        <v>29</v>
      </c>
      <c r="Z506" t="s">
        <v>37</v>
      </c>
    </row>
    <row r="507" spans="1:26">
      <c r="A507">
        <v>1.8681169700856955E+18</v>
      </c>
      <c r="B507" t="s">
        <v>2230</v>
      </c>
      <c r="C507" t="s">
        <v>2231</v>
      </c>
      <c r="D507" t="s">
        <v>2677</v>
      </c>
      <c r="E507" t="s">
        <v>2678</v>
      </c>
      <c r="F507" t="s">
        <v>2679</v>
      </c>
      <c r="G507" t="s">
        <v>2680</v>
      </c>
      <c r="H507" t="s">
        <v>29</v>
      </c>
      <c r="I507">
        <v>31</v>
      </c>
      <c r="J507">
        <v>72</v>
      </c>
      <c r="K507">
        <v>507</v>
      </c>
      <c r="L507">
        <v>39452</v>
      </c>
      <c r="M507" t="s">
        <v>2681</v>
      </c>
      <c r="N507" t="s">
        <v>29</v>
      </c>
      <c r="O507">
        <v>3313893</v>
      </c>
      <c r="P507" t="s">
        <v>2237</v>
      </c>
      <c r="Q507">
        <v>706459</v>
      </c>
      <c r="R507" t="s">
        <v>2238</v>
      </c>
      <c r="S507">
        <v>10308</v>
      </c>
      <c r="T507" t="b">
        <v>0</v>
      </c>
      <c r="U507">
        <v>7</v>
      </c>
      <c r="V507">
        <v>5</v>
      </c>
      <c r="W507" t="s">
        <v>35</v>
      </c>
      <c r="X507" t="s">
        <v>29</v>
      </c>
      <c r="Y507" t="s">
        <v>29</v>
      </c>
      <c r="Z507" t="s">
        <v>37</v>
      </c>
    </row>
    <row r="508" spans="1:26">
      <c r="A508">
        <v>1.8680992056270769E+18</v>
      </c>
      <c r="B508" t="s">
        <v>2230</v>
      </c>
      <c r="C508" t="s">
        <v>2231</v>
      </c>
      <c r="D508" t="s">
        <v>2682</v>
      </c>
      <c r="E508" t="s">
        <v>2683</v>
      </c>
      <c r="F508" t="s">
        <v>2684</v>
      </c>
      <c r="G508" t="s">
        <v>2685</v>
      </c>
      <c r="H508" t="s">
        <v>29</v>
      </c>
      <c r="I508">
        <v>16</v>
      </c>
      <c r="J508">
        <v>8</v>
      </c>
      <c r="K508">
        <v>35</v>
      </c>
      <c r="L508">
        <v>30417</v>
      </c>
      <c r="M508" t="s">
        <v>2686</v>
      </c>
      <c r="N508" t="s">
        <v>29</v>
      </c>
      <c r="O508">
        <v>3313897</v>
      </c>
      <c r="P508" t="s">
        <v>2237</v>
      </c>
      <c r="Q508">
        <v>706459</v>
      </c>
      <c r="R508" t="s">
        <v>2238</v>
      </c>
      <c r="S508">
        <v>10308</v>
      </c>
      <c r="T508" t="b">
        <v>0</v>
      </c>
      <c r="U508">
        <v>2</v>
      </c>
      <c r="V508">
        <v>2</v>
      </c>
      <c r="W508" t="s">
        <v>35</v>
      </c>
      <c r="X508" t="s">
        <v>29</v>
      </c>
      <c r="Y508" t="s">
        <v>29</v>
      </c>
      <c r="Z508" t="s">
        <v>37</v>
      </c>
    </row>
    <row r="509" spans="1:26">
      <c r="A509">
        <v>1.8680915033875052E+18</v>
      </c>
      <c r="B509" t="s">
        <v>2230</v>
      </c>
      <c r="C509" t="s">
        <v>2231</v>
      </c>
      <c r="D509" t="s">
        <v>2687</v>
      </c>
      <c r="E509" t="s">
        <v>2688</v>
      </c>
      <c r="F509" t="s">
        <v>2689</v>
      </c>
      <c r="G509" t="s">
        <v>2690</v>
      </c>
      <c r="H509" t="s">
        <v>29</v>
      </c>
      <c r="I509">
        <v>3058</v>
      </c>
      <c r="J509">
        <v>449</v>
      </c>
      <c r="K509">
        <v>5092</v>
      </c>
      <c r="L509">
        <v>822990</v>
      </c>
      <c r="M509" t="s">
        <v>2691</v>
      </c>
      <c r="N509" t="s">
        <v>29</v>
      </c>
      <c r="O509">
        <v>3313897</v>
      </c>
      <c r="P509" t="s">
        <v>2237</v>
      </c>
      <c r="Q509">
        <v>706459</v>
      </c>
      <c r="R509" t="s">
        <v>2238</v>
      </c>
      <c r="S509">
        <v>10308</v>
      </c>
      <c r="T509" t="b">
        <v>0</v>
      </c>
      <c r="U509">
        <v>509</v>
      </c>
      <c r="V509">
        <v>127</v>
      </c>
      <c r="W509" t="s">
        <v>35</v>
      </c>
      <c r="X509" t="s">
        <v>29</v>
      </c>
      <c r="Y509" t="s">
        <v>29</v>
      </c>
      <c r="Z509" t="s">
        <v>37</v>
      </c>
    </row>
    <row r="510" spans="1:26">
      <c r="A510">
        <v>1.8683888727673042E+18</v>
      </c>
      <c r="B510" t="s">
        <v>2230</v>
      </c>
      <c r="C510" t="s">
        <v>2231</v>
      </c>
      <c r="D510" t="s">
        <v>2692</v>
      </c>
      <c r="E510" t="s">
        <v>2693</v>
      </c>
      <c r="F510" t="s">
        <v>2694</v>
      </c>
      <c r="G510" t="s">
        <v>2695</v>
      </c>
      <c r="H510" t="s">
        <v>29</v>
      </c>
      <c r="I510">
        <v>7</v>
      </c>
      <c r="J510">
        <v>4</v>
      </c>
      <c r="K510">
        <v>23</v>
      </c>
      <c r="L510">
        <v>23766</v>
      </c>
      <c r="M510" t="s">
        <v>2696</v>
      </c>
      <c r="N510" t="s">
        <v>29</v>
      </c>
      <c r="O510">
        <v>3313887</v>
      </c>
      <c r="P510" t="s">
        <v>2237</v>
      </c>
      <c r="Q510">
        <v>706459</v>
      </c>
      <c r="R510" t="s">
        <v>2238</v>
      </c>
      <c r="S510">
        <v>10308</v>
      </c>
      <c r="T510" t="b">
        <v>0</v>
      </c>
      <c r="U510">
        <v>1</v>
      </c>
      <c r="V510">
        <v>1</v>
      </c>
      <c r="W510" t="s">
        <v>35</v>
      </c>
      <c r="X510" t="s">
        <v>29</v>
      </c>
      <c r="Y510" t="s">
        <v>29</v>
      </c>
      <c r="Z510" t="s">
        <v>37</v>
      </c>
    </row>
    <row r="511" spans="1:26">
      <c r="A511">
        <v>1.8683593406980219E+18</v>
      </c>
      <c r="B511" t="s">
        <v>2230</v>
      </c>
      <c r="C511" t="s">
        <v>2231</v>
      </c>
      <c r="D511" t="s">
        <v>2697</v>
      </c>
      <c r="E511" t="s">
        <v>2698</v>
      </c>
      <c r="F511" t="s">
        <v>2699</v>
      </c>
      <c r="G511" t="s">
        <v>2700</v>
      </c>
      <c r="H511" t="s">
        <v>29</v>
      </c>
      <c r="I511">
        <v>8</v>
      </c>
      <c r="J511">
        <v>3</v>
      </c>
      <c r="K511">
        <v>28</v>
      </c>
      <c r="L511">
        <v>22351</v>
      </c>
      <c r="M511" t="s">
        <v>2701</v>
      </c>
      <c r="N511" t="s">
        <v>29</v>
      </c>
      <c r="O511">
        <v>3313887</v>
      </c>
      <c r="P511" t="s">
        <v>2237</v>
      </c>
      <c r="Q511">
        <v>706459</v>
      </c>
      <c r="R511" t="s">
        <v>2238</v>
      </c>
      <c r="S511">
        <v>10308</v>
      </c>
      <c r="T511" t="b">
        <v>0</v>
      </c>
      <c r="U511">
        <v>1</v>
      </c>
      <c r="V511">
        <v>1</v>
      </c>
      <c r="W511" t="s">
        <v>35</v>
      </c>
      <c r="X511" t="s">
        <v>29</v>
      </c>
      <c r="Y511" t="s">
        <v>29</v>
      </c>
      <c r="Z511" t="s">
        <v>37</v>
      </c>
    </row>
    <row r="512" spans="1:26">
      <c r="A512">
        <v>1.8659641546343588E+18</v>
      </c>
      <c r="B512" t="s">
        <v>547</v>
      </c>
      <c r="C512" t="s">
        <v>548</v>
      </c>
      <c r="D512" t="s">
        <v>2702</v>
      </c>
      <c r="E512" t="s">
        <v>2703</v>
      </c>
      <c r="F512" t="s">
        <v>2704</v>
      </c>
      <c r="G512" t="s">
        <v>2705</v>
      </c>
      <c r="H512" t="s">
        <v>2706</v>
      </c>
      <c r="I512">
        <v>233</v>
      </c>
      <c r="J512">
        <v>277</v>
      </c>
      <c r="K512">
        <v>2314</v>
      </c>
      <c r="L512">
        <v>682852</v>
      </c>
      <c r="M512" t="s">
        <v>52</v>
      </c>
      <c r="N512" t="s">
        <v>2707</v>
      </c>
      <c r="O512">
        <v>4017795</v>
      </c>
      <c r="P512" t="s">
        <v>555</v>
      </c>
      <c r="Q512">
        <v>216530</v>
      </c>
      <c r="R512" t="s">
        <v>556</v>
      </c>
      <c r="S512">
        <v>214</v>
      </c>
      <c r="T512" t="b">
        <v>0</v>
      </c>
      <c r="U512">
        <v>42</v>
      </c>
      <c r="V512">
        <v>43</v>
      </c>
      <c r="W512" t="s">
        <v>35</v>
      </c>
      <c r="X512" t="s">
        <v>29</v>
      </c>
      <c r="Y512" t="s">
        <v>29</v>
      </c>
      <c r="Z512" t="s">
        <v>37</v>
      </c>
    </row>
    <row r="513" spans="1:26">
      <c r="A513">
        <v>1.8659760623472602E+18</v>
      </c>
      <c r="B513" t="s">
        <v>547</v>
      </c>
      <c r="C513" t="s">
        <v>548</v>
      </c>
      <c r="D513" t="s">
        <v>2708</v>
      </c>
      <c r="E513" t="s">
        <v>2709</v>
      </c>
      <c r="F513" t="s">
        <v>2710</v>
      </c>
      <c r="G513" t="s">
        <v>2711</v>
      </c>
      <c r="H513" t="s">
        <v>29</v>
      </c>
      <c r="I513">
        <v>28</v>
      </c>
      <c r="J513">
        <v>6</v>
      </c>
      <c r="K513">
        <v>209</v>
      </c>
      <c r="L513">
        <v>23924</v>
      </c>
      <c r="M513" t="s">
        <v>2712</v>
      </c>
      <c r="N513" t="s">
        <v>2713</v>
      </c>
      <c r="O513">
        <v>4017749</v>
      </c>
      <c r="P513" t="s">
        <v>555</v>
      </c>
      <c r="Q513">
        <v>216531</v>
      </c>
      <c r="R513" t="s">
        <v>556</v>
      </c>
      <c r="S513">
        <v>214</v>
      </c>
      <c r="T513" t="b">
        <v>0</v>
      </c>
      <c r="U513">
        <v>0</v>
      </c>
      <c r="V513">
        <v>2</v>
      </c>
      <c r="W513" t="s">
        <v>35</v>
      </c>
      <c r="X513" t="s">
        <v>29</v>
      </c>
      <c r="Y513" t="s">
        <v>29</v>
      </c>
      <c r="Z513" t="s">
        <v>37</v>
      </c>
    </row>
    <row r="514" spans="1:26">
      <c r="A514">
        <v>1.8678734160591916E+18</v>
      </c>
      <c r="B514" t="s">
        <v>2714</v>
      </c>
      <c r="C514" t="s">
        <v>2715</v>
      </c>
      <c r="D514" t="s">
        <v>2716</v>
      </c>
      <c r="E514" t="s">
        <v>2717</v>
      </c>
      <c r="F514" t="s">
        <v>29</v>
      </c>
      <c r="G514" t="s">
        <v>2718</v>
      </c>
      <c r="H514" t="s">
        <v>2719</v>
      </c>
      <c r="I514">
        <v>7</v>
      </c>
      <c r="J514">
        <v>6</v>
      </c>
      <c r="K514">
        <v>115</v>
      </c>
      <c r="L514">
        <v>25767</v>
      </c>
      <c r="M514" t="s">
        <v>52</v>
      </c>
      <c r="N514" t="s">
        <v>29</v>
      </c>
      <c r="O514">
        <v>182895</v>
      </c>
      <c r="P514" t="s">
        <v>2720</v>
      </c>
      <c r="Q514">
        <v>30781</v>
      </c>
      <c r="R514" t="s">
        <v>2721</v>
      </c>
      <c r="S514">
        <v>559</v>
      </c>
      <c r="T514" t="b">
        <v>0</v>
      </c>
      <c r="U514">
        <v>3</v>
      </c>
      <c r="V514">
        <v>10</v>
      </c>
      <c r="W514" t="s">
        <v>35</v>
      </c>
      <c r="X514" t="s">
        <v>29</v>
      </c>
      <c r="Y514" t="s">
        <v>2722</v>
      </c>
      <c r="Z514" t="s">
        <v>37</v>
      </c>
    </row>
    <row r="515" spans="1:26">
      <c r="A515">
        <v>1.8664940767717952E+18</v>
      </c>
      <c r="B515" t="s">
        <v>2714</v>
      </c>
      <c r="C515" t="s">
        <v>2715</v>
      </c>
      <c r="D515" t="s">
        <v>2723</v>
      </c>
      <c r="E515" t="s">
        <v>2724</v>
      </c>
      <c r="F515" t="s">
        <v>29</v>
      </c>
      <c r="G515" t="s">
        <v>2725</v>
      </c>
      <c r="H515" t="s">
        <v>2726</v>
      </c>
      <c r="I515">
        <v>12</v>
      </c>
      <c r="J515">
        <v>11</v>
      </c>
      <c r="K515">
        <v>80</v>
      </c>
      <c r="L515">
        <v>12734</v>
      </c>
      <c r="M515" t="s">
        <v>52</v>
      </c>
      <c r="N515" t="s">
        <v>29</v>
      </c>
      <c r="O515">
        <v>182895</v>
      </c>
      <c r="P515" t="s">
        <v>2720</v>
      </c>
      <c r="Q515">
        <v>30781</v>
      </c>
      <c r="R515" t="s">
        <v>2721</v>
      </c>
      <c r="S515">
        <v>559</v>
      </c>
      <c r="T515" t="b">
        <v>0</v>
      </c>
      <c r="U515">
        <v>1</v>
      </c>
      <c r="V515">
        <v>5</v>
      </c>
      <c r="W515" t="s">
        <v>35</v>
      </c>
      <c r="X515" t="s">
        <v>29</v>
      </c>
      <c r="Y515" t="s">
        <v>2727</v>
      </c>
      <c r="Z515" t="s">
        <v>37</v>
      </c>
    </row>
    <row r="516" spans="1:26">
      <c r="A516">
        <v>1.8683148243227282E+18</v>
      </c>
      <c r="B516" t="s">
        <v>2714</v>
      </c>
      <c r="C516" t="s">
        <v>2715</v>
      </c>
      <c r="D516" t="s">
        <v>2728</v>
      </c>
      <c r="E516" t="s">
        <v>2729</v>
      </c>
      <c r="F516" t="s">
        <v>29</v>
      </c>
      <c r="G516" t="s">
        <v>2730</v>
      </c>
      <c r="H516" t="s">
        <v>2731</v>
      </c>
      <c r="I516">
        <v>2</v>
      </c>
      <c r="J516">
        <v>1</v>
      </c>
      <c r="K516">
        <v>2</v>
      </c>
      <c r="L516">
        <v>4113</v>
      </c>
      <c r="M516" t="s">
        <v>52</v>
      </c>
      <c r="N516" t="s">
        <v>2732</v>
      </c>
      <c r="O516">
        <v>182895</v>
      </c>
      <c r="P516" t="s">
        <v>2720</v>
      </c>
      <c r="Q516">
        <v>30781</v>
      </c>
      <c r="R516" t="s">
        <v>2721</v>
      </c>
      <c r="S516">
        <v>559</v>
      </c>
      <c r="T516" t="b">
        <v>0</v>
      </c>
      <c r="U516">
        <v>1</v>
      </c>
      <c r="V516">
        <v>1</v>
      </c>
      <c r="W516" t="s">
        <v>35</v>
      </c>
      <c r="X516" t="s">
        <v>29</v>
      </c>
      <c r="Y516" t="s">
        <v>2733</v>
      </c>
      <c r="Z516" t="s">
        <v>37</v>
      </c>
    </row>
    <row r="517" spans="1:26">
      <c r="A517">
        <v>1.8656977788205957E+18</v>
      </c>
      <c r="B517" t="s">
        <v>2714</v>
      </c>
      <c r="C517" t="s">
        <v>2715</v>
      </c>
      <c r="D517" t="s">
        <v>2734</v>
      </c>
      <c r="E517" t="s">
        <v>2735</v>
      </c>
      <c r="F517" t="s">
        <v>29</v>
      </c>
      <c r="G517" t="s">
        <v>2736</v>
      </c>
      <c r="H517" t="s">
        <v>29</v>
      </c>
      <c r="I517">
        <v>7</v>
      </c>
      <c r="J517">
        <v>4</v>
      </c>
      <c r="K517">
        <v>98</v>
      </c>
      <c r="L517">
        <v>15170</v>
      </c>
      <c r="M517" t="s">
        <v>52</v>
      </c>
      <c r="N517" t="s">
        <v>2737</v>
      </c>
      <c r="O517">
        <v>182895</v>
      </c>
      <c r="P517" t="s">
        <v>2720</v>
      </c>
      <c r="Q517">
        <v>30781</v>
      </c>
      <c r="R517" t="s">
        <v>2721</v>
      </c>
      <c r="S517">
        <v>559</v>
      </c>
      <c r="T517" t="b">
        <v>0</v>
      </c>
      <c r="U517">
        <v>3</v>
      </c>
      <c r="V517">
        <v>7</v>
      </c>
      <c r="W517" t="s">
        <v>35</v>
      </c>
      <c r="X517" t="s">
        <v>29</v>
      </c>
      <c r="Y517" t="s">
        <v>2738</v>
      </c>
      <c r="Z517" t="s">
        <v>37</v>
      </c>
    </row>
    <row r="518" spans="1:26">
      <c r="A518">
        <v>1.8649287628336133E+18</v>
      </c>
      <c r="B518" t="s">
        <v>2714</v>
      </c>
      <c r="C518" t="s">
        <v>2715</v>
      </c>
      <c r="D518" t="s">
        <v>2739</v>
      </c>
      <c r="E518" t="s">
        <v>2740</v>
      </c>
      <c r="F518" t="s">
        <v>29</v>
      </c>
      <c r="G518" t="s">
        <v>2741</v>
      </c>
      <c r="H518" t="s">
        <v>2742</v>
      </c>
      <c r="I518">
        <v>1</v>
      </c>
      <c r="J518">
        <v>2</v>
      </c>
      <c r="K518">
        <v>32</v>
      </c>
      <c r="L518">
        <v>4778</v>
      </c>
      <c r="M518" t="s">
        <v>52</v>
      </c>
      <c r="N518" t="s">
        <v>29</v>
      </c>
      <c r="O518">
        <v>182895</v>
      </c>
      <c r="P518" t="s">
        <v>2720</v>
      </c>
      <c r="Q518">
        <v>30781</v>
      </c>
      <c r="R518" t="s">
        <v>2721</v>
      </c>
      <c r="S518">
        <v>559</v>
      </c>
      <c r="T518" t="b">
        <v>0</v>
      </c>
      <c r="U518">
        <v>1</v>
      </c>
      <c r="V518">
        <v>2</v>
      </c>
      <c r="W518" t="s">
        <v>35</v>
      </c>
      <c r="X518" t="s">
        <v>29</v>
      </c>
      <c r="Y518" t="s">
        <v>2743</v>
      </c>
      <c r="Z518" t="s">
        <v>37</v>
      </c>
    </row>
    <row r="519" spans="1:26">
      <c r="A519">
        <v>1.8659757158518582E+18</v>
      </c>
      <c r="B519" t="s">
        <v>2744</v>
      </c>
      <c r="C519" t="s">
        <v>2744</v>
      </c>
      <c r="D519" t="s">
        <v>2745</v>
      </c>
      <c r="E519" t="s">
        <v>2746</v>
      </c>
      <c r="F519" t="s">
        <v>2747</v>
      </c>
      <c r="G519" t="s">
        <v>2748</v>
      </c>
      <c r="H519" t="s">
        <v>2749</v>
      </c>
      <c r="I519">
        <v>335</v>
      </c>
      <c r="J519">
        <v>577</v>
      </c>
      <c r="K519">
        <v>5936</v>
      </c>
      <c r="L519">
        <v>384227</v>
      </c>
      <c r="M519" t="s">
        <v>52</v>
      </c>
      <c r="N519" t="s">
        <v>2750</v>
      </c>
      <c r="O519">
        <v>36981729</v>
      </c>
      <c r="P519" t="s">
        <v>2751</v>
      </c>
      <c r="Q519">
        <v>280303</v>
      </c>
      <c r="R519" t="s">
        <v>2752</v>
      </c>
      <c r="S519">
        <v>2821</v>
      </c>
      <c r="T519" t="b">
        <v>0</v>
      </c>
      <c r="U519">
        <v>73</v>
      </c>
      <c r="V519">
        <v>66</v>
      </c>
      <c r="W519" t="s">
        <v>35</v>
      </c>
      <c r="X519" t="s">
        <v>29</v>
      </c>
      <c r="Y519" t="s">
        <v>29</v>
      </c>
      <c r="Z519" t="s">
        <v>37</v>
      </c>
    </row>
    <row r="520" spans="1:26">
      <c r="A520">
        <v>1.8682949459933596E+18</v>
      </c>
      <c r="B520" t="s">
        <v>2753</v>
      </c>
      <c r="C520" t="s">
        <v>2754</v>
      </c>
      <c r="D520" t="s">
        <v>2755</v>
      </c>
      <c r="E520" t="s">
        <v>1155</v>
      </c>
      <c r="F520" t="s">
        <v>29</v>
      </c>
      <c r="G520" t="s">
        <v>2756</v>
      </c>
      <c r="H520" t="s">
        <v>2757</v>
      </c>
      <c r="I520">
        <v>53</v>
      </c>
      <c r="J520">
        <v>51</v>
      </c>
      <c r="K520">
        <v>194</v>
      </c>
      <c r="L520">
        <v>19203</v>
      </c>
      <c r="M520" t="s">
        <v>2758</v>
      </c>
      <c r="N520" t="s">
        <v>29</v>
      </c>
      <c r="O520">
        <v>6494921</v>
      </c>
      <c r="P520" t="s">
        <v>2759</v>
      </c>
      <c r="Q520">
        <v>41669</v>
      </c>
      <c r="R520" t="s">
        <v>2760</v>
      </c>
      <c r="S520">
        <v>716</v>
      </c>
      <c r="T520" t="b">
        <v>0</v>
      </c>
      <c r="U520">
        <v>3</v>
      </c>
      <c r="V520">
        <v>2</v>
      </c>
      <c r="W520" t="s">
        <v>35</v>
      </c>
      <c r="X520" t="s">
        <v>2761</v>
      </c>
      <c r="Y520" t="s">
        <v>29</v>
      </c>
      <c r="Z520" t="s">
        <v>37</v>
      </c>
    </row>
    <row r="521" spans="1:26">
      <c r="A521">
        <v>1.8675085111163415E+18</v>
      </c>
      <c r="B521" t="s">
        <v>2714</v>
      </c>
      <c r="C521" t="s">
        <v>2715</v>
      </c>
      <c r="D521" t="s">
        <v>2762</v>
      </c>
      <c r="E521" t="s">
        <v>2763</v>
      </c>
      <c r="F521" t="s">
        <v>29</v>
      </c>
      <c r="G521" t="s">
        <v>2764</v>
      </c>
      <c r="H521" t="s">
        <v>2765</v>
      </c>
      <c r="I521">
        <v>2</v>
      </c>
      <c r="J521">
        <v>4</v>
      </c>
      <c r="K521">
        <v>18</v>
      </c>
      <c r="L521">
        <v>4309</v>
      </c>
      <c r="M521" t="s">
        <v>52</v>
      </c>
      <c r="N521" t="s">
        <v>2766</v>
      </c>
      <c r="O521">
        <v>182895</v>
      </c>
      <c r="P521" t="s">
        <v>2720</v>
      </c>
      <c r="Q521">
        <v>30781</v>
      </c>
      <c r="R521" t="s">
        <v>2721</v>
      </c>
      <c r="S521">
        <v>559</v>
      </c>
      <c r="T521" t="b">
        <v>0</v>
      </c>
      <c r="U521">
        <v>2</v>
      </c>
      <c r="V521">
        <v>1</v>
      </c>
      <c r="W521" t="s">
        <v>35</v>
      </c>
      <c r="X521" t="s">
        <v>29</v>
      </c>
      <c r="Y521" t="s">
        <v>2767</v>
      </c>
      <c r="Z521" t="s">
        <v>37</v>
      </c>
    </row>
    <row r="522" spans="1:26">
      <c r="A522">
        <v>1.8668842904131996E+18</v>
      </c>
      <c r="B522" t="s">
        <v>2714</v>
      </c>
      <c r="C522" t="s">
        <v>2715</v>
      </c>
      <c r="D522" t="s">
        <v>2768</v>
      </c>
      <c r="E522" t="s">
        <v>2769</v>
      </c>
      <c r="F522" t="s">
        <v>29</v>
      </c>
      <c r="G522" t="s">
        <v>2770</v>
      </c>
      <c r="H522" t="s">
        <v>2719</v>
      </c>
      <c r="I522">
        <v>1</v>
      </c>
      <c r="J522">
        <v>1</v>
      </c>
      <c r="K522">
        <v>7</v>
      </c>
      <c r="L522">
        <v>5973</v>
      </c>
      <c r="M522" t="s">
        <v>52</v>
      </c>
      <c r="N522" t="s">
        <v>29</v>
      </c>
      <c r="O522">
        <v>182895</v>
      </c>
      <c r="P522" t="s">
        <v>2720</v>
      </c>
      <c r="Q522">
        <v>30781</v>
      </c>
      <c r="R522" t="s">
        <v>2721</v>
      </c>
      <c r="S522">
        <v>559</v>
      </c>
      <c r="T522" t="b">
        <v>0</v>
      </c>
      <c r="U522">
        <v>3</v>
      </c>
      <c r="V522">
        <v>3</v>
      </c>
      <c r="W522" t="s">
        <v>35</v>
      </c>
      <c r="X522" t="s">
        <v>29</v>
      </c>
      <c r="Y522" t="s">
        <v>2771</v>
      </c>
      <c r="Z522" t="s">
        <v>37</v>
      </c>
    </row>
    <row r="523" spans="1:26">
      <c r="A523">
        <v>1.8657499234355118E+18</v>
      </c>
      <c r="B523" t="s">
        <v>2714</v>
      </c>
      <c r="C523" t="s">
        <v>2715</v>
      </c>
      <c r="D523" t="s">
        <v>2772</v>
      </c>
      <c r="E523" t="s">
        <v>2773</v>
      </c>
      <c r="F523" t="s">
        <v>29</v>
      </c>
      <c r="G523" t="s">
        <v>2774</v>
      </c>
      <c r="H523" t="s">
        <v>2775</v>
      </c>
      <c r="I523">
        <v>2</v>
      </c>
      <c r="J523">
        <v>2</v>
      </c>
      <c r="K523">
        <v>44</v>
      </c>
      <c r="L523">
        <v>5634</v>
      </c>
      <c r="M523" t="s">
        <v>2776</v>
      </c>
      <c r="N523" t="s">
        <v>29</v>
      </c>
      <c r="O523">
        <v>182895</v>
      </c>
      <c r="P523" t="s">
        <v>2720</v>
      </c>
      <c r="Q523">
        <v>30781</v>
      </c>
      <c r="R523" t="s">
        <v>2721</v>
      </c>
      <c r="S523">
        <v>559</v>
      </c>
      <c r="T523" t="b">
        <v>0</v>
      </c>
      <c r="U523">
        <v>0</v>
      </c>
      <c r="V523">
        <v>2</v>
      </c>
      <c r="W523" t="s">
        <v>35</v>
      </c>
      <c r="X523" t="s">
        <v>29</v>
      </c>
      <c r="Y523" t="s">
        <v>2777</v>
      </c>
      <c r="Z523" t="s">
        <v>37</v>
      </c>
    </row>
    <row r="524" spans="1:26">
      <c r="A524">
        <v>1.86746815627441E+18</v>
      </c>
      <c r="B524" t="s">
        <v>2714</v>
      </c>
      <c r="C524" t="s">
        <v>2715</v>
      </c>
      <c r="D524" t="s">
        <v>2778</v>
      </c>
      <c r="E524" t="s">
        <v>2779</v>
      </c>
      <c r="F524" t="s">
        <v>29</v>
      </c>
      <c r="G524" t="s">
        <v>2780</v>
      </c>
      <c r="H524" t="s">
        <v>2781</v>
      </c>
      <c r="I524">
        <v>18</v>
      </c>
      <c r="J524">
        <v>4</v>
      </c>
      <c r="K524">
        <v>58</v>
      </c>
      <c r="L524">
        <v>8198</v>
      </c>
      <c r="M524" t="s">
        <v>52</v>
      </c>
      <c r="N524" t="s">
        <v>29</v>
      </c>
      <c r="O524">
        <v>182895</v>
      </c>
      <c r="P524" t="s">
        <v>2720</v>
      </c>
      <c r="Q524">
        <v>30781</v>
      </c>
      <c r="R524" t="s">
        <v>2721</v>
      </c>
      <c r="S524">
        <v>559</v>
      </c>
      <c r="T524" t="b">
        <v>0</v>
      </c>
      <c r="U524">
        <v>3</v>
      </c>
      <c r="V524">
        <v>5</v>
      </c>
      <c r="W524" t="s">
        <v>35</v>
      </c>
      <c r="X524" t="s">
        <v>29</v>
      </c>
      <c r="Y524" t="s">
        <v>2782</v>
      </c>
      <c r="Z524" t="s">
        <v>37</v>
      </c>
    </row>
    <row r="525" spans="1:26">
      <c r="A525">
        <v>1.8665164747324214E+18</v>
      </c>
      <c r="B525" t="s">
        <v>2714</v>
      </c>
      <c r="C525" t="s">
        <v>2715</v>
      </c>
      <c r="D525" t="s">
        <v>2783</v>
      </c>
      <c r="E525" t="s">
        <v>2784</v>
      </c>
      <c r="F525" t="s">
        <v>29</v>
      </c>
      <c r="G525" t="s">
        <v>2785</v>
      </c>
      <c r="H525" t="s">
        <v>2786</v>
      </c>
      <c r="I525">
        <v>0</v>
      </c>
      <c r="J525">
        <v>1</v>
      </c>
      <c r="K525">
        <v>23</v>
      </c>
      <c r="L525">
        <v>4642</v>
      </c>
      <c r="M525" t="s">
        <v>52</v>
      </c>
      <c r="N525" t="s">
        <v>2787</v>
      </c>
      <c r="O525">
        <v>182895</v>
      </c>
      <c r="P525" t="s">
        <v>2720</v>
      </c>
      <c r="Q525">
        <v>30781</v>
      </c>
      <c r="R525" t="s">
        <v>2721</v>
      </c>
      <c r="S525">
        <v>559</v>
      </c>
      <c r="T525" t="b">
        <v>0</v>
      </c>
      <c r="U525">
        <v>2</v>
      </c>
      <c r="V525">
        <v>1</v>
      </c>
      <c r="W525" t="s">
        <v>35</v>
      </c>
      <c r="X525" t="s">
        <v>29</v>
      </c>
      <c r="Y525" t="s">
        <v>2788</v>
      </c>
      <c r="Z525" t="s">
        <v>37</v>
      </c>
    </row>
    <row r="526" spans="1:26">
      <c r="A526">
        <v>1.866386184286462E+18</v>
      </c>
      <c r="B526" t="s">
        <v>2714</v>
      </c>
      <c r="C526" t="s">
        <v>2715</v>
      </c>
      <c r="D526" t="s">
        <v>2789</v>
      </c>
      <c r="E526" t="s">
        <v>2790</v>
      </c>
      <c r="F526" t="s">
        <v>29</v>
      </c>
      <c r="G526" t="s">
        <v>2791</v>
      </c>
      <c r="H526" t="s">
        <v>2792</v>
      </c>
      <c r="I526">
        <v>1</v>
      </c>
      <c r="J526">
        <v>5</v>
      </c>
      <c r="K526">
        <v>81</v>
      </c>
      <c r="L526">
        <v>13804</v>
      </c>
      <c r="M526" t="s">
        <v>52</v>
      </c>
      <c r="N526" t="s">
        <v>2793</v>
      </c>
      <c r="O526">
        <v>182895</v>
      </c>
      <c r="P526" t="s">
        <v>2720</v>
      </c>
      <c r="Q526">
        <v>30781</v>
      </c>
      <c r="R526" t="s">
        <v>2721</v>
      </c>
      <c r="S526">
        <v>559</v>
      </c>
      <c r="T526" t="b">
        <v>0</v>
      </c>
      <c r="U526">
        <v>1</v>
      </c>
      <c r="V526">
        <v>7</v>
      </c>
      <c r="W526" t="s">
        <v>35</v>
      </c>
      <c r="X526" t="s">
        <v>29</v>
      </c>
      <c r="Y526" t="s">
        <v>2794</v>
      </c>
      <c r="Z526" t="s">
        <v>37</v>
      </c>
    </row>
    <row r="527" spans="1:26">
      <c r="A527">
        <v>1.8659771401785713E+18</v>
      </c>
      <c r="B527" t="s">
        <v>266</v>
      </c>
      <c r="C527" t="s">
        <v>266</v>
      </c>
      <c r="D527" t="s">
        <v>2795</v>
      </c>
      <c r="E527" t="s">
        <v>2796</v>
      </c>
      <c r="F527" t="s">
        <v>2797</v>
      </c>
      <c r="G527" t="s">
        <v>2798</v>
      </c>
      <c r="H527" t="s">
        <v>2799</v>
      </c>
      <c r="I527">
        <v>25</v>
      </c>
      <c r="J527">
        <v>63</v>
      </c>
      <c r="K527">
        <v>414</v>
      </c>
      <c r="L527">
        <v>151662</v>
      </c>
      <c r="M527" t="s">
        <v>52</v>
      </c>
      <c r="N527" t="s">
        <v>29</v>
      </c>
      <c r="O527">
        <v>47706412</v>
      </c>
      <c r="P527" t="s">
        <v>272</v>
      </c>
      <c r="Q527">
        <v>367139</v>
      </c>
      <c r="R527" t="s">
        <v>273</v>
      </c>
      <c r="S527">
        <v>2012</v>
      </c>
      <c r="T527" t="b">
        <v>0</v>
      </c>
      <c r="U527">
        <v>9</v>
      </c>
      <c r="V527">
        <v>9</v>
      </c>
      <c r="W527" t="s">
        <v>2800</v>
      </c>
      <c r="X527" t="s">
        <v>29</v>
      </c>
      <c r="Y527" t="s">
        <v>29</v>
      </c>
      <c r="Z527" t="s">
        <v>37</v>
      </c>
    </row>
    <row r="528" spans="1:26">
      <c r="A528">
        <v>1.8683402461502879E+18</v>
      </c>
      <c r="B528" t="s">
        <v>2801</v>
      </c>
      <c r="C528" t="s">
        <v>2802</v>
      </c>
      <c r="D528" t="s">
        <v>2803</v>
      </c>
      <c r="E528" t="s">
        <v>1050</v>
      </c>
      <c r="F528" t="s">
        <v>29</v>
      </c>
      <c r="G528" t="s">
        <v>2804</v>
      </c>
      <c r="H528" t="s">
        <v>2805</v>
      </c>
      <c r="I528">
        <v>84</v>
      </c>
      <c r="J528">
        <v>48</v>
      </c>
      <c r="K528">
        <v>121</v>
      </c>
      <c r="L528">
        <v>15774</v>
      </c>
      <c r="M528" t="s">
        <v>52</v>
      </c>
      <c r="N528" t="s">
        <v>29</v>
      </c>
      <c r="O528">
        <v>6379301</v>
      </c>
      <c r="P528" t="s">
        <v>2806</v>
      </c>
      <c r="Q528">
        <v>83466</v>
      </c>
      <c r="R528" t="s">
        <v>2807</v>
      </c>
      <c r="S528">
        <v>354</v>
      </c>
      <c r="T528" t="b">
        <v>0</v>
      </c>
      <c r="U528">
        <v>6</v>
      </c>
      <c r="V528">
        <v>6</v>
      </c>
      <c r="W528" t="s">
        <v>35</v>
      </c>
      <c r="X528" t="s">
        <v>29</v>
      </c>
      <c r="Y528" t="s">
        <v>2808</v>
      </c>
      <c r="Z528" t="s">
        <v>37</v>
      </c>
    </row>
    <row r="529" spans="1:26">
      <c r="A529">
        <v>1.8682206734719473E+18</v>
      </c>
      <c r="B529" t="s">
        <v>2714</v>
      </c>
      <c r="C529" t="s">
        <v>2715</v>
      </c>
      <c r="D529" t="s">
        <v>2809</v>
      </c>
      <c r="E529" t="s">
        <v>2810</v>
      </c>
      <c r="F529" t="s">
        <v>29</v>
      </c>
      <c r="G529" t="s">
        <v>2811</v>
      </c>
      <c r="H529" t="s">
        <v>2812</v>
      </c>
      <c r="I529">
        <v>1</v>
      </c>
      <c r="J529">
        <v>5</v>
      </c>
      <c r="K529">
        <v>74</v>
      </c>
      <c r="L529">
        <v>4537</v>
      </c>
      <c r="M529" t="s">
        <v>52</v>
      </c>
      <c r="N529" t="s">
        <v>29</v>
      </c>
      <c r="O529">
        <v>182895</v>
      </c>
      <c r="P529" t="s">
        <v>2720</v>
      </c>
      <c r="Q529">
        <v>30781</v>
      </c>
      <c r="R529" t="s">
        <v>2721</v>
      </c>
      <c r="S529">
        <v>559</v>
      </c>
      <c r="T529" t="b">
        <v>0</v>
      </c>
      <c r="U529">
        <v>1</v>
      </c>
      <c r="V529">
        <v>3</v>
      </c>
      <c r="W529" t="s">
        <v>35</v>
      </c>
      <c r="X529" t="s">
        <v>29</v>
      </c>
      <c r="Y529" t="s">
        <v>2813</v>
      </c>
      <c r="Z529" t="s">
        <v>37</v>
      </c>
    </row>
    <row r="530" spans="1:26">
      <c r="A530">
        <v>1.8667465482492969E+18</v>
      </c>
      <c r="B530" t="s">
        <v>2714</v>
      </c>
      <c r="C530" t="s">
        <v>2715</v>
      </c>
      <c r="D530" t="s">
        <v>2814</v>
      </c>
      <c r="E530" t="s">
        <v>2815</v>
      </c>
      <c r="F530" t="s">
        <v>29</v>
      </c>
      <c r="G530" t="s">
        <v>2816</v>
      </c>
      <c r="H530" t="s">
        <v>29</v>
      </c>
      <c r="I530">
        <v>3</v>
      </c>
      <c r="J530">
        <v>2</v>
      </c>
      <c r="K530">
        <v>47</v>
      </c>
      <c r="L530">
        <v>6195</v>
      </c>
      <c r="M530" t="s">
        <v>52</v>
      </c>
      <c r="N530" t="s">
        <v>2817</v>
      </c>
      <c r="O530">
        <v>182895</v>
      </c>
      <c r="P530" t="s">
        <v>2720</v>
      </c>
      <c r="Q530">
        <v>30781</v>
      </c>
      <c r="R530" t="s">
        <v>2721</v>
      </c>
      <c r="S530">
        <v>559</v>
      </c>
      <c r="T530" t="b">
        <v>0</v>
      </c>
      <c r="U530">
        <v>1</v>
      </c>
      <c r="V530">
        <v>13</v>
      </c>
      <c r="W530" t="s">
        <v>35</v>
      </c>
      <c r="X530" t="s">
        <v>29</v>
      </c>
      <c r="Y530" t="s">
        <v>2818</v>
      </c>
      <c r="Z530" t="s">
        <v>37</v>
      </c>
    </row>
    <row r="531" spans="1:26">
      <c r="A531">
        <v>1.8657614062319621E+18</v>
      </c>
      <c r="B531" t="s">
        <v>2714</v>
      </c>
      <c r="C531" t="s">
        <v>2715</v>
      </c>
      <c r="D531" t="s">
        <v>2819</v>
      </c>
      <c r="E531" t="s">
        <v>2820</v>
      </c>
      <c r="F531" t="s">
        <v>29</v>
      </c>
      <c r="G531" t="s">
        <v>2821</v>
      </c>
      <c r="H531" t="s">
        <v>29</v>
      </c>
      <c r="I531">
        <v>13</v>
      </c>
      <c r="J531">
        <v>41</v>
      </c>
      <c r="K531">
        <v>946</v>
      </c>
      <c r="L531">
        <v>48707</v>
      </c>
      <c r="M531" t="s">
        <v>52</v>
      </c>
      <c r="N531" t="s">
        <v>2822</v>
      </c>
      <c r="O531">
        <v>182895</v>
      </c>
      <c r="P531" t="s">
        <v>2720</v>
      </c>
      <c r="Q531">
        <v>30781</v>
      </c>
      <c r="R531" t="s">
        <v>2721</v>
      </c>
      <c r="S531">
        <v>559</v>
      </c>
      <c r="T531" t="b">
        <v>0</v>
      </c>
      <c r="U531">
        <v>11</v>
      </c>
      <c r="V531">
        <v>44</v>
      </c>
      <c r="W531" t="s">
        <v>35</v>
      </c>
      <c r="X531" t="s">
        <v>29</v>
      </c>
      <c r="Y531" t="s">
        <v>2823</v>
      </c>
      <c r="Z531" t="s">
        <v>37</v>
      </c>
    </row>
    <row r="532" spans="1:26">
      <c r="A532">
        <v>1.868497483019764E+18</v>
      </c>
      <c r="B532" t="s">
        <v>2824</v>
      </c>
      <c r="C532" t="s">
        <v>2825</v>
      </c>
      <c r="D532" t="s">
        <v>2826</v>
      </c>
      <c r="E532" t="s">
        <v>2827</v>
      </c>
      <c r="F532" t="s">
        <v>2828</v>
      </c>
      <c r="G532" t="s">
        <v>2829</v>
      </c>
      <c r="H532" t="s">
        <v>29</v>
      </c>
      <c r="I532">
        <v>3</v>
      </c>
      <c r="J532">
        <v>3</v>
      </c>
      <c r="K532">
        <v>6</v>
      </c>
      <c r="L532">
        <v>1866</v>
      </c>
      <c r="M532" t="s">
        <v>52</v>
      </c>
      <c r="N532" t="s">
        <v>29</v>
      </c>
      <c r="O532">
        <v>19982</v>
      </c>
      <c r="P532" t="s">
        <v>2830</v>
      </c>
      <c r="Q532">
        <v>6435</v>
      </c>
      <c r="R532" t="s">
        <v>2831</v>
      </c>
      <c r="S532">
        <v>416</v>
      </c>
      <c r="T532" t="b">
        <v>0</v>
      </c>
      <c r="U532">
        <v>1</v>
      </c>
      <c r="V532">
        <v>6</v>
      </c>
      <c r="W532" t="s">
        <v>35</v>
      </c>
      <c r="X532" t="s">
        <v>29</v>
      </c>
      <c r="Y532" t="s">
        <v>2832</v>
      </c>
      <c r="Z532" t="s">
        <v>2833</v>
      </c>
    </row>
    <row r="533" spans="1:26">
      <c r="A533">
        <v>1.8659782030196616E+18</v>
      </c>
      <c r="B533" t="s">
        <v>2834</v>
      </c>
      <c r="C533" t="s">
        <v>2835</v>
      </c>
      <c r="D533" t="s">
        <v>2836</v>
      </c>
      <c r="E533" t="s">
        <v>2837</v>
      </c>
      <c r="F533" t="s">
        <v>2838</v>
      </c>
      <c r="G533" t="s">
        <v>2839</v>
      </c>
      <c r="H533" t="s">
        <v>29</v>
      </c>
      <c r="I533">
        <v>37</v>
      </c>
      <c r="J533">
        <v>24</v>
      </c>
      <c r="K533">
        <v>172</v>
      </c>
      <c r="L533">
        <v>27472</v>
      </c>
      <c r="M533" t="s">
        <v>52</v>
      </c>
      <c r="N533" t="s">
        <v>2840</v>
      </c>
      <c r="O533">
        <v>186451</v>
      </c>
      <c r="P533" t="s">
        <v>2841</v>
      </c>
      <c r="Q533">
        <v>20250</v>
      </c>
      <c r="R533" t="s">
        <v>2842</v>
      </c>
      <c r="S533">
        <v>62</v>
      </c>
      <c r="T533" t="b">
        <v>0</v>
      </c>
      <c r="U533">
        <v>7</v>
      </c>
      <c r="V533">
        <v>2</v>
      </c>
      <c r="W533" t="s">
        <v>35</v>
      </c>
      <c r="X533" t="s">
        <v>29</v>
      </c>
      <c r="Y533" t="s">
        <v>29</v>
      </c>
      <c r="Z533" t="s">
        <v>37</v>
      </c>
    </row>
    <row r="534" spans="1:26">
      <c r="A534">
        <v>1.8684006457046636E+18</v>
      </c>
      <c r="B534" t="s">
        <v>2801</v>
      </c>
      <c r="C534" t="s">
        <v>2802</v>
      </c>
      <c r="D534" t="s">
        <v>2843</v>
      </c>
      <c r="E534" t="s">
        <v>2067</v>
      </c>
      <c r="F534" t="s">
        <v>29</v>
      </c>
      <c r="G534" t="s">
        <v>2844</v>
      </c>
      <c r="H534" t="s">
        <v>29</v>
      </c>
      <c r="I534">
        <v>99</v>
      </c>
      <c r="J534">
        <v>43</v>
      </c>
      <c r="K534">
        <v>120</v>
      </c>
      <c r="L534">
        <v>21904</v>
      </c>
      <c r="M534" t="s">
        <v>2845</v>
      </c>
      <c r="N534" t="s">
        <v>29</v>
      </c>
      <c r="O534">
        <v>6379301</v>
      </c>
      <c r="P534" t="s">
        <v>2806</v>
      </c>
      <c r="Q534">
        <v>83466</v>
      </c>
      <c r="R534" t="s">
        <v>2807</v>
      </c>
      <c r="S534">
        <v>354</v>
      </c>
      <c r="T534" t="b">
        <v>0</v>
      </c>
      <c r="U534">
        <v>15</v>
      </c>
      <c r="V534">
        <v>10</v>
      </c>
      <c r="W534" t="s">
        <v>35</v>
      </c>
      <c r="X534" t="s">
        <v>2846</v>
      </c>
      <c r="Y534" t="s">
        <v>29</v>
      </c>
      <c r="Z534" t="s">
        <v>37</v>
      </c>
    </row>
    <row r="535" spans="1:26">
      <c r="A535">
        <v>1.8682979630277673E+18</v>
      </c>
      <c r="B535" t="s">
        <v>2714</v>
      </c>
      <c r="C535" t="s">
        <v>2715</v>
      </c>
      <c r="D535" t="s">
        <v>2847</v>
      </c>
      <c r="E535" t="s">
        <v>2848</v>
      </c>
      <c r="F535" t="s">
        <v>2849</v>
      </c>
      <c r="G535" t="s">
        <v>2850</v>
      </c>
      <c r="H535" t="s">
        <v>29</v>
      </c>
      <c r="I535">
        <v>1</v>
      </c>
      <c r="J535">
        <v>5</v>
      </c>
      <c r="K535">
        <v>58</v>
      </c>
      <c r="L535">
        <v>4277</v>
      </c>
      <c r="M535" t="s">
        <v>52</v>
      </c>
      <c r="N535" t="s">
        <v>2851</v>
      </c>
      <c r="O535">
        <v>182895</v>
      </c>
      <c r="P535" t="s">
        <v>2720</v>
      </c>
      <c r="Q535">
        <v>30781</v>
      </c>
      <c r="R535" t="s">
        <v>2721</v>
      </c>
      <c r="S535">
        <v>559</v>
      </c>
      <c r="T535" t="b">
        <v>0</v>
      </c>
      <c r="U535">
        <v>1</v>
      </c>
      <c r="V535">
        <v>3</v>
      </c>
      <c r="W535" t="s">
        <v>35</v>
      </c>
      <c r="X535" t="s">
        <v>29</v>
      </c>
      <c r="Y535" t="s">
        <v>29</v>
      </c>
      <c r="Z535" t="s">
        <v>37</v>
      </c>
    </row>
    <row r="536" spans="1:26">
      <c r="A536">
        <v>1.8658173677182856E+18</v>
      </c>
      <c r="B536" t="s">
        <v>2714</v>
      </c>
      <c r="C536" t="s">
        <v>2715</v>
      </c>
      <c r="D536" t="s">
        <v>2852</v>
      </c>
      <c r="E536" t="s">
        <v>2853</v>
      </c>
      <c r="F536" t="s">
        <v>29</v>
      </c>
      <c r="G536" t="s">
        <v>2854</v>
      </c>
      <c r="H536" t="s">
        <v>2855</v>
      </c>
      <c r="I536">
        <v>2</v>
      </c>
      <c r="J536">
        <v>3</v>
      </c>
      <c r="K536">
        <v>12</v>
      </c>
      <c r="L536">
        <v>5392</v>
      </c>
      <c r="M536" t="s">
        <v>52</v>
      </c>
      <c r="N536" t="s">
        <v>29</v>
      </c>
      <c r="O536">
        <v>182895</v>
      </c>
      <c r="P536" t="s">
        <v>2720</v>
      </c>
      <c r="Q536">
        <v>30781</v>
      </c>
      <c r="R536" t="s">
        <v>2721</v>
      </c>
      <c r="S536">
        <v>559</v>
      </c>
      <c r="T536" t="b">
        <v>0</v>
      </c>
      <c r="U536">
        <v>1</v>
      </c>
      <c r="V536">
        <v>2</v>
      </c>
      <c r="W536" t="s">
        <v>35</v>
      </c>
      <c r="X536" t="s">
        <v>29</v>
      </c>
      <c r="Y536" t="s">
        <v>2856</v>
      </c>
      <c r="Z536" t="s">
        <v>37</v>
      </c>
    </row>
    <row r="537" spans="1:26">
      <c r="A537">
        <v>1.865774083557749E+18</v>
      </c>
      <c r="B537" t="s">
        <v>2714</v>
      </c>
      <c r="C537" t="s">
        <v>2715</v>
      </c>
      <c r="D537" t="s">
        <v>2857</v>
      </c>
      <c r="E537" t="s">
        <v>2858</v>
      </c>
      <c r="F537" t="s">
        <v>29</v>
      </c>
      <c r="G537" t="s">
        <v>2859</v>
      </c>
      <c r="H537" t="s">
        <v>29</v>
      </c>
      <c r="I537">
        <v>7</v>
      </c>
      <c r="J537">
        <v>11</v>
      </c>
      <c r="K537">
        <v>89</v>
      </c>
      <c r="L537">
        <v>65202</v>
      </c>
      <c r="M537" t="s">
        <v>52</v>
      </c>
      <c r="N537" t="s">
        <v>2860</v>
      </c>
      <c r="O537">
        <v>182895</v>
      </c>
      <c r="P537" t="s">
        <v>2720</v>
      </c>
      <c r="Q537">
        <v>30781</v>
      </c>
      <c r="R537" t="s">
        <v>2721</v>
      </c>
      <c r="S537">
        <v>559</v>
      </c>
      <c r="T537" t="b">
        <v>0</v>
      </c>
      <c r="U537">
        <v>10</v>
      </c>
      <c r="V537">
        <v>21</v>
      </c>
      <c r="W537" t="s">
        <v>35</v>
      </c>
      <c r="X537" t="s">
        <v>29</v>
      </c>
      <c r="Y537" t="s">
        <v>2861</v>
      </c>
      <c r="Z537" t="s">
        <v>37</v>
      </c>
    </row>
    <row r="538" spans="1:26">
      <c r="A538">
        <v>1.8654008736624973E+18</v>
      </c>
      <c r="B538" t="s">
        <v>2714</v>
      </c>
      <c r="C538" t="s">
        <v>2715</v>
      </c>
      <c r="D538" t="s">
        <v>2862</v>
      </c>
      <c r="E538" t="s">
        <v>2863</v>
      </c>
      <c r="F538" t="s">
        <v>29</v>
      </c>
      <c r="G538" t="s">
        <v>2864</v>
      </c>
      <c r="H538" t="s">
        <v>2865</v>
      </c>
      <c r="I538">
        <v>3</v>
      </c>
      <c r="J538">
        <v>1</v>
      </c>
      <c r="K538">
        <v>15</v>
      </c>
      <c r="L538">
        <v>4689</v>
      </c>
      <c r="M538" t="s">
        <v>52</v>
      </c>
      <c r="N538" t="s">
        <v>2866</v>
      </c>
      <c r="O538">
        <v>182895</v>
      </c>
      <c r="P538" t="s">
        <v>2720</v>
      </c>
      <c r="Q538">
        <v>30781</v>
      </c>
      <c r="R538" t="s">
        <v>2721</v>
      </c>
      <c r="S538">
        <v>559</v>
      </c>
      <c r="T538" t="b">
        <v>0</v>
      </c>
      <c r="U538">
        <v>1</v>
      </c>
      <c r="V538">
        <v>2</v>
      </c>
      <c r="W538" t="s">
        <v>35</v>
      </c>
      <c r="X538" t="s">
        <v>29</v>
      </c>
      <c r="Y538" t="s">
        <v>2867</v>
      </c>
      <c r="Z538" t="s">
        <v>37</v>
      </c>
    </row>
    <row r="539" spans="1:26">
      <c r="A539">
        <v>1.8653414819319073E+18</v>
      </c>
      <c r="B539" t="s">
        <v>2714</v>
      </c>
      <c r="C539" t="s">
        <v>2715</v>
      </c>
      <c r="D539" t="s">
        <v>2868</v>
      </c>
      <c r="E539" t="s">
        <v>2869</v>
      </c>
      <c r="F539" t="s">
        <v>29</v>
      </c>
      <c r="G539" t="s">
        <v>2870</v>
      </c>
      <c r="H539" t="s">
        <v>2719</v>
      </c>
      <c r="I539">
        <v>6</v>
      </c>
      <c r="J539">
        <v>18</v>
      </c>
      <c r="K539">
        <v>118</v>
      </c>
      <c r="L539">
        <v>10940</v>
      </c>
      <c r="M539" t="s">
        <v>52</v>
      </c>
      <c r="N539" t="s">
        <v>29</v>
      </c>
      <c r="O539">
        <v>182895</v>
      </c>
      <c r="P539" t="s">
        <v>2720</v>
      </c>
      <c r="Q539">
        <v>30781</v>
      </c>
      <c r="R539" t="s">
        <v>2721</v>
      </c>
      <c r="S539">
        <v>559</v>
      </c>
      <c r="T539" t="b">
        <v>0</v>
      </c>
      <c r="U539">
        <v>2</v>
      </c>
      <c r="V539">
        <v>3</v>
      </c>
      <c r="W539" t="s">
        <v>35</v>
      </c>
      <c r="X539" t="s">
        <v>29</v>
      </c>
      <c r="Y539" t="s">
        <v>2871</v>
      </c>
      <c r="Z539" t="s">
        <v>37</v>
      </c>
    </row>
    <row r="540" spans="1:26">
      <c r="A540">
        <v>1.8682497052741102E+18</v>
      </c>
      <c r="B540" t="s">
        <v>2872</v>
      </c>
      <c r="C540" t="s">
        <v>2873</v>
      </c>
      <c r="D540" t="s">
        <v>2874</v>
      </c>
      <c r="E540" t="s">
        <v>2875</v>
      </c>
      <c r="F540" t="s">
        <v>2876</v>
      </c>
      <c r="G540" t="s">
        <v>2877</v>
      </c>
      <c r="H540" t="s">
        <v>29</v>
      </c>
      <c r="I540">
        <v>10</v>
      </c>
      <c r="J540">
        <v>41</v>
      </c>
      <c r="K540">
        <v>188</v>
      </c>
      <c r="L540">
        <v>4441</v>
      </c>
      <c r="M540" t="s">
        <v>52</v>
      </c>
      <c r="N540" t="s">
        <v>2878</v>
      </c>
      <c r="O540">
        <v>200100</v>
      </c>
      <c r="P540" t="s">
        <v>2879</v>
      </c>
      <c r="Q540">
        <v>6797</v>
      </c>
      <c r="R540" t="s">
        <v>2880</v>
      </c>
      <c r="S540">
        <v>126</v>
      </c>
      <c r="T540" t="b">
        <v>0</v>
      </c>
      <c r="U540">
        <v>3</v>
      </c>
      <c r="V540">
        <v>7</v>
      </c>
      <c r="W540" t="s">
        <v>35</v>
      </c>
      <c r="X540" t="s">
        <v>29</v>
      </c>
      <c r="Y540" t="s">
        <v>29</v>
      </c>
      <c r="Z540" t="s">
        <v>37</v>
      </c>
    </row>
    <row r="541" spans="1:26">
      <c r="A541">
        <v>1.865975830012404E+18</v>
      </c>
      <c r="B541" t="s">
        <v>2744</v>
      </c>
      <c r="C541" t="s">
        <v>2744</v>
      </c>
      <c r="D541" t="s">
        <v>2881</v>
      </c>
      <c r="E541" t="s">
        <v>2882</v>
      </c>
      <c r="F541" t="s">
        <v>2883</v>
      </c>
      <c r="G541" t="s">
        <v>2884</v>
      </c>
      <c r="H541" t="s">
        <v>2749</v>
      </c>
      <c r="I541">
        <v>220</v>
      </c>
      <c r="J541">
        <v>1642</v>
      </c>
      <c r="K541">
        <v>11156</v>
      </c>
      <c r="L541">
        <v>391634</v>
      </c>
      <c r="M541" t="s">
        <v>52</v>
      </c>
      <c r="N541" t="s">
        <v>29</v>
      </c>
      <c r="O541">
        <v>36981731</v>
      </c>
      <c r="P541" t="s">
        <v>2751</v>
      </c>
      <c r="Q541">
        <v>280303</v>
      </c>
      <c r="R541" t="s">
        <v>2752</v>
      </c>
      <c r="S541">
        <v>2821</v>
      </c>
      <c r="T541" t="b">
        <v>0</v>
      </c>
      <c r="U541">
        <v>115</v>
      </c>
      <c r="V541">
        <v>180</v>
      </c>
      <c r="W541" t="s">
        <v>35</v>
      </c>
      <c r="X541" t="s">
        <v>29</v>
      </c>
      <c r="Y541" t="s">
        <v>29</v>
      </c>
      <c r="Z541" t="s">
        <v>37</v>
      </c>
    </row>
    <row r="542" spans="1:26">
      <c r="A542">
        <v>1.8675422843693757E+18</v>
      </c>
      <c r="B542" t="s">
        <v>2714</v>
      </c>
      <c r="C542" t="s">
        <v>2715</v>
      </c>
      <c r="D542" t="s">
        <v>2885</v>
      </c>
      <c r="E542" t="s">
        <v>2886</v>
      </c>
      <c r="F542" t="s">
        <v>2887</v>
      </c>
      <c r="G542" t="s">
        <v>2888</v>
      </c>
      <c r="H542" t="s">
        <v>2889</v>
      </c>
      <c r="I542">
        <v>7</v>
      </c>
      <c r="J542">
        <v>4</v>
      </c>
      <c r="K542">
        <v>33</v>
      </c>
      <c r="L542">
        <v>4534</v>
      </c>
      <c r="M542" t="s">
        <v>52</v>
      </c>
      <c r="N542" t="s">
        <v>29</v>
      </c>
      <c r="O542">
        <v>182895</v>
      </c>
      <c r="P542" t="s">
        <v>2720</v>
      </c>
      <c r="Q542">
        <v>30781</v>
      </c>
      <c r="R542" t="s">
        <v>2721</v>
      </c>
      <c r="S542">
        <v>559</v>
      </c>
      <c r="T542" t="b">
        <v>0</v>
      </c>
      <c r="U542">
        <v>3</v>
      </c>
      <c r="V542">
        <v>1</v>
      </c>
      <c r="W542" t="s">
        <v>35</v>
      </c>
      <c r="X542" t="s">
        <v>29</v>
      </c>
      <c r="Y542" t="s">
        <v>29</v>
      </c>
      <c r="Z542" t="s">
        <v>37</v>
      </c>
    </row>
    <row r="543" spans="1:26">
      <c r="A543">
        <v>1.8682756512637747E+18</v>
      </c>
      <c r="B543" t="s">
        <v>2714</v>
      </c>
      <c r="C543" t="s">
        <v>2715</v>
      </c>
      <c r="D543" t="s">
        <v>2890</v>
      </c>
      <c r="E543" t="s">
        <v>2891</v>
      </c>
      <c r="F543" t="s">
        <v>29</v>
      </c>
      <c r="G543" t="s">
        <v>2892</v>
      </c>
      <c r="H543" t="s">
        <v>2865</v>
      </c>
      <c r="I543">
        <v>13</v>
      </c>
      <c r="J543">
        <v>3</v>
      </c>
      <c r="K543">
        <v>11</v>
      </c>
      <c r="L543">
        <v>13200</v>
      </c>
      <c r="M543" t="s">
        <v>52</v>
      </c>
      <c r="N543" t="s">
        <v>2893</v>
      </c>
      <c r="O543">
        <v>182895</v>
      </c>
      <c r="P543" t="s">
        <v>2720</v>
      </c>
      <c r="Q543">
        <v>30781</v>
      </c>
      <c r="R543" t="s">
        <v>2721</v>
      </c>
      <c r="S543">
        <v>559</v>
      </c>
      <c r="T543" t="b">
        <v>0</v>
      </c>
      <c r="U543">
        <v>2</v>
      </c>
      <c r="V543">
        <v>1</v>
      </c>
      <c r="W543" t="s">
        <v>35</v>
      </c>
      <c r="X543" t="s">
        <v>29</v>
      </c>
      <c r="Y543" t="s">
        <v>2894</v>
      </c>
      <c r="Z543" t="s">
        <v>37</v>
      </c>
    </row>
    <row r="544" spans="1:26">
      <c r="A544">
        <v>1.8668391862815419E+18</v>
      </c>
      <c r="B544" t="s">
        <v>2714</v>
      </c>
      <c r="C544" t="s">
        <v>2715</v>
      </c>
      <c r="D544" t="s">
        <v>2895</v>
      </c>
      <c r="E544" t="s">
        <v>2896</v>
      </c>
      <c r="F544" t="s">
        <v>2897</v>
      </c>
      <c r="G544" t="s">
        <v>2898</v>
      </c>
      <c r="H544" t="s">
        <v>29</v>
      </c>
      <c r="I544">
        <v>10</v>
      </c>
      <c r="J544">
        <v>4</v>
      </c>
      <c r="K544">
        <v>152</v>
      </c>
      <c r="L544">
        <v>9987</v>
      </c>
      <c r="M544" t="s">
        <v>2899</v>
      </c>
      <c r="N544" t="s">
        <v>29</v>
      </c>
      <c r="O544">
        <v>182895</v>
      </c>
      <c r="P544" t="s">
        <v>2720</v>
      </c>
      <c r="Q544">
        <v>30781</v>
      </c>
      <c r="R544" t="s">
        <v>2721</v>
      </c>
      <c r="S544">
        <v>559</v>
      </c>
      <c r="T544" t="b">
        <v>0</v>
      </c>
      <c r="U544">
        <v>4</v>
      </c>
      <c r="V544">
        <v>5</v>
      </c>
      <c r="W544" t="s">
        <v>35</v>
      </c>
      <c r="X544" t="s">
        <v>29</v>
      </c>
      <c r="Y544" t="s">
        <v>29</v>
      </c>
      <c r="Z544" t="s">
        <v>37</v>
      </c>
    </row>
    <row r="545" spans="1:26">
      <c r="A545">
        <v>1.8660867356852308E+18</v>
      </c>
      <c r="B545" t="s">
        <v>2714</v>
      </c>
      <c r="C545" t="s">
        <v>2715</v>
      </c>
      <c r="D545" t="s">
        <v>2900</v>
      </c>
      <c r="E545" t="s">
        <v>2901</v>
      </c>
      <c r="F545" t="s">
        <v>29</v>
      </c>
      <c r="G545" t="s">
        <v>2902</v>
      </c>
      <c r="H545" t="s">
        <v>2903</v>
      </c>
      <c r="I545">
        <v>3</v>
      </c>
      <c r="J545">
        <v>1</v>
      </c>
      <c r="K545">
        <v>21</v>
      </c>
      <c r="L545">
        <v>3323</v>
      </c>
      <c r="M545" t="s">
        <v>52</v>
      </c>
      <c r="N545" t="s">
        <v>2860</v>
      </c>
      <c r="O545">
        <v>182895</v>
      </c>
      <c r="P545" t="s">
        <v>2720</v>
      </c>
      <c r="Q545">
        <v>30781</v>
      </c>
      <c r="R545" t="s">
        <v>2721</v>
      </c>
      <c r="S545">
        <v>559</v>
      </c>
      <c r="T545" t="b">
        <v>0</v>
      </c>
      <c r="U545">
        <v>3</v>
      </c>
      <c r="V545">
        <v>1</v>
      </c>
      <c r="W545" t="s">
        <v>35</v>
      </c>
      <c r="X545" t="s">
        <v>29</v>
      </c>
      <c r="Y545" t="s">
        <v>2904</v>
      </c>
      <c r="Z545" t="s">
        <v>37</v>
      </c>
    </row>
    <row r="546" spans="1:26">
      <c r="A546">
        <v>1.8659888461998984E+18</v>
      </c>
      <c r="B546" t="s">
        <v>266</v>
      </c>
      <c r="C546" t="s">
        <v>266</v>
      </c>
      <c r="D546" t="s">
        <v>2905</v>
      </c>
      <c r="E546" t="s">
        <v>2906</v>
      </c>
      <c r="F546" t="s">
        <v>2907</v>
      </c>
      <c r="G546" t="s">
        <v>2908</v>
      </c>
      <c r="H546" t="s">
        <v>2909</v>
      </c>
      <c r="I546">
        <v>35</v>
      </c>
      <c r="J546">
        <v>81</v>
      </c>
      <c r="K546">
        <v>505</v>
      </c>
      <c r="L546">
        <v>76822</v>
      </c>
      <c r="M546" t="s">
        <v>52</v>
      </c>
      <c r="N546" t="s">
        <v>29</v>
      </c>
      <c r="O546">
        <v>47706993</v>
      </c>
      <c r="P546" t="s">
        <v>272</v>
      </c>
      <c r="Q546">
        <v>367154</v>
      </c>
      <c r="R546" t="s">
        <v>273</v>
      </c>
      <c r="S546">
        <v>2012</v>
      </c>
      <c r="T546" t="b">
        <v>0</v>
      </c>
      <c r="U546">
        <v>5</v>
      </c>
      <c r="V546">
        <v>10</v>
      </c>
      <c r="W546" t="s">
        <v>2910</v>
      </c>
      <c r="X546" t="s">
        <v>29</v>
      </c>
      <c r="Y546" t="s">
        <v>29</v>
      </c>
      <c r="Z546" t="s">
        <v>37</v>
      </c>
    </row>
    <row r="547" spans="1:26">
      <c r="A547">
        <v>1.8683545857120671E+18</v>
      </c>
      <c r="B547" t="s">
        <v>2714</v>
      </c>
      <c r="C547" t="s">
        <v>2715</v>
      </c>
      <c r="D547" t="s">
        <v>2911</v>
      </c>
      <c r="E547" t="s">
        <v>2912</v>
      </c>
      <c r="F547" t="s">
        <v>29</v>
      </c>
      <c r="G547" t="s">
        <v>2913</v>
      </c>
      <c r="H547" t="s">
        <v>29</v>
      </c>
      <c r="I547">
        <v>7</v>
      </c>
      <c r="J547">
        <v>4</v>
      </c>
      <c r="K547">
        <v>94</v>
      </c>
      <c r="L547">
        <v>8269</v>
      </c>
      <c r="M547" t="s">
        <v>52</v>
      </c>
      <c r="N547" t="s">
        <v>2860</v>
      </c>
      <c r="O547">
        <v>182895</v>
      </c>
      <c r="P547" t="s">
        <v>2720</v>
      </c>
      <c r="Q547">
        <v>30781</v>
      </c>
      <c r="R547" t="s">
        <v>2721</v>
      </c>
      <c r="S547">
        <v>559</v>
      </c>
      <c r="T547" t="b">
        <v>0</v>
      </c>
      <c r="U547">
        <v>2</v>
      </c>
      <c r="V547">
        <v>13</v>
      </c>
      <c r="W547" t="s">
        <v>35</v>
      </c>
      <c r="X547" t="s">
        <v>29</v>
      </c>
      <c r="Y547" t="s">
        <v>2914</v>
      </c>
      <c r="Z547" t="s">
        <v>37</v>
      </c>
    </row>
    <row r="548" spans="1:26">
      <c r="A548">
        <v>1.8668697418616586E+18</v>
      </c>
      <c r="B548" t="s">
        <v>2714</v>
      </c>
      <c r="C548" t="s">
        <v>2715</v>
      </c>
      <c r="D548" t="s">
        <v>2915</v>
      </c>
      <c r="E548" t="s">
        <v>2916</v>
      </c>
      <c r="F548" t="s">
        <v>29</v>
      </c>
      <c r="G548" t="s">
        <v>2917</v>
      </c>
      <c r="H548" t="s">
        <v>29</v>
      </c>
      <c r="I548">
        <v>63</v>
      </c>
      <c r="J548">
        <v>20</v>
      </c>
      <c r="K548">
        <v>141</v>
      </c>
      <c r="L548">
        <v>25423</v>
      </c>
      <c r="M548" t="s">
        <v>52</v>
      </c>
      <c r="N548" t="s">
        <v>2918</v>
      </c>
      <c r="O548">
        <v>182895</v>
      </c>
      <c r="P548" t="s">
        <v>2720</v>
      </c>
      <c r="Q548">
        <v>30781</v>
      </c>
      <c r="R548" t="s">
        <v>2721</v>
      </c>
      <c r="S548">
        <v>559</v>
      </c>
      <c r="T548" t="b">
        <v>0</v>
      </c>
      <c r="U548">
        <v>16</v>
      </c>
      <c r="V548">
        <v>12</v>
      </c>
      <c r="W548" t="s">
        <v>35</v>
      </c>
      <c r="X548" t="s">
        <v>29</v>
      </c>
      <c r="Y548" t="s">
        <v>2919</v>
      </c>
      <c r="Z548" t="s">
        <v>37</v>
      </c>
    </row>
    <row r="549" spans="1:26">
      <c r="A549">
        <v>1.8665315740674586E+18</v>
      </c>
      <c r="B549" t="s">
        <v>2714</v>
      </c>
      <c r="C549" t="s">
        <v>2715</v>
      </c>
      <c r="D549" t="s">
        <v>2920</v>
      </c>
      <c r="E549" t="s">
        <v>2921</v>
      </c>
      <c r="F549" t="s">
        <v>29</v>
      </c>
      <c r="G549" t="s">
        <v>2922</v>
      </c>
      <c r="H549" t="s">
        <v>2923</v>
      </c>
      <c r="I549">
        <v>17</v>
      </c>
      <c r="J549">
        <v>33</v>
      </c>
      <c r="K549">
        <v>185</v>
      </c>
      <c r="L549">
        <v>17749</v>
      </c>
      <c r="M549" t="s">
        <v>52</v>
      </c>
      <c r="N549" t="s">
        <v>29</v>
      </c>
      <c r="O549">
        <v>182895</v>
      </c>
      <c r="P549" t="s">
        <v>2720</v>
      </c>
      <c r="Q549">
        <v>30781</v>
      </c>
      <c r="R549" t="s">
        <v>2721</v>
      </c>
      <c r="S549">
        <v>559</v>
      </c>
      <c r="T549" t="b">
        <v>0</v>
      </c>
      <c r="U549">
        <v>11</v>
      </c>
      <c r="V549">
        <v>16</v>
      </c>
      <c r="W549" t="s">
        <v>35</v>
      </c>
      <c r="X549" t="s">
        <v>29</v>
      </c>
      <c r="Y549" t="s">
        <v>2924</v>
      </c>
      <c r="Z549" t="s">
        <v>37</v>
      </c>
    </row>
    <row r="550" spans="1:26">
      <c r="A550">
        <v>1.8669591462576169E+18</v>
      </c>
      <c r="B550" t="s">
        <v>2925</v>
      </c>
      <c r="C550" t="s">
        <v>2926</v>
      </c>
      <c r="D550" t="s">
        <v>2927</v>
      </c>
      <c r="E550" t="s">
        <v>2928</v>
      </c>
      <c r="F550" t="s">
        <v>2929</v>
      </c>
      <c r="G550" t="s">
        <v>2930</v>
      </c>
      <c r="H550" t="s">
        <v>2931</v>
      </c>
      <c r="I550">
        <v>2</v>
      </c>
      <c r="J550">
        <v>6</v>
      </c>
      <c r="K550">
        <v>7</v>
      </c>
      <c r="L550">
        <v>3453</v>
      </c>
      <c r="M550" t="s">
        <v>2932</v>
      </c>
      <c r="N550" t="s">
        <v>29</v>
      </c>
      <c r="O550">
        <v>4838</v>
      </c>
      <c r="P550" t="s">
        <v>2933</v>
      </c>
      <c r="Q550">
        <v>41996</v>
      </c>
      <c r="R550" t="s">
        <v>2934</v>
      </c>
      <c r="S550">
        <v>1231</v>
      </c>
      <c r="T550" t="b">
        <v>0</v>
      </c>
      <c r="U550">
        <v>2</v>
      </c>
      <c r="V550">
        <v>0</v>
      </c>
      <c r="W550" t="s">
        <v>35</v>
      </c>
      <c r="X550" t="s">
        <v>29</v>
      </c>
      <c r="Y550" t="s">
        <v>29</v>
      </c>
      <c r="Z550" t="s">
        <v>37</v>
      </c>
    </row>
    <row r="551" spans="1:26">
      <c r="A551">
        <v>1.8685156722731663E+18</v>
      </c>
      <c r="B551" t="s">
        <v>2935</v>
      </c>
      <c r="C551" t="s">
        <v>2936</v>
      </c>
      <c r="D551" t="s">
        <v>2937</v>
      </c>
      <c r="E551" t="s">
        <v>2938</v>
      </c>
      <c r="F551" t="s">
        <v>29</v>
      </c>
      <c r="G551" t="s">
        <v>2939</v>
      </c>
      <c r="H551" t="s">
        <v>29</v>
      </c>
      <c r="I551">
        <v>6</v>
      </c>
      <c r="J551">
        <v>2</v>
      </c>
      <c r="K551">
        <v>10</v>
      </c>
      <c r="L551">
        <v>17284</v>
      </c>
      <c r="M551" t="s">
        <v>2940</v>
      </c>
      <c r="N551" t="s">
        <v>29</v>
      </c>
      <c r="O551">
        <v>9564153</v>
      </c>
      <c r="P551" t="s">
        <v>2941</v>
      </c>
      <c r="Q551">
        <v>1125277</v>
      </c>
      <c r="R551" t="s">
        <v>2942</v>
      </c>
      <c r="S551">
        <v>93</v>
      </c>
      <c r="T551" t="b">
        <v>0</v>
      </c>
      <c r="U551">
        <v>1</v>
      </c>
      <c r="V551">
        <v>2</v>
      </c>
      <c r="W551" t="s">
        <v>35</v>
      </c>
      <c r="X551" t="s">
        <v>2943</v>
      </c>
      <c r="Y551" t="s">
        <v>29</v>
      </c>
      <c r="Z551" t="s">
        <v>37</v>
      </c>
    </row>
    <row r="552" spans="1:26">
      <c r="A552">
        <v>1.8685008280608893E+18</v>
      </c>
      <c r="B552" t="s">
        <v>2935</v>
      </c>
      <c r="C552" t="s">
        <v>2936</v>
      </c>
      <c r="D552" t="s">
        <v>2944</v>
      </c>
      <c r="E552" t="s">
        <v>2945</v>
      </c>
      <c r="F552" t="s">
        <v>29</v>
      </c>
      <c r="G552" t="s">
        <v>2946</v>
      </c>
      <c r="H552" t="s">
        <v>29</v>
      </c>
      <c r="I552">
        <v>2</v>
      </c>
      <c r="J552">
        <v>8</v>
      </c>
      <c r="K552">
        <v>21</v>
      </c>
      <c r="L552">
        <v>34093</v>
      </c>
      <c r="M552" t="s">
        <v>2947</v>
      </c>
      <c r="N552" t="s">
        <v>29</v>
      </c>
      <c r="O552">
        <v>9564156</v>
      </c>
      <c r="P552" t="s">
        <v>2941</v>
      </c>
      <c r="Q552">
        <v>1125277</v>
      </c>
      <c r="R552" t="s">
        <v>2942</v>
      </c>
      <c r="S552">
        <v>93</v>
      </c>
      <c r="T552" t="b">
        <v>0</v>
      </c>
      <c r="U552">
        <v>3</v>
      </c>
      <c r="V552">
        <v>5</v>
      </c>
      <c r="W552" t="s">
        <v>35</v>
      </c>
      <c r="X552" t="s">
        <v>2948</v>
      </c>
      <c r="Y552" t="s">
        <v>29</v>
      </c>
      <c r="Z552" t="s">
        <v>37</v>
      </c>
    </row>
    <row r="553" spans="1:26">
      <c r="A553">
        <v>1.8684415332145321E+18</v>
      </c>
      <c r="B553" t="s">
        <v>2935</v>
      </c>
      <c r="C553" t="s">
        <v>2936</v>
      </c>
      <c r="D553" t="s">
        <v>2949</v>
      </c>
      <c r="E553" t="s">
        <v>2950</v>
      </c>
      <c r="F553" t="s">
        <v>29</v>
      </c>
      <c r="G553" t="s">
        <v>2951</v>
      </c>
      <c r="H553" t="s">
        <v>29</v>
      </c>
      <c r="I553">
        <v>12</v>
      </c>
      <c r="J553">
        <v>7</v>
      </c>
      <c r="K553">
        <v>21</v>
      </c>
      <c r="L553">
        <v>29394</v>
      </c>
      <c r="M553" t="s">
        <v>2952</v>
      </c>
      <c r="N553" t="s">
        <v>29</v>
      </c>
      <c r="O553">
        <v>9564156</v>
      </c>
      <c r="P553" t="s">
        <v>2941</v>
      </c>
      <c r="Q553">
        <v>1125277</v>
      </c>
      <c r="R553" t="s">
        <v>2942</v>
      </c>
      <c r="S553">
        <v>93</v>
      </c>
      <c r="T553" t="b">
        <v>0</v>
      </c>
      <c r="U553">
        <v>3</v>
      </c>
      <c r="V553">
        <v>1</v>
      </c>
      <c r="W553" t="s">
        <v>35</v>
      </c>
      <c r="X553" t="s">
        <v>2953</v>
      </c>
      <c r="Y553" t="s">
        <v>29</v>
      </c>
      <c r="Z553" t="s">
        <v>37</v>
      </c>
    </row>
    <row r="554" spans="1:26">
      <c r="A554">
        <v>1.8683266150311608E+18</v>
      </c>
      <c r="B554" t="s">
        <v>2935</v>
      </c>
      <c r="C554" t="s">
        <v>2936</v>
      </c>
      <c r="D554" t="s">
        <v>2954</v>
      </c>
      <c r="E554" t="s">
        <v>2955</v>
      </c>
      <c r="F554" t="s">
        <v>29</v>
      </c>
      <c r="G554" t="s">
        <v>2956</v>
      </c>
      <c r="H554" t="s">
        <v>2957</v>
      </c>
      <c r="I554">
        <v>19</v>
      </c>
      <c r="J554">
        <v>4</v>
      </c>
      <c r="K554">
        <v>25</v>
      </c>
      <c r="L554">
        <v>29867</v>
      </c>
      <c r="M554" t="s">
        <v>2958</v>
      </c>
      <c r="N554" t="s">
        <v>29</v>
      </c>
      <c r="O554">
        <v>9564155</v>
      </c>
      <c r="P554" t="s">
        <v>2941</v>
      </c>
      <c r="Q554">
        <v>1125277</v>
      </c>
      <c r="R554" t="s">
        <v>2942</v>
      </c>
      <c r="S554">
        <v>93</v>
      </c>
      <c r="T554" t="b">
        <v>0</v>
      </c>
      <c r="U554">
        <v>4</v>
      </c>
      <c r="V554">
        <v>2</v>
      </c>
      <c r="W554" t="s">
        <v>35</v>
      </c>
      <c r="X554" t="s">
        <v>2959</v>
      </c>
      <c r="Y554" t="s">
        <v>29</v>
      </c>
      <c r="Z554" t="s">
        <v>37</v>
      </c>
    </row>
    <row r="555" spans="1:26">
      <c r="A555">
        <v>1.8683088036843277E+18</v>
      </c>
      <c r="B555" t="s">
        <v>2935</v>
      </c>
      <c r="C555" t="s">
        <v>2936</v>
      </c>
      <c r="D555" t="s">
        <v>2960</v>
      </c>
      <c r="E555" t="s">
        <v>2961</v>
      </c>
      <c r="F555" t="s">
        <v>29</v>
      </c>
      <c r="G555" t="s">
        <v>2962</v>
      </c>
      <c r="H555" t="s">
        <v>29</v>
      </c>
      <c r="I555">
        <v>53</v>
      </c>
      <c r="J555">
        <v>25</v>
      </c>
      <c r="K555">
        <v>94</v>
      </c>
      <c r="L555">
        <v>204533</v>
      </c>
      <c r="M555" t="s">
        <v>2963</v>
      </c>
      <c r="N555" t="s">
        <v>29</v>
      </c>
      <c r="O555">
        <v>9564155</v>
      </c>
      <c r="P555" t="s">
        <v>2941</v>
      </c>
      <c r="Q555">
        <v>1125277</v>
      </c>
      <c r="R555" t="s">
        <v>2942</v>
      </c>
      <c r="S555">
        <v>93</v>
      </c>
      <c r="T555" t="b">
        <v>0</v>
      </c>
      <c r="U555">
        <v>8</v>
      </c>
      <c r="V555">
        <v>15</v>
      </c>
      <c r="W555" t="s">
        <v>35</v>
      </c>
      <c r="X555" t="s">
        <v>2964</v>
      </c>
      <c r="Y555" t="s">
        <v>29</v>
      </c>
      <c r="Z555" t="s">
        <v>37</v>
      </c>
    </row>
    <row r="556" spans="1:26">
      <c r="A556">
        <v>1.8682812118790554E+18</v>
      </c>
      <c r="B556" t="s">
        <v>2935</v>
      </c>
      <c r="C556" t="s">
        <v>2936</v>
      </c>
      <c r="D556" t="s">
        <v>2965</v>
      </c>
      <c r="E556" t="s">
        <v>2966</v>
      </c>
      <c r="F556" t="s">
        <v>29</v>
      </c>
      <c r="G556" t="s">
        <v>2967</v>
      </c>
      <c r="H556" t="s">
        <v>29</v>
      </c>
      <c r="I556">
        <v>7</v>
      </c>
      <c r="J556">
        <v>10</v>
      </c>
      <c r="K556">
        <v>23</v>
      </c>
      <c r="L556">
        <v>32969</v>
      </c>
      <c r="M556" t="s">
        <v>2968</v>
      </c>
      <c r="N556" t="s">
        <v>29</v>
      </c>
      <c r="O556">
        <v>9564155</v>
      </c>
      <c r="P556" t="s">
        <v>2941</v>
      </c>
      <c r="Q556">
        <v>1125277</v>
      </c>
      <c r="R556" t="s">
        <v>2942</v>
      </c>
      <c r="S556">
        <v>93</v>
      </c>
      <c r="T556" t="b">
        <v>0</v>
      </c>
      <c r="U556">
        <v>1</v>
      </c>
      <c r="V556">
        <v>2</v>
      </c>
      <c r="W556" t="s">
        <v>35</v>
      </c>
      <c r="X556" t="s">
        <v>2969</v>
      </c>
      <c r="Y556" t="s">
        <v>29</v>
      </c>
      <c r="Z556" t="s">
        <v>37</v>
      </c>
    </row>
    <row r="557" spans="1:26">
      <c r="A557">
        <v>1.8682736484290481E+18</v>
      </c>
      <c r="B557" t="s">
        <v>2935</v>
      </c>
      <c r="C557" t="s">
        <v>2936</v>
      </c>
      <c r="D557" t="s">
        <v>2970</v>
      </c>
      <c r="E557" t="s">
        <v>2971</v>
      </c>
      <c r="F557" t="s">
        <v>29</v>
      </c>
      <c r="G557" t="s">
        <v>2972</v>
      </c>
      <c r="H557" t="s">
        <v>29</v>
      </c>
      <c r="I557">
        <v>6</v>
      </c>
      <c r="J557">
        <v>6</v>
      </c>
      <c r="K557">
        <v>25</v>
      </c>
      <c r="L557">
        <v>36381</v>
      </c>
      <c r="M557" t="s">
        <v>2973</v>
      </c>
      <c r="N557" t="s">
        <v>29</v>
      </c>
      <c r="O557">
        <v>9564231</v>
      </c>
      <c r="P557" t="s">
        <v>2941</v>
      </c>
      <c r="Q557">
        <v>1125277</v>
      </c>
      <c r="R557" t="s">
        <v>2942</v>
      </c>
      <c r="S557">
        <v>93</v>
      </c>
      <c r="T557" t="b">
        <v>0</v>
      </c>
      <c r="U557">
        <v>1</v>
      </c>
      <c r="V557">
        <v>2</v>
      </c>
      <c r="W557" t="s">
        <v>35</v>
      </c>
      <c r="X557" t="s">
        <v>2974</v>
      </c>
      <c r="Y557" t="s">
        <v>29</v>
      </c>
      <c r="Z557" t="s">
        <v>37</v>
      </c>
    </row>
    <row r="558" spans="1:26">
      <c r="A558">
        <v>1.8684571605117624E+18</v>
      </c>
      <c r="B558" t="s">
        <v>2935</v>
      </c>
      <c r="C558" t="s">
        <v>2936</v>
      </c>
      <c r="D558" t="s">
        <v>2975</v>
      </c>
      <c r="E558" t="s">
        <v>2976</v>
      </c>
      <c r="F558" t="s">
        <v>29</v>
      </c>
      <c r="G558" t="s">
        <v>2977</v>
      </c>
      <c r="H558" t="s">
        <v>29</v>
      </c>
      <c r="I558">
        <v>3</v>
      </c>
      <c r="J558">
        <v>2</v>
      </c>
      <c r="K558">
        <v>11</v>
      </c>
      <c r="L558">
        <v>29195</v>
      </c>
      <c r="M558" t="s">
        <v>2978</v>
      </c>
      <c r="N558" t="s">
        <v>29</v>
      </c>
      <c r="O558">
        <v>9564231</v>
      </c>
      <c r="P558" t="s">
        <v>2941</v>
      </c>
      <c r="Q558">
        <v>1125277</v>
      </c>
      <c r="R558" t="s">
        <v>2942</v>
      </c>
      <c r="S558">
        <v>93</v>
      </c>
      <c r="T558" t="b">
        <v>0</v>
      </c>
      <c r="U558">
        <v>1</v>
      </c>
      <c r="V558">
        <v>2</v>
      </c>
      <c r="W558" t="s">
        <v>35</v>
      </c>
      <c r="X558" t="s">
        <v>2979</v>
      </c>
      <c r="Y558" t="s">
        <v>29</v>
      </c>
      <c r="Z558" t="s">
        <v>37</v>
      </c>
    </row>
    <row r="559" spans="1:26">
      <c r="A559">
        <v>1.8683253036904366E+18</v>
      </c>
      <c r="B559" t="s">
        <v>2935</v>
      </c>
      <c r="C559" t="s">
        <v>2936</v>
      </c>
      <c r="D559" t="s">
        <v>2980</v>
      </c>
      <c r="E559" t="s">
        <v>2981</v>
      </c>
      <c r="F559" t="s">
        <v>29</v>
      </c>
      <c r="G559" t="s">
        <v>2982</v>
      </c>
      <c r="H559" t="s">
        <v>2983</v>
      </c>
      <c r="I559">
        <v>9</v>
      </c>
      <c r="J559">
        <v>5</v>
      </c>
      <c r="K559">
        <v>15</v>
      </c>
      <c r="L559">
        <v>26505</v>
      </c>
      <c r="M559" t="s">
        <v>2984</v>
      </c>
      <c r="N559" t="s">
        <v>29</v>
      </c>
      <c r="O559">
        <v>9564155</v>
      </c>
      <c r="P559" t="s">
        <v>2941</v>
      </c>
      <c r="Q559">
        <v>1125277</v>
      </c>
      <c r="R559" t="s">
        <v>2942</v>
      </c>
      <c r="S559">
        <v>93</v>
      </c>
      <c r="T559" t="b">
        <v>0</v>
      </c>
      <c r="U559">
        <v>0</v>
      </c>
      <c r="V559">
        <v>3</v>
      </c>
      <c r="W559" t="s">
        <v>35</v>
      </c>
      <c r="X559" t="s">
        <v>2985</v>
      </c>
      <c r="Y559" t="s">
        <v>29</v>
      </c>
      <c r="Z559" t="s">
        <v>37</v>
      </c>
    </row>
    <row r="560" spans="1:26">
      <c r="A560">
        <v>1.8681880027714726E+18</v>
      </c>
      <c r="B560" t="s">
        <v>2935</v>
      </c>
      <c r="C560" t="s">
        <v>2936</v>
      </c>
      <c r="D560" t="s">
        <v>2960</v>
      </c>
      <c r="E560" t="s">
        <v>2986</v>
      </c>
      <c r="F560" t="s">
        <v>29</v>
      </c>
      <c r="G560" t="s">
        <v>2987</v>
      </c>
      <c r="H560" t="s">
        <v>29</v>
      </c>
      <c r="I560">
        <v>11</v>
      </c>
      <c r="J560">
        <v>15</v>
      </c>
      <c r="K560">
        <v>50</v>
      </c>
      <c r="L560">
        <v>28666</v>
      </c>
      <c r="M560" t="s">
        <v>2988</v>
      </c>
      <c r="N560" t="s">
        <v>29</v>
      </c>
      <c r="O560">
        <v>9564155</v>
      </c>
      <c r="P560" t="s">
        <v>2941</v>
      </c>
      <c r="Q560">
        <v>1125277</v>
      </c>
      <c r="R560" t="s">
        <v>2942</v>
      </c>
      <c r="S560">
        <v>93</v>
      </c>
      <c r="T560" t="b">
        <v>0</v>
      </c>
      <c r="U560">
        <v>4</v>
      </c>
      <c r="V560">
        <v>3</v>
      </c>
      <c r="W560" t="s">
        <v>35</v>
      </c>
      <c r="X560" t="s">
        <v>2964</v>
      </c>
      <c r="Y560" t="s">
        <v>29</v>
      </c>
      <c r="Z560" t="s">
        <v>37</v>
      </c>
    </row>
    <row r="561" spans="1:26">
      <c r="A561">
        <v>1.8681567941843151E+18</v>
      </c>
      <c r="B561" t="s">
        <v>2935</v>
      </c>
      <c r="C561" t="s">
        <v>2936</v>
      </c>
      <c r="D561" t="s">
        <v>2989</v>
      </c>
      <c r="E561" t="s">
        <v>2990</v>
      </c>
      <c r="F561" t="s">
        <v>29</v>
      </c>
      <c r="G561" t="s">
        <v>2991</v>
      </c>
      <c r="H561" t="s">
        <v>29</v>
      </c>
      <c r="I561">
        <v>9</v>
      </c>
      <c r="J561">
        <v>8</v>
      </c>
      <c r="K561">
        <v>23</v>
      </c>
      <c r="L561">
        <v>32614</v>
      </c>
      <c r="M561" t="s">
        <v>2992</v>
      </c>
      <c r="N561" t="s">
        <v>29</v>
      </c>
      <c r="O561">
        <v>9564155</v>
      </c>
      <c r="P561" t="s">
        <v>2941</v>
      </c>
      <c r="Q561">
        <v>1125277</v>
      </c>
      <c r="R561" t="s">
        <v>2942</v>
      </c>
      <c r="S561">
        <v>93</v>
      </c>
      <c r="T561" t="b">
        <v>0</v>
      </c>
      <c r="U561">
        <v>1</v>
      </c>
      <c r="V561">
        <v>4</v>
      </c>
      <c r="W561" t="s">
        <v>35</v>
      </c>
      <c r="X561" t="s">
        <v>2993</v>
      </c>
      <c r="Y561" t="s">
        <v>29</v>
      </c>
      <c r="Z561" t="s">
        <v>37</v>
      </c>
    </row>
    <row r="562" spans="1:26">
      <c r="A562">
        <v>1.8683791410299085E+18</v>
      </c>
      <c r="B562" t="s">
        <v>2994</v>
      </c>
      <c r="C562" t="s">
        <v>2995</v>
      </c>
      <c r="D562" t="s">
        <v>2996</v>
      </c>
      <c r="E562" t="s">
        <v>2997</v>
      </c>
      <c r="F562" t="s">
        <v>29</v>
      </c>
      <c r="G562" t="s">
        <v>2998</v>
      </c>
      <c r="H562" t="s">
        <v>2999</v>
      </c>
      <c r="I562">
        <v>166</v>
      </c>
      <c r="J562">
        <v>25</v>
      </c>
      <c r="K562">
        <v>498</v>
      </c>
      <c r="L562">
        <v>148304</v>
      </c>
      <c r="M562" t="s">
        <v>52</v>
      </c>
      <c r="N562" t="s">
        <v>29</v>
      </c>
      <c r="O562">
        <v>812161</v>
      </c>
      <c r="P562" t="s">
        <v>3000</v>
      </c>
      <c r="Q562">
        <v>110924</v>
      </c>
      <c r="R562" t="s">
        <v>3001</v>
      </c>
      <c r="S562">
        <v>322</v>
      </c>
      <c r="T562" t="b">
        <v>0</v>
      </c>
      <c r="U562">
        <v>26</v>
      </c>
      <c r="V562">
        <v>49</v>
      </c>
      <c r="W562" t="s">
        <v>35</v>
      </c>
      <c r="X562" t="s">
        <v>29</v>
      </c>
      <c r="Y562" t="s">
        <v>3002</v>
      </c>
      <c r="Z562" t="s">
        <v>37</v>
      </c>
    </row>
    <row r="563" spans="1:26">
      <c r="A563">
        <v>1.8682648375724114E+18</v>
      </c>
      <c r="B563" t="s">
        <v>3003</v>
      </c>
      <c r="C563" t="s">
        <v>3004</v>
      </c>
      <c r="D563" t="s">
        <v>3005</v>
      </c>
      <c r="E563" t="s">
        <v>3006</v>
      </c>
      <c r="F563" t="s">
        <v>29</v>
      </c>
      <c r="G563" t="s">
        <v>3007</v>
      </c>
      <c r="H563" t="s">
        <v>3008</v>
      </c>
      <c r="I563">
        <v>4</v>
      </c>
      <c r="J563">
        <v>4</v>
      </c>
      <c r="K563">
        <v>95</v>
      </c>
      <c r="L563">
        <v>11802</v>
      </c>
      <c r="M563" t="s">
        <v>3009</v>
      </c>
      <c r="N563" t="s">
        <v>3010</v>
      </c>
      <c r="O563">
        <v>398606</v>
      </c>
      <c r="P563" t="s">
        <v>3011</v>
      </c>
      <c r="Q563">
        <v>73534</v>
      </c>
      <c r="R563" t="s">
        <v>3012</v>
      </c>
      <c r="S563">
        <v>563</v>
      </c>
      <c r="T563" t="b">
        <v>0</v>
      </c>
      <c r="U563">
        <v>3</v>
      </c>
      <c r="V563">
        <v>1</v>
      </c>
      <c r="W563" t="s">
        <v>35</v>
      </c>
      <c r="X563" t="s">
        <v>29</v>
      </c>
      <c r="Y563" t="s">
        <v>3013</v>
      </c>
      <c r="Z563" t="s">
        <v>37</v>
      </c>
    </row>
    <row r="564" spans="1:26">
      <c r="A564">
        <v>1.8682514261382559E+18</v>
      </c>
      <c r="B564" t="s">
        <v>3014</v>
      </c>
      <c r="C564" t="s">
        <v>3015</v>
      </c>
      <c r="D564" t="s">
        <v>3016</v>
      </c>
      <c r="E564" t="s">
        <v>3017</v>
      </c>
      <c r="F564" t="s">
        <v>29</v>
      </c>
      <c r="G564" t="s">
        <v>3018</v>
      </c>
      <c r="H564" t="s">
        <v>3019</v>
      </c>
      <c r="I564">
        <v>5</v>
      </c>
      <c r="J564">
        <v>18</v>
      </c>
      <c r="K564">
        <v>342</v>
      </c>
      <c r="L564">
        <v>27088</v>
      </c>
      <c r="M564" t="s">
        <v>52</v>
      </c>
      <c r="N564" t="s">
        <v>3020</v>
      </c>
      <c r="O564">
        <v>512376</v>
      </c>
      <c r="P564" t="s">
        <v>3021</v>
      </c>
      <c r="Q564">
        <v>138319</v>
      </c>
      <c r="R564" t="s">
        <v>3022</v>
      </c>
      <c r="S564">
        <v>1569</v>
      </c>
      <c r="T564" t="b">
        <v>0</v>
      </c>
      <c r="U564">
        <v>0</v>
      </c>
      <c r="V564">
        <v>5</v>
      </c>
      <c r="W564" t="s">
        <v>35</v>
      </c>
      <c r="X564" t="s">
        <v>29</v>
      </c>
      <c r="Y564" t="s">
        <v>3023</v>
      </c>
      <c r="Z564" t="s">
        <v>37</v>
      </c>
    </row>
    <row r="565" spans="1:26">
      <c r="A565">
        <v>1.8682043461457311E+18</v>
      </c>
      <c r="B565" t="s">
        <v>3024</v>
      </c>
      <c r="C565" t="s">
        <v>3025</v>
      </c>
      <c r="D565" t="s">
        <v>3026</v>
      </c>
      <c r="E565" t="s">
        <v>3027</v>
      </c>
      <c r="F565" t="s">
        <v>29</v>
      </c>
      <c r="G565" t="s">
        <v>3028</v>
      </c>
      <c r="H565" t="s">
        <v>3029</v>
      </c>
      <c r="I565">
        <v>2</v>
      </c>
      <c r="J565">
        <v>10</v>
      </c>
      <c r="K565">
        <v>104</v>
      </c>
      <c r="L565">
        <v>9981</v>
      </c>
      <c r="M565" t="s">
        <v>52</v>
      </c>
      <c r="N565" t="s">
        <v>3030</v>
      </c>
      <c r="O565">
        <v>1076244</v>
      </c>
      <c r="P565" t="s">
        <v>3031</v>
      </c>
      <c r="Q565">
        <v>55798</v>
      </c>
      <c r="R565" t="s">
        <v>3032</v>
      </c>
      <c r="S565">
        <v>1771</v>
      </c>
      <c r="T565" t="b">
        <v>0</v>
      </c>
      <c r="U565">
        <v>1</v>
      </c>
      <c r="V565">
        <v>4</v>
      </c>
      <c r="W565" t="s">
        <v>35</v>
      </c>
      <c r="X565" t="s">
        <v>29</v>
      </c>
      <c r="Y565" t="s">
        <v>3033</v>
      </c>
      <c r="Z565" t="s">
        <v>37</v>
      </c>
    </row>
    <row r="566" spans="1:26">
      <c r="A566">
        <v>1.8681661644065306E+18</v>
      </c>
      <c r="B566" t="s">
        <v>3034</v>
      </c>
      <c r="C566" t="s">
        <v>3035</v>
      </c>
      <c r="D566" t="s">
        <v>3036</v>
      </c>
      <c r="E566" t="s">
        <v>3037</v>
      </c>
      <c r="F566" t="s">
        <v>29</v>
      </c>
      <c r="G566" t="s">
        <v>3038</v>
      </c>
      <c r="H566" t="s">
        <v>3039</v>
      </c>
      <c r="I566">
        <v>35</v>
      </c>
      <c r="J566">
        <v>26</v>
      </c>
      <c r="K566">
        <v>228</v>
      </c>
      <c r="L566">
        <v>81301</v>
      </c>
      <c r="M566" t="s">
        <v>52</v>
      </c>
      <c r="N566" t="s">
        <v>3040</v>
      </c>
      <c r="O566">
        <v>12876592</v>
      </c>
      <c r="P566" t="s">
        <v>3041</v>
      </c>
      <c r="Q566">
        <v>141401</v>
      </c>
      <c r="R566" t="s">
        <v>3042</v>
      </c>
      <c r="S566">
        <v>717</v>
      </c>
      <c r="T566" t="b">
        <v>0</v>
      </c>
      <c r="U566">
        <v>2</v>
      </c>
      <c r="V566">
        <v>5</v>
      </c>
      <c r="W566" t="s">
        <v>35</v>
      </c>
      <c r="X566" t="s">
        <v>29</v>
      </c>
      <c r="Y566" t="s">
        <v>3043</v>
      </c>
      <c r="Z566" t="s">
        <v>37</v>
      </c>
    </row>
    <row r="567" spans="1:26">
      <c r="A567">
        <v>1.8681492036016909E+18</v>
      </c>
      <c r="B567" t="s">
        <v>3034</v>
      </c>
      <c r="C567" t="s">
        <v>3035</v>
      </c>
      <c r="D567" t="s">
        <v>3044</v>
      </c>
      <c r="E567" t="s">
        <v>3045</v>
      </c>
      <c r="F567" t="s">
        <v>29</v>
      </c>
      <c r="G567" t="s">
        <v>3046</v>
      </c>
      <c r="H567" t="s">
        <v>3047</v>
      </c>
      <c r="I567">
        <v>72</v>
      </c>
      <c r="J567">
        <v>20</v>
      </c>
      <c r="K567">
        <v>222</v>
      </c>
      <c r="L567">
        <v>91850</v>
      </c>
      <c r="M567" t="s">
        <v>52</v>
      </c>
      <c r="N567" t="s">
        <v>3040</v>
      </c>
      <c r="O567">
        <v>12876593</v>
      </c>
      <c r="P567" t="s">
        <v>3041</v>
      </c>
      <c r="Q567">
        <v>141401</v>
      </c>
      <c r="R567" t="s">
        <v>3042</v>
      </c>
      <c r="S567">
        <v>717</v>
      </c>
      <c r="T567" t="b">
        <v>0</v>
      </c>
      <c r="U567">
        <v>4</v>
      </c>
      <c r="V567">
        <v>4</v>
      </c>
      <c r="W567" t="s">
        <v>35</v>
      </c>
      <c r="X567" t="s">
        <v>29</v>
      </c>
      <c r="Y567" t="s">
        <v>3048</v>
      </c>
      <c r="Z567" t="s">
        <v>37</v>
      </c>
    </row>
    <row r="568" spans="1:26">
      <c r="A568">
        <v>1.8681798831234217E+18</v>
      </c>
      <c r="B568" t="s">
        <v>3034</v>
      </c>
      <c r="C568" t="s">
        <v>3035</v>
      </c>
      <c r="D568" t="s">
        <v>3049</v>
      </c>
      <c r="E568" t="s">
        <v>3050</v>
      </c>
      <c r="F568" t="s">
        <v>29</v>
      </c>
      <c r="G568" t="s">
        <v>3051</v>
      </c>
      <c r="H568" t="s">
        <v>3052</v>
      </c>
      <c r="I568">
        <v>566</v>
      </c>
      <c r="J568">
        <v>643</v>
      </c>
      <c r="K568">
        <v>12983</v>
      </c>
      <c r="L568">
        <v>1521807</v>
      </c>
      <c r="M568" t="s">
        <v>52</v>
      </c>
      <c r="N568" t="s">
        <v>3040</v>
      </c>
      <c r="O568">
        <v>12876593</v>
      </c>
      <c r="P568" t="s">
        <v>3041</v>
      </c>
      <c r="Q568">
        <v>141401</v>
      </c>
      <c r="R568" t="s">
        <v>3042</v>
      </c>
      <c r="S568">
        <v>717</v>
      </c>
      <c r="T568" t="b">
        <v>0</v>
      </c>
      <c r="U568">
        <v>184</v>
      </c>
      <c r="V568">
        <v>341</v>
      </c>
      <c r="W568" t="s">
        <v>35</v>
      </c>
      <c r="X568" t="s">
        <v>29</v>
      </c>
      <c r="Y568" t="s">
        <v>3053</v>
      </c>
      <c r="Z568" t="s">
        <v>37</v>
      </c>
    </row>
    <row r="569" spans="1:26">
      <c r="A569">
        <v>1.8681833995021148E+18</v>
      </c>
      <c r="B569" t="s">
        <v>3034</v>
      </c>
      <c r="C569" t="s">
        <v>3035</v>
      </c>
      <c r="D569" t="s">
        <v>3054</v>
      </c>
      <c r="E569" t="s">
        <v>3055</v>
      </c>
      <c r="F569" t="s">
        <v>29</v>
      </c>
      <c r="G569" t="s">
        <v>3056</v>
      </c>
      <c r="H569" t="s">
        <v>3052</v>
      </c>
      <c r="I569">
        <v>114</v>
      </c>
      <c r="J569">
        <v>212</v>
      </c>
      <c r="K569">
        <v>3654</v>
      </c>
      <c r="L569">
        <v>205527</v>
      </c>
      <c r="M569" t="s">
        <v>52</v>
      </c>
      <c r="N569" t="s">
        <v>3040</v>
      </c>
      <c r="O569">
        <v>12876593</v>
      </c>
      <c r="P569" t="s">
        <v>3041</v>
      </c>
      <c r="Q569">
        <v>141401</v>
      </c>
      <c r="R569" t="s">
        <v>3042</v>
      </c>
      <c r="S569">
        <v>717</v>
      </c>
      <c r="T569" t="b">
        <v>0</v>
      </c>
      <c r="U569">
        <v>13</v>
      </c>
      <c r="V569">
        <v>89</v>
      </c>
      <c r="W569" t="s">
        <v>35</v>
      </c>
      <c r="X569" t="s">
        <v>29</v>
      </c>
      <c r="Y569" t="s">
        <v>3057</v>
      </c>
      <c r="Z569" t="s">
        <v>37</v>
      </c>
    </row>
    <row r="570" spans="1:26">
      <c r="A570">
        <v>1.8681478394294728E+18</v>
      </c>
      <c r="B570" t="s">
        <v>3034</v>
      </c>
      <c r="C570" t="s">
        <v>3035</v>
      </c>
      <c r="D570" t="s">
        <v>3058</v>
      </c>
      <c r="E570" t="s">
        <v>3059</v>
      </c>
      <c r="F570" t="s">
        <v>29</v>
      </c>
      <c r="G570" t="s">
        <v>3060</v>
      </c>
      <c r="H570" t="s">
        <v>29</v>
      </c>
      <c r="I570">
        <v>133</v>
      </c>
      <c r="J570">
        <v>83</v>
      </c>
      <c r="K570">
        <v>898</v>
      </c>
      <c r="L570">
        <v>131529</v>
      </c>
      <c r="M570" t="s">
        <v>52</v>
      </c>
      <c r="N570" t="s">
        <v>3040</v>
      </c>
      <c r="O570">
        <v>12876593</v>
      </c>
      <c r="P570" t="s">
        <v>3041</v>
      </c>
      <c r="Q570">
        <v>141401</v>
      </c>
      <c r="R570" t="s">
        <v>3042</v>
      </c>
      <c r="S570">
        <v>717</v>
      </c>
      <c r="T570" t="b">
        <v>0</v>
      </c>
      <c r="U570">
        <v>12</v>
      </c>
      <c r="V570">
        <v>12</v>
      </c>
      <c r="W570" t="s">
        <v>35</v>
      </c>
      <c r="X570" t="s">
        <v>29</v>
      </c>
      <c r="Y570" t="s">
        <v>3061</v>
      </c>
      <c r="Z570" t="s">
        <v>37</v>
      </c>
    </row>
    <row r="571" spans="1:26">
      <c r="A571">
        <v>1.8681805719036524E+18</v>
      </c>
      <c r="B571" t="s">
        <v>3034</v>
      </c>
      <c r="C571" t="s">
        <v>3035</v>
      </c>
      <c r="D571" t="s">
        <v>3062</v>
      </c>
      <c r="E571" t="s">
        <v>3063</v>
      </c>
      <c r="F571" t="s">
        <v>29</v>
      </c>
      <c r="G571" t="s">
        <v>3064</v>
      </c>
      <c r="H571" t="s">
        <v>3052</v>
      </c>
      <c r="I571">
        <v>225</v>
      </c>
      <c r="J571">
        <v>425</v>
      </c>
      <c r="K571">
        <v>10757</v>
      </c>
      <c r="L571">
        <v>636617</v>
      </c>
      <c r="M571" t="s">
        <v>52</v>
      </c>
      <c r="N571" t="s">
        <v>3040</v>
      </c>
      <c r="O571">
        <v>12876593</v>
      </c>
      <c r="P571" t="s">
        <v>3041</v>
      </c>
      <c r="Q571">
        <v>141401</v>
      </c>
      <c r="R571" t="s">
        <v>3042</v>
      </c>
      <c r="S571">
        <v>717</v>
      </c>
      <c r="T571" t="b">
        <v>0</v>
      </c>
      <c r="U571">
        <v>61</v>
      </c>
      <c r="V571">
        <v>432</v>
      </c>
      <c r="W571" t="s">
        <v>35</v>
      </c>
      <c r="X571" t="s">
        <v>29</v>
      </c>
      <c r="Y571" t="s">
        <v>3065</v>
      </c>
      <c r="Z571" t="s">
        <v>37</v>
      </c>
    </row>
    <row r="572" spans="1:26">
      <c r="A572">
        <v>1.8683251449866324E+18</v>
      </c>
      <c r="B572" t="s">
        <v>3034</v>
      </c>
      <c r="C572" t="s">
        <v>3035</v>
      </c>
      <c r="D572" t="s">
        <v>3066</v>
      </c>
      <c r="E572" t="s">
        <v>3067</v>
      </c>
      <c r="F572" t="s">
        <v>3068</v>
      </c>
      <c r="G572" t="s">
        <v>3069</v>
      </c>
      <c r="H572" t="s">
        <v>3070</v>
      </c>
      <c r="I572">
        <v>31</v>
      </c>
      <c r="J572">
        <v>29</v>
      </c>
      <c r="K572">
        <v>319</v>
      </c>
      <c r="L572">
        <v>94853</v>
      </c>
      <c r="M572" t="s">
        <v>52</v>
      </c>
      <c r="N572" t="s">
        <v>3071</v>
      </c>
      <c r="O572">
        <v>12876593</v>
      </c>
      <c r="P572" t="s">
        <v>3041</v>
      </c>
      <c r="Q572">
        <v>141401</v>
      </c>
      <c r="R572" t="s">
        <v>3042</v>
      </c>
      <c r="S572">
        <v>717</v>
      </c>
      <c r="T572" t="b">
        <v>0</v>
      </c>
      <c r="U572">
        <v>3</v>
      </c>
      <c r="V572">
        <v>10</v>
      </c>
      <c r="W572" t="s">
        <v>35</v>
      </c>
      <c r="X572" t="s">
        <v>29</v>
      </c>
      <c r="Y572" t="s">
        <v>3072</v>
      </c>
      <c r="Z572" t="s">
        <v>37</v>
      </c>
    </row>
    <row r="573" spans="1:26">
      <c r="A573">
        <v>1.8681638953129331E+18</v>
      </c>
      <c r="B573" t="s">
        <v>3034</v>
      </c>
      <c r="C573" t="s">
        <v>3035</v>
      </c>
      <c r="D573" t="s">
        <v>3073</v>
      </c>
      <c r="E573" t="s">
        <v>3074</v>
      </c>
      <c r="F573" t="s">
        <v>29</v>
      </c>
      <c r="G573" t="s">
        <v>3075</v>
      </c>
      <c r="H573" t="s">
        <v>3076</v>
      </c>
      <c r="I573">
        <v>142</v>
      </c>
      <c r="J573">
        <v>153</v>
      </c>
      <c r="K573">
        <v>1621</v>
      </c>
      <c r="L573">
        <v>155631</v>
      </c>
      <c r="M573" t="s">
        <v>52</v>
      </c>
      <c r="N573" t="s">
        <v>3040</v>
      </c>
      <c r="O573">
        <v>12876593</v>
      </c>
      <c r="P573" t="s">
        <v>3041</v>
      </c>
      <c r="Q573">
        <v>141401</v>
      </c>
      <c r="R573" t="s">
        <v>3042</v>
      </c>
      <c r="S573">
        <v>717</v>
      </c>
      <c r="T573" t="b">
        <v>0</v>
      </c>
      <c r="U573">
        <v>25</v>
      </c>
      <c r="V573">
        <v>25</v>
      </c>
      <c r="W573" t="s">
        <v>35</v>
      </c>
      <c r="X573" t="s">
        <v>29</v>
      </c>
      <c r="Y573" t="s">
        <v>3077</v>
      </c>
      <c r="Z573" t="s">
        <v>37</v>
      </c>
    </row>
    <row r="574" spans="1:26">
      <c r="A574">
        <v>1.8681292028279196E+18</v>
      </c>
      <c r="B574" t="s">
        <v>3034</v>
      </c>
      <c r="C574" t="s">
        <v>3035</v>
      </c>
      <c r="D574" t="s">
        <v>3078</v>
      </c>
      <c r="E574" t="s">
        <v>3079</v>
      </c>
      <c r="F574" t="s">
        <v>29</v>
      </c>
      <c r="G574" t="s">
        <v>3080</v>
      </c>
      <c r="H574" t="s">
        <v>3081</v>
      </c>
      <c r="I574">
        <v>162</v>
      </c>
      <c r="J574">
        <v>220</v>
      </c>
      <c r="K574">
        <v>3589</v>
      </c>
      <c r="L574">
        <v>279855</v>
      </c>
      <c r="M574" t="s">
        <v>52</v>
      </c>
      <c r="N574" t="s">
        <v>3040</v>
      </c>
      <c r="O574">
        <v>12876592</v>
      </c>
      <c r="P574" t="s">
        <v>3041</v>
      </c>
      <c r="Q574">
        <v>141401</v>
      </c>
      <c r="R574" t="s">
        <v>3042</v>
      </c>
      <c r="S574">
        <v>717</v>
      </c>
      <c r="T574" t="b">
        <v>0</v>
      </c>
      <c r="U574">
        <v>39</v>
      </c>
      <c r="V574">
        <v>66</v>
      </c>
      <c r="W574" t="s">
        <v>35</v>
      </c>
      <c r="X574" t="s">
        <v>29</v>
      </c>
      <c r="Y574" t="s">
        <v>3082</v>
      </c>
      <c r="Z574" t="s">
        <v>37</v>
      </c>
    </row>
    <row r="575" spans="1:26">
      <c r="A575">
        <v>1.8681209214094953E+18</v>
      </c>
      <c r="B575" t="s">
        <v>3083</v>
      </c>
      <c r="C575" t="s">
        <v>3083</v>
      </c>
      <c r="D575" t="s">
        <v>3084</v>
      </c>
      <c r="E575" t="s">
        <v>3085</v>
      </c>
      <c r="F575" t="s">
        <v>29</v>
      </c>
      <c r="G575" t="s">
        <v>3086</v>
      </c>
      <c r="H575" t="s">
        <v>29</v>
      </c>
      <c r="I575">
        <v>372</v>
      </c>
      <c r="J575">
        <v>2606</v>
      </c>
      <c r="K575">
        <v>21292</v>
      </c>
      <c r="L575">
        <v>1107429</v>
      </c>
      <c r="M575" t="s">
        <v>52</v>
      </c>
      <c r="N575" t="s">
        <v>3087</v>
      </c>
      <c r="O575">
        <v>14375935</v>
      </c>
      <c r="P575" t="s">
        <v>3088</v>
      </c>
      <c r="Q575">
        <v>346973</v>
      </c>
      <c r="R575" t="s">
        <v>3089</v>
      </c>
      <c r="S575">
        <v>392</v>
      </c>
      <c r="T575" t="b">
        <v>0</v>
      </c>
      <c r="U575">
        <v>285</v>
      </c>
      <c r="V575">
        <v>784</v>
      </c>
      <c r="W575" t="s">
        <v>35</v>
      </c>
      <c r="X575" t="s">
        <v>29</v>
      </c>
      <c r="Y575" t="s">
        <v>3090</v>
      </c>
      <c r="Z575" t="s">
        <v>37</v>
      </c>
    </row>
    <row r="576" spans="1:26">
      <c r="A576">
        <v>1.8681536139204854E+18</v>
      </c>
      <c r="B576" t="s">
        <v>3083</v>
      </c>
      <c r="C576" t="s">
        <v>3083</v>
      </c>
      <c r="D576" t="s">
        <v>3091</v>
      </c>
      <c r="E576" t="s">
        <v>3092</v>
      </c>
      <c r="F576" t="s">
        <v>29</v>
      </c>
      <c r="G576" t="s">
        <v>3093</v>
      </c>
      <c r="H576" t="s">
        <v>3094</v>
      </c>
      <c r="I576">
        <v>42</v>
      </c>
      <c r="J576">
        <v>260</v>
      </c>
      <c r="K576">
        <v>1776</v>
      </c>
      <c r="L576">
        <v>199425</v>
      </c>
      <c r="M576" t="s">
        <v>52</v>
      </c>
      <c r="N576" t="s">
        <v>3087</v>
      </c>
      <c r="O576">
        <v>14375936</v>
      </c>
      <c r="P576" t="s">
        <v>3088</v>
      </c>
      <c r="Q576">
        <v>346973</v>
      </c>
      <c r="R576" t="s">
        <v>3089</v>
      </c>
      <c r="S576">
        <v>392</v>
      </c>
      <c r="T576" t="b">
        <v>0</v>
      </c>
      <c r="U576">
        <v>11</v>
      </c>
      <c r="V576">
        <v>120</v>
      </c>
      <c r="W576" t="s">
        <v>35</v>
      </c>
      <c r="X576" t="s">
        <v>29</v>
      </c>
      <c r="Y576" t="s">
        <v>3095</v>
      </c>
      <c r="Z576" t="s">
        <v>37</v>
      </c>
    </row>
    <row r="577" spans="1:26">
      <c r="A577">
        <v>1.8659913774665728E+18</v>
      </c>
      <c r="B577" t="s">
        <v>266</v>
      </c>
      <c r="C577" t="s">
        <v>266</v>
      </c>
      <c r="D577" t="s">
        <v>3096</v>
      </c>
      <c r="E577" t="s">
        <v>3097</v>
      </c>
      <c r="F577" t="s">
        <v>3098</v>
      </c>
      <c r="G577" t="s">
        <v>3099</v>
      </c>
      <c r="H577" t="s">
        <v>3100</v>
      </c>
      <c r="I577">
        <v>17</v>
      </c>
      <c r="J577">
        <v>43</v>
      </c>
      <c r="K577">
        <v>202</v>
      </c>
      <c r="L577">
        <v>58633</v>
      </c>
      <c r="M577" t="s">
        <v>52</v>
      </c>
      <c r="N577" t="s">
        <v>29</v>
      </c>
      <c r="O577">
        <v>47707216</v>
      </c>
      <c r="P577" t="s">
        <v>272</v>
      </c>
      <c r="Q577">
        <v>367154</v>
      </c>
      <c r="R577" t="s">
        <v>273</v>
      </c>
      <c r="S577">
        <v>2012</v>
      </c>
      <c r="T577" t="b">
        <v>0</v>
      </c>
      <c r="U577">
        <v>2</v>
      </c>
      <c r="V577">
        <v>5</v>
      </c>
      <c r="W577" t="s">
        <v>3101</v>
      </c>
      <c r="X577" t="s">
        <v>29</v>
      </c>
      <c r="Y577" t="s">
        <v>29</v>
      </c>
      <c r="Z577" t="s">
        <v>37</v>
      </c>
    </row>
    <row r="578" spans="1:26">
      <c r="A578">
        <v>1.8685166651822612E+18</v>
      </c>
      <c r="B578" t="s">
        <v>2935</v>
      </c>
      <c r="C578" t="s">
        <v>2936</v>
      </c>
      <c r="D578" t="s">
        <v>3102</v>
      </c>
      <c r="E578" t="s">
        <v>3103</v>
      </c>
      <c r="F578" t="s">
        <v>29</v>
      </c>
      <c r="G578" t="s">
        <v>3104</v>
      </c>
      <c r="H578" t="s">
        <v>29</v>
      </c>
      <c r="I578">
        <v>20</v>
      </c>
      <c r="J578">
        <v>7</v>
      </c>
      <c r="K578">
        <v>26</v>
      </c>
      <c r="L578">
        <v>17774</v>
      </c>
      <c r="M578" t="s">
        <v>3105</v>
      </c>
      <c r="N578" t="s">
        <v>29</v>
      </c>
      <c r="O578">
        <v>9564156</v>
      </c>
      <c r="P578" t="s">
        <v>2941</v>
      </c>
      <c r="Q578">
        <v>1125277</v>
      </c>
      <c r="R578" t="s">
        <v>2942</v>
      </c>
      <c r="S578">
        <v>93</v>
      </c>
      <c r="T578" t="b">
        <v>0</v>
      </c>
      <c r="U578">
        <v>3</v>
      </c>
      <c r="V578">
        <v>1</v>
      </c>
      <c r="W578" t="s">
        <v>35</v>
      </c>
      <c r="X578" t="s">
        <v>3106</v>
      </c>
      <c r="Y578" t="s">
        <v>29</v>
      </c>
      <c r="Z578" t="s">
        <v>37</v>
      </c>
    </row>
    <row r="579" spans="1:26">
      <c r="A579">
        <v>1.8684804235604503E+18</v>
      </c>
      <c r="B579" t="s">
        <v>2935</v>
      </c>
      <c r="C579" t="s">
        <v>2936</v>
      </c>
      <c r="D579" t="s">
        <v>3107</v>
      </c>
      <c r="E579" t="s">
        <v>3108</v>
      </c>
      <c r="F579" t="s">
        <v>29</v>
      </c>
      <c r="G579" t="s">
        <v>3109</v>
      </c>
      <c r="H579" t="s">
        <v>29</v>
      </c>
      <c r="I579">
        <v>12</v>
      </c>
      <c r="J579">
        <v>8</v>
      </c>
      <c r="K579">
        <v>31</v>
      </c>
      <c r="L579">
        <v>34920</v>
      </c>
      <c r="M579" t="s">
        <v>3110</v>
      </c>
      <c r="N579" t="s">
        <v>29</v>
      </c>
      <c r="O579">
        <v>9564156</v>
      </c>
      <c r="P579" t="s">
        <v>2941</v>
      </c>
      <c r="Q579">
        <v>1125277</v>
      </c>
      <c r="R579" t="s">
        <v>2942</v>
      </c>
      <c r="S579">
        <v>93</v>
      </c>
      <c r="T579" t="b">
        <v>0</v>
      </c>
      <c r="U579">
        <v>2</v>
      </c>
      <c r="V579">
        <v>11</v>
      </c>
      <c r="W579" t="s">
        <v>35</v>
      </c>
      <c r="X579" t="s">
        <v>3111</v>
      </c>
      <c r="Y579" t="s">
        <v>29</v>
      </c>
      <c r="Z579" t="s">
        <v>37</v>
      </c>
    </row>
    <row r="580" spans="1:26">
      <c r="A580">
        <v>1.8685234747271951E+18</v>
      </c>
      <c r="B580" t="s">
        <v>2935</v>
      </c>
      <c r="C580" t="s">
        <v>2936</v>
      </c>
      <c r="D580" t="s">
        <v>3112</v>
      </c>
      <c r="E580" t="s">
        <v>3113</v>
      </c>
      <c r="F580" t="s">
        <v>29</v>
      </c>
      <c r="G580" t="s">
        <v>3114</v>
      </c>
      <c r="H580" t="s">
        <v>29</v>
      </c>
      <c r="I580">
        <v>6</v>
      </c>
      <c r="J580">
        <v>5</v>
      </c>
      <c r="K580">
        <v>11</v>
      </c>
      <c r="L580">
        <v>14512</v>
      </c>
      <c r="M580" t="s">
        <v>3115</v>
      </c>
      <c r="N580" t="s">
        <v>29</v>
      </c>
      <c r="O580">
        <v>9564156</v>
      </c>
      <c r="P580" t="s">
        <v>2941</v>
      </c>
      <c r="Q580">
        <v>1125277</v>
      </c>
      <c r="R580" t="s">
        <v>2942</v>
      </c>
      <c r="S580">
        <v>93</v>
      </c>
      <c r="T580" t="b">
        <v>0</v>
      </c>
      <c r="U580">
        <v>1</v>
      </c>
      <c r="V580">
        <v>2</v>
      </c>
      <c r="W580" t="s">
        <v>35</v>
      </c>
      <c r="X580" t="s">
        <v>3116</v>
      </c>
      <c r="Y580" t="s">
        <v>29</v>
      </c>
      <c r="Z580" t="s">
        <v>37</v>
      </c>
    </row>
    <row r="581" spans="1:26">
      <c r="A581">
        <v>1.8683974620014636E+18</v>
      </c>
      <c r="B581" t="s">
        <v>2935</v>
      </c>
      <c r="C581" t="s">
        <v>2936</v>
      </c>
      <c r="D581" t="s">
        <v>3117</v>
      </c>
      <c r="E581" t="s">
        <v>3118</v>
      </c>
      <c r="F581" t="s">
        <v>29</v>
      </c>
      <c r="G581" t="s">
        <v>3119</v>
      </c>
      <c r="H581" t="s">
        <v>3120</v>
      </c>
      <c r="I581">
        <v>4</v>
      </c>
      <c r="J581">
        <v>2</v>
      </c>
      <c r="K581">
        <v>7</v>
      </c>
      <c r="L581">
        <v>29900</v>
      </c>
      <c r="M581" t="s">
        <v>3121</v>
      </c>
      <c r="N581" t="s">
        <v>29</v>
      </c>
      <c r="O581">
        <v>9564156</v>
      </c>
      <c r="P581" t="s">
        <v>2941</v>
      </c>
      <c r="Q581">
        <v>1125277</v>
      </c>
      <c r="R581" t="s">
        <v>2942</v>
      </c>
      <c r="S581">
        <v>93</v>
      </c>
      <c r="T581" t="b">
        <v>0</v>
      </c>
      <c r="U581">
        <v>0</v>
      </c>
      <c r="V581">
        <v>1</v>
      </c>
      <c r="W581" t="s">
        <v>35</v>
      </c>
      <c r="X581" t="s">
        <v>3122</v>
      </c>
      <c r="Y581" t="s">
        <v>29</v>
      </c>
      <c r="Z581" t="s">
        <v>37</v>
      </c>
    </row>
    <row r="582" spans="1:26">
      <c r="A582">
        <v>1.8685146544161833E+18</v>
      </c>
      <c r="B582" t="s">
        <v>2935</v>
      </c>
      <c r="C582" t="s">
        <v>2936</v>
      </c>
      <c r="D582" t="s">
        <v>3123</v>
      </c>
      <c r="E582" t="s">
        <v>3124</v>
      </c>
      <c r="F582" t="s">
        <v>29</v>
      </c>
      <c r="G582" t="s">
        <v>3125</v>
      </c>
      <c r="H582" t="s">
        <v>29</v>
      </c>
      <c r="I582">
        <v>8</v>
      </c>
      <c r="J582">
        <v>4</v>
      </c>
      <c r="K582">
        <v>9</v>
      </c>
      <c r="L582">
        <v>17850</v>
      </c>
      <c r="M582" t="s">
        <v>3126</v>
      </c>
      <c r="N582" t="s">
        <v>29</v>
      </c>
      <c r="O582">
        <v>9564154</v>
      </c>
      <c r="P582" t="s">
        <v>2941</v>
      </c>
      <c r="Q582">
        <v>1125277</v>
      </c>
      <c r="R582" t="s">
        <v>2942</v>
      </c>
      <c r="S582">
        <v>93</v>
      </c>
      <c r="T582" t="b">
        <v>0</v>
      </c>
      <c r="U582">
        <v>1</v>
      </c>
      <c r="V582">
        <v>1</v>
      </c>
      <c r="W582" t="s">
        <v>35</v>
      </c>
      <c r="X582" t="s">
        <v>3127</v>
      </c>
      <c r="Y582" t="s">
        <v>29</v>
      </c>
      <c r="Z582" t="s">
        <v>37</v>
      </c>
    </row>
    <row r="583" spans="1:26">
      <c r="A583">
        <v>1.8683347141273439E+18</v>
      </c>
      <c r="B583" t="s">
        <v>2935</v>
      </c>
      <c r="C583" t="s">
        <v>2936</v>
      </c>
      <c r="D583" t="s">
        <v>3128</v>
      </c>
      <c r="E583" t="s">
        <v>3129</v>
      </c>
      <c r="F583" t="s">
        <v>29</v>
      </c>
      <c r="G583" t="s">
        <v>3130</v>
      </c>
      <c r="H583" t="s">
        <v>29</v>
      </c>
      <c r="I583">
        <v>9</v>
      </c>
      <c r="J583">
        <v>6</v>
      </c>
      <c r="K583">
        <v>13</v>
      </c>
      <c r="L583">
        <v>28831</v>
      </c>
      <c r="M583" t="s">
        <v>3131</v>
      </c>
      <c r="N583" t="s">
        <v>29</v>
      </c>
      <c r="O583">
        <v>9564155</v>
      </c>
      <c r="P583" t="s">
        <v>2941</v>
      </c>
      <c r="Q583">
        <v>1125277</v>
      </c>
      <c r="R583" t="s">
        <v>2942</v>
      </c>
      <c r="S583">
        <v>93</v>
      </c>
      <c r="T583" t="b">
        <v>0</v>
      </c>
      <c r="U583">
        <v>3</v>
      </c>
      <c r="V583">
        <v>3</v>
      </c>
      <c r="W583" t="s">
        <v>35</v>
      </c>
      <c r="X583" t="s">
        <v>3132</v>
      </c>
      <c r="Y583" t="s">
        <v>29</v>
      </c>
      <c r="Z583" t="s">
        <v>37</v>
      </c>
    </row>
    <row r="584" spans="1:26">
      <c r="A584">
        <v>1.8683325557426386E+18</v>
      </c>
      <c r="B584" t="s">
        <v>2935</v>
      </c>
      <c r="C584" t="s">
        <v>2936</v>
      </c>
      <c r="D584" t="s">
        <v>3133</v>
      </c>
      <c r="E584" t="s">
        <v>3134</v>
      </c>
      <c r="F584" t="s">
        <v>29</v>
      </c>
      <c r="G584" t="s">
        <v>3135</v>
      </c>
      <c r="H584" t="s">
        <v>29</v>
      </c>
      <c r="I584">
        <v>13</v>
      </c>
      <c r="J584">
        <v>6</v>
      </c>
      <c r="K584">
        <v>22</v>
      </c>
      <c r="L584">
        <v>26059</v>
      </c>
      <c r="M584" t="s">
        <v>3136</v>
      </c>
      <c r="N584" t="s">
        <v>29</v>
      </c>
      <c r="O584">
        <v>9564155</v>
      </c>
      <c r="P584" t="s">
        <v>2941</v>
      </c>
      <c r="Q584">
        <v>1125277</v>
      </c>
      <c r="R584" t="s">
        <v>2942</v>
      </c>
      <c r="S584">
        <v>93</v>
      </c>
      <c r="T584" t="b">
        <v>0</v>
      </c>
      <c r="U584">
        <v>2</v>
      </c>
      <c r="V584">
        <v>2</v>
      </c>
      <c r="W584" t="s">
        <v>35</v>
      </c>
      <c r="X584" t="s">
        <v>3137</v>
      </c>
      <c r="Y584" t="s">
        <v>29</v>
      </c>
      <c r="Z584" t="s">
        <v>37</v>
      </c>
    </row>
    <row r="585" spans="1:26">
      <c r="A585">
        <v>1.8683253020168893E+18</v>
      </c>
      <c r="B585" t="s">
        <v>2935</v>
      </c>
      <c r="C585" t="s">
        <v>2936</v>
      </c>
      <c r="D585" t="s">
        <v>3138</v>
      </c>
      <c r="E585" t="s">
        <v>2981</v>
      </c>
      <c r="F585" t="s">
        <v>29</v>
      </c>
      <c r="G585" t="s">
        <v>3139</v>
      </c>
      <c r="H585" t="s">
        <v>3140</v>
      </c>
      <c r="I585">
        <v>6</v>
      </c>
      <c r="J585">
        <v>1</v>
      </c>
      <c r="K585">
        <v>8</v>
      </c>
      <c r="L585">
        <v>24946</v>
      </c>
      <c r="M585" t="s">
        <v>3141</v>
      </c>
      <c r="N585" t="s">
        <v>29</v>
      </c>
      <c r="O585">
        <v>9564155</v>
      </c>
      <c r="P585" t="s">
        <v>2941</v>
      </c>
      <c r="Q585">
        <v>1125277</v>
      </c>
      <c r="R585" t="s">
        <v>2942</v>
      </c>
      <c r="S585">
        <v>93</v>
      </c>
      <c r="T585" t="b">
        <v>0</v>
      </c>
      <c r="U585">
        <v>0</v>
      </c>
      <c r="V585">
        <v>4</v>
      </c>
      <c r="W585" t="s">
        <v>35</v>
      </c>
      <c r="X585" t="s">
        <v>3142</v>
      </c>
      <c r="Y585" t="s">
        <v>29</v>
      </c>
      <c r="Z585" t="s">
        <v>37</v>
      </c>
    </row>
    <row r="586" spans="1:26">
      <c r="A586">
        <v>1.8682768014510451E+18</v>
      </c>
      <c r="B586" t="s">
        <v>2935</v>
      </c>
      <c r="C586" t="s">
        <v>2936</v>
      </c>
      <c r="D586" t="s">
        <v>3143</v>
      </c>
      <c r="E586" t="s">
        <v>3144</v>
      </c>
      <c r="F586" t="s">
        <v>29</v>
      </c>
      <c r="G586" t="s">
        <v>3145</v>
      </c>
      <c r="H586" t="s">
        <v>3146</v>
      </c>
      <c r="I586">
        <v>4</v>
      </c>
      <c r="J586">
        <v>2</v>
      </c>
      <c r="K586">
        <v>22</v>
      </c>
      <c r="L586">
        <v>30879</v>
      </c>
      <c r="M586" t="s">
        <v>3147</v>
      </c>
      <c r="N586" t="s">
        <v>29</v>
      </c>
      <c r="O586">
        <v>9564155</v>
      </c>
      <c r="P586" t="s">
        <v>2941</v>
      </c>
      <c r="Q586">
        <v>1125277</v>
      </c>
      <c r="R586" t="s">
        <v>2942</v>
      </c>
      <c r="S586">
        <v>93</v>
      </c>
      <c r="T586" t="b">
        <v>0</v>
      </c>
      <c r="U586">
        <v>0</v>
      </c>
      <c r="V586">
        <v>3</v>
      </c>
      <c r="W586" t="s">
        <v>35</v>
      </c>
      <c r="X586" t="s">
        <v>3148</v>
      </c>
      <c r="Y586" t="s">
        <v>29</v>
      </c>
      <c r="Z586" t="s">
        <v>37</v>
      </c>
    </row>
    <row r="587" spans="1:26">
      <c r="A587">
        <v>1.8682305324980636E+18</v>
      </c>
      <c r="B587" t="s">
        <v>2935</v>
      </c>
      <c r="C587" t="s">
        <v>2936</v>
      </c>
      <c r="D587" t="s">
        <v>3149</v>
      </c>
      <c r="E587" t="s">
        <v>3150</v>
      </c>
      <c r="F587" t="s">
        <v>29</v>
      </c>
      <c r="G587" t="s">
        <v>3151</v>
      </c>
      <c r="H587" t="s">
        <v>29</v>
      </c>
      <c r="I587">
        <v>9</v>
      </c>
      <c r="J587">
        <v>5</v>
      </c>
      <c r="K587">
        <v>24</v>
      </c>
      <c r="L587">
        <v>35431</v>
      </c>
      <c r="M587" t="s">
        <v>3152</v>
      </c>
      <c r="N587" t="s">
        <v>29</v>
      </c>
      <c r="O587">
        <v>9564231</v>
      </c>
      <c r="P587" t="s">
        <v>2941</v>
      </c>
      <c r="Q587">
        <v>1125277</v>
      </c>
      <c r="R587" t="s">
        <v>2942</v>
      </c>
      <c r="S587">
        <v>93</v>
      </c>
      <c r="T587" t="b">
        <v>0</v>
      </c>
      <c r="U587">
        <v>1</v>
      </c>
      <c r="V587">
        <v>3</v>
      </c>
      <c r="W587" t="s">
        <v>35</v>
      </c>
      <c r="X587" t="s">
        <v>3153</v>
      </c>
      <c r="Y587" t="s">
        <v>29</v>
      </c>
      <c r="Z587" t="s">
        <v>37</v>
      </c>
    </row>
    <row r="588" spans="1:26">
      <c r="A588">
        <v>1.86823835037037E+18</v>
      </c>
      <c r="B588" t="s">
        <v>2935</v>
      </c>
      <c r="C588" t="s">
        <v>2936</v>
      </c>
      <c r="D588" t="s">
        <v>3154</v>
      </c>
      <c r="E588" t="s">
        <v>3155</v>
      </c>
      <c r="F588" t="s">
        <v>29</v>
      </c>
      <c r="G588" t="s">
        <v>3156</v>
      </c>
      <c r="H588" t="s">
        <v>29</v>
      </c>
      <c r="I588">
        <v>9</v>
      </c>
      <c r="J588">
        <v>5</v>
      </c>
      <c r="K588">
        <v>19</v>
      </c>
      <c r="L588">
        <v>26158</v>
      </c>
      <c r="M588" t="s">
        <v>3157</v>
      </c>
      <c r="N588" t="s">
        <v>29</v>
      </c>
      <c r="O588">
        <v>9564155</v>
      </c>
      <c r="P588" t="s">
        <v>2941</v>
      </c>
      <c r="Q588">
        <v>1125277</v>
      </c>
      <c r="R588" t="s">
        <v>2942</v>
      </c>
      <c r="S588">
        <v>93</v>
      </c>
      <c r="T588" t="b">
        <v>0</v>
      </c>
      <c r="U588">
        <v>1</v>
      </c>
      <c r="V588">
        <v>3</v>
      </c>
      <c r="W588" t="s">
        <v>35</v>
      </c>
      <c r="X588" t="s">
        <v>3158</v>
      </c>
      <c r="Y588" t="s">
        <v>29</v>
      </c>
      <c r="Z588" t="s">
        <v>37</v>
      </c>
    </row>
    <row r="589" spans="1:26">
      <c r="A589">
        <v>1.865203251383276E+18</v>
      </c>
      <c r="B589" t="s">
        <v>3159</v>
      </c>
      <c r="C589" t="s">
        <v>3160</v>
      </c>
      <c r="D589" t="s">
        <v>3161</v>
      </c>
      <c r="E589" t="s">
        <v>3162</v>
      </c>
      <c r="F589" t="s">
        <v>3163</v>
      </c>
      <c r="G589" t="s">
        <v>3164</v>
      </c>
      <c r="H589" t="s">
        <v>29</v>
      </c>
      <c r="I589">
        <v>1</v>
      </c>
      <c r="J589">
        <v>2</v>
      </c>
      <c r="K589">
        <v>25</v>
      </c>
      <c r="L589">
        <v>2320</v>
      </c>
      <c r="M589" t="s">
        <v>52</v>
      </c>
      <c r="N589" t="s">
        <v>3165</v>
      </c>
      <c r="O589">
        <v>397</v>
      </c>
      <c r="P589" t="s">
        <v>3166</v>
      </c>
      <c r="Q589">
        <v>19975</v>
      </c>
      <c r="R589" t="s">
        <v>3167</v>
      </c>
      <c r="S589">
        <v>70</v>
      </c>
      <c r="T589" t="b">
        <v>0</v>
      </c>
      <c r="U589">
        <v>1</v>
      </c>
      <c r="V589">
        <v>1</v>
      </c>
      <c r="W589" t="s">
        <v>35</v>
      </c>
      <c r="X589" t="s">
        <v>29</v>
      </c>
      <c r="Y589" t="s">
        <v>29</v>
      </c>
      <c r="Z589" t="s">
        <v>37</v>
      </c>
    </row>
    <row r="590" spans="1:26">
      <c r="A590">
        <v>1.8684157390712509E+18</v>
      </c>
      <c r="B590" t="s">
        <v>3168</v>
      </c>
      <c r="C590" t="s">
        <v>3169</v>
      </c>
      <c r="D590" t="s">
        <v>3170</v>
      </c>
      <c r="E590" t="s">
        <v>3171</v>
      </c>
      <c r="F590" t="s">
        <v>29</v>
      </c>
      <c r="G590" t="s">
        <v>3172</v>
      </c>
      <c r="H590" t="s">
        <v>3173</v>
      </c>
      <c r="I590">
        <v>4</v>
      </c>
      <c r="J590">
        <v>9</v>
      </c>
      <c r="K590">
        <v>204</v>
      </c>
      <c r="L590">
        <v>12787</v>
      </c>
      <c r="M590" t="s">
        <v>52</v>
      </c>
      <c r="N590" t="s">
        <v>3174</v>
      </c>
      <c r="O590">
        <v>294711</v>
      </c>
      <c r="P590" t="s">
        <v>3175</v>
      </c>
      <c r="Q590">
        <v>66342</v>
      </c>
      <c r="R590" t="s">
        <v>3176</v>
      </c>
      <c r="S590">
        <v>1449</v>
      </c>
      <c r="T590" t="b">
        <v>0</v>
      </c>
      <c r="U590">
        <v>1</v>
      </c>
      <c r="V590">
        <v>7</v>
      </c>
      <c r="W590" t="s">
        <v>35</v>
      </c>
      <c r="X590" t="s">
        <v>29</v>
      </c>
      <c r="Y590" t="s">
        <v>3177</v>
      </c>
      <c r="Z590" t="s">
        <v>37</v>
      </c>
    </row>
    <row r="591" spans="1:26">
      <c r="A591">
        <v>1.8683613404582382E+18</v>
      </c>
      <c r="B591" t="s">
        <v>3168</v>
      </c>
      <c r="C591" t="s">
        <v>3169</v>
      </c>
      <c r="D591" t="s">
        <v>3178</v>
      </c>
      <c r="E591" t="s">
        <v>3179</v>
      </c>
      <c r="F591" t="s">
        <v>29</v>
      </c>
      <c r="G591" t="s">
        <v>3180</v>
      </c>
      <c r="H591" t="s">
        <v>3173</v>
      </c>
      <c r="I591">
        <v>13</v>
      </c>
      <c r="J591">
        <v>49</v>
      </c>
      <c r="K591">
        <v>922</v>
      </c>
      <c r="L591">
        <v>52945</v>
      </c>
      <c r="M591" t="s">
        <v>52</v>
      </c>
      <c r="N591" t="s">
        <v>29</v>
      </c>
      <c r="O591">
        <v>294711</v>
      </c>
      <c r="P591" t="s">
        <v>3175</v>
      </c>
      <c r="Q591">
        <v>66342</v>
      </c>
      <c r="R591" t="s">
        <v>3176</v>
      </c>
      <c r="S591">
        <v>1449</v>
      </c>
      <c r="T591" t="b">
        <v>0</v>
      </c>
      <c r="U591">
        <v>4</v>
      </c>
      <c r="V591">
        <v>18</v>
      </c>
      <c r="W591" t="s">
        <v>35</v>
      </c>
      <c r="X591" t="s">
        <v>29</v>
      </c>
      <c r="Y591" t="s">
        <v>3181</v>
      </c>
      <c r="Z591" t="s">
        <v>37</v>
      </c>
    </row>
    <row r="592" spans="1:26">
      <c r="A592">
        <v>1.8683392356082898E+18</v>
      </c>
      <c r="B592" t="s">
        <v>3168</v>
      </c>
      <c r="C592" t="s">
        <v>3169</v>
      </c>
      <c r="D592" t="s">
        <v>3182</v>
      </c>
      <c r="E592" t="s">
        <v>3183</v>
      </c>
      <c r="F592" t="s">
        <v>29</v>
      </c>
      <c r="G592" t="s">
        <v>3184</v>
      </c>
      <c r="H592" t="s">
        <v>3173</v>
      </c>
      <c r="I592">
        <v>2</v>
      </c>
      <c r="J592">
        <v>12</v>
      </c>
      <c r="K592">
        <v>138</v>
      </c>
      <c r="L592">
        <v>20031</v>
      </c>
      <c r="M592" t="s">
        <v>52</v>
      </c>
      <c r="N592" t="s">
        <v>29</v>
      </c>
      <c r="O592">
        <v>294711</v>
      </c>
      <c r="P592" t="s">
        <v>3175</v>
      </c>
      <c r="Q592">
        <v>66342</v>
      </c>
      <c r="R592" t="s">
        <v>3176</v>
      </c>
      <c r="S592">
        <v>1449</v>
      </c>
      <c r="T592" t="b">
        <v>0</v>
      </c>
      <c r="U592">
        <v>1</v>
      </c>
      <c r="V592">
        <v>1</v>
      </c>
      <c r="W592" t="s">
        <v>35</v>
      </c>
      <c r="X592" t="s">
        <v>29</v>
      </c>
      <c r="Y592" t="s">
        <v>3185</v>
      </c>
      <c r="Z592" t="s">
        <v>37</v>
      </c>
    </row>
    <row r="593" spans="1:26">
      <c r="A593">
        <v>1.8683474569177912E+18</v>
      </c>
      <c r="B593" t="s">
        <v>3168</v>
      </c>
      <c r="C593" t="s">
        <v>3169</v>
      </c>
      <c r="D593" t="s">
        <v>3186</v>
      </c>
      <c r="E593" t="s">
        <v>3187</v>
      </c>
      <c r="F593" t="s">
        <v>29</v>
      </c>
      <c r="G593" t="s">
        <v>3188</v>
      </c>
      <c r="H593" t="s">
        <v>3189</v>
      </c>
      <c r="I593">
        <v>5</v>
      </c>
      <c r="J593">
        <v>11</v>
      </c>
      <c r="K593">
        <v>289</v>
      </c>
      <c r="L593">
        <v>30741</v>
      </c>
      <c r="M593" t="s">
        <v>52</v>
      </c>
      <c r="N593" t="s">
        <v>29</v>
      </c>
      <c r="O593">
        <v>294711</v>
      </c>
      <c r="P593" t="s">
        <v>3175</v>
      </c>
      <c r="Q593">
        <v>66342</v>
      </c>
      <c r="R593" t="s">
        <v>3176</v>
      </c>
      <c r="S593">
        <v>1449</v>
      </c>
      <c r="T593" t="b">
        <v>0</v>
      </c>
      <c r="U593">
        <v>4</v>
      </c>
      <c r="V593">
        <v>2</v>
      </c>
      <c r="W593" t="s">
        <v>35</v>
      </c>
      <c r="X593" t="s">
        <v>29</v>
      </c>
      <c r="Y593" t="s">
        <v>3190</v>
      </c>
      <c r="Z593" t="s">
        <v>37</v>
      </c>
    </row>
    <row r="594" spans="1:26">
      <c r="A594">
        <v>1.8682191802872302E+18</v>
      </c>
      <c r="B594" t="s">
        <v>3014</v>
      </c>
      <c r="C594" t="s">
        <v>3015</v>
      </c>
      <c r="D594" t="s">
        <v>3191</v>
      </c>
      <c r="E594" t="s">
        <v>3192</v>
      </c>
      <c r="F594" t="s">
        <v>29</v>
      </c>
      <c r="G594" t="s">
        <v>3193</v>
      </c>
      <c r="H594" t="s">
        <v>3194</v>
      </c>
      <c r="I594">
        <v>9</v>
      </c>
      <c r="J594">
        <v>2</v>
      </c>
      <c r="K594">
        <v>185</v>
      </c>
      <c r="L594">
        <v>16060</v>
      </c>
      <c r="M594" t="s">
        <v>52</v>
      </c>
      <c r="N594" t="s">
        <v>3020</v>
      </c>
      <c r="O594">
        <v>512376</v>
      </c>
      <c r="P594" t="s">
        <v>3021</v>
      </c>
      <c r="Q594">
        <v>138319</v>
      </c>
      <c r="R594" t="s">
        <v>3022</v>
      </c>
      <c r="S594">
        <v>1569</v>
      </c>
      <c r="T594" t="b">
        <v>0</v>
      </c>
      <c r="U594">
        <v>1</v>
      </c>
      <c r="V594">
        <v>3</v>
      </c>
      <c r="W594" t="s">
        <v>35</v>
      </c>
      <c r="X594" t="s">
        <v>29</v>
      </c>
      <c r="Y594" t="s">
        <v>3195</v>
      </c>
      <c r="Z594" t="s">
        <v>37</v>
      </c>
    </row>
    <row r="595" spans="1:26">
      <c r="A595">
        <v>1.8683582111383798E+18</v>
      </c>
      <c r="B595" t="s">
        <v>3196</v>
      </c>
      <c r="C595" t="s">
        <v>3196</v>
      </c>
      <c r="D595" t="s">
        <v>3197</v>
      </c>
      <c r="E595" t="s">
        <v>3198</v>
      </c>
      <c r="F595" t="s">
        <v>29</v>
      </c>
      <c r="G595" t="s">
        <v>3199</v>
      </c>
      <c r="H595" t="s">
        <v>3200</v>
      </c>
      <c r="I595">
        <v>4</v>
      </c>
      <c r="J595">
        <v>4</v>
      </c>
      <c r="K595">
        <v>65</v>
      </c>
      <c r="L595">
        <v>8700</v>
      </c>
      <c r="M595" t="s">
        <v>52</v>
      </c>
      <c r="N595" t="s">
        <v>3201</v>
      </c>
      <c r="O595">
        <v>376786</v>
      </c>
      <c r="P595" t="s">
        <v>3202</v>
      </c>
      <c r="Q595">
        <v>106893</v>
      </c>
      <c r="R595" t="s">
        <v>3203</v>
      </c>
      <c r="S595">
        <v>415</v>
      </c>
      <c r="T595" t="b">
        <v>0</v>
      </c>
      <c r="U595">
        <v>6</v>
      </c>
      <c r="V595">
        <v>1</v>
      </c>
      <c r="W595" t="s">
        <v>35</v>
      </c>
      <c r="X595" t="s">
        <v>29</v>
      </c>
      <c r="Y595" t="s">
        <v>3204</v>
      </c>
      <c r="Z595" t="s">
        <v>37</v>
      </c>
    </row>
    <row r="596" spans="1:26">
      <c r="A596">
        <v>1.8683152095735112E+18</v>
      </c>
      <c r="B596" t="s">
        <v>3205</v>
      </c>
      <c r="C596" t="s">
        <v>3206</v>
      </c>
      <c r="D596" t="s">
        <v>3207</v>
      </c>
      <c r="E596" t="s">
        <v>3208</v>
      </c>
      <c r="F596" t="s">
        <v>29</v>
      </c>
      <c r="G596" t="s">
        <v>3209</v>
      </c>
      <c r="H596" t="s">
        <v>3210</v>
      </c>
      <c r="I596">
        <v>5</v>
      </c>
      <c r="J596">
        <v>5</v>
      </c>
      <c r="K596">
        <v>49</v>
      </c>
      <c r="L596">
        <v>6321</v>
      </c>
      <c r="M596" t="s">
        <v>3211</v>
      </c>
      <c r="N596" t="s">
        <v>3212</v>
      </c>
      <c r="O596">
        <v>156681</v>
      </c>
      <c r="P596" t="s">
        <v>3213</v>
      </c>
      <c r="Q596">
        <v>35682</v>
      </c>
      <c r="R596" t="s">
        <v>3214</v>
      </c>
      <c r="S596">
        <v>1430</v>
      </c>
      <c r="T596" t="b">
        <v>0</v>
      </c>
      <c r="U596">
        <v>0</v>
      </c>
      <c r="V596">
        <v>1</v>
      </c>
      <c r="W596" t="s">
        <v>35</v>
      </c>
      <c r="X596" t="s">
        <v>29</v>
      </c>
      <c r="Y596" t="s">
        <v>3215</v>
      </c>
      <c r="Z596" t="s">
        <v>37</v>
      </c>
    </row>
    <row r="597" spans="1:26">
      <c r="A597">
        <v>1.8683961420833464E+18</v>
      </c>
      <c r="B597" t="s">
        <v>3216</v>
      </c>
      <c r="C597" t="s">
        <v>3216</v>
      </c>
      <c r="D597" t="s">
        <v>3217</v>
      </c>
      <c r="E597" t="s">
        <v>3218</v>
      </c>
      <c r="F597" t="s">
        <v>29</v>
      </c>
      <c r="G597" t="s">
        <v>3219</v>
      </c>
      <c r="H597" t="s">
        <v>3220</v>
      </c>
      <c r="I597">
        <v>15</v>
      </c>
      <c r="J597">
        <v>40</v>
      </c>
      <c r="K597">
        <v>390</v>
      </c>
      <c r="L597">
        <v>60182</v>
      </c>
      <c r="M597" t="s">
        <v>52</v>
      </c>
      <c r="N597" t="s">
        <v>29</v>
      </c>
      <c r="O597">
        <v>3658764</v>
      </c>
      <c r="P597" t="s">
        <v>3221</v>
      </c>
      <c r="Q597">
        <v>169923</v>
      </c>
      <c r="R597" t="s">
        <v>3222</v>
      </c>
      <c r="S597">
        <v>344</v>
      </c>
      <c r="T597" t="b">
        <v>0</v>
      </c>
      <c r="U597">
        <v>3</v>
      </c>
      <c r="V597">
        <v>12</v>
      </c>
      <c r="W597" t="s">
        <v>35</v>
      </c>
      <c r="X597" t="s">
        <v>29</v>
      </c>
      <c r="Y597" t="s">
        <v>3223</v>
      </c>
      <c r="Z597" t="s">
        <v>37</v>
      </c>
    </row>
    <row r="598" spans="1:26">
      <c r="A598">
        <v>1.8683817550293036E+18</v>
      </c>
      <c r="B598" t="s">
        <v>3224</v>
      </c>
      <c r="C598" t="s">
        <v>3225</v>
      </c>
      <c r="D598" t="s">
        <v>3226</v>
      </c>
      <c r="E598" t="s">
        <v>3227</v>
      </c>
      <c r="F598" t="s">
        <v>29</v>
      </c>
      <c r="G598" t="s">
        <v>3228</v>
      </c>
      <c r="H598" t="s">
        <v>3229</v>
      </c>
      <c r="I598">
        <v>9</v>
      </c>
      <c r="J598">
        <v>11</v>
      </c>
      <c r="K598">
        <v>69</v>
      </c>
      <c r="L598">
        <v>85891</v>
      </c>
      <c r="M598" t="s">
        <v>52</v>
      </c>
      <c r="N598" t="s">
        <v>29</v>
      </c>
      <c r="O598">
        <v>2999631</v>
      </c>
      <c r="P598" t="s">
        <v>3230</v>
      </c>
      <c r="Q598">
        <v>183050</v>
      </c>
      <c r="R598" t="s">
        <v>3231</v>
      </c>
      <c r="S598">
        <v>920</v>
      </c>
      <c r="T598" t="b">
        <v>0</v>
      </c>
      <c r="U598">
        <v>1</v>
      </c>
      <c r="V598">
        <v>1</v>
      </c>
      <c r="W598" t="s">
        <v>35</v>
      </c>
      <c r="X598" t="s">
        <v>29</v>
      </c>
      <c r="Y598" t="s">
        <v>3232</v>
      </c>
      <c r="Z598" t="s">
        <v>37</v>
      </c>
    </row>
    <row r="599" spans="1:26">
      <c r="A599">
        <v>1.8683553436269407E+18</v>
      </c>
      <c r="B599" t="s">
        <v>3024</v>
      </c>
      <c r="C599" t="s">
        <v>3025</v>
      </c>
      <c r="D599" t="s">
        <v>3233</v>
      </c>
      <c r="E599" t="s">
        <v>3234</v>
      </c>
      <c r="F599" t="s">
        <v>29</v>
      </c>
      <c r="G599" t="s">
        <v>3235</v>
      </c>
      <c r="H599" t="s">
        <v>3236</v>
      </c>
      <c r="I599">
        <v>5</v>
      </c>
      <c r="J599">
        <v>7</v>
      </c>
      <c r="K599">
        <v>83</v>
      </c>
      <c r="L599">
        <v>8455</v>
      </c>
      <c r="M599" t="s">
        <v>52</v>
      </c>
      <c r="N599" t="s">
        <v>3030</v>
      </c>
      <c r="O599">
        <v>1076237</v>
      </c>
      <c r="P599" t="s">
        <v>3031</v>
      </c>
      <c r="Q599">
        <v>55798</v>
      </c>
      <c r="R599" t="s">
        <v>3032</v>
      </c>
      <c r="S599">
        <v>1771</v>
      </c>
      <c r="T599" t="b">
        <v>0</v>
      </c>
      <c r="U599">
        <v>0</v>
      </c>
      <c r="V599">
        <v>2</v>
      </c>
      <c r="W599" t="s">
        <v>35</v>
      </c>
      <c r="X599" t="s">
        <v>29</v>
      </c>
      <c r="Y599" t="s">
        <v>3237</v>
      </c>
      <c r="Z599" t="s">
        <v>37</v>
      </c>
    </row>
    <row r="600" spans="1:26">
      <c r="A600">
        <v>1.8681249508985531E+18</v>
      </c>
      <c r="B600" t="s">
        <v>3034</v>
      </c>
      <c r="C600" t="s">
        <v>3035</v>
      </c>
      <c r="D600" t="s">
        <v>3238</v>
      </c>
      <c r="E600" t="s">
        <v>3239</v>
      </c>
      <c r="F600" t="s">
        <v>29</v>
      </c>
      <c r="G600" t="s">
        <v>3240</v>
      </c>
      <c r="H600" t="s">
        <v>3241</v>
      </c>
      <c r="I600">
        <v>41</v>
      </c>
      <c r="J600">
        <v>26</v>
      </c>
      <c r="K600">
        <v>245</v>
      </c>
      <c r="L600">
        <v>93839</v>
      </c>
      <c r="M600" t="s">
        <v>52</v>
      </c>
      <c r="N600" t="s">
        <v>3040</v>
      </c>
      <c r="O600">
        <v>12876592</v>
      </c>
      <c r="P600" t="s">
        <v>3041</v>
      </c>
      <c r="Q600">
        <v>141401</v>
      </c>
      <c r="R600" t="s">
        <v>3042</v>
      </c>
      <c r="S600">
        <v>717</v>
      </c>
      <c r="T600" t="b">
        <v>0</v>
      </c>
      <c r="U600">
        <v>7</v>
      </c>
      <c r="V600">
        <v>5</v>
      </c>
      <c r="W600" t="s">
        <v>35</v>
      </c>
      <c r="X600" t="s">
        <v>29</v>
      </c>
      <c r="Y600" t="s">
        <v>3242</v>
      </c>
      <c r="Z600" t="s">
        <v>37</v>
      </c>
    </row>
    <row r="601" spans="1:26">
      <c r="A601">
        <v>1.8681345974202573E+18</v>
      </c>
      <c r="B601" t="s">
        <v>3034</v>
      </c>
      <c r="C601" t="s">
        <v>3035</v>
      </c>
      <c r="D601" t="s">
        <v>3243</v>
      </c>
      <c r="E601" t="s">
        <v>3244</v>
      </c>
      <c r="F601" t="s">
        <v>29</v>
      </c>
      <c r="G601" t="s">
        <v>3245</v>
      </c>
      <c r="H601" t="s">
        <v>3246</v>
      </c>
      <c r="I601">
        <v>53</v>
      </c>
      <c r="J601">
        <v>20</v>
      </c>
      <c r="K601">
        <v>179</v>
      </c>
      <c r="L601">
        <v>89364</v>
      </c>
      <c r="M601" t="s">
        <v>52</v>
      </c>
      <c r="N601" t="s">
        <v>3040</v>
      </c>
      <c r="O601">
        <v>12876593</v>
      </c>
      <c r="P601" t="s">
        <v>3041</v>
      </c>
      <c r="Q601">
        <v>141401</v>
      </c>
      <c r="R601" t="s">
        <v>3042</v>
      </c>
      <c r="S601">
        <v>717</v>
      </c>
      <c r="T601" t="b">
        <v>0</v>
      </c>
      <c r="U601">
        <v>5</v>
      </c>
      <c r="V601">
        <v>1</v>
      </c>
      <c r="W601" t="s">
        <v>35</v>
      </c>
      <c r="X601" t="s">
        <v>29</v>
      </c>
      <c r="Y601" t="s">
        <v>3247</v>
      </c>
      <c r="Z601" t="s">
        <v>37</v>
      </c>
    </row>
    <row r="602" spans="1:26">
      <c r="A602">
        <v>1.8681409639753119E+18</v>
      </c>
      <c r="B602" t="s">
        <v>3034</v>
      </c>
      <c r="C602" t="s">
        <v>3035</v>
      </c>
      <c r="D602" t="s">
        <v>3248</v>
      </c>
      <c r="E602" t="s">
        <v>3249</v>
      </c>
      <c r="F602" t="s">
        <v>29</v>
      </c>
      <c r="G602" t="s">
        <v>3250</v>
      </c>
      <c r="H602" t="s">
        <v>3251</v>
      </c>
      <c r="I602">
        <v>29</v>
      </c>
      <c r="J602">
        <v>19</v>
      </c>
      <c r="K602">
        <v>186</v>
      </c>
      <c r="L602">
        <v>87724</v>
      </c>
      <c r="M602" t="s">
        <v>52</v>
      </c>
      <c r="N602" t="s">
        <v>3040</v>
      </c>
      <c r="O602">
        <v>12876593</v>
      </c>
      <c r="P602" t="s">
        <v>3041</v>
      </c>
      <c r="Q602">
        <v>141401</v>
      </c>
      <c r="R602" t="s">
        <v>3042</v>
      </c>
      <c r="S602">
        <v>717</v>
      </c>
      <c r="T602" t="b">
        <v>0</v>
      </c>
      <c r="U602">
        <v>3</v>
      </c>
      <c r="V602">
        <v>0</v>
      </c>
      <c r="W602" t="s">
        <v>35</v>
      </c>
      <c r="X602" t="s">
        <v>29</v>
      </c>
      <c r="Y602" t="s">
        <v>3252</v>
      </c>
      <c r="Z602" t="s">
        <v>37</v>
      </c>
    </row>
    <row r="603" spans="1:26">
      <c r="A603">
        <v>1.868086191414825E+18</v>
      </c>
      <c r="B603" t="s">
        <v>3034</v>
      </c>
      <c r="C603" t="s">
        <v>3035</v>
      </c>
      <c r="D603" t="s">
        <v>3253</v>
      </c>
      <c r="E603" t="s">
        <v>3254</v>
      </c>
      <c r="F603" t="s">
        <v>29</v>
      </c>
      <c r="G603" t="s">
        <v>3255</v>
      </c>
      <c r="H603" t="s">
        <v>3256</v>
      </c>
      <c r="I603">
        <v>14</v>
      </c>
      <c r="J603">
        <v>31</v>
      </c>
      <c r="K603">
        <v>210</v>
      </c>
      <c r="L603">
        <v>78439</v>
      </c>
      <c r="M603" t="s">
        <v>3257</v>
      </c>
      <c r="N603" t="s">
        <v>29</v>
      </c>
      <c r="O603">
        <v>12876593</v>
      </c>
      <c r="P603" t="s">
        <v>3041</v>
      </c>
      <c r="Q603">
        <v>141401</v>
      </c>
      <c r="R603" t="s">
        <v>3042</v>
      </c>
      <c r="S603">
        <v>717</v>
      </c>
      <c r="T603" t="b">
        <v>0</v>
      </c>
      <c r="U603">
        <v>2</v>
      </c>
      <c r="V603">
        <v>8</v>
      </c>
      <c r="W603" t="s">
        <v>35</v>
      </c>
      <c r="X603" t="s">
        <v>29</v>
      </c>
      <c r="Y603" t="s">
        <v>3258</v>
      </c>
      <c r="Z603" t="s">
        <v>37</v>
      </c>
    </row>
    <row r="604" spans="1:26">
      <c r="A604">
        <v>1.8681244865427256E+18</v>
      </c>
      <c r="B604" t="s">
        <v>3034</v>
      </c>
      <c r="C604" t="s">
        <v>3035</v>
      </c>
      <c r="D604" t="s">
        <v>3259</v>
      </c>
      <c r="E604" t="s">
        <v>3260</v>
      </c>
      <c r="F604" t="s">
        <v>29</v>
      </c>
      <c r="G604" t="s">
        <v>3261</v>
      </c>
      <c r="H604" t="s">
        <v>3262</v>
      </c>
      <c r="I604">
        <v>40</v>
      </c>
      <c r="J604">
        <v>56</v>
      </c>
      <c r="K604">
        <v>1066</v>
      </c>
      <c r="L604">
        <v>130095</v>
      </c>
      <c r="M604" t="s">
        <v>52</v>
      </c>
      <c r="N604" t="s">
        <v>3040</v>
      </c>
      <c r="O604">
        <v>12876593</v>
      </c>
      <c r="P604" t="s">
        <v>3041</v>
      </c>
      <c r="Q604">
        <v>141401</v>
      </c>
      <c r="R604" t="s">
        <v>3042</v>
      </c>
      <c r="S604">
        <v>717</v>
      </c>
      <c r="T604" t="b">
        <v>0</v>
      </c>
      <c r="U604">
        <v>6</v>
      </c>
      <c r="V604">
        <v>27</v>
      </c>
      <c r="W604" t="s">
        <v>35</v>
      </c>
      <c r="X604" t="s">
        <v>29</v>
      </c>
      <c r="Y604" t="s">
        <v>3263</v>
      </c>
      <c r="Z604" t="s">
        <v>37</v>
      </c>
    </row>
    <row r="605" spans="1:26">
      <c r="A605">
        <v>1.8681208386223311E+18</v>
      </c>
      <c r="B605" t="s">
        <v>3034</v>
      </c>
      <c r="C605" t="s">
        <v>3035</v>
      </c>
      <c r="D605" t="s">
        <v>3264</v>
      </c>
      <c r="E605" t="s">
        <v>3265</v>
      </c>
      <c r="F605" t="s">
        <v>29</v>
      </c>
      <c r="G605" t="s">
        <v>3266</v>
      </c>
      <c r="H605" t="s">
        <v>3267</v>
      </c>
      <c r="I605">
        <v>41</v>
      </c>
      <c r="J605">
        <v>27</v>
      </c>
      <c r="K605">
        <v>238</v>
      </c>
      <c r="L605">
        <v>86240</v>
      </c>
      <c r="M605" t="s">
        <v>52</v>
      </c>
      <c r="N605" t="s">
        <v>3040</v>
      </c>
      <c r="O605">
        <v>12876593</v>
      </c>
      <c r="P605" t="s">
        <v>3041</v>
      </c>
      <c r="Q605">
        <v>141401</v>
      </c>
      <c r="R605" t="s">
        <v>3042</v>
      </c>
      <c r="S605">
        <v>717</v>
      </c>
      <c r="T605" t="b">
        <v>0</v>
      </c>
      <c r="U605">
        <v>3</v>
      </c>
      <c r="V605">
        <v>2</v>
      </c>
      <c r="W605" t="s">
        <v>35</v>
      </c>
      <c r="X605" t="s">
        <v>29</v>
      </c>
      <c r="Y605" t="s">
        <v>3268</v>
      </c>
      <c r="Z605" t="s">
        <v>37</v>
      </c>
    </row>
    <row r="606" spans="1:26">
      <c r="A606">
        <v>1.868093359518028E+18</v>
      </c>
      <c r="B606" t="s">
        <v>3034</v>
      </c>
      <c r="C606" t="s">
        <v>3035</v>
      </c>
      <c r="D606" t="s">
        <v>3269</v>
      </c>
      <c r="E606" t="s">
        <v>3270</v>
      </c>
      <c r="F606" t="s">
        <v>29</v>
      </c>
      <c r="G606" t="s">
        <v>3271</v>
      </c>
      <c r="H606" t="s">
        <v>3272</v>
      </c>
      <c r="I606">
        <v>54</v>
      </c>
      <c r="J606">
        <v>26</v>
      </c>
      <c r="K606">
        <v>181</v>
      </c>
      <c r="L606">
        <v>81990</v>
      </c>
      <c r="M606" t="s">
        <v>52</v>
      </c>
      <c r="N606" t="s">
        <v>3040</v>
      </c>
      <c r="O606">
        <v>12876593</v>
      </c>
      <c r="P606" t="s">
        <v>3041</v>
      </c>
      <c r="Q606">
        <v>141401</v>
      </c>
      <c r="R606" t="s">
        <v>3042</v>
      </c>
      <c r="S606">
        <v>717</v>
      </c>
      <c r="T606" t="b">
        <v>0</v>
      </c>
      <c r="U606">
        <v>3</v>
      </c>
      <c r="V606">
        <v>2</v>
      </c>
      <c r="W606" t="s">
        <v>35</v>
      </c>
      <c r="X606" t="s">
        <v>29</v>
      </c>
      <c r="Y606" t="s">
        <v>3273</v>
      </c>
      <c r="Z606" t="s">
        <v>37</v>
      </c>
    </row>
    <row r="607" spans="1:26">
      <c r="A607">
        <v>1.8681838525538266E+18</v>
      </c>
      <c r="B607" t="s">
        <v>3034</v>
      </c>
      <c r="C607" t="s">
        <v>3035</v>
      </c>
      <c r="D607" t="s">
        <v>3274</v>
      </c>
      <c r="E607" t="s">
        <v>3275</v>
      </c>
      <c r="F607" t="s">
        <v>29</v>
      </c>
      <c r="G607" t="s">
        <v>3276</v>
      </c>
      <c r="H607" t="s">
        <v>3277</v>
      </c>
      <c r="I607">
        <v>29</v>
      </c>
      <c r="J607">
        <v>14</v>
      </c>
      <c r="K607">
        <v>198</v>
      </c>
      <c r="L607">
        <v>125258</v>
      </c>
      <c r="M607" t="s">
        <v>52</v>
      </c>
      <c r="N607" t="s">
        <v>3278</v>
      </c>
      <c r="O607">
        <v>12876594</v>
      </c>
      <c r="P607" t="s">
        <v>3041</v>
      </c>
      <c r="Q607">
        <v>141401</v>
      </c>
      <c r="R607" t="s">
        <v>3042</v>
      </c>
      <c r="S607">
        <v>717</v>
      </c>
      <c r="T607" t="b">
        <v>0</v>
      </c>
      <c r="U607">
        <v>0</v>
      </c>
      <c r="V607">
        <v>2</v>
      </c>
      <c r="W607" t="s">
        <v>35</v>
      </c>
      <c r="X607" t="s">
        <v>29</v>
      </c>
      <c r="Y607" t="s">
        <v>3279</v>
      </c>
      <c r="Z607" t="s">
        <v>37</v>
      </c>
    </row>
    <row r="608" spans="1:26">
      <c r="A608">
        <v>1.8680865829279334E+18</v>
      </c>
      <c r="B608" t="s">
        <v>3034</v>
      </c>
      <c r="C608" t="s">
        <v>3035</v>
      </c>
      <c r="D608" t="s">
        <v>3280</v>
      </c>
      <c r="E608" t="s">
        <v>3281</v>
      </c>
      <c r="F608" t="s">
        <v>29</v>
      </c>
      <c r="G608" t="s">
        <v>3282</v>
      </c>
      <c r="H608" t="s">
        <v>3283</v>
      </c>
      <c r="I608">
        <v>28</v>
      </c>
      <c r="J608">
        <v>26</v>
      </c>
      <c r="K608">
        <v>183</v>
      </c>
      <c r="L608">
        <v>82355</v>
      </c>
      <c r="M608" t="s">
        <v>52</v>
      </c>
      <c r="N608" t="s">
        <v>3040</v>
      </c>
      <c r="O608">
        <v>12876594</v>
      </c>
      <c r="P608" t="s">
        <v>3041</v>
      </c>
      <c r="Q608">
        <v>141401</v>
      </c>
      <c r="R608" t="s">
        <v>3042</v>
      </c>
      <c r="S608">
        <v>717</v>
      </c>
      <c r="T608" t="b">
        <v>0</v>
      </c>
      <c r="U608">
        <v>3</v>
      </c>
      <c r="V608">
        <v>7</v>
      </c>
      <c r="W608" t="s">
        <v>35</v>
      </c>
      <c r="X608" t="s">
        <v>29</v>
      </c>
      <c r="Y608" t="s">
        <v>3284</v>
      </c>
      <c r="Z608" t="s">
        <v>37</v>
      </c>
    </row>
    <row r="609" spans="1:26">
      <c r="A609">
        <v>1.8684158328013868E+18</v>
      </c>
      <c r="B609" t="s">
        <v>3285</v>
      </c>
      <c r="C609" t="s">
        <v>3286</v>
      </c>
      <c r="D609" t="s">
        <v>3287</v>
      </c>
      <c r="E609" t="s">
        <v>3288</v>
      </c>
      <c r="F609" t="s">
        <v>29</v>
      </c>
      <c r="G609" t="s">
        <v>3289</v>
      </c>
      <c r="H609" t="s">
        <v>3290</v>
      </c>
      <c r="I609">
        <v>5</v>
      </c>
      <c r="J609">
        <v>56</v>
      </c>
      <c r="K609">
        <v>247</v>
      </c>
      <c r="L609">
        <v>10460</v>
      </c>
      <c r="M609" t="s">
        <v>52</v>
      </c>
      <c r="N609" t="s">
        <v>29</v>
      </c>
      <c r="O609">
        <v>1947864</v>
      </c>
      <c r="P609" t="s">
        <v>3291</v>
      </c>
      <c r="Q609">
        <v>47801</v>
      </c>
      <c r="R609" t="s">
        <v>3292</v>
      </c>
      <c r="S609">
        <v>1031</v>
      </c>
      <c r="T609" t="b">
        <v>0</v>
      </c>
      <c r="U609">
        <v>5</v>
      </c>
      <c r="V609">
        <v>9</v>
      </c>
      <c r="W609" t="s">
        <v>35</v>
      </c>
      <c r="X609" t="s">
        <v>29</v>
      </c>
      <c r="Y609" t="s">
        <v>3293</v>
      </c>
      <c r="Z609" t="s">
        <v>37</v>
      </c>
    </row>
    <row r="610" spans="1:26">
      <c r="A610">
        <v>1.8681471880411346E+18</v>
      </c>
      <c r="B610" t="s">
        <v>3083</v>
      </c>
      <c r="C610" t="s">
        <v>3083</v>
      </c>
      <c r="D610" t="s">
        <v>3294</v>
      </c>
      <c r="E610" t="s">
        <v>3295</v>
      </c>
      <c r="F610" t="s">
        <v>29</v>
      </c>
      <c r="G610" t="s">
        <v>3296</v>
      </c>
      <c r="H610" t="s">
        <v>29</v>
      </c>
      <c r="I610">
        <v>770</v>
      </c>
      <c r="J610">
        <v>3082</v>
      </c>
      <c r="K610">
        <v>23298</v>
      </c>
      <c r="L610">
        <v>4223579</v>
      </c>
      <c r="M610" t="s">
        <v>52</v>
      </c>
      <c r="N610" t="s">
        <v>3087</v>
      </c>
      <c r="O610">
        <v>14375937</v>
      </c>
      <c r="P610" t="s">
        <v>3088</v>
      </c>
      <c r="Q610">
        <v>346973</v>
      </c>
      <c r="R610" t="s">
        <v>3089</v>
      </c>
      <c r="S610">
        <v>392</v>
      </c>
      <c r="T610" t="b">
        <v>0</v>
      </c>
      <c r="U610">
        <v>562</v>
      </c>
      <c r="V610">
        <v>2606</v>
      </c>
      <c r="W610" t="s">
        <v>35</v>
      </c>
      <c r="X610" t="s">
        <v>29</v>
      </c>
      <c r="Y610" t="s">
        <v>3297</v>
      </c>
      <c r="Z610" t="s">
        <v>37</v>
      </c>
    </row>
    <row r="611" spans="1:26">
      <c r="A611">
        <v>1.8685196775733414E+18</v>
      </c>
      <c r="B611" t="s">
        <v>2935</v>
      </c>
      <c r="C611" t="s">
        <v>2936</v>
      </c>
      <c r="D611" t="s">
        <v>3298</v>
      </c>
      <c r="E611" t="s">
        <v>3299</v>
      </c>
      <c r="F611" t="s">
        <v>29</v>
      </c>
      <c r="G611" t="s">
        <v>3300</v>
      </c>
      <c r="H611" t="s">
        <v>29</v>
      </c>
      <c r="I611">
        <v>5</v>
      </c>
      <c r="J611">
        <v>9</v>
      </c>
      <c r="K611">
        <v>25</v>
      </c>
      <c r="L611">
        <v>17116</v>
      </c>
      <c r="M611" t="s">
        <v>3301</v>
      </c>
      <c r="N611" t="s">
        <v>29</v>
      </c>
      <c r="O611">
        <v>9564153</v>
      </c>
      <c r="P611" t="s">
        <v>2941</v>
      </c>
      <c r="Q611">
        <v>1125277</v>
      </c>
      <c r="R611" t="s">
        <v>2942</v>
      </c>
      <c r="S611">
        <v>93</v>
      </c>
      <c r="T611" t="b">
        <v>0</v>
      </c>
      <c r="U611">
        <v>3</v>
      </c>
      <c r="V611">
        <v>1</v>
      </c>
      <c r="W611" t="s">
        <v>35</v>
      </c>
      <c r="X611" t="s">
        <v>3302</v>
      </c>
      <c r="Y611" t="s">
        <v>29</v>
      </c>
      <c r="Z611" t="s">
        <v>37</v>
      </c>
    </row>
    <row r="612" spans="1:26">
      <c r="A612">
        <v>1.8684787657240453E+18</v>
      </c>
      <c r="B612" t="s">
        <v>2935</v>
      </c>
      <c r="C612" t="s">
        <v>2936</v>
      </c>
      <c r="D612" t="s">
        <v>3303</v>
      </c>
      <c r="E612" t="s">
        <v>3304</v>
      </c>
      <c r="F612" t="s">
        <v>29</v>
      </c>
      <c r="G612" t="s">
        <v>3305</v>
      </c>
      <c r="H612" t="s">
        <v>29</v>
      </c>
      <c r="I612">
        <v>30</v>
      </c>
      <c r="J612">
        <v>19</v>
      </c>
      <c r="K612">
        <v>103</v>
      </c>
      <c r="L612">
        <v>64867</v>
      </c>
      <c r="M612" t="s">
        <v>3306</v>
      </c>
      <c r="N612" t="s">
        <v>29</v>
      </c>
      <c r="O612">
        <v>9564154</v>
      </c>
      <c r="P612" t="s">
        <v>2941</v>
      </c>
      <c r="Q612">
        <v>1125277</v>
      </c>
      <c r="R612" t="s">
        <v>2942</v>
      </c>
      <c r="S612">
        <v>93</v>
      </c>
      <c r="T612" t="b">
        <v>0</v>
      </c>
      <c r="U612">
        <v>13</v>
      </c>
      <c r="V612">
        <v>11</v>
      </c>
      <c r="W612" t="s">
        <v>35</v>
      </c>
      <c r="X612" t="s">
        <v>3307</v>
      </c>
      <c r="Y612" t="s">
        <v>29</v>
      </c>
      <c r="Z612" t="s">
        <v>37</v>
      </c>
    </row>
    <row r="613" spans="1:26">
      <c r="A613">
        <v>1.8684311424345705E+18</v>
      </c>
      <c r="B613" t="s">
        <v>2935</v>
      </c>
      <c r="C613" t="s">
        <v>2936</v>
      </c>
      <c r="D613" t="s">
        <v>3308</v>
      </c>
      <c r="E613" t="s">
        <v>3309</v>
      </c>
      <c r="F613" t="s">
        <v>29</v>
      </c>
      <c r="G613" t="s">
        <v>3310</v>
      </c>
      <c r="H613" t="s">
        <v>3311</v>
      </c>
      <c r="I613">
        <v>3</v>
      </c>
      <c r="J613">
        <v>3</v>
      </c>
      <c r="K613">
        <v>20</v>
      </c>
      <c r="L613">
        <v>29398</v>
      </c>
      <c r="M613" t="s">
        <v>3312</v>
      </c>
      <c r="N613" t="s">
        <v>29</v>
      </c>
      <c r="O613">
        <v>9564156</v>
      </c>
      <c r="P613" t="s">
        <v>2941</v>
      </c>
      <c r="Q613">
        <v>1125277</v>
      </c>
      <c r="R613" t="s">
        <v>2942</v>
      </c>
      <c r="S613">
        <v>93</v>
      </c>
      <c r="T613" t="b">
        <v>0</v>
      </c>
      <c r="U613">
        <v>1</v>
      </c>
      <c r="V613">
        <v>2</v>
      </c>
      <c r="W613" t="s">
        <v>35</v>
      </c>
      <c r="X613" t="s">
        <v>3313</v>
      </c>
      <c r="Y613" t="s">
        <v>29</v>
      </c>
      <c r="Z613" t="s">
        <v>37</v>
      </c>
    </row>
    <row r="614" spans="1:26">
      <c r="A614">
        <v>1.86841477922995E+18</v>
      </c>
      <c r="B614" t="s">
        <v>2935</v>
      </c>
      <c r="C614" t="s">
        <v>2936</v>
      </c>
      <c r="D614" t="s">
        <v>3314</v>
      </c>
      <c r="E614" t="s">
        <v>3315</v>
      </c>
      <c r="F614" t="s">
        <v>29</v>
      </c>
      <c r="G614" t="s">
        <v>3316</v>
      </c>
      <c r="H614" t="s">
        <v>3317</v>
      </c>
      <c r="I614">
        <v>2</v>
      </c>
      <c r="J614">
        <v>1</v>
      </c>
      <c r="K614">
        <v>8</v>
      </c>
      <c r="L614">
        <v>28756</v>
      </c>
      <c r="M614" t="s">
        <v>3318</v>
      </c>
      <c r="N614" t="s">
        <v>29</v>
      </c>
      <c r="O614">
        <v>9564156</v>
      </c>
      <c r="P614" t="s">
        <v>2941</v>
      </c>
      <c r="Q614">
        <v>1125277</v>
      </c>
      <c r="R614" t="s">
        <v>2942</v>
      </c>
      <c r="S614">
        <v>93</v>
      </c>
      <c r="T614" t="b">
        <v>0</v>
      </c>
      <c r="U614">
        <v>0</v>
      </c>
      <c r="V614">
        <v>3</v>
      </c>
      <c r="W614" t="s">
        <v>35</v>
      </c>
      <c r="X614" t="s">
        <v>3319</v>
      </c>
      <c r="Y614" t="s">
        <v>29</v>
      </c>
      <c r="Z614" t="s">
        <v>37</v>
      </c>
    </row>
    <row r="615" spans="1:26">
      <c r="A615">
        <v>1.8683261645377208E+18</v>
      </c>
      <c r="B615" t="s">
        <v>2935</v>
      </c>
      <c r="C615" t="s">
        <v>2936</v>
      </c>
      <c r="D615" t="s">
        <v>3320</v>
      </c>
      <c r="E615" t="s">
        <v>3321</v>
      </c>
      <c r="F615" t="s">
        <v>29</v>
      </c>
      <c r="G615" t="s">
        <v>3322</v>
      </c>
      <c r="H615" t="s">
        <v>3323</v>
      </c>
      <c r="I615">
        <v>5</v>
      </c>
      <c r="J615">
        <v>5</v>
      </c>
      <c r="K615">
        <v>18</v>
      </c>
      <c r="L615">
        <v>29656</v>
      </c>
      <c r="M615" t="s">
        <v>3324</v>
      </c>
      <c r="N615" t="s">
        <v>29</v>
      </c>
      <c r="O615">
        <v>9564155</v>
      </c>
      <c r="P615" t="s">
        <v>2941</v>
      </c>
      <c r="Q615">
        <v>1125277</v>
      </c>
      <c r="R615" t="s">
        <v>2942</v>
      </c>
      <c r="S615">
        <v>93</v>
      </c>
      <c r="T615" t="b">
        <v>0</v>
      </c>
      <c r="U615">
        <v>0</v>
      </c>
      <c r="V615">
        <v>4</v>
      </c>
      <c r="W615" t="s">
        <v>35</v>
      </c>
      <c r="X615" t="s">
        <v>29</v>
      </c>
      <c r="Y615" t="s">
        <v>3325</v>
      </c>
      <c r="Z615" t="s">
        <v>37</v>
      </c>
    </row>
    <row r="616" spans="1:26">
      <c r="A616">
        <v>1.8683111925669115E+18</v>
      </c>
      <c r="B616" t="s">
        <v>2935</v>
      </c>
      <c r="C616" t="s">
        <v>2936</v>
      </c>
      <c r="D616" t="s">
        <v>3326</v>
      </c>
      <c r="E616" t="s">
        <v>3327</v>
      </c>
      <c r="F616" t="s">
        <v>29</v>
      </c>
      <c r="G616" t="s">
        <v>3328</v>
      </c>
      <c r="H616" t="s">
        <v>3317</v>
      </c>
      <c r="I616">
        <v>3</v>
      </c>
      <c r="J616">
        <v>2</v>
      </c>
      <c r="K616">
        <v>5</v>
      </c>
      <c r="L616">
        <v>26664</v>
      </c>
      <c r="M616" t="s">
        <v>3329</v>
      </c>
      <c r="N616" t="s">
        <v>29</v>
      </c>
      <c r="O616">
        <v>9564155</v>
      </c>
      <c r="P616" t="s">
        <v>2941</v>
      </c>
      <c r="Q616">
        <v>1125277</v>
      </c>
      <c r="R616" t="s">
        <v>2942</v>
      </c>
      <c r="S616">
        <v>93</v>
      </c>
      <c r="T616" t="b">
        <v>0</v>
      </c>
      <c r="U616">
        <v>0</v>
      </c>
      <c r="V616">
        <v>2</v>
      </c>
      <c r="W616" t="s">
        <v>35</v>
      </c>
      <c r="X616" t="s">
        <v>3330</v>
      </c>
      <c r="Y616" t="s">
        <v>29</v>
      </c>
      <c r="Z616" t="s">
        <v>37</v>
      </c>
    </row>
    <row r="617" spans="1:26">
      <c r="A617">
        <v>1.8683050236350141E+18</v>
      </c>
      <c r="B617" t="s">
        <v>2935</v>
      </c>
      <c r="C617" t="s">
        <v>2936</v>
      </c>
      <c r="D617" t="s">
        <v>3331</v>
      </c>
      <c r="E617" t="s">
        <v>3332</v>
      </c>
      <c r="F617" t="s">
        <v>29</v>
      </c>
      <c r="G617" t="s">
        <v>3333</v>
      </c>
      <c r="H617" t="s">
        <v>29</v>
      </c>
      <c r="I617">
        <v>5</v>
      </c>
      <c r="J617">
        <v>14</v>
      </c>
      <c r="K617">
        <v>36</v>
      </c>
      <c r="L617">
        <v>31891</v>
      </c>
      <c r="M617" t="s">
        <v>3334</v>
      </c>
      <c r="N617" t="s">
        <v>29</v>
      </c>
      <c r="O617">
        <v>9564231</v>
      </c>
      <c r="P617" t="s">
        <v>2941</v>
      </c>
      <c r="Q617">
        <v>1125277</v>
      </c>
      <c r="R617" t="s">
        <v>2942</v>
      </c>
      <c r="S617">
        <v>93</v>
      </c>
      <c r="T617" t="b">
        <v>0</v>
      </c>
      <c r="U617">
        <v>4</v>
      </c>
      <c r="V617">
        <v>1</v>
      </c>
      <c r="W617" t="s">
        <v>35</v>
      </c>
      <c r="X617" t="s">
        <v>3335</v>
      </c>
      <c r="Y617" t="s">
        <v>29</v>
      </c>
      <c r="Z617" t="s">
        <v>37</v>
      </c>
    </row>
    <row r="618" spans="1:26">
      <c r="A618">
        <v>1.8682802126994396E+18</v>
      </c>
      <c r="B618" t="s">
        <v>2935</v>
      </c>
      <c r="C618" t="s">
        <v>2936</v>
      </c>
      <c r="D618" t="s">
        <v>3336</v>
      </c>
      <c r="E618" t="s">
        <v>3337</v>
      </c>
      <c r="F618" t="s">
        <v>29</v>
      </c>
      <c r="G618" t="s">
        <v>3338</v>
      </c>
      <c r="H618" t="s">
        <v>3339</v>
      </c>
      <c r="I618">
        <v>9</v>
      </c>
      <c r="J618">
        <v>12</v>
      </c>
      <c r="K618">
        <v>29</v>
      </c>
      <c r="L618">
        <v>33083</v>
      </c>
      <c r="M618" t="s">
        <v>3340</v>
      </c>
      <c r="N618" t="s">
        <v>29</v>
      </c>
      <c r="O618">
        <v>9564231</v>
      </c>
      <c r="P618" t="s">
        <v>2941</v>
      </c>
      <c r="Q618">
        <v>1125277</v>
      </c>
      <c r="R618" t="s">
        <v>2942</v>
      </c>
      <c r="S618">
        <v>93</v>
      </c>
      <c r="T618" t="b">
        <v>0</v>
      </c>
      <c r="U618">
        <v>1</v>
      </c>
      <c r="V618">
        <v>5</v>
      </c>
      <c r="W618" t="s">
        <v>35</v>
      </c>
      <c r="X618" t="s">
        <v>3302</v>
      </c>
      <c r="Y618" t="s">
        <v>29</v>
      </c>
      <c r="Z618" t="s">
        <v>37</v>
      </c>
    </row>
    <row r="619" spans="1:26">
      <c r="A619">
        <v>1.868268030385398E+18</v>
      </c>
      <c r="B619" t="s">
        <v>2935</v>
      </c>
      <c r="C619" t="s">
        <v>2936</v>
      </c>
      <c r="D619" t="s">
        <v>3341</v>
      </c>
      <c r="E619" t="s">
        <v>3342</v>
      </c>
      <c r="F619" t="s">
        <v>29</v>
      </c>
      <c r="G619" t="s">
        <v>3343</v>
      </c>
      <c r="H619" t="s">
        <v>29</v>
      </c>
      <c r="I619">
        <v>13</v>
      </c>
      <c r="J619">
        <v>2</v>
      </c>
      <c r="K619">
        <v>24</v>
      </c>
      <c r="L619">
        <v>30943</v>
      </c>
      <c r="M619" t="s">
        <v>3344</v>
      </c>
      <c r="N619" t="s">
        <v>29</v>
      </c>
      <c r="O619">
        <v>9564155</v>
      </c>
      <c r="P619" t="s">
        <v>2941</v>
      </c>
      <c r="Q619">
        <v>1125277</v>
      </c>
      <c r="R619" t="s">
        <v>2942</v>
      </c>
      <c r="S619">
        <v>93</v>
      </c>
      <c r="T619" t="b">
        <v>0</v>
      </c>
      <c r="U619">
        <v>1</v>
      </c>
      <c r="V619">
        <v>12</v>
      </c>
      <c r="W619" t="s">
        <v>35</v>
      </c>
      <c r="X619" t="s">
        <v>3345</v>
      </c>
      <c r="Y619" t="s">
        <v>29</v>
      </c>
      <c r="Z619" t="s">
        <v>37</v>
      </c>
    </row>
    <row r="620" spans="1:26">
      <c r="A620">
        <v>1.8682393362289298E+18</v>
      </c>
      <c r="B620" t="s">
        <v>2935</v>
      </c>
      <c r="C620" t="s">
        <v>2936</v>
      </c>
      <c r="D620" t="s">
        <v>3341</v>
      </c>
      <c r="E620" t="s">
        <v>3346</v>
      </c>
      <c r="F620" t="s">
        <v>29</v>
      </c>
      <c r="G620" t="s">
        <v>3347</v>
      </c>
      <c r="H620" t="s">
        <v>29</v>
      </c>
      <c r="I620">
        <v>8</v>
      </c>
      <c r="J620">
        <v>5</v>
      </c>
      <c r="K620">
        <v>18</v>
      </c>
      <c r="L620">
        <v>27145</v>
      </c>
      <c r="M620" t="s">
        <v>3348</v>
      </c>
      <c r="N620" t="s">
        <v>29</v>
      </c>
      <c r="O620">
        <v>9564155</v>
      </c>
      <c r="P620" t="s">
        <v>2941</v>
      </c>
      <c r="Q620">
        <v>1125277</v>
      </c>
      <c r="R620" t="s">
        <v>2942</v>
      </c>
      <c r="S620">
        <v>93</v>
      </c>
      <c r="T620" t="b">
        <v>0</v>
      </c>
      <c r="U620">
        <v>1</v>
      </c>
      <c r="V620">
        <v>12</v>
      </c>
      <c r="W620" t="s">
        <v>35</v>
      </c>
      <c r="X620" t="s">
        <v>3345</v>
      </c>
      <c r="Y620" t="s">
        <v>29</v>
      </c>
      <c r="Z620" t="s">
        <v>37</v>
      </c>
    </row>
    <row r="621" spans="1:26">
      <c r="A621">
        <v>1.868303110046667E+18</v>
      </c>
      <c r="B621" t="s">
        <v>2935</v>
      </c>
      <c r="C621" t="s">
        <v>2936</v>
      </c>
      <c r="D621" t="s">
        <v>3349</v>
      </c>
      <c r="E621" t="s">
        <v>3350</v>
      </c>
      <c r="F621" t="s">
        <v>29</v>
      </c>
      <c r="G621" t="s">
        <v>3351</v>
      </c>
      <c r="H621" t="s">
        <v>3146</v>
      </c>
      <c r="I621">
        <v>2</v>
      </c>
      <c r="J621">
        <v>5</v>
      </c>
      <c r="K621">
        <v>13</v>
      </c>
      <c r="L621">
        <v>29831</v>
      </c>
      <c r="M621" t="s">
        <v>3352</v>
      </c>
      <c r="N621" t="s">
        <v>29</v>
      </c>
      <c r="O621">
        <v>9564155</v>
      </c>
      <c r="P621" t="s">
        <v>2941</v>
      </c>
      <c r="Q621">
        <v>1125277</v>
      </c>
      <c r="R621" t="s">
        <v>2942</v>
      </c>
      <c r="S621">
        <v>93</v>
      </c>
      <c r="T621" t="b">
        <v>0</v>
      </c>
      <c r="U621">
        <v>1</v>
      </c>
      <c r="V621">
        <v>3</v>
      </c>
      <c r="W621" t="s">
        <v>35</v>
      </c>
      <c r="X621" t="s">
        <v>3353</v>
      </c>
      <c r="Y621" t="s">
        <v>29</v>
      </c>
      <c r="Z621" t="s">
        <v>37</v>
      </c>
    </row>
    <row r="622" spans="1:26">
      <c r="A622">
        <v>1.8682484050607762E+18</v>
      </c>
      <c r="B622" t="s">
        <v>2935</v>
      </c>
      <c r="C622" t="s">
        <v>2936</v>
      </c>
      <c r="D622" t="s">
        <v>2960</v>
      </c>
      <c r="E622" t="s">
        <v>3354</v>
      </c>
      <c r="F622" t="s">
        <v>29</v>
      </c>
      <c r="G622" t="s">
        <v>3355</v>
      </c>
      <c r="H622" t="s">
        <v>29</v>
      </c>
      <c r="I622">
        <v>13</v>
      </c>
      <c r="J622">
        <v>17</v>
      </c>
      <c r="K622">
        <v>73</v>
      </c>
      <c r="L622">
        <v>54536</v>
      </c>
      <c r="M622" t="s">
        <v>3356</v>
      </c>
      <c r="N622" t="s">
        <v>29</v>
      </c>
      <c r="O622">
        <v>9564231</v>
      </c>
      <c r="P622" t="s">
        <v>2941</v>
      </c>
      <c r="Q622">
        <v>1125277</v>
      </c>
      <c r="R622" t="s">
        <v>2942</v>
      </c>
      <c r="S622">
        <v>93</v>
      </c>
      <c r="T622" t="b">
        <v>0</v>
      </c>
      <c r="U622">
        <v>3</v>
      </c>
      <c r="V622">
        <v>9</v>
      </c>
      <c r="W622" t="s">
        <v>35</v>
      </c>
      <c r="X622" t="s">
        <v>2964</v>
      </c>
      <c r="Y622" t="s">
        <v>29</v>
      </c>
      <c r="Z622" t="s">
        <v>37</v>
      </c>
    </row>
    <row r="623" spans="1:26">
      <c r="A623">
        <v>1.8681932964570849E+18</v>
      </c>
      <c r="B623" t="s">
        <v>2935</v>
      </c>
      <c r="C623" t="s">
        <v>2936</v>
      </c>
      <c r="D623" t="s">
        <v>3357</v>
      </c>
      <c r="E623" t="s">
        <v>3358</v>
      </c>
      <c r="F623" t="s">
        <v>29</v>
      </c>
      <c r="G623" t="s">
        <v>3359</v>
      </c>
      <c r="H623" t="s">
        <v>3360</v>
      </c>
      <c r="I623">
        <v>0</v>
      </c>
      <c r="J623">
        <v>4</v>
      </c>
      <c r="K623">
        <v>11</v>
      </c>
      <c r="L623">
        <v>24837</v>
      </c>
      <c r="M623" t="s">
        <v>3361</v>
      </c>
      <c r="N623" t="s">
        <v>29</v>
      </c>
      <c r="O623">
        <v>9564155</v>
      </c>
      <c r="P623" t="s">
        <v>2941</v>
      </c>
      <c r="Q623">
        <v>1125277</v>
      </c>
      <c r="R623" t="s">
        <v>2942</v>
      </c>
      <c r="S623">
        <v>93</v>
      </c>
      <c r="T623" t="b">
        <v>0</v>
      </c>
      <c r="U623">
        <v>1</v>
      </c>
      <c r="V623">
        <v>2</v>
      </c>
      <c r="W623" t="s">
        <v>35</v>
      </c>
      <c r="X623" t="s">
        <v>3362</v>
      </c>
      <c r="Y623" t="s">
        <v>29</v>
      </c>
      <c r="Z623" t="s">
        <v>37</v>
      </c>
    </row>
    <row r="624" spans="1:26">
      <c r="A624">
        <v>1.8681588279225964E+18</v>
      </c>
      <c r="B624" t="s">
        <v>2935</v>
      </c>
      <c r="C624" t="s">
        <v>2936</v>
      </c>
      <c r="D624" t="s">
        <v>3363</v>
      </c>
      <c r="E624" t="s">
        <v>3364</v>
      </c>
      <c r="F624" t="s">
        <v>29</v>
      </c>
      <c r="G624" t="s">
        <v>3365</v>
      </c>
      <c r="H624" t="s">
        <v>29</v>
      </c>
      <c r="I624">
        <v>15</v>
      </c>
      <c r="J624">
        <v>20</v>
      </c>
      <c r="K624">
        <v>46</v>
      </c>
      <c r="L624">
        <v>40896</v>
      </c>
      <c r="M624" t="s">
        <v>3366</v>
      </c>
      <c r="N624" t="s">
        <v>29</v>
      </c>
      <c r="O624">
        <v>9564155</v>
      </c>
      <c r="P624" t="s">
        <v>2941</v>
      </c>
      <c r="Q624">
        <v>1125277</v>
      </c>
      <c r="R624" t="s">
        <v>2942</v>
      </c>
      <c r="S624">
        <v>93</v>
      </c>
      <c r="T624" t="b">
        <v>0</v>
      </c>
      <c r="U624">
        <v>5</v>
      </c>
      <c r="V624">
        <v>5</v>
      </c>
      <c r="W624" t="s">
        <v>35</v>
      </c>
      <c r="X624" t="s">
        <v>3367</v>
      </c>
      <c r="Y624" t="s">
        <v>29</v>
      </c>
      <c r="Z624" t="s">
        <v>37</v>
      </c>
    </row>
    <row r="625" spans="1:26">
      <c r="A625">
        <v>1.8660047213385485E+18</v>
      </c>
      <c r="B625" t="s">
        <v>266</v>
      </c>
      <c r="C625" t="s">
        <v>266</v>
      </c>
      <c r="D625" t="s">
        <v>3368</v>
      </c>
      <c r="E625" t="s">
        <v>3369</v>
      </c>
      <c r="F625" t="s">
        <v>3370</v>
      </c>
      <c r="G625" t="s">
        <v>3371</v>
      </c>
      <c r="H625" t="s">
        <v>29</v>
      </c>
      <c r="I625">
        <v>83</v>
      </c>
      <c r="J625">
        <v>301</v>
      </c>
      <c r="K625">
        <v>2002</v>
      </c>
      <c r="L625">
        <v>218069</v>
      </c>
      <c r="M625" t="s">
        <v>3372</v>
      </c>
      <c r="N625" t="s">
        <v>29</v>
      </c>
      <c r="O625">
        <v>47705598</v>
      </c>
      <c r="P625" t="s">
        <v>272</v>
      </c>
      <c r="Q625">
        <v>367157</v>
      </c>
      <c r="R625" t="s">
        <v>273</v>
      </c>
      <c r="S625">
        <v>2012</v>
      </c>
      <c r="T625" t="b">
        <v>0</v>
      </c>
      <c r="U625">
        <v>47</v>
      </c>
      <c r="V625">
        <v>31</v>
      </c>
      <c r="W625" t="s">
        <v>35</v>
      </c>
      <c r="X625" t="s">
        <v>29</v>
      </c>
      <c r="Y625" t="s">
        <v>29</v>
      </c>
      <c r="Z625" t="s">
        <v>37</v>
      </c>
    </row>
    <row r="626" spans="1:26">
      <c r="A626">
        <v>1.868314841339073E+18</v>
      </c>
      <c r="B626" t="s">
        <v>2994</v>
      </c>
      <c r="C626" t="s">
        <v>2995</v>
      </c>
      <c r="D626" t="s">
        <v>3373</v>
      </c>
      <c r="E626" t="s">
        <v>3374</v>
      </c>
      <c r="F626" t="s">
        <v>29</v>
      </c>
      <c r="G626" t="s">
        <v>3375</v>
      </c>
      <c r="H626" t="s">
        <v>29</v>
      </c>
      <c r="I626">
        <v>15</v>
      </c>
      <c r="J626">
        <v>32</v>
      </c>
      <c r="K626">
        <v>666</v>
      </c>
      <c r="L626">
        <v>58820</v>
      </c>
      <c r="M626" t="s">
        <v>52</v>
      </c>
      <c r="N626" t="s">
        <v>3376</v>
      </c>
      <c r="O626">
        <v>812161</v>
      </c>
      <c r="P626" t="s">
        <v>3000</v>
      </c>
      <c r="Q626">
        <v>110924</v>
      </c>
      <c r="R626" t="s">
        <v>3001</v>
      </c>
      <c r="S626">
        <v>322</v>
      </c>
      <c r="T626" t="b">
        <v>0</v>
      </c>
      <c r="U626">
        <v>2</v>
      </c>
      <c r="V626">
        <v>7</v>
      </c>
      <c r="W626" t="s">
        <v>35</v>
      </c>
      <c r="X626" t="s">
        <v>29</v>
      </c>
      <c r="Y626" t="s">
        <v>3377</v>
      </c>
      <c r="Z626" t="s">
        <v>37</v>
      </c>
    </row>
    <row r="627" spans="1:26">
      <c r="A627">
        <v>1.8682707840089216E+18</v>
      </c>
      <c r="B627" t="s">
        <v>3378</v>
      </c>
      <c r="C627" t="s">
        <v>3379</v>
      </c>
      <c r="D627" t="s">
        <v>3380</v>
      </c>
      <c r="E627" t="s">
        <v>3381</v>
      </c>
      <c r="F627" t="s">
        <v>29</v>
      </c>
      <c r="G627" t="s">
        <v>3382</v>
      </c>
      <c r="H627" t="s">
        <v>3383</v>
      </c>
      <c r="I627">
        <v>10</v>
      </c>
      <c r="J627">
        <v>7</v>
      </c>
      <c r="K627">
        <v>294</v>
      </c>
      <c r="L627">
        <v>35659</v>
      </c>
      <c r="M627" t="s">
        <v>52</v>
      </c>
      <c r="N627" t="s">
        <v>29</v>
      </c>
      <c r="O627">
        <v>723805</v>
      </c>
      <c r="P627" t="s">
        <v>3384</v>
      </c>
      <c r="Q627">
        <v>82452</v>
      </c>
      <c r="R627" t="s">
        <v>3385</v>
      </c>
      <c r="S627">
        <v>118</v>
      </c>
      <c r="T627" t="b">
        <v>0</v>
      </c>
      <c r="U627">
        <v>1</v>
      </c>
      <c r="V627">
        <v>3</v>
      </c>
      <c r="W627" t="s">
        <v>35</v>
      </c>
      <c r="X627" t="s">
        <v>29</v>
      </c>
      <c r="Y627" t="s">
        <v>3386</v>
      </c>
      <c r="Z627" t="s">
        <v>37</v>
      </c>
    </row>
    <row r="628" spans="1:26">
      <c r="A628">
        <v>1.8683971838855665E+18</v>
      </c>
      <c r="B628" t="s">
        <v>3196</v>
      </c>
      <c r="C628" t="s">
        <v>3196</v>
      </c>
      <c r="D628" t="s">
        <v>3387</v>
      </c>
      <c r="E628" t="s">
        <v>3388</v>
      </c>
      <c r="F628" t="s">
        <v>29</v>
      </c>
      <c r="G628" t="s">
        <v>3389</v>
      </c>
      <c r="H628" t="s">
        <v>3390</v>
      </c>
      <c r="I628">
        <v>12</v>
      </c>
      <c r="J628">
        <v>17</v>
      </c>
      <c r="K628">
        <v>141</v>
      </c>
      <c r="L628">
        <v>35552</v>
      </c>
      <c r="M628" t="s">
        <v>52</v>
      </c>
      <c r="N628" t="s">
        <v>3201</v>
      </c>
      <c r="O628">
        <v>376785</v>
      </c>
      <c r="P628" t="s">
        <v>3202</v>
      </c>
      <c r="Q628">
        <v>106893</v>
      </c>
      <c r="R628" t="s">
        <v>3203</v>
      </c>
      <c r="S628">
        <v>415</v>
      </c>
      <c r="T628" t="b">
        <v>0</v>
      </c>
      <c r="U628">
        <v>8</v>
      </c>
      <c r="V628">
        <v>3</v>
      </c>
      <c r="W628" t="s">
        <v>35</v>
      </c>
      <c r="X628" t="s">
        <v>29</v>
      </c>
      <c r="Y628" t="s">
        <v>3391</v>
      </c>
      <c r="Z628" t="s">
        <v>37</v>
      </c>
    </row>
    <row r="629" spans="1:26">
      <c r="A629">
        <v>1.8683739636230231E+18</v>
      </c>
      <c r="B629" t="s">
        <v>3392</v>
      </c>
      <c r="C629" t="s">
        <v>3393</v>
      </c>
      <c r="D629" t="s">
        <v>3394</v>
      </c>
      <c r="E629" t="s">
        <v>3395</v>
      </c>
      <c r="F629" t="s">
        <v>29</v>
      </c>
      <c r="G629" t="s">
        <v>3396</v>
      </c>
      <c r="H629" t="s">
        <v>3397</v>
      </c>
      <c r="I629">
        <v>17</v>
      </c>
      <c r="J629">
        <v>95</v>
      </c>
      <c r="K629">
        <v>1082</v>
      </c>
      <c r="L629">
        <v>45688</v>
      </c>
      <c r="M629" t="s">
        <v>52</v>
      </c>
      <c r="N629" t="s">
        <v>3398</v>
      </c>
      <c r="O629">
        <v>1480964</v>
      </c>
      <c r="P629" t="s">
        <v>3399</v>
      </c>
      <c r="Q629">
        <v>103753</v>
      </c>
      <c r="R629" t="s">
        <v>3400</v>
      </c>
      <c r="S629">
        <v>552</v>
      </c>
      <c r="T629" t="b">
        <v>0</v>
      </c>
      <c r="U629">
        <v>38</v>
      </c>
      <c r="V629">
        <v>37</v>
      </c>
      <c r="W629" t="s">
        <v>35</v>
      </c>
      <c r="X629" t="s">
        <v>29</v>
      </c>
      <c r="Y629" t="s">
        <v>3401</v>
      </c>
      <c r="Z629" t="s">
        <v>37</v>
      </c>
    </row>
    <row r="630" spans="1:26">
      <c r="A630">
        <v>1.8683404934045453E+18</v>
      </c>
      <c r="B630" t="s">
        <v>3392</v>
      </c>
      <c r="C630" t="s">
        <v>3393</v>
      </c>
      <c r="D630" t="s">
        <v>3402</v>
      </c>
      <c r="E630" t="s">
        <v>3403</v>
      </c>
      <c r="F630" t="s">
        <v>29</v>
      </c>
      <c r="G630" t="s">
        <v>3404</v>
      </c>
      <c r="H630" t="s">
        <v>29</v>
      </c>
      <c r="I630">
        <v>18</v>
      </c>
      <c r="J630">
        <v>139</v>
      </c>
      <c r="K630">
        <v>1363</v>
      </c>
      <c r="L630">
        <v>169117</v>
      </c>
      <c r="M630" t="s">
        <v>52</v>
      </c>
      <c r="N630" t="s">
        <v>3405</v>
      </c>
      <c r="O630">
        <v>1480966</v>
      </c>
      <c r="P630" t="s">
        <v>3399</v>
      </c>
      <c r="Q630">
        <v>103753</v>
      </c>
      <c r="R630" t="s">
        <v>3400</v>
      </c>
      <c r="S630">
        <v>552</v>
      </c>
      <c r="T630" t="b">
        <v>0</v>
      </c>
      <c r="U630">
        <v>51</v>
      </c>
      <c r="V630">
        <v>63</v>
      </c>
      <c r="W630" t="s">
        <v>35</v>
      </c>
      <c r="X630" t="s">
        <v>29</v>
      </c>
      <c r="Y630" t="s">
        <v>3406</v>
      </c>
      <c r="Z630" t="s">
        <v>37</v>
      </c>
    </row>
    <row r="631" spans="1:26">
      <c r="A631">
        <v>1.8683906723376374E+18</v>
      </c>
      <c r="B631" t="s">
        <v>3407</v>
      </c>
      <c r="C631" t="s">
        <v>3407</v>
      </c>
      <c r="D631" t="s">
        <v>3408</v>
      </c>
      <c r="E631" t="s">
        <v>3409</v>
      </c>
      <c r="F631" t="s">
        <v>29</v>
      </c>
      <c r="G631" t="s">
        <v>3410</v>
      </c>
      <c r="H631" t="s">
        <v>3411</v>
      </c>
      <c r="I631">
        <v>4</v>
      </c>
      <c r="J631">
        <v>9</v>
      </c>
      <c r="K631">
        <v>66</v>
      </c>
      <c r="L631">
        <v>25265</v>
      </c>
      <c r="M631" t="s">
        <v>52</v>
      </c>
      <c r="N631" t="s">
        <v>29</v>
      </c>
      <c r="O631">
        <v>341169</v>
      </c>
      <c r="P631" t="s">
        <v>3412</v>
      </c>
      <c r="Q631">
        <v>82161</v>
      </c>
      <c r="R631" t="s">
        <v>3413</v>
      </c>
      <c r="S631">
        <v>1186</v>
      </c>
      <c r="T631" t="b">
        <v>0</v>
      </c>
      <c r="U631">
        <v>3</v>
      </c>
      <c r="V631">
        <v>2</v>
      </c>
      <c r="W631" t="s">
        <v>35</v>
      </c>
      <c r="X631" t="s">
        <v>29</v>
      </c>
      <c r="Y631" t="s">
        <v>3414</v>
      </c>
      <c r="Z631" t="s">
        <v>37</v>
      </c>
    </row>
    <row r="632" spans="1:26">
      <c r="A632">
        <v>1.8683341233305521E+18</v>
      </c>
      <c r="B632" t="s">
        <v>2994</v>
      </c>
      <c r="C632" t="s">
        <v>2995</v>
      </c>
      <c r="D632" t="s">
        <v>3415</v>
      </c>
      <c r="E632" t="s">
        <v>3416</v>
      </c>
      <c r="F632" t="s">
        <v>29</v>
      </c>
      <c r="G632" t="s">
        <v>3417</v>
      </c>
      <c r="H632" t="s">
        <v>29</v>
      </c>
      <c r="I632">
        <v>14</v>
      </c>
      <c r="J632">
        <v>83</v>
      </c>
      <c r="K632">
        <v>892</v>
      </c>
      <c r="L632">
        <v>67045</v>
      </c>
      <c r="M632" t="s">
        <v>52</v>
      </c>
      <c r="N632" t="s">
        <v>3174</v>
      </c>
      <c r="O632">
        <v>812163</v>
      </c>
      <c r="P632" t="s">
        <v>3000</v>
      </c>
      <c r="Q632">
        <v>110924</v>
      </c>
      <c r="R632" t="s">
        <v>3001</v>
      </c>
      <c r="S632">
        <v>322</v>
      </c>
      <c r="T632" t="b">
        <v>0</v>
      </c>
      <c r="U632">
        <v>4</v>
      </c>
      <c r="V632">
        <v>15</v>
      </c>
      <c r="W632" t="s">
        <v>35</v>
      </c>
      <c r="X632" t="s">
        <v>29</v>
      </c>
      <c r="Y632" t="s">
        <v>3418</v>
      </c>
      <c r="Z632" t="s">
        <v>37</v>
      </c>
    </row>
    <row r="633" spans="1:26">
      <c r="A633">
        <v>1.8680971584879782E+18</v>
      </c>
      <c r="B633" t="s">
        <v>3034</v>
      </c>
      <c r="C633" t="s">
        <v>3035</v>
      </c>
      <c r="D633" t="s">
        <v>3419</v>
      </c>
      <c r="E633" t="s">
        <v>3420</v>
      </c>
      <c r="F633" t="s">
        <v>29</v>
      </c>
      <c r="G633" t="s">
        <v>3421</v>
      </c>
      <c r="H633" t="s">
        <v>3262</v>
      </c>
      <c r="I633">
        <v>73</v>
      </c>
      <c r="J633">
        <v>44</v>
      </c>
      <c r="K633">
        <v>779</v>
      </c>
      <c r="L633">
        <v>149461</v>
      </c>
      <c r="M633" t="s">
        <v>52</v>
      </c>
      <c r="N633" t="s">
        <v>3040</v>
      </c>
      <c r="O633">
        <v>12876593</v>
      </c>
      <c r="P633" t="s">
        <v>3041</v>
      </c>
      <c r="Q633">
        <v>141401</v>
      </c>
      <c r="R633" t="s">
        <v>3042</v>
      </c>
      <c r="S633">
        <v>717</v>
      </c>
      <c r="T633" t="b">
        <v>0</v>
      </c>
      <c r="U633">
        <v>11</v>
      </c>
      <c r="V633">
        <v>17</v>
      </c>
      <c r="W633" t="s">
        <v>35</v>
      </c>
      <c r="X633" t="s">
        <v>29</v>
      </c>
      <c r="Y633" t="s">
        <v>3422</v>
      </c>
      <c r="Z633" t="s">
        <v>37</v>
      </c>
    </row>
    <row r="634" spans="1:26">
      <c r="A634">
        <v>1.8684245834112699E+18</v>
      </c>
      <c r="B634" t="s">
        <v>3224</v>
      </c>
      <c r="C634" t="s">
        <v>3225</v>
      </c>
      <c r="D634" t="s">
        <v>3423</v>
      </c>
      <c r="E634" t="s">
        <v>3424</v>
      </c>
      <c r="F634" t="s">
        <v>29</v>
      </c>
      <c r="G634" t="s">
        <v>3425</v>
      </c>
      <c r="H634" t="s">
        <v>3426</v>
      </c>
      <c r="I634">
        <v>14</v>
      </c>
      <c r="J634">
        <v>10</v>
      </c>
      <c r="K634">
        <v>208</v>
      </c>
      <c r="L634">
        <v>241905</v>
      </c>
      <c r="M634" t="s">
        <v>52</v>
      </c>
      <c r="N634" t="s">
        <v>29</v>
      </c>
      <c r="O634">
        <v>2999631</v>
      </c>
      <c r="P634" t="s">
        <v>3230</v>
      </c>
      <c r="Q634">
        <v>183050</v>
      </c>
      <c r="R634" t="s">
        <v>3231</v>
      </c>
      <c r="S634">
        <v>920</v>
      </c>
      <c r="T634" t="b">
        <v>0</v>
      </c>
      <c r="U634">
        <v>2</v>
      </c>
      <c r="V634">
        <v>8</v>
      </c>
      <c r="W634" t="s">
        <v>35</v>
      </c>
      <c r="X634" t="s">
        <v>29</v>
      </c>
      <c r="Y634" t="s">
        <v>3427</v>
      </c>
      <c r="Z634" t="s">
        <v>37</v>
      </c>
    </row>
    <row r="635" spans="1:26">
      <c r="A635">
        <v>1.8681489842056809E+18</v>
      </c>
      <c r="B635" t="s">
        <v>3034</v>
      </c>
      <c r="C635" t="s">
        <v>3035</v>
      </c>
      <c r="D635" t="s">
        <v>3428</v>
      </c>
      <c r="E635" t="s">
        <v>3429</v>
      </c>
      <c r="F635" t="s">
        <v>29</v>
      </c>
      <c r="G635" t="s">
        <v>3430</v>
      </c>
      <c r="H635" t="s">
        <v>29</v>
      </c>
      <c r="I635">
        <v>45</v>
      </c>
      <c r="J635">
        <v>15</v>
      </c>
      <c r="K635">
        <v>321</v>
      </c>
      <c r="L635">
        <v>110134</v>
      </c>
      <c r="M635" t="s">
        <v>52</v>
      </c>
      <c r="N635" t="s">
        <v>3040</v>
      </c>
      <c r="O635">
        <v>12876593</v>
      </c>
      <c r="P635" t="s">
        <v>3041</v>
      </c>
      <c r="Q635">
        <v>141401</v>
      </c>
      <c r="R635" t="s">
        <v>3042</v>
      </c>
      <c r="S635">
        <v>717</v>
      </c>
      <c r="T635" t="b">
        <v>0</v>
      </c>
      <c r="U635">
        <v>6</v>
      </c>
      <c r="V635">
        <v>5</v>
      </c>
      <c r="W635" t="s">
        <v>35</v>
      </c>
      <c r="X635" t="s">
        <v>29</v>
      </c>
      <c r="Y635" t="s">
        <v>3431</v>
      </c>
      <c r="Z635" t="s">
        <v>37</v>
      </c>
    </row>
    <row r="636" spans="1:26">
      <c r="A636">
        <v>1.8681184768813304E+18</v>
      </c>
      <c r="B636" t="s">
        <v>3034</v>
      </c>
      <c r="C636" t="s">
        <v>3035</v>
      </c>
      <c r="D636" t="s">
        <v>3432</v>
      </c>
      <c r="E636" t="s">
        <v>3433</v>
      </c>
      <c r="F636" t="s">
        <v>29</v>
      </c>
      <c r="G636" t="s">
        <v>3434</v>
      </c>
      <c r="H636" t="s">
        <v>3435</v>
      </c>
      <c r="I636">
        <v>46</v>
      </c>
      <c r="J636">
        <v>59</v>
      </c>
      <c r="K636">
        <v>834</v>
      </c>
      <c r="L636">
        <v>121128</v>
      </c>
      <c r="M636" t="s">
        <v>52</v>
      </c>
      <c r="N636" t="s">
        <v>3040</v>
      </c>
      <c r="O636">
        <v>12876593</v>
      </c>
      <c r="P636" t="s">
        <v>3041</v>
      </c>
      <c r="Q636">
        <v>141401</v>
      </c>
      <c r="R636" t="s">
        <v>3042</v>
      </c>
      <c r="S636">
        <v>717</v>
      </c>
      <c r="T636" t="b">
        <v>0</v>
      </c>
      <c r="U636">
        <v>5</v>
      </c>
      <c r="V636">
        <v>10</v>
      </c>
      <c r="W636" t="s">
        <v>35</v>
      </c>
      <c r="X636" t="s">
        <v>29</v>
      </c>
      <c r="Y636" t="s">
        <v>3436</v>
      </c>
      <c r="Z636" t="s">
        <v>37</v>
      </c>
    </row>
    <row r="637" spans="1:26">
      <c r="A637">
        <v>1.8681091486821338E+18</v>
      </c>
      <c r="B637" t="s">
        <v>3034</v>
      </c>
      <c r="C637" t="s">
        <v>3035</v>
      </c>
      <c r="D637" t="s">
        <v>3437</v>
      </c>
      <c r="E637" t="s">
        <v>3438</v>
      </c>
      <c r="F637" t="s">
        <v>29</v>
      </c>
      <c r="G637" t="s">
        <v>3439</v>
      </c>
      <c r="H637" t="s">
        <v>3262</v>
      </c>
      <c r="I637">
        <v>51</v>
      </c>
      <c r="J637">
        <v>33</v>
      </c>
      <c r="K637">
        <v>430</v>
      </c>
      <c r="L637">
        <v>90617</v>
      </c>
      <c r="M637" t="s">
        <v>52</v>
      </c>
      <c r="N637" t="s">
        <v>3040</v>
      </c>
      <c r="O637">
        <v>12876593</v>
      </c>
      <c r="P637" t="s">
        <v>3041</v>
      </c>
      <c r="Q637">
        <v>141401</v>
      </c>
      <c r="R637" t="s">
        <v>3042</v>
      </c>
      <c r="S637">
        <v>717</v>
      </c>
      <c r="T637" t="b">
        <v>0</v>
      </c>
      <c r="U637">
        <v>3</v>
      </c>
      <c r="V637">
        <v>14</v>
      </c>
      <c r="W637" t="s">
        <v>35</v>
      </c>
      <c r="X637" t="s">
        <v>29</v>
      </c>
      <c r="Y637" t="s">
        <v>3440</v>
      </c>
      <c r="Z637" t="s">
        <v>37</v>
      </c>
    </row>
    <row r="638" spans="1:26">
      <c r="A638">
        <v>1.8681188395585454E+18</v>
      </c>
      <c r="B638" t="s">
        <v>3034</v>
      </c>
      <c r="C638" t="s">
        <v>3035</v>
      </c>
      <c r="D638" t="s">
        <v>3441</v>
      </c>
      <c r="E638" t="s">
        <v>3442</v>
      </c>
      <c r="F638" t="s">
        <v>29</v>
      </c>
      <c r="G638" t="s">
        <v>3443</v>
      </c>
      <c r="H638" t="s">
        <v>3444</v>
      </c>
      <c r="I638">
        <v>49</v>
      </c>
      <c r="J638">
        <v>53</v>
      </c>
      <c r="K638">
        <v>534</v>
      </c>
      <c r="L638">
        <v>90926</v>
      </c>
      <c r="M638" t="s">
        <v>52</v>
      </c>
      <c r="N638" t="s">
        <v>3040</v>
      </c>
      <c r="O638">
        <v>12876593</v>
      </c>
      <c r="P638" t="s">
        <v>3041</v>
      </c>
      <c r="Q638">
        <v>141401</v>
      </c>
      <c r="R638" t="s">
        <v>3042</v>
      </c>
      <c r="S638">
        <v>717</v>
      </c>
      <c r="T638" t="b">
        <v>0</v>
      </c>
      <c r="U638">
        <v>4</v>
      </c>
      <c r="V638">
        <v>10</v>
      </c>
      <c r="W638" t="s">
        <v>35</v>
      </c>
      <c r="X638" t="s">
        <v>29</v>
      </c>
      <c r="Y638" t="s">
        <v>3445</v>
      </c>
      <c r="Z638" t="s">
        <v>37</v>
      </c>
    </row>
    <row r="639" spans="1:26">
      <c r="A639">
        <v>1.8680848073744507E+18</v>
      </c>
      <c r="B639" t="s">
        <v>3034</v>
      </c>
      <c r="C639" t="s">
        <v>3035</v>
      </c>
      <c r="D639" t="s">
        <v>3446</v>
      </c>
      <c r="E639" t="s">
        <v>3447</v>
      </c>
      <c r="F639" t="s">
        <v>29</v>
      </c>
      <c r="G639" t="s">
        <v>3448</v>
      </c>
      <c r="H639" t="s">
        <v>3262</v>
      </c>
      <c r="I639">
        <v>29</v>
      </c>
      <c r="J639">
        <v>21</v>
      </c>
      <c r="K639">
        <v>208</v>
      </c>
      <c r="L639">
        <v>72033</v>
      </c>
      <c r="M639" t="s">
        <v>52</v>
      </c>
      <c r="N639" t="s">
        <v>3040</v>
      </c>
      <c r="O639">
        <v>12876593</v>
      </c>
      <c r="P639" t="s">
        <v>3041</v>
      </c>
      <c r="Q639">
        <v>141401</v>
      </c>
      <c r="R639" t="s">
        <v>3042</v>
      </c>
      <c r="S639">
        <v>717</v>
      </c>
      <c r="T639" t="b">
        <v>0</v>
      </c>
      <c r="U639">
        <v>1</v>
      </c>
      <c r="V639">
        <v>4</v>
      </c>
      <c r="W639" t="s">
        <v>35</v>
      </c>
      <c r="X639" t="s">
        <v>29</v>
      </c>
      <c r="Y639" t="s">
        <v>3449</v>
      </c>
      <c r="Z639" t="s">
        <v>37</v>
      </c>
    </row>
    <row r="640" spans="1:26">
      <c r="A640">
        <v>1.8681148316827489E+18</v>
      </c>
      <c r="B640" t="s">
        <v>3034</v>
      </c>
      <c r="C640" t="s">
        <v>3035</v>
      </c>
      <c r="D640" t="s">
        <v>3450</v>
      </c>
      <c r="E640" t="s">
        <v>3451</v>
      </c>
      <c r="F640" t="s">
        <v>29</v>
      </c>
      <c r="G640" t="s">
        <v>3452</v>
      </c>
      <c r="H640" t="s">
        <v>3444</v>
      </c>
      <c r="I640">
        <v>51</v>
      </c>
      <c r="J640">
        <v>27</v>
      </c>
      <c r="K640">
        <v>282</v>
      </c>
      <c r="L640">
        <v>88482</v>
      </c>
      <c r="M640" t="s">
        <v>52</v>
      </c>
      <c r="N640" t="s">
        <v>3040</v>
      </c>
      <c r="O640">
        <v>12876593</v>
      </c>
      <c r="P640" t="s">
        <v>3041</v>
      </c>
      <c r="Q640">
        <v>141401</v>
      </c>
      <c r="R640" t="s">
        <v>3042</v>
      </c>
      <c r="S640">
        <v>717</v>
      </c>
      <c r="T640" t="b">
        <v>0</v>
      </c>
      <c r="U640">
        <v>3</v>
      </c>
      <c r="V640">
        <v>4</v>
      </c>
      <c r="W640" t="s">
        <v>35</v>
      </c>
      <c r="X640" t="s">
        <v>29</v>
      </c>
      <c r="Y640" t="s">
        <v>3453</v>
      </c>
      <c r="Z640" t="s">
        <v>37</v>
      </c>
    </row>
    <row r="641" spans="1:26">
      <c r="A641">
        <v>1.8685237389640379E+18</v>
      </c>
      <c r="B641" t="s">
        <v>2935</v>
      </c>
      <c r="C641" t="s">
        <v>2936</v>
      </c>
      <c r="D641" t="s">
        <v>3454</v>
      </c>
      <c r="E641" t="s">
        <v>3455</v>
      </c>
      <c r="F641" t="s">
        <v>29</v>
      </c>
      <c r="G641" t="s">
        <v>3456</v>
      </c>
      <c r="H641" t="s">
        <v>29</v>
      </c>
      <c r="I641">
        <v>4</v>
      </c>
      <c r="J641">
        <v>4</v>
      </c>
      <c r="K641">
        <v>12</v>
      </c>
      <c r="L641">
        <v>14819</v>
      </c>
      <c r="M641" t="s">
        <v>3457</v>
      </c>
      <c r="N641" t="s">
        <v>29</v>
      </c>
      <c r="O641">
        <v>9564154</v>
      </c>
      <c r="P641" t="s">
        <v>2941</v>
      </c>
      <c r="Q641">
        <v>1125277</v>
      </c>
      <c r="R641" t="s">
        <v>2942</v>
      </c>
      <c r="S641">
        <v>93</v>
      </c>
      <c r="T641" t="b">
        <v>0</v>
      </c>
      <c r="U641">
        <v>1</v>
      </c>
      <c r="V641">
        <v>1</v>
      </c>
      <c r="W641" t="s">
        <v>35</v>
      </c>
      <c r="X641" t="s">
        <v>3458</v>
      </c>
      <c r="Y641" t="s">
        <v>29</v>
      </c>
      <c r="Z641" t="s">
        <v>37</v>
      </c>
    </row>
    <row r="642" spans="1:26">
      <c r="A642">
        <v>1.8685128845247613E+18</v>
      </c>
      <c r="B642" t="s">
        <v>2935</v>
      </c>
      <c r="C642" t="s">
        <v>2936</v>
      </c>
      <c r="D642" t="s">
        <v>3459</v>
      </c>
      <c r="E642" t="s">
        <v>3460</v>
      </c>
      <c r="F642" t="s">
        <v>29</v>
      </c>
      <c r="G642" t="s">
        <v>3461</v>
      </c>
      <c r="H642" t="s">
        <v>29</v>
      </c>
      <c r="I642">
        <v>3</v>
      </c>
      <c r="J642">
        <v>3</v>
      </c>
      <c r="K642">
        <v>12</v>
      </c>
      <c r="L642">
        <v>19108</v>
      </c>
      <c r="M642" t="s">
        <v>3462</v>
      </c>
      <c r="N642" t="s">
        <v>29</v>
      </c>
      <c r="O642">
        <v>9564154</v>
      </c>
      <c r="P642" t="s">
        <v>2941</v>
      </c>
      <c r="Q642">
        <v>1125277</v>
      </c>
      <c r="R642" t="s">
        <v>2942</v>
      </c>
      <c r="S642">
        <v>93</v>
      </c>
      <c r="T642" t="b">
        <v>0</v>
      </c>
      <c r="U642">
        <v>2</v>
      </c>
      <c r="V642">
        <v>3</v>
      </c>
      <c r="W642" t="s">
        <v>35</v>
      </c>
      <c r="X642" t="s">
        <v>3463</v>
      </c>
      <c r="Y642" t="s">
        <v>29</v>
      </c>
      <c r="Z642" t="s">
        <v>37</v>
      </c>
    </row>
    <row r="643" spans="1:26">
      <c r="A643">
        <v>1.8684726550089731E+18</v>
      </c>
      <c r="B643" t="s">
        <v>2935</v>
      </c>
      <c r="C643" t="s">
        <v>2936</v>
      </c>
      <c r="D643" t="s">
        <v>3464</v>
      </c>
      <c r="E643" t="s">
        <v>3465</v>
      </c>
      <c r="F643" t="s">
        <v>29</v>
      </c>
      <c r="G643" t="s">
        <v>3466</v>
      </c>
      <c r="H643" t="s">
        <v>29</v>
      </c>
      <c r="I643">
        <v>2</v>
      </c>
      <c r="J643">
        <v>4</v>
      </c>
      <c r="K643">
        <v>13</v>
      </c>
      <c r="L643">
        <v>30055</v>
      </c>
      <c r="M643" t="s">
        <v>3467</v>
      </c>
      <c r="N643" t="s">
        <v>29</v>
      </c>
      <c r="O643">
        <v>9564232</v>
      </c>
      <c r="P643" t="s">
        <v>2941</v>
      </c>
      <c r="Q643">
        <v>1125277</v>
      </c>
      <c r="R643" t="s">
        <v>2942</v>
      </c>
      <c r="S643">
        <v>93</v>
      </c>
      <c r="T643" t="b">
        <v>0</v>
      </c>
      <c r="U643">
        <v>2</v>
      </c>
      <c r="V643">
        <v>1</v>
      </c>
      <c r="W643" t="s">
        <v>35</v>
      </c>
      <c r="X643" t="s">
        <v>3468</v>
      </c>
      <c r="Y643" t="s">
        <v>29</v>
      </c>
      <c r="Z643" t="s">
        <v>37</v>
      </c>
    </row>
    <row r="644" spans="1:26">
      <c r="A644">
        <v>1.8685194401715612E+18</v>
      </c>
      <c r="B644" t="s">
        <v>2935</v>
      </c>
      <c r="C644" t="s">
        <v>2936</v>
      </c>
      <c r="D644" t="s">
        <v>3469</v>
      </c>
      <c r="E644" t="s">
        <v>3470</v>
      </c>
      <c r="F644" t="s">
        <v>29</v>
      </c>
      <c r="G644" t="s">
        <v>3471</v>
      </c>
      <c r="H644" t="s">
        <v>29</v>
      </c>
      <c r="I644">
        <v>5</v>
      </c>
      <c r="J644">
        <v>1</v>
      </c>
      <c r="K644">
        <v>15</v>
      </c>
      <c r="L644">
        <v>16514</v>
      </c>
      <c r="M644" t="s">
        <v>3472</v>
      </c>
      <c r="N644" t="s">
        <v>29</v>
      </c>
      <c r="O644">
        <v>9564230</v>
      </c>
      <c r="P644" t="s">
        <v>2941</v>
      </c>
      <c r="Q644">
        <v>1125277</v>
      </c>
      <c r="R644" t="s">
        <v>2942</v>
      </c>
      <c r="S644">
        <v>93</v>
      </c>
      <c r="T644" t="b">
        <v>0</v>
      </c>
      <c r="U644">
        <v>1</v>
      </c>
      <c r="V644">
        <v>1</v>
      </c>
      <c r="W644" t="s">
        <v>35</v>
      </c>
      <c r="X644" t="s">
        <v>3473</v>
      </c>
      <c r="Y644" t="s">
        <v>29</v>
      </c>
      <c r="Z644" t="s">
        <v>37</v>
      </c>
    </row>
    <row r="645" spans="1:26">
      <c r="A645">
        <v>1.868372811078636E+18</v>
      </c>
      <c r="B645" t="s">
        <v>2935</v>
      </c>
      <c r="C645" t="s">
        <v>2936</v>
      </c>
      <c r="D645" t="s">
        <v>3474</v>
      </c>
      <c r="E645" t="s">
        <v>3475</v>
      </c>
      <c r="F645" t="s">
        <v>29</v>
      </c>
      <c r="G645" t="s">
        <v>3476</v>
      </c>
      <c r="H645" t="s">
        <v>29</v>
      </c>
      <c r="I645">
        <v>12</v>
      </c>
      <c r="J645">
        <v>22</v>
      </c>
      <c r="K645">
        <v>50</v>
      </c>
      <c r="L645">
        <v>39590</v>
      </c>
      <c r="M645" t="s">
        <v>3477</v>
      </c>
      <c r="N645" t="s">
        <v>29</v>
      </c>
      <c r="O645">
        <v>9564156</v>
      </c>
      <c r="P645" t="s">
        <v>2941</v>
      </c>
      <c r="Q645">
        <v>1125277</v>
      </c>
      <c r="R645" t="s">
        <v>2942</v>
      </c>
      <c r="S645">
        <v>93</v>
      </c>
      <c r="T645" t="b">
        <v>0</v>
      </c>
      <c r="U645">
        <v>7</v>
      </c>
      <c r="V645">
        <v>4</v>
      </c>
      <c r="W645" t="s">
        <v>35</v>
      </c>
      <c r="X645" t="s">
        <v>3478</v>
      </c>
      <c r="Y645" t="s">
        <v>29</v>
      </c>
      <c r="Z645" t="s">
        <v>37</v>
      </c>
    </row>
    <row r="646" spans="1:26">
      <c r="A646">
        <v>1.8685106425350067E+18</v>
      </c>
      <c r="B646" t="s">
        <v>2935</v>
      </c>
      <c r="C646" t="s">
        <v>2936</v>
      </c>
      <c r="D646" t="s">
        <v>3479</v>
      </c>
      <c r="E646" t="s">
        <v>3480</v>
      </c>
      <c r="F646" t="s">
        <v>29</v>
      </c>
      <c r="G646" t="s">
        <v>3481</v>
      </c>
      <c r="H646" t="s">
        <v>29</v>
      </c>
      <c r="I646">
        <v>2</v>
      </c>
      <c r="J646">
        <v>3</v>
      </c>
      <c r="K646">
        <v>9</v>
      </c>
      <c r="L646">
        <v>19744</v>
      </c>
      <c r="M646" t="s">
        <v>3482</v>
      </c>
      <c r="N646" t="s">
        <v>29</v>
      </c>
      <c r="O646">
        <v>9564155</v>
      </c>
      <c r="P646" t="s">
        <v>2941</v>
      </c>
      <c r="Q646">
        <v>1125277</v>
      </c>
      <c r="R646" t="s">
        <v>2942</v>
      </c>
      <c r="S646">
        <v>93</v>
      </c>
      <c r="T646" t="b">
        <v>0</v>
      </c>
      <c r="U646">
        <v>1</v>
      </c>
      <c r="V646">
        <v>1</v>
      </c>
      <c r="W646" t="s">
        <v>35</v>
      </c>
      <c r="X646" t="s">
        <v>3483</v>
      </c>
      <c r="Y646" t="s">
        <v>29</v>
      </c>
      <c r="Z646" t="s">
        <v>37</v>
      </c>
    </row>
    <row r="647" spans="1:26">
      <c r="A647">
        <v>1.8683134771120868E+18</v>
      </c>
      <c r="B647" t="s">
        <v>2935</v>
      </c>
      <c r="C647" t="s">
        <v>2936</v>
      </c>
      <c r="D647" t="s">
        <v>3484</v>
      </c>
      <c r="E647" t="s">
        <v>3485</v>
      </c>
      <c r="F647" t="s">
        <v>29</v>
      </c>
      <c r="G647" t="s">
        <v>3486</v>
      </c>
      <c r="H647" t="s">
        <v>29</v>
      </c>
      <c r="I647">
        <v>33</v>
      </c>
      <c r="J647">
        <v>12</v>
      </c>
      <c r="K647">
        <v>39</v>
      </c>
      <c r="L647">
        <v>33253</v>
      </c>
      <c r="M647" t="s">
        <v>3487</v>
      </c>
      <c r="N647" t="s">
        <v>29</v>
      </c>
      <c r="O647">
        <v>9564155</v>
      </c>
      <c r="P647" t="s">
        <v>2941</v>
      </c>
      <c r="Q647">
        <v>1125277</v>
      </c>
      <c r="R647" t="s">
        <v>2942</v>
      </c>
      <c r="S647">
        <v>93</v>
      </c>
      <c r="T647" t="b">
        <v>0</v>
      </c>
      <c r="U647">
        <v>3</v>
      </c>
      <c r="V647">
        <v>5</v>
      </c>
      <c r="W647" t="s">
        <v>35</v>
      </c>
      <c r="X647" t="s">
        <v>3106</v>
      </c>
      <c r="Y647" t="s">
        <v>29</v>
      </c>
      <c r="Z647" t="s">
        <v>37</v>
      </c>
    </row>
    <row r="648" spans="1:26">
      <c r="A648">
        <v>1.8682252551241979E+18</v>
      </c>
      <c r="B648" t="s">
        <v>2935</v>
      </c>
      <c r="C648" t="s">
        <v>2936</v>
      </c>
      <c r="D648" t="s">
        <v>3488</v>
      </c>
      <c r="E648" t="s">
        <v>3489</v>
      </c>
      <c r="F648" t="s">
        <v>29</v>
      </c>
      <c r="G648" t="s">
        <v>3490</v>
      </c>
      <c r="H648" t="s">
        <v>29</v>
      </c>
      <c r="I648">
        <v>15</v>
      </c>
      <c r="J648">
        <v>3</v>
      </c>
      <c r="K648">
        <v>23</v>
      </c>
      <c r="L648">
        <v>27699</v>
      </c>
      <c r="M648" t="s">
        <v>3491</v>
      </c>
      <c r="N648" t="s">
        <v>29</v>
      </c>
      <c r="O648">
        <v>9564155</v>
      </c>
      <c r="P648" t="s">
        <v>2941</v>
      </c>
      <c r="Q648">
        <v>1125277</v>
      </c>
      <c r="R648" t="s">
        <v>2942</v>
      </c>
      <c r="S648">
        <v>93</v>
      </c>
      <c r="T648" t="b">
        <v>0</v>
      </c>
      <c r="U648">
        <v>1</v>
      </c>
      <c r="V648">
        <v>2</v>
      </c>
      <c r="W648" t="s">
        <v>35</v>
      </c>
      <c r="X648" t="s">
        <v>3492</v>
      </c>
      <c r="Y648" t="s">
        <v>29</v>
      </c>
      <c r="Z648" t="s">
        <v>37</v>
      </c>
    </row>
    <row r="649" spans="1:26">
      <c r="A649">
        <v>1.868204947692458E+18</v>
      </c>
      <c r="B649" t="s">
        <v>2935</v>
      </c>
      <c r="C649" t="s">
        <v>2936</v>
      </c>
      <c r="D649" t="s">
        <v>3493</v>
      </c>
      <c r="E649" t="s">
        <v>3494</v>
      </c>
      <c r="F649" t="s">
        <v>29</v>
      </c>
      <c r="G649" t="s">
        <v>3495</v>
      </c>
      <c r="H649" t="s">
        <v>29</v>
      </c>
      <c r="I649">
        <v>3</v>
      </c>
      <c r="J649">
        <v>5</v>
      </c>
      <c r="K649">
        <v>15</v>
      </c>
      <c r="L649">
        <v>31312</v>
      </c>
      <c r="M649" t="s">
        <v>3496</v>
      </c>
      <c r="N649" t="s">
        <v>29</v>
      </c>
      <c r="O649">
        <v>9564155</v>
      </c>
      <c r="P649" t="s">
        <v>2941</v>
      </c>
      <c r="Q649">
        <v>1125277</v>
      </c>
      <c r="R649" t="s">
        <v>2942</v>
      </c>
      <c r="S649">
        <v>93</v>
      </c>
      <c r="T649" t="b">
        <v>0</v>
      </c>
      <c r="U649">
        <v>3</v>
      </c>
      <c r="V649">
        <v>3</v>
      </c>
      <c r="W649" t="s">
        <v>35</v>
      </c>
      <c r="X649" t="s">
        <v>3497</v>
      </c>
      <c r="Y649" t="s">
        <v>29</v>
      </c>
      <c r="Z649" t="s">
        <v>37</v>
      </c>
    </row>
    <row r="650" spans="1:26">
      <c r="A650">
        <v>1.8681693989570153E+18</v>
      </c>
      <c r="B650" t="s">
        <v>2935</v>
      </c>
      <c r="C650" t="s">
        <v>2936</v>
      </c>
      <c r="D650" t="s">
        <v>3498</v>
      </c>
      <c r="E650" t="s">
        <v>3499</v>
      </c>
      <c r="F650" t="s">
        <v>29</v>
      </c>
      <c r="G650" t="s">
        <v>3500</v>
      </c>
      <c r="H650" t="s">
        <v>29</v>
      </c>
      <c r="I650">
        <v>6</v>
      </c>
      <c r="J650">
        <v>6</v>
      </c>
      <c r="K650">
        <v>18</v>
      </c>
      <c r="L650">
        <v>32267</v>
      </c>
      <c r="M650" t="s">
        <v>3501</v>
      </c>
      <c r="N650" t="s">
        <v>29</v>
      </c>
      <c r="O650">
        <v>9564155</v>
      </c>
      <c r="P650" t="s">
        <v>2941</v>
      </c>
      <c r="Q650">
        <v>1125277</v>
      </c>
      <c r="R650" t="s">
        <v>2942</v>
      </c>
      <c r="S650">
        <v>93</v>
      </c>
      <c r="T650" t="b">
        <v>0</v>
      </c>
      <c r="U650">
        <v>1</v>
      </c>
      <c r="V650">
        <v>2</v>
      </c>
      <c r="W650" t="s">
        <v>35</v>
      </c>
      <c r="X650" t="s">
        <v>3502</v>
      </c>
      <c r="Y650" t="s">
        <v>29</v>
      </c>
      <c r="Z650" t="s">
        <v>37</v>
      </c>
    </row>
    <row r="651" spans="1:26">
      <c r="A651">
        <v>1.8682517614896991E+18</v>
      </c>
      <c r="B651" t="s">
        <v>3503</v>
      </c>
      <c r="C651" t="s">
        <v>3504</v>
      </c>
      <c r="D651" t="s">
        <v>3505</v>
      </c>
      <c r="E651" t="s">
        <v>3506</v>
      </c>
      <c r="F651" t="s">
        <v>29</v>
      </c>
      <c r="G651" t="s">
        <v>3507</v>
      </c>
      <c r="H651" t="s">
        <v>3508</v>
      </c>
      <c r="I651">
        <v>2</v>
      </c>
      <c r="J651">
        <v>7</v>
      </c>
      <c r="K651">
        <v>116</v>
      </c>
      <c r="L651">
        <v>6492</v>
      </c>
      <c r="M651" t="s">
        <v>52</v>
      </c>
      <c r="N651" t="s">
        <v>29</v>
      </c>
      <c r="O651">
        <v>78295</v>
      </c>
      <c r="P651" t="s">
        <v>3509</v>
      </c>
      <c r="Q651">
        <v>47736</v>
      </c>
      <c r="R651" t="s">
        <v>3510</v>
      </c>
      <c r="S651">
        <v>489</v>
      </c>
      <c r="T651" t="b">
        <v>0</v>
      </c>
      <c r="U651">
        <v>2</v>
      </c>
      <c r="V651">
        <v>2</v>
      </c>
      <c r="W651" t="s">
        <v>35</v>
      </c>
      <c r="X651" t="s">
        <v>29</v>
      </c>
      <c r="Y651" t="s">
        <v>3511</v>
      </c>
      <c r="Z651" t="s">
        <v>37</v>
      </c>
    </row>
    <row r="652" spans="1:26">
      <c r="A652">
        <v>1.868292157217399E+18</v>
      </c>
      <c r="B652" t="s">
        <v>2994</v>
      </c>
      <c r="C652" t="s">
        <v>2995</v>
      </c>
      <c r="D652" t="s">
        <v>3512</v>
      </c>
      <c r="E652" t="s">
        <v>3513</v>
      </c>
      <c r="F652" t="s">
        <v>29</v>
      </c>
      <c r="G652" t="s">
        <v>3514</v>
      </c>
      <c r="H652" t="s">
        <v>29</v>
      </c>
      <c r="I652">
        <v>19</v>
      </c>
      <c r="J652">
        <v>47</v>
      </c>
      <c r="K652">
        <v>948</v>
      </c>
      <c r="L652">
        <v>127235</v>
      </c>
      <c r="M652" t="s">
        <v>52</v>
      </c>
      <c r="N652" t="s">
        <v>3174</v>
      </c>
      <c r="O652">
        <v>812163</v>
      </c>
      <c r="P652" t="s">
        <v>3000</v>
      </c>
      <c r="Q652">
        <v>110924</v>
      </c>
      <c r="R652" t="s">
        <v>3001</v>
      </c>
      <c r="S652">
        <v>322</v>
      </c>
      <c r="T652" t="b">
        <v>0</v>
      </c>
      <c r="U652">
        <v>3</v>
      </c>
      <c r="V652">
        <v>7</v>
      </c>
      <c r="W652" t="s">
        <v>35</v>
      </c>
      <c r="X652" t="s">
        <v>29</v>
      </c>
      <c r="Y652" t="s">
        <v>3515</v>
      </c>
      <c r="Z652" t="s">
        <v>37</v>
      </c>
    </row>
    <row r="653" spans="1:26">
      <c r="A653">
        <v>1.8683398640533548E+18</v>
      </c>
      <c r="B653" t="s">
        <v>3168</v>
      </c>
      <c r="C653" t="s">
        <v>3169</v>
      </c>
      <c r="D653" t="s">
        <v>3516</v>
      </c>
      <c r="E653" t="s">
        <v>3517</v>
      </c>
      <c r="F653" t="s">
        <v>29</v>
      </c>
      <c r="G653" t="s">
        <v>3518</v>
      </c>
      <c r="H653" t="s">
        <v>3173</v>
      </c>
      <c r="I653">
        <v>1</v>
      </c>
      <c r="J653">
        <v>17</v>
      </c>
      <c r="K653">
        <v>190</v>
      </c>
      <c r="L653">
        <v>15671</v>
      </c>
      <c r="M653" t="s">
        <v>52</v>
      </c>
      <c r="N653" t="s">
        <v>29</v>
      </c>
      <c r="O653">
        <v>294711</v>
      </c>
      <c r="P653" t="s">
        <v>3175</v>
      </c>
      <c r="Q653">
        <v>66342</v>
      </c>
      <c r="R653" t="s">
        <v>3176</v>
      </c>
      <c r="S653">
        <v>1449</v>
      </c>
      <c r="T653" t="b">
        <v>0</v>
      </c>
      <c r="U653">
        <v>2</v>
      </c>
      <c r="V653">
        <v>2</v>
      </c>
      <c r="W653" t="s">
        <v>35</v>
      </c>
      <c r="X653" t="s">
        <v>29</v>
      </c>
      <c r="Y653" t="s">
        <v>3519</v>
      </c>
      <c r="Z653" t="s">
        <v>37</v>
      </c>
    </row>
    <row r="654" spans="1:26">
      <c r="A654">
        <v>1.8684232912888914E+18</v>
      </c>
      <c r="B654" t="s">
        <v>3392</v>
      </c>
      <c r="C654" t="s">
        <v>3393</v>
      </c>
      <c r="D654" t="s">
        <v>3520</v>
      </c>
      <c r="E654" t="s">
        <v>1797</v>
      </c>
      <c r="F654" t="s">
        <v>29</v>
      </c>
      <c r="G654" t="s">
        <v>3521</v>
      </c>
      <c r="H654" t="s">
        <v>29</v>
      </c>
      <c r="I654">
        <v>6</v>
      </c>
      <c r="J654">
        <v>19</v>
      </c>
      <c r="K654">
        <v>421</v>
      </c>
      <c r="L654">
        <v>21886</v>
      </c>
      <c r="M654" t="s">
        <v>52</v>
      </c>
      <c r="N654" t="s">
        <v>3398</v>
      </c>
      <c r="O654">
        <v>1480966</v>
      </c>
      <c r="P654" t="s">
        <v>3399</v>
      </c>
      <c r="Q654">
        <v>103753</v>
      </c>
      <c r="R654" t="s">
        <v>3400</v>
      </c>
      <c r="S654">
        <v>552</v>
      </c>
      <c r="T654" t="b">
        <v>0</v>
      </c>
      <c r="U654">
        <v>5</v>
      </c>
      <c r="V654">
        <v>6</v>
      </c>
      <c r="W654" t="s">
        <v>35</v>
      </c>
      <c r="X654" t="s">
        <v>29</v>
      </c>
      <c r="Y654" t="s">
        <v>3522</v>
      </c>
      <c r="Z654" t="s">
        <v>37</v>
      </c>
    </row>
    <row r="655" spans="1:26">
      <c r="A655">
        <v>1.8683206622822318E+18</v>
      </c>
      <c r="B655" t="s">
        <v>3392</v>
      </c>
      <c r="C655" t="s">
        <v>3393</v>
      </c>
      <c r="D655" t="s">
        <v>3523</v>
      </c>
      <c r="E655" t="s">
        <v>3524</v>
      </c>
      <c r="F655" t="s">
        <v>29</v>
      </c>
      <c r="G655" t="s">
        <v>3525</v>
      </c>
      <c r="H655" t="s">
        <v>29</v>
      </c>
      <c r="I655">
        <v>11</v>
      </c>
      <c r="J655">
        <v>19</v>
      </c>
      <c r="K655">
        <v>395</v>
      </c>
      <c r="L655">
        <v>20785</v>
      </c>
      <c r="M655" t="s">
        <v>52</v>
      </c>
      <c r="N655" t="s">
        <v>3405</v>
      </c>
      <c r="O655">
        <v>1480966</v>
      </c>
      <c r="P655" t="s">
        <v>3399</v>
      </c>
      <c r="Q655">
        <v>103753</v>
      </c>
      <c r="R655" t="s">
        <v>3400</v>
      </c>
      <c r="S655">
        <v>552</v>
      </c>
      <c r="T655" t="b">
        <v>0</v>
      </c>
      <c r="U655">
        <v>2</v>
      </c>
      <c r="V655">
        <v>2</v>
      </c>
      <c r="W655" t="s">
        <v>35</v>
      </c>
      <c r="X655" t="s">
        <v>29</v>
      </c>
      <c r="Y655" t="s">
        <v>3526</v>
      </c>
      <c r="Z655" t="s">
        <v>37</v>
      </c>
    </row>
    <row r="656" spans="1:26">
      <c r="A656">
        <v>1.8681659780493806E+18</v>
      </c>
      <c r="B656" t="s">
        <v>3034</v>
      </c>
      <c r="C656" t="s">
        <v>3035</v>
      </c>
      <c r="D656" t="s">
        <v>3527</v>
      </c>
      <c r="E656" t="s">
        <v>3528</v>
      </c>
      <c r="F656" t="s">
        <v>29</v>
      </c>
      <c r="G656" t="s">
        <v>3529</v>
      </c>
      <c r="H656" t="s">
        <v>3076</v>
      </c>
      <c r="I656">
        <v>97</v>
      </c>
      <c r="J656">
        <v>82</v>
      </c>
      <c r="K656">
        <v>1257</v>
      </c>
      <c r="L656">
        <v>140561</v>
      </c>
      <c r="M656" t="s">
        <v>52</v>
      </c>
      <c r="N656" t="s">
        <v>3040</v>
      </c>
      <c r="O656">
        <v>12876593</v>
      </c>
      <c r="P656" t="s">
        <v>3041</v>
      </c>
      <c r="Q656">
        <v>141401</v>
      </c>
      <c r="R656" t="s">
        <v>3042</v>
      </c>
      <c r="S656">
        <v>717</v>
      </c>
      <c r="T656" t="b">
        <v>0</v>
      </c>
      <c r="U656">
        <v>14</v>
      </c>
      <c r="V656">
        <v>55</v>
      </c>
      <c r="W656" t="s">
        <v>35</v>
      </c>
      <c r="X656" t="s">
        <v>29</v>
      </c>
      <c r="Y656" t="s">
        <v>3530</v>
      </c>
      <c r="Z656" t="s">
        <v>37</v>
      </c>
    </row>
    <row r="657" spans="1:26">
      <c r="A657">
        <v>1.8681612840486589E+18</v>
      </c>
      <c r="B657" t="s">
        <v>3034</v>
      </c>
      <c r="C657" t="s">
        <v>3035</v>
      </c>
      <c r="D657" t="s">
        <v>3531</v>
      </c>
      <c r="E657" t="s">
        <v>3532</v>
      </c>
      <c r="F657" t="s">
        <v>29</v>
      </c>
      <c r="G657" t="s">
        <v>3533</v>
      </c>
      <c r="H657" t="s">
        <v>3262</v>
      </c>
      <c r="I657">
        <v>166</v>
      </c>
      <c r="J657">
        <v>364</v>
      </c>
      <c r="K657">
        <v>4515</v>
      </c>
      <c r="L657">
        <v>621346</v>
      </c>
      <c r="M657" t="s">
        <v>52</v>
      </c>
      <c r="N657" t="s">
        <v>3040</v>
      </c>
      <c r="O657">
        <v>12876592</v>
      </c>
      <c r="P657" t="s">
        <v>3041</v>
      </c>
      <c r="Q657">
        <v>141401</v>
      </c>
      <c r="R657" t="s">
        <v>3042</v>
      </c>
      <c r="S657">
        <v>717</v>
      </c>
      <c r="T657" t="b">
        <v>0</v>
      </c>
      <c r="U657">
        <v>59</v>
      </c>
      <c r="V657">
        <v>188</v>
      </c>
      <c r="W657" t="s">
        <v>35</v>
      </c>
      <c r="X657" t="s">
        <v>29</v>
      </c>
      <c r="Y657" t="s">
        <v>3534</v>
      </c>
      <c r="Z657" t="s">
        <v>37</v>
      </c>
    </row>
    <row r="658" spans="1:26">
      <c r="A658">
        <v>1.8682812461339241E+18</v>
      </c>
      <c r="B658" t="s">
        <v>3205</v>
      </c>
      <c r="C658" t="s">
        <v>3206</v>
      </c>
      <c r="D658" t="s">
        <v>3535</v>
      </c>
      <c r="E658" t="s">
        <v>3536</v>
      </c>
      <c r="F658" t="s">
        <v>29</v>
      </c>
      <c r="G658" t="s">
        <v>3537</v>
      </c>
      <c r="H658" t="s">
        <v>3538</v>
      </c>
      <c r="I658">
        <v>1</v>
      </c>
      <c r="J658">
        <v>1</v>
      </c>
      <c r="K658">
        <v>11</v>
      </c>
      <c r="L658">
        <v>4112</v>
      </c>
      <c r="M658" t="s">
        <v>3539</v>
      </c>
      <c r="N658" t="s">
        <v>3212</v>
      </c>
      <c r="O658">
        <v>156681</v>
      </c>
      <c r="P658" t="s">
        <v>3213</v>
      </c>
      <c r="Q658">
        <v>35682</v>
      </c>
      <c r="R658" t="s">
        <v>3214</v>
      </c>
      <c r="S658">
        <v>1430</v>
      </c>
      <c r="T658" t="b">
        <v>0</v>
      </c>
      <c r="U658">
        <v>0</v>
      </c>
      <c r="V658">
        <v>0</v>
      </c>
      <c r="W658" t="s">
        <v>35</v>
      </c>
      <c r="X658" t="s">
        <v>29</v>
      </c>
      <c r="Y658" t="s">
        <v>3540</v>
      </c>
      <c r="Z658" t="s">
        <v>37</v>
      </c>
    </row>
    <row r="659" spans="1:26">
      <c r="A659">
        <v>1.8681743936939461E+18</v>
      </c>
      <c r="B659" t="s">
        <v>3034</v>
      </c>
      <c r="C659" t="s">
        <v>3035</v>
      </c>
      <c r="D659" t="s">
        <v>3541</v>
      </c>
      <c r="E659" t="s">
        <v>3542</v>
      </c>
      <c r="F659" t="s">
        <v>29</v>
      </c>
      <c r="G659" t="s">
        <v>3543</v>
      </c>
      <c r="H659" t="s">
        <v>3544</v>
      </c>
      <c r="I659">
        <v>665</v>
      </c>
      <c r="J659">
        <v>374</v>
      </c>
      <c r="K659">
        <v>4237</v>
      </c>
      <c r="L659">
        <v>803807</v>
      </c>
      <c r="M659" t="s">
        <v>52</v>
      </c>
      <c r="N659" t="s">
        <v>3040</v>
      </c>
      <c r="O659">
        <v>12876593</v>
      </c>
      <c r="P659" t="s">
        <v>3041</v>
      </c>
      <c r="Q659">
        <v>141401</v>
      </c>
      <c r="R659" t="s">
        <v>3042</v>
      </c>
      <c r="S659">
        <v>717</v>
      </c>
      <c r="T659" t="b">
        <v>0</v>
      </c>
      <c r="U659">
        <v>173</v>
      </c>
      <c r="V659">
        <v>226</v>
      </c>
      <c r="W659" t="s">
        <v>35</v>
      </c>
      <c r="X659" t="s">
        <v>29</v>
      </c>
      <c r="Y659" t="s">
        <v>3545</v>
      </c>
      <c r="Z659" t="s">
        <v>37</v>
      </c>
    </row>
    <row r="660" spans="1:26">
      <c r="A660">
        <v>1.8683173504259443E+18</v>
      </c>
      <c r="B660" t="s">
        <v>3205</v>
      </c>
      <c r="C660" t="s">
        <v>3206</v>
      </c>
      <c r="D660" t="s">
        <v>3546</v>
      </c>
      <c r="E660" t="s">
        <v>3547</v>
      </c>
      <c r="F660" t="s">
        <v>29</v>
      </c>
      <c r="G660" t="s">
        <v>3548</v>
      </c>
      <c r="H660" t="s">
        <v>3549</v>
      </c>
      <c r="I660">
        <v>1</v>
      </c>
      <c r="J660">
        <v>1</v>
      </c>
      <c r="K660">
        <v>29</v>
      </c>
      <c r="L660">
        <v>6828</v>
      </c>
      <c r="M660" t="s">
        <v>3550</v>
      </c>
      <c r="N660" t="s">
        <v>3212</v>
      </c>
      <c r="O660">
        <v>156682</v>
      </c>
      <c r="P660" t="s">
        <v>3213</v>
      </c>
      <c r="Q660">
        <v>35682</v>
      </c>
      <c r="R660" t="s">
        <v>3214</v>
      </c>
      <c r="S660">
        <v>1430</v>
      </c>
      <c r="T660" t="b">
        <v>0</v>
      </c>
      <c r="U660">
        <v>0</v>
      </c>
      <c r="V660">
        <v>2</v>
      </c>
      <c r="W660" t="s">
        <v>35</v>
      </c>
      <c r="X660" t="s">
        <v>29</v>
      </c>
      <c r="Y660" t="s">
        <v>3551</v>
      </c>
      <c r="Z660" t="s">
        <v>37</v>
      </c>
    </row>
    <row r="661" spans="1:26">
      <c r="A661">
        <v>1.868125259989152E+18</v>
      </c>
      <c r="B661" t="s">
        <v>3083</v>
      </c>
      <c r="C661" t="s">
        <v>3083</v>
      </c>
      <c r="D661" t="s">
        <v>3552</v>
      </c>
      <c r="E661" t="s">
        <v>3553</v>
      </c>
      <c r="F661" t="s">
        <v>29</v>
      </c>
      <c r="G661" t="s">
        <v>3554</v>
      </c>
      <c r="H661" t="s">
        <v>3555</v>
      </c>
      <c r="I661">
        <v>336</v>
      </c>
      <c r="J661">
        <v>1810</v>
      </c>
      <c r="K661">
        <v>9291</v>
      </c>
      <c r="L661">
        <v>422505</v>
      </c>
      <c r="M661" t="s">
        <v>52</v>
      </c>
      <c r="N661" t="s">
        <v>3087</v>
      </c>
      <c r="O661">
        <v>14375937</v>
      </c>
      <c r="P661" t="s">
        <v>3088</v>
      </c>
      <c r="Q661">
        <v>346973</v>
      </c>
      <c r="R661" t="s">
        <v>3089</v>
      </c>
      <c r="S661">
        <v>392</v>
      </c>
      <c r="T661" t="b">
        <v>0</v>
      </c>
      <c r="U661">
        <v>206</v>
      </c>
      <c r="V661">
        <v>665</v>
      </c>
      <c r="W661" t="s">
        <v>35</v>
      </c>
      <c r="X661" t="s">
        <v>29</v>
      </c>
      <c r="Y661" t="s">
        <v>3556</v>
      </c>
      <c r="Z661" t="s">
        <v>37</v>
      </c>
    </row>
    <row r="662" spans="1:26">
      <c r="A662">
        <v>1.8685202112482798E+18</v>
      </c>
      <c r="B662" t="s">
        <v>2935</v>
      </c>
      <c r="C662" t="s">
        <v>2936</v>
      </c>
      <c r="D662" t="s">
        <v>3557</v>
      </c>
      <c r="E662" t="s">
        <v>3558</v>
      </c>
      <c r="F662" t="s">
        <v>29</v>
      </c>
      <c r="G662" t="s">
        <v>3559</v>
      </c>
      <c r="H662" t="s">
        <v>29</v>
      </c>
      <c r="I662">
        <v>3</v>
      </c>
      <c r="J662">
        <v>4</v>
      </c>
      <c r="K662">
        <v>13</v>
      </c>
      <c r="L662">
        <v>15491</v>
      </c>
      <c r="M662" t="s">
        <v>3560</v>
      </c>
      <c r="N662" t="s">
        <v>29</v>
      </c>
      <c r="O662">
        <v>9564153</v>
      </c>
      <c r="P662" t="s">
        <v>2941</v>
      </c>
      <c r="Q662">
        <v>1125277</v>
      </c>
      <c r="R662" t="s">
        <v>2942</v>
      </c>
      <c r="S662">
        <v>93</v>
      </c>
      <c r="T662" t="b">
        <v>0</v>
      </c>
      <c r="U662">
        <v>2</v>
      </c>
      <c r="V662">
        <v>2</v>
      </c>
      <c r="W662" t="s">
        <v>35</v>
      </c>
      <c r="X662" t="s">
        <v>3561</v>
      </c>
      <c r="Y662" t="s">
        <v>29</v>
      </c>
      <c r="Z662" t="s">
        <v>37</v>
      </c>
    </row>
    <row r="663" spans="1:26">
      <c r="A663">
        <v>1.8685133923082158E+18</v>
      </c>
      <c r="B663" t="s">
        <v>2935</v>
      </c>
      <c r="C663" t="s">
        <v>2936</v>
      </c>
      <c r="D663" t="s">
        <v>3562</v>
      </c>
      <c r="E663" t="s">
        <v>3563</v>
      </c>
      <c r="F663" t="s">
        <v>29</v>
      </c>
      <c r="G663" t="s">
        <v>3564</v>
      </c>
      <c r="H663" t="s">
        <v>29</v>
      </c>
      <c r="I663">
        <v>6</v>
      </c>
      <c r="J663">
        <v>9</v>
      </c>
      <c r="K663">
        <v>27</v>
      </c>
      <c r="L663">
        <v>18191</v>
      </c>
      <c r="M663" t="s">
        <v>3565</v>
      </c>
      <c r="N663" t="s">
        <v>29</v>
      </c>
      <c r="O663">
        <v>9564153</v>
      </c>
      <c r="P663" t="s">
        <v>2941</v>
      </c>
      <c r="Q663">
        <v>1125277</v>
      </c>
      <c r="R663" t="s">
        <v>2942</v>
      </c>
      <c r="S663">
        <v>93</v>
      </c>
      <c r="T663" t="b">
        <v>0</v>
      </c>
      <c r="U663">
        <v>2</v>
      </c>
      <c r="V663">
        <v>2</v>
      </c>
      <c r="W663" t="s">
        <v>35</v>
      </c>
      <c r="X663" t="s">
        <v>3566</v>
      </c>
      <c r="Y663" t="s">
        <v>29</v>
      </c>
      <c r="Z663" t="s">
        <v>37</v>
      </c>
    </row>
    <row r="664" spans="1:26">
      <c r="A664">
        <v>1.8685121374059971E+18</v>
      </c>
      <c r="B664" t="s">
        <v>2935</v>
      </c>
      <c r="C664" t="s">
        <v>2936</v>
      </c>
      <c r="D664" t="s">
        <v>3567</v>
      </c>
      <c r="E664" t="s">
        <v>3568</v>
      </c>
      <c r="F664" t="s">
        <v>29</v>
      </c>
      <c r="G664" t="s">
        <v>3569</v>
      </c>
      <c r="H664" t="s">
        <v>29</v>
      </c>
      <c r="I664">
        <v>5</v>
      </c>
      <c r="J664">
        <v>6</v>
      </c>
      <c r="K664">
        <v>17</v>
      </c>
      <c r="L664">
        <v>20167</v>
      </c>
      <c r="M664" t="s">
        <v>3570</v>
      </c>
      <c r="N664" t="s">
        <v>29</v>
      </c>
      <c r="O664">
        <v>9564156</v>
      </c>
      <c r="P664" t="s">
        <v>2941</v>
      </c>
      <c r="Q664">
        <v>1125277</v>
      </c>
      <c r="R664" t="s">
        <v>2942</v>
      </c>
      <c r="S664">
        <v>93</v>
      </c>
      <c r="T664" t="b">
        <v>0</v>
      </c>
      <c r="U664">
        <v>1</v>
      </c>
      <c r="V664">
        <v>3</v>
      </c>
      <c r="W664" t="s">
        <v>35</v>
      </c>
      <c r="X664" t="s">
        <v>3137</v>
      </c>
      <c r="Y664" t="s">
        <v>29</v>
      </c>
      <c r="Z664" t="s">
        <v>37</v>
      </c>
    </row>
    <row r="665" spans="1:26">
      <c r="A665">
        <v>1.8684897643005256E+18</v>
      </c>
      <c r="B665" t="s">
        <v>2935</v>
      </c>
      <c r="C665" t="s">
        <v>2936</v>
      </c>
      <c r="D665" t="s">
        <v>3571</v>
      </c>
      <c r="E665" t="s">
        <v>3572</v>
      </c>
      <c r="F665" t="s">
        <v>29</v>
      </c>
      <c r="G665" t="s">
        <v>3573</v>
      </c>
      <c r="H665" t="s">
        <v>29</v>
      </c>
      <c r="I665">
        <v>3</v>
      </c>
      <c r="J665">
        <v>15</v>
      </c>
      <c r="K665">
        <v>47</v>
      </c>
      <c r="L665">
        <v>29896</v>
      </c>
      <c r="M665" t="s">
        <v>3574</v>
      </c>
      <c r="N665" t="s">
        <v>29</v>
      </c>
      <c r="O665">
        <v>9564156</v>
      </c>
      <c r="P665" t="s">
        <v>2941</v>
      </c>
      <c r="Q665">
        <v>1125277</v>
      </c>
      <c r="R665" t="s">
        <v>2942</v>
      </c>
      <c r="S665">
        <v>93</v>
      </c>
      <c r="T665" t="b">
        <v>0</v>
      </c>
      <c r="U665">
        <v>1</v>
      </c>
      <c r="V665">
        <v>1</v>
      </c>
      <c r="W665" t="s">
        <v>35</v>
      </c>
      <c r="X665" t="s">
        <v>3575</v>
      </c>
      <c r="Y665" t="s">
        <v>29</v>
      </c>
      <c r="Z665" t="s">
        <v>37</v>
      </c>
    </row>
    <row r="666" spans="1:26">
      <c r="A666">
        <v>1.8684361646689897E+18</v>
      </c>
      <c r="B666" t="s">
        <v>2935</v>
      </c>
      <c r="C666" t="s">
        <v>2936</v>
      </c>
      <c r="D666" t="s">
        <v>3576</v>
      </c>
      <c r="E666" t="s">
        <v>3577</v>
      </c>
      <c r="F666" t="s">
        <v>29</v>
      </c>
      <c r="G666" t="s">
        <v>3578</v>
      </c>
      <c r="H666" t="s">
        <v>29</v>
      </c>
      <c r="I666">
        <v>1</v>
      </c>
      <c r="J666">
        <v>3</v>
      </c>
      <c r="K666">
        <v>17</v>
      </c>
      <c r="L666">
        <v>28982</v>
      </c>
      <c r="M666" t="s">
        <v>3579</v>
      </c>
      <c r="N666" t="s">
        <v>29</v>
      </c>
      <c r="O666">
        <v>9564156</v>
      </c>
      <c r="P666" t="s">
        <v>2941</v>
      </c>
      <c r="Q666">
        <v>1125277</v>
      </c>
      <c r="R666" t="s">
        <v>2942</v>
      </c>
      <c r="S666">
        <v>93</v>
      </c>
      <c r="T666" t="b">
        <v>0</v>
      </c>
      <c r="U666">
        <v>1</v>
      </c>
      <c r="V666">
        <v>2</v>
      </c>
      <c r="W666" t="s">
        <v>35</v>
      </c>
      <c r="X666" t="s">
        <v>2979</v>
      </c>
      <c r="Y666" t="s">
        <v>29</v>
      </c>
      <c r="Z666" t="s">
        <v>37</v>
      </c>
    </row>
    <row r="667" spans="1:26">
      <c r="A667">
        <v>1.8684469884227994E+18</v>
      </c>
      <c r="B667" t="s">
        <v>2935</v>
      </c>
      <c r="C667" t="s">
        <v>2936</v>
      </c>
      <c r="D667" t="s">
        <v>3580</v>
      </c>
      <c r="E667" t="s">
        <v>3581</v>
      </c>
      <c r="F667" t="s">
        <v>29</v>
      </c>
      <c r="G667" t="s">
        <v>3582</v>
      </c>
      <c r="H667" t="s">
        <v>3583</v>
      </c>
      <c r="I667">
        <v>7</v>
      </c>
      <c r="J667">
        <v>3</v>
      </c>
      <c r="K667">
        <v>17</v>
      </c>
      <c r="L667">
        <v>27025</v>
      </c>
      <c r="M667" t="s">
        <v>3584</v>
      </c>
      <c r="N667" t="s">
        <v>29</v>
      </c>
      <c r="O667">
        <v>9564232</v>
      </c>
      <c r="P667" t="s">
        <v>2941</v>
      </c>
      <c r="Q667">
        <v>1125277</v>
      </c>
      <c r="R667" t="s">
        <v>2942</v>
      </c>
      <c r="S667">
        <v>93</v>
      </c>
      <c r="T667" t="b">
        <v>0</v>
      </c>
      <c r="U667">
        <v>0</v>
      </c>
      <c r="V667">
        <v>1</v>
      </c>
      <c r="W667" t="s">
        <v>35</v>
      </c>
      <c r="X667" t="s">
        <v>3585</v>
      </c>
      <c r="Y667" t="s">
        <v>29</v>
      </c>
      <c r="Z667" t="s">
        <v>37</v>
      </c>
    </row>
    <row r="668" spans="1:26">
      <c r="A668">
        <v>1.8684232556330598E+18</v>
      </c>
      <c r="B668" t="s">
        <v>2935</v>
      </c>
      <c r="C668" t="s">
        <v>2936</v>
      </c>
      <c r="D668" t="s">
        <v>3586</v>
      </c>
      <c r="E668" t="s">
        <v>3587</v>
      </c>
      <c r="F668" t="s">
        <v>29</v>
      </c>
      <c r="G668" t="s">
        <v>3588</v>
      </c>
      <c r="H668" t="s">
        <v>29</v>
      </c>
      <c r="I668">
        <v>8</v>
      </c>
      <c r="J668">
        <v>4</v>
      </c>
      <c r="K668">
        <v>20</v>
      </c>
      <c r="L668">
        <v>28515</v>
      </c>
      <c r="M668" t="s">
        <v>3589</v>
      </c>
      <c r="N668" t="s">
        <v>29</v>
      </c>
      <c r="O668">
        <v>9564156</v>
      </c>
      <c r="P668" t="s">
        <v>2941</v>
      </c>
      <c r="Q668">
        <v>1125277</v>
      </c>
      <c r="R668" t="s">
        <v>2942</v>
      </c>
      <c r="S668">
        <v>93</v>
      </c>
      <c r="T668" t="b">
        <v>0</v>
      </c>
      <c r="U668">
        <v>1</v>
      </c>
      <c r="V668">
        <v>1</v>
      </c>
      <c r="W668" t="s">
        <v>35</v>
      </c>
      <c r="X668" t="s">
        <v>3590</v>
      </c>
      <c r="Y668" t="s">
        <v>29</v>
      </c>
      <c r="Z668" t="s">
        <v>37</v>
      </c>
    </row>
    <row r="669" spans="1:26">
      <c r="A669">
        <v>1.8683253058001841E+18</v>
      </c>
      <c r="B669" t="s">
        <v>2935</v>
      </c>
      <c r="C669" t="s">
        <v>2936</v>
      </c>
      <c r="D669" t="s">
        <v>3591</v>
      </c>
      <c r="E669" t="s">
        <v>3592</v>
      </c>
      <c r="F669" t="s">
        <v>29</v>
      </c>
      <c r="G669" t="s">
        <v>3593</v>
      </c>
      <c r="H669" t="s">
        <v>3594</v>
      </c>
      <c r="I669">
        <v>9</v>
      </c>
      <c r="J669">
        <v>5</v>
      </c>
      <c r="K669">
        <v>11</v>
      </c>
      <c r="L669">
        <v>27237</v>
      </c>
      <c r="M669" t="s">
        <v>3595</v>
      </c>
      <c r="N669" t="s">
        <v>29</v>
      </c>
      <c r="O669">
        <v>9564155</v>
      </c>
      <c r="P669" t="s">
        <v>2941</v>
      </c>
      <c r="Q669">
        <v>1125277</v>
      </c>
      <c r="R669" t="s">
        <v>2942</v>
      </c>
      <c r="S669">
        <v>93</v>
      </c>
      <c r="T669" t="b">
        <v>0</v>
      </c>
      <c r="U669">
        <v>0</v>
      </c>
      <c r="V669">
        <v>1</v>
      </c>
      <c r="W669" t="s">
        <v>35</v>
      </c>
      <c r="X669" t="s">
        <v>3596</v>
      </c>
      <c r="Y669" t="s">
        <v>29</v>
      </c>
      <c r="Z669" t="s">
        <v>37</v>
      </c>
    </row>
    <row r="670" spans="1:26">
      <c r="A670">
        <v>1.86825620016221E+18</v>
      </c>
      <c r="B670" t="s">
        <v>2935</v>
      </c>
      <c r="C670" t="s">
        <v>2936</v>
      </c>
      <c r="D670" t="s">
        <v>3597</v>
      </c>
      <c r="E670" t="s">
        <v>3598</v>
      </c>
      <c r="F670" t="s">
        <v>29</v>
      </c>
      <c r="G670" t="s">
        <v>3599</v>
      </c>
      <c r="H670" t="s">
        <v>29</v>
      </c>
      <c r="I670">
        <v>15</v>
      </c>
      <c r="J670">
        <v>3</v>
      </c>
      <c r="K670">
        <v>27</v>
      </c>
      <c r="L670">
        <v>30435</v>
      </c>
      <c r="M670" t="s">
        <v>3600</v>
      </c>
      <c r="N670" t="s">
        <v>29</v>
      </c>
      <c r="O670">
        <v>9564155</v>
      </c>
      <c r="P670" t="s">
        <v>2941</v>
      </c>
      <c r="Q670">
        <v>1125277</v>
      </c>
      <c r="R670" t="s">
        <v>2942</v>
      </c>
      <c r="S670">
        <v>93</v>
      </c>
      <c r="T670" t="b">
        <v>0</v>
      </c>
      <c r="U670">
        <v>2</v>
      </c>
      <c r="V670">
        <v>1</v>
      </c>
      <c r="W670" t="s">
        <v>35</v>
      </c>
      <c r="X670" t="s">
        <v>3601</v>
      </c>
      <c r="Y670" t="s">
        <v>29</v>
      </c>
      <c r="Z670" t="s">
        <v>37</v>
      </c>
    </row>
    <row r="671" spans="1:26">
      <c r="A671">
        <v>1.8682171948127235E+18</v>
      </c>
      <c r="B671" t="s">
        <v>2935</v>
      </c>
      <c r="C671" t="s">
        <v>2936</v>
      </c>
      <c r="D671" t="s">
        <v>2989</v>
      </c>
      <c r="E671" t="s">
        <v>3602</v>
      </c>
      <c r="F671" t="s">
        <v>29</v>
      </c>
      <c r="G671" t="s">
        <v>3603</v>
      </c>
      <c r="H671" t="s">
        <v>29</v>
      </c>
      <c r="I671">
        <v>13</v>
      </c>
      <c r="J671">
        <v>10</v>
      </c>
      <c r="K671">
        <v>34</v>
      </c>
      <c r="L671">
        <v>25174</v>
      </c>
      <c r="M671" t="s">
        <v>3604</v>
      </c>
      <c r="N671" t="s">
        <v>29</v>
      </c>
      <c r="O671">
        <v>9564155</v>
      </c>
      <c r="P671" t="s">
        <v>2941</v>
      </c>
      <c r="Q671">
        <v>1125277</v>
      </c>
      <c r="R671" t="s">
        <v>2942</v>
      </c>
      <c r="S671">
        <v>93</v>
      </c>
      <c r="T671" t="b">
        <v>0</v>
      </c>
      <c r="U671">
        <v>1</v>
      </c>
      <c r="V671">
        <v>2</v>
      </c>
      <c r="W671" t="s">
        <v>35</v>
      </c>
      <c r="X671" t="s">
        <v>2993</v>
      </c>
      <c r="Y671" t="s">
        <v>29</v>
      </c>
      <c r="Z671" t="s">
        <v>37</v>
      </c>
    </row>
    <row r="672" spans="1:26">
      <c r="A672">
        <v>1.8681304257065782E+18</v>
      </c>
      <c r="B672" t="s">
        <v>2935</v>
      </c>
      <c r="C672" t="s">
        <v>2936</v>
      </c>
      <c r="D672" t="s">
        <v>3605</v>
      </c>
      <c r="E672" t="s">
        <v>3606</v>
      </c>
      <c r="F672" t="s">
        <v>29</v>
      </c>
      <c r="G672" t="s">
        <v>3607</v>
      </c>
      <c r="H672" t="s">
        <v>29</v>
      </c>
      <c r="I672">
        <v>17</v>
      </c>
      <c r="J672">
        <v>12</v>
      </c>
      <c r="K672">
        <v>25</v>
      </c>
      <c r="L672">
        <v>35800</v>
      </c>
      <c r="M672" t="s">
        <v>3608</v>
      </c>
      <c r="N672" t="s">
        <v>29</v>
      </c>
      <c r="O672">
        <v>9564155</v>
      </c>
      <c r="P672" t="s">
        <v>2941</v>
      </c>
      <c r="Q672">
        <v>1125277</v>
      </c>
      <c r="R672" t="s">
        <v>2942</v>
      </c>
      <c r="S672">
        <v>93</v>
      </c>
      <c r="T672" t="b">
        <v>0</v>
      </c>
      <c r="U672">
        <v>1</v>
      </c>
      <c r="V672">
        <v>3</v>
      </c>
      <c r="W672" t="s">
        <v>35</v>
      </c>
      <c r="X672" t="s">
        <v>3609</v>
      </c>
      <c r="Y672" t="s">
        <v>29</v>
      </c>
      <c r="Z672" t="s">
        <v>37</v>
      </c>
    </row>
    <row r="673" spans="1:26">
      <c r="A673">
        <v>1.8681126310110986E+18</v>
      </c>
      <c r="B673" t="s">
        <v>2935</v>
      </c>
      <c r="C673" t="s">
        <v>2936</v>
      </c>
      <c r="D673" t="s">
        <v>3610</v>
      </c>
      <c r="E673" t="s">
        <v>3611</v>
      </c>
      <c r="F673" t="s">
        <v>29</v>
      </c>
      <c r="G673" t="s">
        <v>3612</v>
      </c>
      <c r="H673" t="s">
        <v>29</v>
      </c>
      <c r="I673">
        <v>9</v>
      </c>
      <c r="J673">
        <v>14</v>
      </c>
      <c r="K673">
        <v>36</v>
      </c>
      <c r="L673">
        <v>38177</v>
      </c>
      <c r="M673" t="s">
        <v>3613</v>
      </c>
      <c r="N673" t="s">
        <v>29</v>
      </c>
      <c r="O673">
        <v>9564156</v>
      </c>
      <c r="P673" t="s">
        <v>2941</v>
      </c>
      <c r="Q673">
        <v>1125277</v>
      </c>
      <c r="R673" t="s">
        <v>2942</v>
      </c>
      <c r="S673">
        <v>93</v>
      </c>
      <c r="T673" t="b">
        <v>0</v>
      </c>
      <c r="U673">
        <v>2</v>
      </c>
      <c r="V673">
        <v>2</v>
      </c>
      <c r="W673" t="s">
        <v>35</v>
      </c>
      <c r="X673" t="s">
        <v>3614</v>
      </c>
      <c r="Y673" t="s">
        <v>29</v>
      </c>
      <c r="Z673" t="s">
        <v>37</v>
      </c>
    </row>
    <row r="674" spans="1:26">
      <c r="A674">
        <v>1.8683482811658529E+18</v>
      </c>
      <c r="B674" t="s">
        <v>2994</v>
      </c>
      <c r="C674" t="s">
        <v>3615</v>
      </c>
      <c r="D674" t="s">
        <v>3616</v>
      </c>
      <c r="E674" t="s">
        <v>3617</v>
      </c>
      <c r="F674" t="s">
        <v>29</v>
      </c>
      <c r="G674" t="s">
        <v>3618</v>
      </c>
      <c r="H674" t="s">
        <v>3619</v>
      </c>
      <c r="I674">
        <v>23</v>
      </c>
      <c r="J674">
        <v>86</v>
      </c>
      <c r="K674">
        <v>1298</v>
      </c>
      <c r="L674">
        <v>108147</v>
      </c>
      <c r="M674" t="s">
        <v>52</v>
      </c>
      <c r="N674" t="s">
        <v>3174</v>
      </c>
      <c r="O674">
        <v>812163</v>
      </c>
      <c r="P674" t="s">
        <v>3000</v>
      </c>
      <c r="Q674">
        <v>110924</v>
      </c>
      <c r="R674" t="s">
        <v>3001</v>
      </c>
      <c r="S674">
        <v>322</v>
      </c>
      <c r="T674" t="b">
        <v>0</v>
      </c>
      <c r="U674">
        <v>8</v>
      </c>
      <c r="V674">
        <v>25</v>
      </c>
      <c r="W674" t="s">
        <v>35</v>
      </c>
      <c r="X674" t="s">
        <v>29</v>
      </c>
      <c r="Y674" t="s">
        <v>3190</v>
      </c>
      <c r="Z674" t="s">
        <v>37</v>
      </c>
    </row>
    <row r="675" spans="1:26">
      <c r="A675">
        <v>1.8683471593490189E+18</v>
      </c>
      <c r="B675" t="s">
        <v>3168</v>
      </c>
      <c r="C675" t="s">
        <v>3169</v>
      </c>
      <c r="D675" t="s">
        <v>3620</v>
      </c>
      <c r="E675" t="s">
        <v>3621</v>
      </c>
      <c r="F675" t="s">
        <v>29</v>
      </c>
      <c r="G675" t="s">
        <v>3622</v>
      </c>
      <c r="H675" t="s">
        <v>3173</v>
      </c>
      <c r="I675">
        <v>3</v>
      </c>
      <c r="J675">
        <v>9</v>
      </c>
      <c r="K675">
        <v>156</v>
      </c>
      <c r="L675">
        <v>19056</v>
      </c>
      <c r="M675" t="s">
        <v>52</v>
      </c>
      <c r="N675" t="s">
        <v>29</v>
      </c>
      <c r="O675">
        <v>294711</v>
      </c>
      <c r="P675" t="s">
        <v>3175</v>
      </c>
      <c r="Q675">
        <v>66342</v>
      </c>
      <c r="R675" t="s">
        <v>3176</v>
      </c>
      <c r="S675">
        <v>1449</v>
      </c>
      <c r="T675" t="b">
        <v>0</v>
      </c>
      <c r="U675">
        <v>1</v>
      </c>
      <c r="V675">
        <v>1</v>
      </c>
      <c r="W675" t="s">
        <v>35</v>
      </c>
      <c r="X675" t="s">
        <v>29</v>
      </c>
      <c r="Y675" t="s">
        <v>3623</v>
      </c>
      <c r="Z675" t="s">
        <v>37</v>
      </c>
    </row>
    <row r="676" spans="1:26">
      <c r="A676">
        <v>1.8683626084637537E+18</v>
      </c>
      <c r="B676" t="s">
        <v>3168</v>
      </c>
      <c r="C676" t="s">
        <v>3169</v>
      </c>
      <c r="D676" t="s">
        <v>3624</v>
      </c>
      <c r="E676" t="s">
        <v>3625</v>
      </c>
      <c r="F676" t="s">
        <v>29</v>
      </c>
      <c r="G676" t="s">
        <v>3626</v>
      </c>
      <c r="H676" t="s">
        <v>3173</v>
      </c>
      <c r="I676">
        <v>12</v>
      </c>
      <c r="J676">
        <v>77</v>
      </c>
      <c r="K676">
        <v>716</v>
      </c>
      <c r="L676">
        <v>31057</v>
      </c>
      <c r="M676" t="s">
        <v>52</v>
      </c>
      <c r="N676" t="s">
        <v>29</v>
      </c>
      <c r="O676">
        <v>294711</v>
      </c>
      <c r="P676" t="s">
        <v>3175</v>
      </c>
      <c r="Q676">
        <v>66342</v>
      </c>
      <c r="R676" t="s">
        <v>3176</v>
      </c>
      <c r="S676">
        <v>1449</v>
      </c>
      <c r="T676" t="b">
        <v>0</v>
      </c>
      <c r="U676">
        <v>5</v>
      </c>
      <c r="V676">
        <v>14</v>
      </c>
      <c r="W676" t="s">
        <v>35</v>
      </c>
      <c r="X676" t="s">
        <v>29</v>
      </c>
      <c r="Y676" t="s">
        <v>3627</v>
      </c>
      <c r="Z676" t="s">
        <v>37</v>
      </c>
    </row>
    <row r="677" spans="1:26">
      <c r="A677">
        <v>1.8684387669368138E+18</v>
      </c>
      <c r="B677" t="s">
        <v>3196</v>
      </c>
      <c r="C677" t="s">
        <v>3196</v>
      </c>
      <c r="D677" t="s">
        <v>3628</v>
      </c>
      <c r="E677" t="s">
        <v>3629</v>
      </c>
      <c r="F677" t="s">
        <v>29</v>
      </c>
      <c r="G677" t="s">
        <v>3630</v>
      </c>
      <c r="H677" t="s">
        <v>3631</v>
      </c>
      <c r="I677">
        <v>9</v>
      </c>
      <c r="J677">
        <v>5</v>
      </c>
      <c r="K677">
        <v>100</v>
      </c>
      <c r="L677">
        <v>8910</v>
      </c>
      <c r="M677" t="s">
        <v>52</v>
      </c>
      <c r="N677" t="s">
        <v>3201</v>
      </c>
      <c r="O677">
        <v>376785</v>
      </c>
      <c r="P677" t="s">
        <v>3202</v>
      </c>
      <c r="Q677">
        <v>106893</v>
      </c>
      <c r="R677" t="s">
        <v>3203</v>
      </c>
      <c r="S677">
        <v>415</v>
      </c>
      <c r="T677" t="b">
        <v>0</v>
      </c>
      <c r="U677">
        <v>0</v>
      </c>
      <c r="V677">
        <v>11</v>
      </c>
      <c r="W677" t="s">
        <v>35</v>
      </c>
      <c r="X677" t="s">
        <v>29</v>
      </c>
      <c r="Y677" t="s">
        <v>3632</v>
      </c>
      <c r="Z677" t="s">
        <v>37</v>
      </c>
    </row>
    <row r="678" spans="1:26">
      <c r="A678">
        <v>1.8683288281473027E+18</v>
      </c>
      <c r="B678" t="s">
        <v>3168</v>
      </c>
      <c r="C678" t="s">
        <v>3169</v>
      </c>
      <c r="D678" t="s">
        <v>3633</v>
      </c>
      <c r="E678" t="s">
        <v>3634</v>
      </c>
      <c r="F678" t="s">
        <v>29</v>
      </c>
      <c r="G678" t="s">
        <v>3635</v>
      </c>
      <c r="H678" t="s">
        <v>29</v>
      </c>
      <c r="I678">
        <v>2</v>
      </c>
      <c r="J678">
        <v>1</v>
      </c>
      <c r="K678">
        <v>57</v>
      </c>
      <c r="L678">
        <v>11880</v>
      </c>
      <c r="M678" t="s">
        <v>52</v>
      </c>
      <c r="N678" t="s">
        <v>3636</v>
      </c>
      <c r="O678">
        <v>294711</v>
      </c>
      <c r="P678" t="s">
        <v>3175</v>
      </c>
      <c r="Q678">
        <v>66342</v>
      </c>
      <c r="R678" t="s">
        <v>3176</v>
      </c>
      <c r="S678">
        <v>1449</v>
      </c>
      <c r="T678" t="b">
        <v>0</v>
      </c>
      <c r="U678">
        <v>1</v>
      </c>
      <c r="V678">
        <v>1</v>
      </c>
      <c r="W678" t="s">
        <v>35</v>
      </c>
      <c r="X678" t="s">
        <v>29</v>
      </c>
      <c r="Y678" t="s">
        <v>3637</v>
      </c>
      <c r="Z678" t="s">
        <v>37</v>
      </c>
    </row>
    <row r="679" spans="1:26">
      <c r="A679">
        <v>1.8684190611907092E+18</v>
      </c>
      <c r="B679" t="s">
        <v>3638</v>
      </c>
      <c r="C679" t="s">
        <v>3639</v>
      </c>
      <c r="D679" t="s">
        <v>3640</v>
      </c>
      <c r="E679" t="s">
        <v>3641</v>
      </c>
      <c r="F679" t="s">
        <v>29</v>
      </c>
      <c r="G679" t="s">
        <v>3642</v>
      </c>
      <c r="H679" t="s">
        <v>3383</v>
      </c>
      <c r="I679">
        <v>22</v>
      </c>
      <c r="J679">
        <v>147</v>
      </c>
      <c r="K679">
        <v>1553</v>
      </c>
      <c r="L679">
        <v>92525</v>
      </c>
      <c r="M679" t="s">
        <v>52</v>
      </c>
      <c r="N679" t="s">
        <v>29</v>
      </c>
      <c r="O679">
        <v>8885748</v>
      </c>
      <c r="P679" t="s">
        <v>3643</v>
      </c>
      <c r="Q679">
        <v>115852</v>
      </c>
      <c r="R679" t="s">
        <v>3644</v>
      </c>
      <c r="S679">
        <v>469</v>
      </c>
      <c r="T679" t="b">
        <v>0</v>
      </c>
      <c r="U679">
        <v>20</v>
      </c>
      <c r="V679">
        <v>54</v>
      </c>
      <c r="W679" t="s">
        <v>35</v>
      </c>
      <c r="X679" t="s">
        <v>29</v>
      </c>
      <c r="Y679" t="s">
        <v>3645</v>
      </c>
      <c r="Z679" t="s">
        <v>37</v>
      </c>
    </row>
    <row r="680" spans="1:26">
      <c r="A680">
        <v>1.8683301650525719E+18</v>
      </c>
      <c r="B680" t="s">
        <v>3168</v>
      </c>
      <c r="C680" t="s">
        <v>3169</v>
      </c>
      <c r="D680" t="s">
        <v>3646</v>
      </c>
      <c r="E680" t="s">
        <v>3647</v>
      </c>
      <c r="F680" t="s">
        <v>29</v>
      </c>
      <c r="G680" t="s">
        <v>3648</v>
      </c>
      <c r="H680" t="s">
        <v>3189</v>
      </c>
      <c r="I680">
        <v>6</v>
      </c>
      <c r="J680">
        <v>17</v>
      </c>
      <c r="K680">
        <v>366</v>
      </c>
      <c r="L680">
        <v>53463</v>
      </c>
      <c r="M680" t="s">
        <v>52</v>
      </c>
      <c r="N680" t="s">
        <v>29</v>
      </c>
      <c r="O680">
        <v>294711</v>
      </c>
      <c r="P680" t="s">
        <v>3175</v>
      </c>
      <c r="Q680">
        <v>66342</v>
      </c>
      <c r="R680" t="s">
        <v>3176</v>
      </c>
      <c r="S680">
        <v>1449</v>
      </c>
      <c r="T680" t="b">
        <v>0</v>
      </c>
      <c r="U680">
        <v>6</v>
      </c>
      <c r="V680">
        <v>4</v>
      </c>
      <c r="W680" t="s">
        <v>35</v>
      </c>
      <c r="X680" t="s">
        <v>29</v>
      </c>
      <c r="Y680" t="s">
        <v>3418</v>
      </c>
      <c r="Z680" t="s">
        <v>37</v>
      </c>
    </row>
    <row r="681" spans="1:26">
      <c r="A681">
        <v>1.8681707174996667E+18</v>
      </c>
      <c r="B681" t="s">
        <v>3034</v>
      </c>
      <c r="C681" t="s">
        <v>3035</v>
      </c>
      <c r="D681" t="s">
        <v>3649</v>
      </c>
      <c r="E681" t="s">
        <v>3650</v>
      </c>
      <c r="F681" t="s">
        <v>29</v>
      </c>
      <c r="G681" t="s">
        <v>3651</v>
      </c>
      <c r="H681" t="s">
        <v>3652</v>
      </c>
      <c r="I681">
        <v>93</v>
      </c>
      <c r="J681">
        <v>117</v>
      </c>
      <c r="K681">
        <v>1494</v>
      </c>
      <c r="L681">
        <v>122244</v>
      </c>
      <c r="M681" t="s">
        <v>52</v>
      </c>
      <c r="N681" t="s">
        <v>3040</v>
      </c>
      <c r="O681">
        <v>12876592</v>
      </c>
      <c r="P681" t="s">
        <v>3041</v>
      </c>
      <c r="Q681">
        <v>141401</v>
      </c>
      <c r="R681" t="s">
        <v>3042</v>
      </c>
      <c r="S681">
        <v>717</v>
      </c>
      <c r="T681" t="b">
        <v>0</v>
      </c>
      <c r="U681">
        <v>14</v>
      </c>
      <c r="V681">
        <v>33</v>
      </c>
      <c r="W681" t="s">
        <v>35</v>
      </c>
      <c r="X681" t="s">
        <v>29</v>
      </c>
      <c r="Y681" t="s">
        <v>3653</v>
      </c>
      <c r="Z681" t="s">
        <v>37</v>
      </c>
    </row>
    <row r="682" spans="1:26">
      <c r="A682">
        <v>1.8684175162233039E+18</v>
      </c>
      <c r="B682" t="s">
        <v>3638</v>
      </c>
      <c r="C682" t="s">
        <v>3639</v>
      </c>
      <c r="D682" t="s">
        <v>3654</v>
      </c>
      <c r="E682" t="s">
        <v>3655</v>
      </c>
      <c r="F682" t="s">
        <v>29</v>
      </c>
      <c r="G682" t="s">
        <v>3656</v>
      </c>
      <c r="H682" t="s">
        <v>3383</v>
      </c>
      <c r="I682">
        <v>48</v>
      </c>
      <c r="J682">
        <v>689</v>
      </c>
      <c r="K682">
        <v>3814</v>
      </c>
      <c r="L682">
        <v>134963</v>
      </c>
      <c r="M682" t="s">
        <v>52</v>
      </c>
      <c r="N682" t="s">
        <v>29</v>
      </c>
      <c r="O682">
        <v>8885748</v>
      </c>
      <c r="P682" t="s">
        <v>3643</v>
      </c>
      <c r="Q682">
        <v>115852</v>
      </c>
      <c r="R682" t="s">
        <v>3644</v>
      </c>
      <c r="S682">
        <v>469</v>
      </c>
      <c r="T682" t="b">
        <v>0</v>
      </c>
      <c r="U682">
        <v>70</v>
      </c>
      <c r="V682">
        <v>133</v>
      </c>
      <c r="W682" t="s">
        <v>35</v>
      </c>
      <c r="X682" t="s">
        <v>29</v>
      </c>
      <c r="Y682" t="s">
        <v>3657</v>
      </c>
      <c r="Z682" t="s">
        <v>37</v>
      </c>
    </row>
    <row r="683" spans="1:26">
      <c r="A683">
        <v>1.8681005993985065E+18</v>
      </c>
      <c r="B683" t="s">
        <v>3034</v>
      </c>
      <c r="C683" t="s">
        <v>3035</v>
      </c>
      <c r="D683" t="s">
        <v>3658</v>
      </c>
      <c r="E683" t="s">
        <v>3659</v>
      </c>
      <c r="F683" t="s">
        <v>29</v>
      </c>
      <c r="G683" t="s">
        <v>3660</v>
      </c>
      <c r="H683" t="s">
        <v>3661</v>
      </c>
      <c r="I683">
        <v>45</v>
      </c>
      <c r="J683">
        <v>27</v>
      </c>
      <c r="K683">
        <v>369</v>
      </c>
      <c r="L683">
        <v>101714</v>
      </c>
      <c r="M683" t="s">
        <v>52</v>
      </c>
      <c r="N683" t="s">
        <v>3040</v>
      </c>
      <c r="O683">
        <v>12876593</v>
      </c>
      <c r="P683" t="s">
        <v>3041</v>
      </c>
      <c r="Q683">
        <v>141401</v>
      </c>
      <c r="R683" t="s">
        <v>3042</v>
      </c>
      <c r="S683">
        <v>717</v>
      </c>
      <c r="T683" t="b">
        <v>0</v>
      </c>
      <c r="U683">
        <v>8</v>
      </c>
      <c r="V683">
        <v>34</v>
      </c>
      <c r="W683" t="s">
        <v>35</v>
      </c>
      <c r="X683" t="s">
        <v>29</v>
      </c>
      <c r="Y683" t="s">
        <v>3662</v>
      </c>
      <c r="Z683" t="s">
        <v>37</v>
      </c>
    </row>
    <row r="684" spans="1:26">
      <c r="A684">
        <v>1.8681897888615713E+18</v>
      </c>
      <c r="B684" t="s">
        <v>3034</v>
      </c>
      <c r="C684" t="s">
        <v>3035</v>
      </c>
      <c r="D684" t="s">
        <v>3663</v>
      </c>
      <c r="E684" t="s">
        <v>3664</v>
      </c>
      <c r="F684" t="s">
        <v>29</v>
      </c>
      <c r="G684" t="s">
        <v>3665</v>
      </c>
      <c r="H684" t="s">
        <v>29</v>
      </c>
      <c r="I684">
        <v>63</v>
      </c>
      <c r="J684">
        <v>51</v>
      </c>
      <c r="K684">
        <v>726</v>
      </c>
      <c r="L684">
        <v>145764</v>
      </c>
      <c r="M684" t="s">
        <v>52</v>
      </c>
      <c r="N684" t="s">
        <v>3040</v>
      </c>
      <c r="O684">
        <v>12876593</v>
      </c>
      <c r="P684" t="s">
        <v>3041</v>
      </c>
      <c r="Q684">
        <v>141401</v>
      </c>
      <c r="R684" t="s">
        <v>3042</v>
      </c>
      <c r="S684">
        <v>717</v>
      </c>
      <c r="T684" t="b">
        <v>0</v>
      </c>
      <c r="U684">
        <v>3</v>
      </c>
      <c r="V684">
        <v>30</v>
      </c>
      <c r="W684" t="s">
        <v>35</v>
      </c>
      <c r="X684" t="s">
        <v>29</v>
      </c>
      <c r="Y684" t="s">
        <v>3666</v>
      </c>
      <c r="Z684" t="s">
        <v>37</v>
      </c>
    </row>
    <row r="685" spans="1:26">
      <c r="A685">
        <v>1.8681461672314719E+18</v>
      </c>
      <c r="B685" t="s">
        <v>3034</v>
      </c>
      <c r="C685" t="s">
        <v>3035</v>
      </c>
      <c r="D685" t="s">
        <v>3667</v>
      </c>
      <c r="E685" t="s">
        <v>3668</v>
      </c>
      <c r="F685" t="s">
        <v>29</v>
      </c>
      <c r="G685" t="s">
        <v>3669</v>
      </c>
      <c r="H685" t="s">
        <v>3262</v>
      </c>
      <c r="I685">
        <v>63</v>
      </c>
      <c r="J685">
        <v>37</v>
      </c>
      <c r="K685">
        <v>475</v>
      </c>
      <c r="L685">
        <v>112514</v>
      </c>
      <c r="M685" t="s">
        <v>52</v>
      </c>
      <c r="N685" t="s">
        <v>3040</v>
      </c>
      <c r="O685">
        <v>12876593</v>
      </c>
      <c r="P685" t="s">
        <v>3041</v>
      </c>
      <c r="Q685">
        <v>141401</v>
      </c>
      <c r="R685" t="s">
        <v>3042</v>
      </c>
      <c r="S685">
        <v>717</v>
      </c>
      <c r="T685" t="b">
        <v>0</v>
      </c>
      <c r="U685">
        <v>3</v>
      </c>
      <c r="V685">
        <v>8</v>
      </c>
      <c r="W685" t="s">
        <v>35</v>
      </c>
      <c r="X685" t="s">
        <v>29</v>
      </c>
      <c r="Y685" t="s">
        <v>3670</v>
      </c>
      <c r="Z685" t="s">
        <v>37</v>
      </c>
    </row>
    <row r="686" spans="1:26">
      <c r="A686">
        <v>1.8681272865930079E+18</v>
      </c>
      <c r="B686" t="s">
        <v>3083</v>
      </c>
      <c r="C686" t="s">
        <v>3083</v>
      </c>
      <c r="D686" t="s">
        <v>3671</v>
      </c>
      <c r="E686" t="s">
        <v>3672</v>
      </c>
      <c r="F686" t="s">
        <v>29</v>
      </c>
      <c r="G686" t="s">
        <v>3673</v>
      </c>
      <c r="H686" t="s">
        <v>3674</v>
      </c>
      <c r="I686">
        <v>65</v>
      </c>
      <c r="J686">
        <v>471</v>
      </c>
      <c r="K686">
        <v>4068</v>
      </c>
      <c r="L686">
        <v>469546</v>
      </c>
      <c r="M686" t="s">
        <v>52</v>
      </c>
      <c r="N686" t="s">
        <v>3087</v>
      </c>
      <c r="O686">
        <v>14375937</v>
      </c>
      <c r="P686" t="s">
        <v>3088</v>
      </c>
      <c r="Q686">
        <v>346973</v>
      </c>
      <c r="R686" t="s">
        <v>3089</v>
      </c>
      <c r="S686">
        <v>392</v>
      </c>
      <c r="T686" t="b">
        <v>0</v>
      </c>
      <c r="U686">
        <v>16</v>
      </c>
      <c r="V686">
        <v>154</v>
      </c>
      <c r="W686" t="s">
        <v>35</v>
      </c>
      <c r="X686" t="s">
        <v>29</v>
      </c>
      <c r="Y686" t="s">
        <v>3675</v>
      </c>
      <c r="Z686" t="s">
        <v>37</v>
      </c>
    </row>
    <row r="687" spans="1:26">
      <c r="A687">
        <v>1.8659977393030638E+18</v>
      </c>
      <c r="B687" t="s">
        <v>266</v>
      </c>
      <c r="C687" t="s">
        <v>266</v>
      </c>
      <c r="D687" t="s">
        <v>3676</v>
      </c>
      <c r="E687" t="s">
        <v>3677</v>
      </c>
      <c r="F687" t="s">
        <v>3678</v>
      </c>
      <c r="G687" t="s">
        <v>3679</v>
      </c>
      <c r="H687" t="s">
        <v>3680</v>
      </c>
      <c r="I687">
        <v>25</v>
      </c>
      <c r="J687">
        <v>60</v>
      </c>
      <c r="K687">
        <v>362</v>
      </c>
      <c r="L687">
        <v>163050</v>
      </c>
      <c r="M687" t="s">
        <v>52</v>
      </c>
      <c r="N687" t="s">
        <v>29</v>
      </c>
      <c r="O687">
        <v>47707452</v>
      </c>
      <c r="P687" t="s">
        <v>272</v>
      </c>
      <c r="Q687">
        <v>367156</v>
      </c>
      <c r="R687" t="s">
        <v>273</v>
      </c>
      <c r="S687">
        <v>2012</v>
      </c>
      <c r="T687" t="b">
        <v>0</v>
      </c>
      <c r="U687">
        <v>6</v>
      </c>
      <c r="V687">
        <v>9</v>
      </c>
      <c r="W687" t="s">
        <v>3681</v>
      </c>
      <c r="X687" t="s">
        <v>29</v>
      </c>
      <c r="Y687" t="s">
        <v>29</v>
      </c>
      <c r="Z687" t="s">
        <v>37</v>
      </c>
    </row>
    <row r="688" spans="1:26">
      <c r="A688">
        <v>1.8684874938650588E+18</v>
      </c>
      <c r="B688" t="s">
        <v>2935</v>
      </c>
      <c r="C688" t="s">
        <v>2936</v>
      </c>
      <c r="D688" t="s">
        <v>3682</v>
      </c>
      <c r="E688" t="s">
        <v>3683</v>
      </c>
      <c r="F688" t="s">
        <v>29</v>
      </c>
      <c r="G688" t="s">
        <v>3684</v>
      </c>
      <c r="H688" t="s">
        <v>29</v>
      </c>
      <c r="I688">
        <v>2</v>
      </c>
      <c r="J688">
        <v>6</v>
      </c>
      <c r="K688">
        <v>27</v>
      </c>
      <c r="L688">
        <v>31103</v>
      </c>
      <c r="M688" t="s">
        <v>3685</v>
      </c>
      <c r="N688" t="s">
        <v>29</v>
      </c>
      <c r="O688">
        <v>9564156</v>
      </c>
      <c r="P688" t="s">
        <v>2941</v>
      </c>
      <c r="Q688">
        <v>1125277</v>
      </c>
      <c r="R688" t="s">
        <v>2942</v>
      </c>
      <c r="S688">
        <v>93</v>
      </c>
      <c r="T688" t="b">
        <v>0</v>
      </c>
      <c r="U688">
        <v>1</v>
      </c>
      <c r="V688">
        <v>1</v>
      </c>
      <c r="W688" t="s">
        <v>35</v>
      </c>
      <c r="X688" t="s">
        <v>2979</v>
      </c>
      <c r="Y688" t="s">
        <v>29</v>
      </c>
      <c r="Z688" t="s">
        <v>37</v>
      </c>
    </row>
    <row r="689" spans="1:26">
      <c r="A689">
        <v>1.8683112352565455E+18</v>
      </c>
      <c r="B689" t="s">
        <v>2935</v>
      </c>
      <c r="C689" t="s">
        <v>2936</v>
      </c>
      <c r="D689" t="s">
        <v>3686</v>
      </c>
      <c r="E689" t="s">
        <v>3687</v>
      </c>
      <c r="F689" t="s">
        <v>29</v>
      </c>
      <c r="G689" t="s">
        <v>3688</v>
      </c>
      <c r="H689" t="s">
        <v>29</v>
      </c>
      <c r="I689">
        <v>20</v>
      </c>
      <c r="J689">
        <v>5</v>
      </c>
      <c r="K689">
        <v>16</v>
      </c>
      <c r="L689">
        <v>30511</v>
      </c>
      <c r="M689" t="s">
        <v>3689</v>
      </c>
      <c r="N689" t="s">
        <v>29</v>
      </c>
      <c r="O689">
        <v>9564155</v>
      </c>
      <c r="P689" t="s">
        <v>2941</v>
      </c>
      <c r="Q689">
        <v>1125277</v>
      </c>
      <c r="R689" t="s">
        <v>2942</v>
      </c>
      <c r="S689">
        <v>93</v>
      </c>
      <c r="T689" t="b">
        <v>0</v>
      </c>
      <c r="U689">
        <v>1</v>
      </c>
      <c r="V689">
        <v>1</v>
      </c>
      <c r="W689" t="s">
        <v>35</v>
      </c>
      <c r="X689" t="s">
        <v>3473</v>
      </c>
      <c r="Y689" t="s">
        <v>29</v>
      </c>
      <c r="Z689" t="s">
        <v>37</v>
      </c>
    </row>
    <row r="690" spans="1:26">
      <c r="A690">
        <v>1.8682826268149924E+18</v>
      </c>
      <c r="B690" t="s">
        <v>2935</v>
      </c>
      <c r="C690" t="s">
        <v>2936</v>
      </c>
      <c r="D690" t="s">
        <v>3690</v>
      </c>
      <c r="E690" t="s">
        <v>3691</v>
      </c>
      <c r="F690" t="s">
        <v>29</v>
      </c>
      <c r="G690" t="s">
        <v>3692</v>
      </c>
      <c r="H690" t="s">
        <v>29</v>
      </c>
      <c r="I690">
        <v>6</v>
      </c>
      <c r="J690">
        <v>4</v>
      </c>
      <c r="K690">
        <v>17</v>
      </c>
      <c r="L690">
        <v>32534</v>
      </c>
      <c r="M690" t="s">
        <v>3693</v>
      </c>
      <c r="N690" t="s">
        <v>29</v>
      </c>
      <c r="O690">
        <v>9564155</v>
      </c>
      <c r="P690" t="s">
        <v>2941</v>
      </c>
      <c r="Q690">
        <v>1125277</v>
      </c>
      <c r="R690" t="s">
        <v>2942</v>
      </c>
      <c r="S690">
        <v>93</v>
      </c>
      <c r="T690" t="b">
        <v>0</v>
      </c>
      <c r="U690">
        <v>1</v>
      </c>
      <c r="V690">
        <v>5</v>
      </c>
      <c r="W690" t="s">
        <v>35</v>
      </c>
      <c r="X690" t="s">
        <v>3694</v>
      </c>
      <c r="Y690" t="s">
        <v>29</v>
      </c>
      <c r="Z690" t="s">
        <v>37</v>
      </c>
    </row>
    <row r="691" spans="1:26">
      <c r="A691">
        <v>1.8682778473216248E+18</v>
      </c>
      <c r="B691" t="s">
        <v>2935</v>
      </c>
      <c r="C691" t="s">
        <v>2936</v>
      </c>
      <c r="D691" t="s">
        <v>2989</v>
      </c>
      <c r="E691" t="s">
        <v>3695</v>
      </c>
      <c r="F691" t="s">
        <v>29</v>
      </c>
      <c r="G691" t="s">
        <v>3696</v>
      </c>
      <c r="H691" t="s">
        <v>29</v>
      </c>
      <c r="I691">
        <v>16</v>
      </c>
      <c r="J691">
        <v>21</v>
      </c>
      <c r="K691">
        <v>82</v>
      </c>
      <c r="L691">
        <v>38687</v>
      </c>
      <c r="M691" t="s">
        <v>3697</v>
      </c>
      <c r="N691" t="s">
        <v>29</v>
      </c>
      <c r="O691">
        <v>9564155</v>
      </c>
      <c r="P691" t="s">
        <v>2941</v>
      </c>
      <c r="Q691">
        <v>1125277</v>
      </c>
      <c r="R691" t="s">
        <v>2942</v>
      </c>
      <c r="S691">
        <v>93</v>
      </c>
      <c r="T691" t="b">
        <v>0</v>
      </c>
      <c r="U691">
        <v>6</v>
      </c>
      <c r="V691">
        <v>3</v>
      </c>
      <c r="W691" t="s">
        <v>35</v>
      </c>
      <c r="X691" t="s">
        <v>2993</v>
      </c>
      <c r="Y691" t="s">
        <v>29</v>
      </c>
      <c r="Z691" t="s">
        <v>37</v>
      </c>
    </row>
    <row r="692" spans="1:26">
      <c r="A692">
        <v>1.8685146966024561E+18</v>
      </c>
      <c r="B692" t="s">
        <v>2935</v>
      </c>
      <c r="C692" t="s">
        <v>2936</v>
      </c>
      <c r="D692" t="s">
        <v>3698</v>
      </c>
      <c r="E692" t="s">
        <v>3699</v>
      </c>
      <c r="F692" t="s">
        <v>29</v>
      </c>
      <c r="G692" t="s">
        <v>3700</v>
      </c>
      <c r="H692" t="s">
        <v>29</v>
      </c>
      <c r="I692">
        <v>3</v>
      </c>
      <c r="J692">
        <v>2</v>
      </c>
      <c r="K692">
        <v>2</v>
      </c>
      <c r="L692">
        <v>18442</v>
      </c>
      <c r="M692" t="s">
        <v>3701</v>
      </c>
      <c r="N692" t="s">
        <v>29</v>
      </c>
      <c r="O692">
        <v>9564155</v>
      </c>
      <c r="P692" t="s">
        <v>2941</v>
      </c>
      <c r="Q692">
        <v>1125277</v>
      </c>
      <c r="R692" t="s">
        <v>2942</v>
      </c>
      <c r="S692">
        <v>93</v>
      </c>
      <c r="T692" t="b">
        <v>0</v>
      </c>
      <c r="U692">
        <v>1</v>
      </c>
      <c r="V692">
        <v>1</v>
      </c>
      <c r="W692" t="s">
        <v>35</v>
      </c>
      <c r="X692" t="s">
        <v>3702</v>
      </c>
      <c r="Y692" t="s">
        <v>29</v>
      </c>
      <c r="Z692" t="s">
        <v>37</v>
      </c>
    </row>
    <row r="693" spans="1:26">
      <c r="A693">
        <v>1.8681694822685166E+18</v>
      </c>
      <c r="B693" t="s">
        <v>2935</v>
      </c>
      <c r="C693" t="s">
        <v>2936</v>
      </c>
      <c r="D693" t="s">
        <v>3703</v>
      </c>
      <c r="E693" t="s">
        <v>3704</v>
      </c>
      <c r="F693" t="s">
        <v>29</v>
      </c>
      <c r="G693" t="s">
        <v>3705</v>
      </c>
      <c r="H693" t="s">
        <v>29</v>
      </c>
      <c r="I693">
        <v>11</v>
      </c>
      <c r="J693">
        <v>7</v>
      </c>
      <c r="K693">
        <v>19</v>
      </c>
      <c r="L693">
        <v>33021</v>
      </c>
      <c r="M693" t="s">
        <v>3706</v>
      </c>
      <c r="N693" t="s">
        <v>29</v>
      </c>
      <c r="O693">
        <v>9564155</v>
      </c>
      <c r="P693" t="s">
        <v>2941</v>
      </c>
      <c r="Q693">
        <v>1125277</v>
      </c>
      <c r="R693" t="s">
        <v>2942</v>
      </c>
      <c r="S693">
        <v>93</v>
      </c>
      <c r="T693" t="b">
        <v>0</v>
      </c>
      <c r="U693">
        <v>1</v>
      </c>
      <c r="V693">
        <v>2</v>
      </c>
      <c r="W693" t="s">
        <v>35</v>
      </c>
      <c r="X693" t="s">
        <v>3707</v>
      </c>
      <c r="Y693" t="s">
        <v>29</v>
      </c>
      <c r="Z693" t="s">
        <v>37</v>
      </c>
    </row>
    <row r="694" spans="1:26">
      <c r="A694">
        <v>1.8681475071186452E+18</v>
      </c>
      <c r="B694" t="s">
        <v>2935</v>
      </c>
      <c r="C694" t="s">
        <v>2936</v>
      </c>
      <c r="D694" t="s">
        <v>3708</v>
      </c>
      <c r="E694" t="s">
        <v>3709</v>
      </c>
      <c r="F694" t="s">
        <v>29</v>
      </c>
      <c r="G694" t="s">
        <v>3710</v>
      </c>
      <c r="H694" t="s">
        <v>29</v>
      </c>
      <c r="I694">
        <v>25</v>
      </c>
      <c r="J694">
        <v>16</v>
      </c>
      <c r="K694">
        <v>29</v>
      </c>
      <c r="L694">
        <v>43498</v>
      </c>
      <c r="M694" t="s">
        <v>3711</v>
      </c>
      <c r="N694" t="s">
        <v>29</v>
      </c>
      <c r="O694">
        <v>9564155</v>
      </c>
      <c r="P694" t="s">
        <v>2941</v>
      </c>
      <c r="Q694">
        <v>1125277</v>
      </c>
      <c r="R694" t="s">
        <v>2942</v>
      </c>
      <c r="S694">
        <v>93</v>
      </c>
      <c r="T694" t="b">
        <v>0</v>
      </c>
      <c r="U694">
        <v>5</v>
      </c>
      <c r="V694">
        <v>5</v>
      </c>
      <c r="W694" t="s">
        <v>35</v>
      </c>
      <c r="X694" t="s">
        <v>3712</v>
      </c>
      <c r="Y694" t="s">
        <v>29</v>
      </c>
      <c r="Z694" t="s">
        <v>37</v>
      </c>
    </row>
    <row r="695" spans="1:26">
      <c r="A695">
        <v>1.8680943852309097E+18</v>
      </c>
      <c r="B695" t="s">
        <v>2935</v>
      </c>
      <c r="C695" t="s">
        <v>2936</v>
      </c>
      <c r="D695" t="s">
        <v>3713</v>
      </c>
      <c r="E695" t="s">
        <v>3714</v>
      </c>
      <c r="F695" t="s">
        <v>29</v>
      </c>
      <c r="G695" t="s">
        <v>3715</v>
      </c>
      <c r="H695" t="s">
        <v>29</v>
      </c>
      <c r="I695">
        <v>3</v>
      </c>
      <c r="J695">
        <v>12</v>
      </c>
      <c r="K695">
        <v>35</v>
      </c>
      <c r="L695">
        <v>36885</v>
      </c>
      <c r="M695" t="s">
        <v>3716</v>
      </c>
      <c r="N695" t="s">
        <v>29</v>
      </c>
      <c r="O695">
        <v>9564156</v>
      </c>
      <c r="P695" t="s">
        <v>2941</v>
      </c>
      <c r="Q695">
        <v>1125277</v>
      </c>
      <c r="R695" t="s">
        <v>2942</v>
      </c>
      <c r="S695">
        <v>93</v>
      </c>
      <c r="T695" t="b">
        <v>0</v>
      </c>
      <c r="U695">
        <v>1</v>
      </c>
      <c r="V695">
        <v>6</v>
      </c>
      <c r="W695" t="s">
        <v>35</v>
      </c>
      <c r="X695" t="s">
        <v>3717</v>
      </c>
      <c r="Y695" t="s">
        <v>29</v>
      </c>
      <c r="Z695" t="s">
        <v>37</v>
      </c>
    </row>
    <row r="696" spans="1:26">
      <c r="A696">
        <v>1.8680848180863555E+18</v>
      </c>
      <c r="B696" t="s">
        <v>2935</v>
      </c>
      <c r="C696" t="s">
        <v>2936</v>
      </c>
      <c r="D696" t="s">
        <v>3474</v>
      </c>
      <c r="E696" t="s">
        <v>3718</v>
      </c>
      <c r="F696" t="s">
        <v>29</v>
      </c>
      <c r="G696" t="s">
        <v>3719</v>
      </c>
      <c r="H696" t="s">
        <v>29</v>
      </c>
      <c r="I696">
        <v>17</v>
      </c>
      <c r="J696">
        <v>16</v>
      </c>
      <c r="K696">
        <v>50</v>
      </c>
      <c r="L696">
        <v>35313</v>
      </c>
      <c r="M696" t="s">
        <v>3720</v>
      </c>
      <c r="N696" t="s">
        <v>29</v>
      </c>
      <c r="O696">
        <v>9564157</v>
      </c>
      <c r="P696" t="s">
        <v>2941</v>
      </c>
      <c r="Q696">
        <v>1125277</v>
      </c>
      <c r="R696" t="s">
        <v>2942</v>
      </c>
      <c r="S696">
        <v>93</v>
      </c>
      <c r="T696" t="b">
        <v>0</v>
      </c>
      <c r="U696">
        <v>2</v>
      </c>
      <c r="V696">
        <v>6</v>
      </c>
      <c r="W696" t="s">
        <v>35</v>
      </c>
      <c r="X696" t="s">
        <v>3478</v>
      </c>
      <c r="Y696" t="s">
        <v>29</v>
      </c>
      <c r="Z696" t="s">
        <v>37</v>
      </c>
    </row>
    <row r="697" spans="1:26">
      <c r="A697">
        <v>1.8683095505976489E+18</v>
      </c>
      <c r="B697" t="s">
        <v>2994</v>
      </c>
      <c r="C697" t="s">
        <v>2995</v>
      </c>
      <c r="D697" t="s">
        <v>3721</v>
      </c>
      <c r="E697" t="s">
        <v>3722</v>
      </c>
      <c r="F697" t="s">
        <v>29</v>
      </c>
      <c r="G697" t="s">
        <v>3723</v>
      </c>
      <c r="H697" t="s">
        <v>2999</v>
      </c>
      <c r="I697">
        <v>9</v>
      </c>
      <c r="J697">
        <v>11</v>
      </c>
      <c r="K697">
        <v>202</v>
      </c>
      <c r="L697">
        <v>53759</v>
      </c>
      <c r="M697" t="s">
        <v>3724</v>
      </c>
      <c r="N697" t="s">
        <v>29</v>
      </c>
      <c r="O697">
        <v>812161</v>
      </c>
      <c r="P697" t="s">
        <v>3000</v>
      </c>
      <c r="Q697">
        <v>110924</v>
      </c>
      <c r="R697" t="s">
        <v>3001</v>
      </c>
      <c r="S697">
        <v>322</v>
      </c>
      <c r="T697" t="b">
        <v>0</v>
      </c>
      <c r="U697">
        <v>2</v>
      </c>
      <c r="V697">
        <v>1</v>
      </c>
      <c r="W697" t="s">
        <v>35</v>
      </c>
      <c r="X697" t="s">
        <v>29</v>
      </c>
      <c r="Y697" t="s">
        <v>3725</v>
      </c>
      <c r="Z697" t="s">
        <v>37</v>
      </c>
    </row>
    <row r="698" spans="1:26">
      <c r="A698">
        <v>1.8684394591354145E+18</v>
      </c>
      <c r="B698" t="s">
        <v>3196</v>
      </c>
      <c r="C698" t="s">
        <v>3196</v>
      </c>
      <c r="D698" t="s">
        <v>3726</v>
      </c>
      <c r="E698" t="s">
        <v>3727</v>
      </c>
      <c r="F698" t="s">
        <v>29</v>
      </c>
      <c r="G698" t="s">
        <v>3728</v>
      </c>
      <c r="H698" t="s">
        <v>3631</v>
      </c>
      <c r="I698">
        <v>10</v>
      </c>
      <c r="J698">
        <v>2</v>
      </c>
      <c r="K698">
        <v>66</v>
      </c>
      <c r="L698">
        <v>9146</v>
      </c>
      <c r="M698" t="s">
        <v>52</v>
      </c>
      <c r="N698" t="s">
        <v>3201</v>
      </c>
      <c r="O698">
        <v>376785</v>
      </c>
      <c r="P698" t="s">
        <v>3202</v>
      </c>
      <c r="Q698">
        <v>106893</v>
      </c>
      <c r="R698" t="s">
        <v>3203</v>
      </c>
      <c r="S698">
        <v>415</v>
      </c>
      <c r="T698" t="b">
        <v>0</v>
      </c>
      <c r="U698">
        <v>1</v>
      </c>
      <c r="V698">
        <v>3</v>
      </c>
      <c r="W698" t="s">
        <v>35</v>
      </c>
      <c r="X698" t="s">
        <v>29</v>
      </c>
      <c r="Y698" t="s">
        <v>3729</v>
      </c>
      <c r="Z698" t="s">
        <v>37</v>
      </c>
    </row>
    <row r="699" spans="1:26">
      <c r="A699">
        <v>1.8684231927856008E+18</v>
      </c>
      <c r="B699" t="s">
        <v>3638</v>
      </c>
      <c r="C699" t="s">
        <v>3639</v>
      </c>
      <c r="D699" t="s">
        <v>3730</v>
      </c>
      <c r="E699" t="s">
        <v>3731</v>
      </c>
      <c r="F699" t="s">
        <v>29</v>
      </c>
      <c r="G699" t="s">
        <v>3732</v>
      </c>
      <c r="H699" t="s">
        <v>3733</v>
      </c>
      <c r="I699">
        <v>21</v>
      </c>
      <c r="J699">
        <v>79</v>
      </c>
      <c r="K699">
        <v>1510</v>
      </c>
      <c r="L699">
        <v>75711</v>
      </c>
      <c r="M699" t="s">
        <v>52</v>
      </c>
      <c r="N699" t="s">
        <v>29</v>
      </c>
      <c r="O699">
        <v>8885749</v>
      </c>
      <c r="P699" t="s">
        <v>3643</v>
      </c>
      <c r="Q699">
        <v>115852</v>
      </c>
      <c r="R699" t="s">
        <v>3644</v>
      </c>
      <c r="S699">
        <v>469</v>
      </c>
      <c r="T699" t="b">
        <v>0</v>
      </c>
      <c r="U699">
        <v>17</v>
      </c>
      <c r="V699">
        <v>31</v>
      </c>
      <c r="W699" t="s">
        <v>35</v>
      </c>
      <c r="X699" t="s">
        <v>29</v>
      </c>
      <c r="Y699" t="s">
        <v>3734</v>
      </c>
      <c r="Z699" t="s">
        <v>37</v>
      </c>
    </row>
    <row r="700" spans="1:26">
      <c r="A700">
        <v>1.8683862739810798E+18</v>
      </c>
      <c r="B700" t="s">
        <v>1258</v>
      </c>
      <c r="C700" t="s">
        <v>3735</v>
      </c>
      <c r="D700" t="s">
        <v>3736</v>
      </c>
      <c r="E700" t="s">
        <v>3737</v>
      </c>
      <c r="F700" t="s">
        <v>29</v>
      </c>
      <c r="G700" t="s">
        <v>3738</v>
      </c>
      <c r="H700" t="s">
        <v>29</v>
      </c>
      <c r="I700">
        <v>90</v>
      </c>
      <c r="J700">
        <v>185</v>
      </c>
      <c r="K700">
        <v>2128</v>
      </c>
      <c r="L700">
        <v>123799</v>
      </c>
      <c r="M700" t="s">
        <v>3739</v>
      </c>
      <c r="N700" t="s">
        <v>3740</v>
      </c>
      <c r="O700">
        <v>26078976</v>
      </c>
      <c r="P700" t="s">
        <v>52</v>
      </c>
      <c r="Q700">
        <v>121345</v>
      </c>
      <c r="R700" t="s">
        <v>3741</v>
      </c>
      <c r="S700">
        <v>277</v>
      </c>
      <c r="T700" t="b">
        <v>0</v>
      </c>
      <c r="U700">
        <v>4</v>
      </c>
      <c r="V700">
        <v>4</v>
      </c>
      <c r="W700" t="s">
        <v>35</v>
      </c>
      <c r="X700" t="s">
        <v>29</v>
      </c>
      <c r="Y700" t="s">
        <v>3742</v>
      </c>
      <c r="Z700" t="s">
        <v>37</v>
      </c>
    </row>
    <row r="701" spans="1:26">
      <c r="A701">
        <v>1.8683826069388495E+18</v>
      </c>
      <c r="B701" t="s">
        <v>3743</v>
      </c>
      <c r="C701" t="s">
        <v>3744</v>
      </c>
      <c r="D701" t="s">
        <v>3745</v>
      </c>
      <c r="E701" t="s">
        <v>3746</v>
      </c>
      <c r="F701" t="s">
        <v>29</v>
      </c>
      <c r="G701" t="s">
        <v>3747</v>
      </c>
      <c r="H701" t="s">
        <v>3748</v>
      </c>
      <c r="I701">
        <v>2</v>
      </c>
      <c r="J701">
        <v>2</v>
      </c>
      <c r="K701">
        <v>24</v>
      </c>
      <c r="L701">
        <v>13254</v>
      </c>
      <c r="M701" t="s">
        <v>3749</v>
      </c>
      <c r="N701" t="s">
        <v>3750</v>
      </c>
      <c r="O701">
        <v>668750</v>
      </c>
      <c r="P701" t="s">
        <v>3751</v>
      </c>
      <c r="Q701">
        <v>76510</v>
      </c>
      <c r="R701" t="s">
        <v>3752</v>
      </c>
      <c r="S701">
        <v>860</v>
      </c>
      <c r="T701" t="b">
        <v>0</v>
      </c>
      <c r="U701">
        <v>0</v>
      </c>
      <c r="V701">
        <v>1</v>
      </c>
      <c r="W701" t="s">
        <v>35</v>
      </c>
      <c r="X701" t="s">
        <v>29</v>
      </c>
      <c r="Y701" t="s">
        <v>3753</v>
      </c>
      <c r="Z701" t="s">
        <v>37</v>
      </c>
    </row>
    <row r="702" spans="1:26">
      <c r="A702">
        <v>1.8681676344133391E+18</v>
      </c>
      <c r="B702" t="s">
        <v>3034</v>
      </c>
      <c r="C702" t="s">
        <v>3035</v>
      </c>
      <c r="D702" t="s">
        <v>3754</v>
      </c>
      <c r="E702" t="s">
        <v>3755</v>
      </c>
      <c r="F702" t="s">
        <v>29</v>
      </c>
      <c r="G702" t="s">
        <v>3756</v>
      </c>
      <c r="H702" t="s">
        <v>3262</v>
      </c>
      <c r="I702">
        <v>58</v>
      </c>
      <c r="J702">
        <v>54</v>
      </c>
      <c r="K702">
        <v>1012</v>
      </c>
      <c r="L702">
        <v>218038</v>
      </c>
      <c r="M702" t="s">
        <v>52</v>
      </c>
      <c r="N702" t="s">
        <v>29</v>
      </c>
      <c r="O702">
        <v>12876593</v>
      </c>
      <c r="P702" t="s">
        <v>3041</v>
      </c>
      <c r="Q702">
        <v>141401</v>
      </c>
      <c r="R702" t="s">
        <v>3042</v>
      </c>
      <c r="S702">
        <v>717</v>
      </c>
      <c r="T702" t="b">
        <v>0</v>
      </c>
      <c r="U702">
        <v>4</v>
      </c>
      <c r="V702">
        <v>29</v>
      </c>
      <c r="W702" t="s">
        <v>35</v>
      </c>
      <c r="X702" t="s">
        <v>29</v>
      </c>
      <c r="Y702" t="s">
        <v>3757</v>
      </c>
      <c r="Z702" t="s">
        <v>37</v>
      </c>
    </row>
    <row r="703" spans="1:26">
      <c r="A703">
        <v>1.8681716177061112E+18</v>
      </c>
      <c r="B703" t="s">
        <v>3034</v>
      </c>
      <c r="C703" t="s">
        <v>3035</v>
      </c>
      <c r="D703" t="s">
        <v>3758</v>
      </c>
      <c r="E703" t="s">
        <v>3759</v>
      </c>
      <c r="F703" t="s">
        <v>29</v>
      </c>
      <c r="G703" t="s">
        <v>3760</v>
      </c>
      <c r="H703" t="s">
        <v>3761</v>
      </c>
      <c r="I703">
        <v>60</v>
      </c>
      <c r="J703">
        <v>43</v>
      </c>
      <c r="K703">
        <v>429</v>
      </c>
      <c r="L703">
        <v>130875</v>
      </c>
      <c r="M703" t="s">
        <v>52</v>
      </c>
      <c r="N703" t="s">
        <v>3040</v>
      </c>
      <c r="O703">
        <v>12876593</v>
      </c>
      <c r="P703" t="s">
        <v>3041</v>
      </c>
      <c r="Q703">
        <v>141401</v>
      </c>
      <c r="R703" t="s">
        <v>3042</v>
      </c>
      <c r="S703">
        <v>717</v>
      </c>
      <c r="T703" t="b">
        <v>0</v>
      </c>
      <c r="U703">
        <v>19</v>
      </c>
      <c r="V703">
        <v>5</v>
      </c>
      <c r="W703" t="s">
        <v>35</v>
      </c>
      <c r="X703" t="s">
        <v>29</v>
      </c>
      <c r="Y703" t="s">
        <v>3762</v>
      </c>
      <c r="Z703" t="s">
        <v>37</v>
      </c>
    </row>
    <row r="704" spans="1:26">
      <c r="A704">
        <v>1.8681239183238103E+18</v>
      </c>
      <c r="B704" t="s">
        <v>3034</v>
      </c>
      <c r="C704" t="s">
        <v>3035</v>
      </c>
      <c r="D704" t="s">
        <v>3763</v>
      </c>
      <c r="E704" t="s">
        <v>3764</v>
      </c>
      <c r="F704" t="s">
        <v>29</v>
      </c>
      <c r="G704" t="s">
        <v>3765</v>
      </c>
      <c r="H704" t="s">
        <v>3766</v>
      </c>
      <c r="I704">
        <v>22</v>
      </c>
      <c r="J704">
        <v>4</v>
      </c>
      <c r="K704">
        <v>95</v>
      </c>
      <c r="L704">
        <v>13314</v>
      </c>
      <c r="M704" t="s">
        <v>52</v>
      </c>
      <c r="N704" t="s">
        <v>3040</v>
      </c>
      <c r="O704">
        <v>12876592</v>
      </c>
      <c r="P704" t="s">
        <v>3041</v>
      </c>
      <c r="Q704">
        <v>141401</v>
      </c>
      <c r="R704" t="s">
        <v>3042</v>
      </c>
      <c r="S704">
        <v>717</v>
      </c>
      <c r="T704" t="b">
        <v>0</v>
      </c>
      <c r="U704">
        <v>0</v>
      </c>
      <c r="V704">
        <v>3</v>
      </c>
      <c r="W704" t="s">
        <v>35</v>
      </c>
      <c r="X704" t="s">
        <v>29</v>
      </c>
      <c r="Y704" t="s">
        <v>3263</v>
      </c>
      <c r="Z704" t="s">
        <v>37</v>
      </c>
    </row>
    <row r="705" spans="1:26">
      <c r="A705">
        <v>1.868160649911841E+18</v>
      </c>
      <c r="B705" t="s">
        <v>3034</v>
      </c>
      <c r="C705" t="s">
        <v>3035</v>
      </c>
      <c r="D705" t="s">
        <v>3767</v>
      </c>
      <c r="E705" t="s">
        <v>3768</v>
      </c>
      <c r="F705" t="s">
        <v>29</v>
      </c>
      <c r="G705" t="s">
        <v>3769</v>
      </c>
      <c r="H705" t="s">
        <v>3770</v>
      </c>
      <c r="I705">
        <v>54</v>
      </c>
      <c r="J705">
        <v>16</v>
      </c>
      <c r="K705">
        <v>231</v>
      </c>
      <c r="L705">
        <v>82596</v>
      </c>
      <c r="M705" t="s">
        <v>52</v>
      </c>
      <c r="N705" t="s">
        <v>3040</v>
      </c>
      <c r="O705">
        <v>12876593</v>
      </c>
      <c r="P705" t="s">
        <v>3041</v>
      </c>
      <c r="Q705">
        <v>141401</v>
      </c>
      <c r="R705" t="s">
        <v>3042</v>
      </c>
      <c r="S705">
        <v>717</v>
      </c>
      <c r="T705" t="b">
        <v>0</v>
      </c>
      <c r="U705">
        <v>2</v>
      </c>
      <c r="V705">
        <v>2</v>
      </c>
      <c r="W705" t="s">
        <v>35</v>
      </c>
      <c r="X705" t="s">
        <v>29</v>
      </c>
      <c r="Y705" t="s">
        <v>3771</v>
      </c>
      <c r="Z705" t="s">
        <v>37</v>
      </c>
    </row>
    <row r="706" spans="1:26">
      <c r="A706">
        <v>1.8680882642313833E+18</v>
      </c>
      <c r="B706" t="s">
        <v>3034</v>
      </c>
      <c r="C706" t="s">
        <v>3035</v>
      </c>
      <c r="D706" t="s">
        <v>3772</v>
      </c>
      <c r="E706" t="s">
        <v>3773</v>
      </c>
      <c r="F706" t="s">
        <v>29</v>
      </c>
      <c r="G706" t="s">
        <v>3774</v>
      </c>
      <c r="H706" t="s">
        <v>3262</v>
      </c>
      <c r="I706">
        <v>42</v>
      </c>
      <c r="J706">
        <v>46</v>
      </c>
      <c r="K706">
        <v>511</v>
      </c>
      <c r="L706">
        <v>95846</v>
      </c>
      <c r="M706" t="s">
        <v>52</v>
      </c>
      <c r="N706" t="s">
        <v>3040</v>
      </c>
      <c r="O706">
        <v>12876593</v>
      </c>
      <c r="P706" t="s">
        <v>3041</v>
      </c>
      <c r="Q706">
        <v>141401</v>
      </c>
      <c r="R706" t="s">
        <v>3042</v>
      </c>
      <c r="S706">
        <v>717</v>
      </c>
      <c r="T706" t="b">
        <v>0</v>
      </c>
      <c r="U706">
        <v>5</v>
      </c>
      <c r="V706">
        <v>9</v>
      </c>
      <c r="W706" t="s">
        <v>35</v>
      </c>
      <c r="X706" t="s">
        <v>29</v>
      </c>
      <c r="Y706" t="s">
        <v>3775</v>
      </c>
      <c r="Z706" t="s">
        <v>37</v>
      </c>
    </row>
    <row r="707" spans="1:26">
      <c r="A707">
        <v>1.8683883364167191E+18</v>
      </c>
      <c r="B707" t="s">
        <v>3776</v>
      </c>
      <c r="C707" t="s">
        <v>3777</v>
      </c>
      <c r="D707" t="s">
        <v>3778</v>
      </c>
      <c r="E707" t="s">
        <v>3779</v>
      </c>
      <c r="F707" t="s">
        <v>29</v>
      </c>
      <c r="G707" t="s">
        <v>3780</v>
      </c>
      <c r="H707" t="s">
        <v>3781</v>
      </c>
      <c r="I707">
        <v>84</v>
      </c>
      <c r="J707">
        <v>143</v>
      </c>
      <c r="K707">
        <v>1239</v>
      </c>
      <c r="L707">
        <v>101335</v>
      </c>
      <c r="M707" t="s">
        <v>52</v>
      </c>
      <c r="N707" t="s">
        <v>29</v>
      </c>
      <c r="O707">
        <v>3449146</v>
      </c>
      <c r="P707" t="s">
        <v>3782</v>
      </c>
      <c r="Q707">
        <v>10815</v>
      </c>
      <c r="R707" t="s">
        <v>3783</v>
      </c>
      <c r="S707">
        <v>27</v>
      </c>
      <c r="T707" t="b">
        <v>0</v>
      </c>
      <c r="U707">
        <v>18</v>
      </c>
      <c r="V707">
        <v>30</v>
      </c>
      <c r="W707" t="s">
        <v>35</v>
      </c>
      <c r="X707" t="s">
        <v>29</v>
      </c>
      <c r="Y707" t="s">
        <v>3784</v>
      </c>
      <c r="Z707" t="s">
        <v>37</v>
      </c>
    </row>
    <row r="708" spans="1:26">
      <c r="A708">
        <v>1.8681024768444214E+18</v>
      </c>
      <c r="B708" t="s">
        <v>3083</v>
      </c>
      <c r="C708" t="s">
        <v>3083</v>
      </c>
      <c r="D708" t="s">
        <v>3785</v>
      </c>
      <c r="E708" t="s">
        <v>3786</v>
      </c>
      <c r="F708" t="s">
        <v>29</v>
      </c>
      <c r="G708" t="s">
        <v>3787</v>
      </c>
      <c r="H708" t="s">
        <v>3788</v>
      </c>
      <c r="I708">
        <v>116</v>
      </c>
      <c r="J708">
        <v>466</v>
      </c>
      <c r="K708">
        <v>3322</v>
      </c>
      <c r="L708">
        <v>296280</v>
      </c>
      <c r="M708" t="s">
        <v>52</v>
      </c>
      <c r="N708" t="s">
        <v>3087</v>
      </c>
      <c r="O708">
        <v>14376035</v>
      </c>
      <c r="P708" t="s">
        <v>3088</v>
      </c>
      <c r="Q708">
        <v>346973</v>
      </c>
      <c r="R708" t="s">
        <v>3089</v>
      </c>
      <c r="S708">
        <v>392</v>
      </c>
      <c r="T708" t="b">
        <v>0</v>
      </c>
      <c r="U708">
        <v>18</v>
      </c>
      <c r="V708">
        <v>86</v>
      </c>
      <c r="W708" t="s">
        <v>35</v>
      </c>
      <c r="X708" t="s">
        <v>29</v>
      </c>
      <c r="Y708" t="s">
        <v>3789</v>
      </c>
      <c r="Z708" t="s">
        <v>37</v>
      </c>
    </row>
    <row r="709" spans="1:26">
      <c r="A709">
        <v>1.8681579013590062E+18</v>
      </c>
      <c r="B709" t="s">
        <v>3083</v>
      </c>
      <c r="C709" t="s">
        <v>3083</v>
      </c>
      <c r="D709" t="s">
        <v>3790</v>
      </c>
      <c r="E709" t="s">
        <v>3791</v>
      </c>
      <c r="F709" t="s">
        <v>29</v>
      </c>
      <c r="G709" t="s">
        <v>3792</v>
      </c>
      <c r="H709" t="s">
        <v>3793</v>
      </c>
      <c r="I709">
        <v>68</v>
      </c>
      <c r="J709">
        <v>383</v>
      </c>
      <c r="K709">
        <v>2495</v>
      </c>
      <c r="L709">
        <v>247283</v>
      </c>
      <c r="M709" t="s">
        <v>52</v>
      </c>
      <c r="N709" t="s">
        <v>3087</v>
      </c>
      <c r="O709">
        <v>14375934</v>
      </c>
      <c r="P709" t="s">
        <v>3088</v>
      </c>
      <c r="Q709">
        <v>346973</v>
      </c>
      <c r="R709" t="s">
        <v>3089</v>
      </c>
      <c r="S709">
        <v>392</v>
      </c>
      <c r="T709" t="b">
        <v>0</v>
      </c>
      <c r="U709">
        <v>15</v>
      </c>
      <c r="V709">
        <v>177</v>
      </c>
      <c r="W709" t="s">
        <v>35</v>
      </c>
      <c r="X709" t="s">
        <v>29</v>
      </c>
      <c r="Y709" t="s">
        <v>3794</v>
      </c>
      <c r="Z709" t="s">
        <v>37</v>
      </c>
    </row>
    <row r="710" spans="1:26">
      <c r="A710">
        <v>1.8681070090040407E+18</v>
      </c>
      <c r="B710" t="s">
        <v>3034</v>
      </c>
      <c r="C710" t="s">
        <v>3035</v>
      </c>
      <c r="D710" t="s">
        <v>3795</v>
      </c>
      <c r="E710" t="s">
        <v>3796</v>
      </c>
      <c r="F710" t="s">
        <v>29</v>
      </c>
      <c r="G710" t="s">
        <v>3797</v>
      </c>
      <c r="H710" t="s">
        <v>3798</v>
      </c>
      <c r="I710">
        <v>40</v>
      </c>
      <c r="J710">
        <v>27</v>
      </c>
      <c r="K710">
        <v>176</v>
      </c>
      <c r="L710">
        <v>80642</v>
      </c>
      <c r="M710" t="s">
        <v>52</v>
      </c>
      <c r="N710" t="s">
        <v>3040</v>
      </c>
      <c r="O710">
        <v>12876593</v>
      </c>
      <c r="P710" t="s">
        <v>3041</v>
      </c>
      <c r="Q710">
        <v>141401</v>
      </c>
      <c r="R710" t="s">
        <v>3042</v>
      </c>
      <c r="S710">
        <v>717</v>
      </c>
      <c r="T710" t="b">
        <v>0</v>
      </c>
      <c r="U710">
        <v>4</v>
      </c>
      <c r="V710">
        <v>2</v>
      </c>
      <c r="W710" t="s">
        <v>35</v>
      </c>
      <c r="X710" t="s">
        <v>29</v>
      </c>
      <c r="Y710" t="s">
        <v>3799</v>
      </c>
      <c r="Z710" t="s">
        <v>37</v>
      </c>
    </row>
    <row r="711" spans="1:26">
      <c r="A711">
        <v>1.8685181848080061E+18</v>
      </c>
      <c r="B711" t="s">
        <v>2935</v>
      </c>
      <c r="C711" t="s">
        <v>2936</v>
      </c>
      <c r="D711" t="s">
        <v>3800</v>
      </c>
      <c r="E711" t="s">
        <v>3801</v>
      </c>
      <c r="F711" t="s">
        <v>29</v>
      </c>
      <c r="G711" t="s">
        <v>3802</v>
      </c>
      <c r="H711" t="s">
        <v>29</v>
      </c>
      <c r="I711">
        <v>5</v>
      </c>
      <c r="J711">
        <v>3</v>
      </c>
      <c r="K711">
        <v>8</v>
      </c>
      <c r="L711">
        <v>16574</v>
      </c>
      <c r="M711" t="s">
        <v>3803</v>
      </c>
      <c r="N711" t="s">
        <v>29</v>
      </c>
      <c r="O711">
        <v>9564153</v>
      </c>
      <c r="P711" t="s">
        <v>2941</v>
      </c>
      <c r="Q711">
        <v>1125277</v>
      </c>
      <c r="R711" t="s">
        <v>2942</v>
      </c>
      <c r="S711">
        <v>93</v>
      </c>
      <c r="T711" t="b">
        <v>0</v>
      </c>
      <c r="U711">
        <v>1</v>
      </c>
      <c r="V711">
        <v>2</v>
      </c>
      <c r="W711" t="s">
        <v>35</v>
      </c>
      <c r="X711" t="s">
        <v>3804</v>
      </c>
      <c r="Y711" t="s">
        <v>29</v>
      </c>
      <c r="Z711" t="s">
        <v>37</v>
      </c>
    </row>
    <row r="712" spans="1:26">
      <c r="A712">
        <v>1.868387947008938E+18</v>
      </c>
      <c r="B712" t="s">
        <v>2935</v>
      </c>
      <c r="C712" t="s">
        <v>2936</v>
      </c>
      <c r="D712" t="s">
        <v>3805</v>
      </c>
      <c r="E712" t="s">
        <v>3806</v>
      </c>
      <c r="F712" t="s">
        <v>29</v>
      </c>
      <c r="G712" t="s">
        <v>3807</v>
      </c>
      <c r="H712" t="s">
        <v>29</v>
      </c>
      <c r="I712">
        <v>6</v>
      </c>
      <c r="J712">
        <v>15</v>
      </c>
      <c r="K712">
        <v>37</v>
      </c>
      <c r="L712">
        <v>35290</v>
      </c>
      <c r="M712" t="s">
        <v>3808</v>
      </c>
      <c r="N712" t="s">
        <v>29</v>
      </c>
      <c r="O712">
        <v>9564233</v>
      </c>
      <c r="P712" t="s">
        <v>2941</v>
      </c>
      <c r="Q712">
        <v>1125277</v>
      </c>
      <c r="R712" t="s">
        <v>2942</v>
      </c>
      <c r="S712">
        <v>93</v>
      </c>
      <c r="T712" t="b">
        <v>0</v>
      </c>
      <c r="U712">
        <v>3</v>
      </c>
      <c r="V712">
        <v>6</v>
      </c>
      <c r="W712" t="s">
        <v>35</v>
      </c>
      <c r="X712" t="s">
        <v>3809</v>
      </c>
      <c r="Y712" t="s">
        <v>29</v>
      </c>
      <c r="Z712" t="s">
        <v>37</v>
      </c>
    </row>
    <row r="713" spans="1:26">
      <c r="A713">
        <v>1.868308353559958E+18</v>
      </c>
      <c r="B713" t="s">
        <v>2935</v>
      </c>
      <c r="C713" t="s">
        <v>2936</v>
      </c>
      <c r="D713" t="s">
        <v>3810</v>
      </c>
      <c r="E713" t="s">
        <v>3811</v>
      </c>
      <c r="F713" t="s">
        <v>29</v>
      </c>
      <c r="G713" t="s">
        <v>3812</v>
      </c>
      <c r="H713" t="s">
        <v>29</v>
      </c>
      <c r="I713">
        <v>43</v>
      </c>
      <c r="J713">
        <v>37</v>
      </c>
      <c r="K713">
        <v>153</v>
      </c>
      <c r="L713">
        <v>62387</v>
      </c>
      <c r="M713" t="s">
        <v>3813</v>
      </c>
      <c r="N713" t="s">
        <v>29</v>
      </c>
      <c r="O713">
        <v>9564155</v>
      </c>
      <c r="P713" t="s">
        <v>2941</v>
      </c>
      <c r="Q713">
        <v>1125277</v>
      </c>
      <c r="R713" t="s">
        <v>2942</v>
      </c>
      <c r="S713">
        <v>93</v>
      </c>
      <c r="T713" t="b">
        <v>0</v>
      </c>
      <c r="U713">
        <v>5</v>
      </c>
      <c r="V713">
        <v>8</v>
      </c>
      <c r="W713" t="s">
        <v>35</v>
      </c>
      <c r="X713" t="s">
        <v>3814</v>
      </c>
      <c r="Y713" t="s">
        <v>29</v>
      </c>
      <c r="Z713" t="s">
        <v>37</v>
      </c>
    </row>
    <row r="714" spans="1:26">
      <c r="A714">
        <v>1.8682544295661202E+18</v>
      </c>
      <c r="B714" t="s">
        <v>2935</v>
      </c>
      <c r="C714" t="s">
        <v>2936</v>
      </c>
      <c r="D714" t="s">
        <v>3815</v>
      </c>
      <c r="E714" t="s">
        <v>3816</v>
      </c>
      <c r="F714" t="s">
        <v>29</v>
      </c>
      <c r="G714" t="s">
        <v>3817</v>
      </c>
      <c r="H714" t="s">
        <v>29</v>
      </c>
      <c r="I714">
        <v>6</v>
      </c>
      <c r="J714">
        <v>2</v>
      </c>
      <c r="K714">
        <v>18</v>
      </c>
      <c r="L714">
        <v>30919</v>
      </c>
      <c r="M714" t="s">
        <v>3818</v>
      </c>
      <c r="N714" t="s">
        <v>29</v>
      </c>
      <c r="O714">
        <v>9564155</v>
      </c>
      <c r="P714" t="s">
        <v>2941</v>
      </c>
      <c r="Q714">
        <v>1125277</v>
      </c>
      <c r="R714" t="s">
        <v>2942</v>
      </c>
      <c r="S714">
        <v>93</v>
      </c>
      <c r="T714" t="b">
        <v>0</v>
      </c>
      <c r="U714">
        <v>1</v>
      </c>
      <c r="V714">
        <v>5</v>
      </c>
      <c r="W714" t="s">
        <v>35</v>
      </c>
      <c r="X714" t="s">
        <v>3609</v>
      </c>
      <c r="Y714" t="s">
        <v>29</v>
      </c>
      <c r="Z714" t="s">
        <v>37</v>
      </c>
    </row>
    <row r="715" spans="1:26">
      <c r="A715">
        <v>1.8682899411610255E+18</v>
      </c>
      <c r="B715" t="s">
        <v>2935</v>
      </c>
      <c r="C715" t="s">
        <v>2936</v>
      </c>
      <c r="D715" t="s">
        <v>3819</v>
      </c>
      <c r="E715" t="s">
        <v>3820</v>
      </c>
      <c r="F715" t="s">
        <v>29</v>
      </c>
      <c r="G715" t="s">
        <v>3821</v>
      </c>
      <c r="H715" t="s">
        <v>29</v>
      </c>
      <c r="I715">
        <v>10</v>
      </c>
      <c r="J715">
        <v>19</v>
      </c>
      <c r="K715">
        <v>38</v>
      </c>
      <c r="L715">
        <v>39381</v>
      </c>
      <c r="M715" t="s">
        <v>3822</v>
      </c>
      <c r="N715" t="s">
        <v>29</v>
      </c>
      <c r="O715">
        <v>9564155</v>
      </c>
      <c r="P715" t="s">
        <v>2941</v>
      </c>
      <c r="Q715">
        <v>1125277</v>
      </c>
      <c r="R715" t="s">
        <v>2942</v>
      </c>
      <c r="S715">
        <v>93</v>
      </c>
      <c r="T715" t="b">
        <v>0</v>
      </c>
      <c r="U715">
        <v>4</v>
      </c>
      <c r="V715">
        <v>9</v>
      </c>
      <c r="W715" t="s">
        <v>35</v>
      </c>
      <c r="X715" t="s">
        <v>29</v>
      </c>
      <c r="Y715" t="s">
        <v>3823</v>
      </c>
      <c r="Z715" t="s">
        <v>37</v>
      </c>
    </row>
    <row r="716" spans="1:26">
      <c r="A716">
        <v>1.8685174202619453E+18</v>
      </c>
      <c r="B716" t="s">
        <v>2935</v>
      </c>
      <c r="C716" t="s">
        <v>2936</v>
      </c>
      <c r="D716" t="s">
        <v>3824</v>
      </c>
      <c r="E716" t="s">
        <v>3825</v>
      </c>
      <c r="F716" t="s">
        <v>29</v>
      </c>
      <c r="G716" t="s">
        <v>3826</v>
      </c>
      <c r="H716" t="s">
        <v>29</v>
      </c>
      <c r="I716">
        <v>2</v>
      </c>
      <c r="J716">
        <v>3</v>
      </c>
      <c r="K716">
        <v>10</v>
      </c>
      <c r="L716">
        <v>15293</v>
      </c>
      <c r="M716" t="s">
        <v>3827</v>
      </c>
      <c r="N716" t="s">
        <v>29</v>
      </c>
      <c r="O716">
        <v>9564155</v>
      </c>
      <c r="P716" t="s">
        <v>2941</v>
      </c>
      <c r="Q716">
        <v>1125277</v>
      </c>
      <c r="R716" t="s">
        <v>2942</v>
      </c>
      <c r="S716">
        <v>93</v>
      </c>
      <c r="T716" t="b">
        <v>0</v>
      </c>
      <c r="U716">
        <v>1</v>
      </c>
      <c r="V716">
        <v>2</v>
      </c>
      <c r="W716" t="s">
        <v>35</v>
      </c>
      <c r="X716" t="s">
        <v>3828</v>
      </c>
      <c r="Y716" t="s">
        <v>29</v>
      </c>
      <c r="Z716" t="s">
        <v>37</v>
      </c>
    </row>
    <row r="717" spans="1:26">
      <c r="A717">
        <v>1.8682311787858785E+18</v>
      </c>
      <c r="B717" t="s">
        <v>2935</v>
      </c>
      <c r="C717" t="s">
        <v>2936</v>
      </c>
      <c r="D717" t="s">
        <v>3829</v>
      </c>
      <c r="E717" t="s">
        <v>3830</v>
      </c>
      <c r="F717" t="s">
        <v>29</v>
      </c>
      <c r="G717" t="s">
        <v>3831</v>
      </c>
      <c r="H717" t="s">
        <v>29</v>
      </c>
      <c r="I717">
        <v>12</v>
      </c>
      <c r="J717">
        <v>11</v>
      </c>
      <c r="K717">
        <v>22</v>
      </c>
      <c r="L717">
        <v>26212</v>
      </c>
      <c r="M717" t="s">
        <v>3832</v>
      </c>
      <c r="N717" t="s">
        <v>29</v>
      </c>
      <c r="O717">
        <v>9564155</v>
      </c>
      <c r="P717" t="s">
        <v>2941</v>
      </c>
      <c r="Q717">
        <v>1125277</v>
      </c>
      <c r="R717" t="s">
        <v>2942</v>
      </c>
      <c r="S717">
        <v>93</v>
      </c>
      <c r="T717" t="b">
        <v>0</v>
      </c>
      <c r="U717">
        <v>2</v>
      </c>
      <c r="V717">
        <v>3</v>
      </c>
      <c r="W717" t="s">
        <v>35</v>
      </c>
      <c r="X717" t="s">
        <v>3833</v>
      </c>
      <c r="Y717" t="s">
        <v>29</v>
      </c>
      <c r="Z717" t="s">
        <v>37</v>
      </c>
    </row>
    <row r="718" spans="1:26">
      <c r="A718">
        <v>1.8680963940886162E+18</v>
      </c>
      <c r="B718" t="s">
        <v>2935</v>
      </c>
      <c r="C718" t="s">
        <v>2936</v>
      </c>
      <c r="D718" t="s">
        <v>2989</v>
      </c>
      <c r="E718" t="s">
        <v>3834</v>
      </c>
      <c r="F718" t="s">
        <v>29</v>
      </c>
      <c r="G718" t="s">
        <v>3835</v>
      </c>
      <c r="H718" t="s">
        <v>29</v>
      </c>
      <c r="I718">
        <v>8</v>
      </c>
      <c r="J718">
        <v>4</v>
      </c>
      <c r="K718">
        <v>21</v>
      </c>
      <c r="L718">
        <v>35071</v>
      </c>
      <c r="M718" t="s">
        <v>3836</v>
      </c>
      <c r="N718" t="s">
        <v>29</v>
      </c>
      <c r="O718">
        <v>9564157</v>
      </c>
      <c r="P718" t="s">
        <v>2941</v>
      </c>
      <c r="Q718">
        <v>1125277</v>
      </c>
      <c r="R718" t="s">
        <v>2942</v>
      </c>
      <c r="S718">
        <v>93</v>
      </c>
      <c r="T718" t="b">
        <v>0</v>
      </c>
      <c r="U718">
        <v>1</v>
      </c>
      <c r="V718">
        <v>4</v>
      </c>
      <c r="W718" t="s">
        <v>35</v>
      </c>
      <c r="X718" t="s">
        <v>2993</v>
      </c>
      <c r="Y718" t="s">
        <v>29</v>
      </c>
      <c r="Z718" t="s">
        <v>37</v>
      </c>
    </row>
    <row r="719" spans="1:26">
      <c r="A719">
        <v>1.8683110420292037E+18</v>
      </c>
      <c r="B719" t="s">
        <v>3837</v>
      </c>
      <c r="C719" t="s">
        <v>3838</v>
      </c>
      <c r="D719" t="s">
        <v>3839</v>
      </c>
      <c r="E719" t="s">
        <v>3840</v>
      </c>
      <c r="F719" t="s">
        <v>29</v>
      </c>
      <c r="G719" t="s">
        <v>3841</v>
      </c>
      <c r="H719" t="s">
        <v>3842</v>
      </c>
      <c r="I719">
        <v>10</v>
      </c>
      <c r="J719">
        <v>28</v>
      </c>
      <c r="K719">
        <v>303</v>
      </c>
      <c r="L719">
        <v>45920</v>
      </c>
      <c r="M719" t="s">
        <v>52</v>
      </c>
      <c r="N719" t="s">
        <v>3843</v>
      </c>
      <c r="O719">
        <v>984255</v>
      </c>
      <c r="P719" t="s">
        <v>3844</v>
      </c>
      <c r="Q719">
        <v>136135</v>
      </c>
      <c r="R719" t="s">
        <v>3845</v>
      </c>
      <c r="S719">
        <v>438</v>
      </c>
      <c r="T719" t="b">
        <v>0</v>
      </c>
      <c r="U719">
        <v>0</v>
      </c>
      <c r="V719">
        <v>6</v>
      </c>
      <c r="W719" t="s">
        <v>35</v>
      </c>
      <c r="X719" t="s">
        <v>29</v>
      </c>
      <c r="Y719" t="s">
        <v>3846</v>
      </c>
      <c r="Z719" t="s">
        <v>37</v>
      </c>
    </row>
    <row r="720" spans="1:26">
      <c r="A720">
        <v>1.8682404977953139E+18</v>
      </c>
      <c r="B720" t="s">
        <v>3847</v>
      </c>
      <c r="C720" t="s">
        <v>3848</v>
      </c>
      <c r="D720" t="s">
        <v>3849</v>
      </c>
      <c r="E720" t="s">
        <v>3850</v>
      </c>
      <c r="F720" t="s">
        <v>29</v>
      </c>
      <c r="G720" t="s">
        <v>3851</v>
      </c>
      <c r="H720" t="s">
        <v>3852</v>
      </c>
      <c r="I720">
        <v>2</v>
      </c>
      <c r="J720">
        <v>14</v>
      </c>
      <c r="K720">
        <v>117</v>
      </c>
      <c r="L720">
        <v>20102</v>
      </c>
      <c r="M720" t="s">
        <v>3853</v>
      </c>
      <c r="N720" t="s">
        <v>29</v>
      </c>
      <c r="O720">
        <v>123662</v>
      </c>
      <c r="P720" t="s">
        <v>3854</v>
      </c>
      <c r="Q720">
        <v>77019</v>
      </c>
      <c r="R720" t="s">
        <v>3855</v>
      </c>
      <c r="S720">
        <v>188</v>
      </c>
      <c r="T720" t="b">
        <v>0</v>
      </c>
      <c r="U720">
        <v>0</v>
      </c>
      <c r="V720">
        <v>1</v>
      </c>
      <c r="W720" t="s">
        <v>35</v>
      </c>
      <c r="X720" t="s">
        <v>29</v>
      </c>
      <c r="Y720" t="s">
        <v>3856</v>
      </c>
      <c r="Z720" t="s">
        <v>37</v>
      </c>
    </row>
    <row r="721" spans="1:26">
      <c r="A721">
        <v>1.868245869784642E+18</v>
      </c>
      <c r="B721" t="s">
        <v>2994</v>
      </c>
      <c r="C721" t="s">
        <v>2995</v>
      </c>
      <c r="D721" t="s">
        <v>3857</v>
      </c>
      <c r="E721" t="s">
        <v>695</v>
      </c>
      <c r="F721" t="s">
        <v>29</v>
      </c>
      <c r="G721" t="s">
        <v>3858</v>
      </c>
      <c r="H721" t="s">
        <v>2999</v>
      </c>
      <c r="I721">
        <v>11</v>
      </c>
      <c r="J721">
        <v>12</v>
      </c>
      <c r="K721">
        <v>220</v>
      </c>
      <c r="L721">
        <v>44534</v>
      </c>
      <c r="M721" t="s">
        <v>3859</v>
      </c>
      <c r="N721" t="s">
        <v>29</v>
      </c>
      <c r="O721">
        <v>812163</v>
      </c>
      <c r="P721" t="s">
        <v>3000</v>
      </c>
      <c r="Q721">
        <v>110924</v>
      </c>
      <c r="R721" t="s">
        <v>3001</v>
      </c>
      <c r="S721">
        <v>322</v>
      </c>
      <c r="T721" t="b">
        <v>0</v>
      </c>
      <c r="U721">
        <v>0</v>
      </c>
      <c r="V721">
        <v>3</v>
      </c>
      <c r="W721" t="s">
        <v>35</v>
      </c>
      <c r="X721" t="s">
        <v>29</v>
      </c>
      <c r="Y721" t="s">
        <v>3860</v>
      </c>
      <c r="Z721" t="s">
        <v>37</v>
      </c>
    </row>
    <row r="722" spans="1:26">
      <c r="A722">
        <v>1.8683817685978854E+18</v>
      </c>
      <c r="B722" t="s">
        <v>3407</v>
      </c>
      <c r="C722" t="s">
        <v>3407</v>
      </c>
      <c r="D722" t="s">
        <v>3861</v>
      </c>
      <c r="E722" t="s">
        <v>3862</v>
      </c>
      <c r="F722" t="s">
        <v>29</v>
      </c>
      <c r="G722" t="s">
        <v>3863</v>
      </c>
      <c r="H722" t="s">
        <v>3411</v>
      </c>
      <c r="I722">
        <v>1</v>
      </c>
      <c r="J722">
        <v>2</v>
      </c>
      <c r="K722">
        <v>37</v>
      </c>
      <c r="L722">
        <v>6845</v>
      </c>
      <c r="M722" t="s">
        <v>52</v>
      </c>
      <c r="N722" t="s">
        <v>29</v>
      </c>
      <c r="O722">
        <v>341169</v>
      </c>
      <c r="P722" t="s">
        <v>3412</v>
      </c>
      <c r="Q722">
        <v>82161</v>
      </c>
      <c r="R722" t="s">
        <v>3413</v>
      </c>
      <c r="S722">
        <v>1186</v>
      </c>
      <c r="T722" t="b">
        <v>0</v>
      </c>
      <c r="U722">
        <v>1</v>
      </c>
      <c r="V722">
        <v>1</v>
      </c>
      <c r="W722" t="s">
        <v>35</v>
      </c>
      <c r="X722" t="s">
        <v>29</v>
      </c>
      <c r="Y722" t="s">
        <v>3864</v>
      </c>
      <c r="Z722" t="s">
        <v>37</v>
      </c>
    </row>
    <row r="723" spans="1:26">
      <c r="A723">
        <v>1.8681345469753754E+18</v>
      </c>
      <c r="B723" t="s">
        <v>3034</v>
      </c>
      <c r="C723" t="s">
        <v>3035</v>
      </c>
      <c r="D723" t="s">
        <v>3865</v>
      </c>
      <c r="E723" t="s">
        <v>3866</v>
      </c>
      <c r="F723" t="s">
        <v>29</v>
      </c>
      <c r="G723" t="s">
        <v>3867</v>
      </c>
      <c r="H723" t="s">
        <v>3256</v>
      </c>
      <c r="I723">
        <v>12</v>
      </c>
      <c r="J723">
        <v>31</v>
      </c>
      <c r="K723">
        <v>201</v>
      </c>
      <c r="L723">
        <v>71911</v>
      </c>
      <c r="M723" t="s">
        <v>3257</v>
      </c>
      <c r="N723" t="s">
        <v>29</v>
      </c>
      <c r="O723">
        <v>12876593</v>
      </c>
      <c r="P723" t="s">
        <v>3041</v>
      </c>
      <c r="Q723">
        <v>141401</v>
      </c>
      <c r="R723" t="s">
        <v>3042</v>
      </c>
      <c r="S723">
        <v>717</v>
      </c>
      <c r="T723" t="b">
        <v>0</v>
      </c>
      <c r="U723">
        <v>3</v>
      </c>
      <c r="V723">
        <v>7</v>
      </c>
      <c r="W723" t="s">
        <v>35</v>
      </c>
      <c r="X723" t="s">
        <v>29</v>
      </c>
      <c r="Y723" t="s">
        <v>3868</v>
      </c>
      <c r="Z723" t="s">
        <v>37</v>
      </c>
    </row>
    <row r="724" spans="1:26">
      <c r="A724">
        <v>1.8681552793484905E+18</v>
      </c>
      <c r="B724" t="s">
        <v>3034</v>
      </c>
      <c r="C724" t="s">
        <v>3035</v>
      </c>
      <c r="D724" t="s">
        <v>3869</v>
      </c>
      <c r="E724" t="s">
        <v>3870</v>
      </c>
      <c r="F724" t="s">
        <v>29</v>
      </c>
      <c r="G724" t="s">
        <v>3871</v>
      </c>
      <c r="H724" t="s">
        <v>3872</v>
      </c>
      <c r="I724">
        <v>179</v>
      </c>
      <c r="J724">
        <v>153</v>
      </c>
      <c r="K724">
        <v>1870</v>
      </c>
      <c r="L724">
        <v>245803</v>
      </c>
      <c r="M724" t="s">
        <v>52</v>
      </c>
      <c r="N724" t="s">
        <v>3040</v>
      </c>
      <c r="O724">
        <v>12876593</v>
      </c>
      <c r="P724" t="s">
        <v>3041</v>
      </c>
      <c r="Q724">
        <v>141401</v>
      </c>
      <c r="R724" t="s">
        <v>3042</v>
      </c>
      <c r="S724">
        <v>717</v>
      </c>
      <c r="T724" t="b">
        <v>0</v>
      </c>
      <c r="U724">
        <v>45</v>
      </c>
      <c r="V724">
        <v>40</v>
      </c>
      <c r="W724" t="s">
        <v>35</v>
      </c>
      <c r="X724" t="s">
        <v>29</v>
      </c>
      <c r="Y724" t="s">
        <v>3873</v>
      </c>
      <c r="Z724" t="s">
        <v>37</v>
      </c>
    </row>
    <row r="725" spans="1:26">
      <c r="A725">
        <v>1.8681700236066038E+18</v>
      </c>
      <c r="B725" t="s">
        <v>3034</v>
      </c>
      <c r="C725" t="s">
        <v>3035</v>
      </c>
      <c r="D725" t="s">
        <v>3874</v>
      </c>
      <c r="E725" t="s">
        <v>3875</v>
      </c>
      <c r="F725" t="s">
        <v>29</v>
      </c>
      <c r="G725" t="s">
        <v>3876</v>
      </c>
      <c r="H725" t="s">
        <v>3652</v>
      </c>
      <c r="I725">
        <v>200</v>
      </c>
      <c r="J725">
        <v>376</v>
      </c>
      <c r="K725">
        <v>3922</v>
      </c>
      <c r="L725">
        <v>924297</v>
      </c>
      <c r="M725" t="s">
        <v>52</v>
      </c>
      <c r="N725" t="s">
        <v>3040</v>
      </c>
      <c r="O725">
        <v>12876593</v>
      </c>
      <c r="P725" t="s">
        <v>3041</v>
      </c>
      <c r="Q725">
        <v>141401</v>
      </c>
      <c r="R725" t="s">
        <v>3042</v>
      </c>
      <c r="S725">
        <v>717</v>
      </c>
      <c r="T725" t="b">
        <v>0</v>
      </c>
      <c r="U725">
        <v>82</v>
      </c>
      <c r="V725">
        <v>72</v>
      </c>
      <c r="W725" t="s">
        <v>35</v>
      </c>
      <c r="X725" t="s">
        <v>29</v>
      </c>
      <c r="Y725" t="s">
        <v>3877</v>
      </c>
      <c r="Z725" t="s">
        <v>37</v>
      </c>
    </row>
    <row r="726" spans="1:26">
      <c r="A726">
        <v>1.8681021616550584E+18</v>
      </c>
      <c r="B726" t="s">
        <v>3083</v>
      </c>
      <c r="C726" t="s">
        <v>3083</v>
      </c>
      <c r="D726" t="s">
        <v>3878</v>
      </c>
      <c r="E726" t="s">
        <v>3879</v>
      </c>
      <c r="F726" t="s">
        <v>29</v>
      </c>
      <c r="G726" t="s">
        <v>3880</v>
      </c>
      <c r="H726" t="s">
        <v>3881</v>
      </c>
      <c r="I726">
        <v>68</v>
      </c>
      <c r="J726">
        <v>471</v>
      </c>
      <c r="K726">
        <v>3725</v>
      </c>
      <c r="L726">
        <v>304839</v>
      </c>
      <c r="M726" t="s">
        <v>52</v>
      </c>
      <c r="N726" t="s">
        <v>3087</v>
      </c>
      <c r="O726">
        <v>14375935</v>
      </c>
      <c r="P726" t="s">
        <v>3088</v>
      </c>
      <c r="Q726">
        <v>346973</v>
      </c>
      <c r="R726" t="s">
        <v>3089</v>
      </c>
      <c r="S726">
        <v>392</v>
      </c>
      <c r="T726" t="b">
        <v>0</v>
      </c>
      <c r="U726">
        <v>11</v>
      </c>
      <c r="V726">
        <v>103</v>
      </c>
      <c r="W726" t="s">
        <v>35</v>
      </c>
      <c r="X726" t="s">
        <v>29</v>
      </c>
      <c r="Y726" t="s">
        <v>3882</v>
      </c>
      <c r="Z726" t="s">
        <v>37</v>
      </c>
    </row>
    <row r="727" spans="1:26">
      <c r="A727">
        <v>1.8684768047568817E+18</v>
      </c>
      <c r="B727" t="s">
        <v>2935</v>
      </c>
      <c r="C727" t="s">
        <v>2936</v>
      </c>
      <c r="D727" t="s">
        <v>3883</v>
      </c>
      <c r="E727" t="s">
        <v>3884</v>
      </c>
      <c r="F727" t="s">
        <v>29</v>
      </c>
      <c r="G727" t="s">
        <v>3885</v>
      </c>
      <c r="H727" t="s">
        <v>29</v>
      </c>
      <c r="I727">
        <v>4</v>
      </c>
      <c r="J727">
        <v>9</v>
      </c>
      <c r="K727">
        <v>20</v>
      </c>
      <c r="L727">
        <v>36034</v>
      </c>
      <c r="M727" t="s">
        <v>3886</v>
      </c>
      <c r="N727" t="s">
        <v>29</v>
      </c>
      <c r="O727">
        <v>9564154</v>
      </c>
      <c r="P727" t="s">
        <v>2941</v>
      </c>
      <c r="Q727">
        <v>1125277</v>
      </c>
      <c r="R727" t="s">
        <v>2942</v>
      </c>
      <c r="S727">
        <v>93</v>
      </c>
      <c r="T727" t="b">
        <v>0</v>
      </c>
      <c r="U727">
        <v>1</v>
      </c>
      <c r="V727">
        <v>3</v>
      </c>
      <c r="W727" t="s">
        <v>35</v>
      </c>
      <c r="X727" t="s">
        <v>3887</v>
      </c>
      <c r="Y727" t="s">
        <v>29</v>
      </c>
      <c r="Z727" t="s">
        <v>37</v>
      </c>
    </row>
    <row r="728" spans="1:26">
      <c r="A728">
        <v>1.8684765003720461E+18</v>
      </c>
      <c r="B728" t="s">
        <v>2935</v>
      </c>
      <c r="C728" t="s">
        <v>2936</v>
      </c>
      <c r="D728" t="s">
        <v>3888</v>
      </c>
      <c r="E728" t="s">
        <v>3889</v>
      </c>
      <c r="F728" t="s">
        <v>29</v>
      </c>
      <c r="G728" t="s">
        <v>3890</v>
      </c>
      <c r="H728" t="s">
        <v>29</v>
      </c>
      <c r="I728">
        <v>1</v>
      </c>
      <c r="J728">
        <v>2</v>
      </c>
      <c r="K728">
        <v>11</v>
      </c>
      <c r="L728">
        <v>29774</v>
      </c>
      <c r="M728" t="s">
        <v>3891</v>
      </c>
      <c r="N728" t="s">
        <v>29</v>
      </c>
      <c r="O728">
        <v>9564154</v>
      </c>
      <c r="P728" t="s">
        <v>2941</v>
      </c>
      <c r="Q728">
        <v>1125277</v>
      </c>
      <c r="R728" t="s">
        <v>2942</v>
      </c>
      <c r="S728">
        <v>93</v>
      </c>
      <c r="T728" t="b">
        <v>0</v>
      </c>
      <c r="U728">
        <v>1</v>
      </c>
      <c r="V728">
        <v>1</v>
      </c>
      <c r="W728" t="s">
        <v>35</v>
      </c>
      <c r="X728" t="s">
        <v>3892</v>
      </c>
      <c r="Y728" t="s">
        <v>29</v>
      </c>
      <c r="Z728" t="s">
        <v>37</v>
      </c>
    </row>
    <row r="729" spans="1:26">
      <c r="A729">
        <v>1.8684615236113247E+18</v>
      </c>
      <c r="B729" t="s">
        <v>2935</v>
      </c>
      <c r="C729" t="s">
        <v>2936</v>
      </c>
      <c r="D729" t="s">
        <v>3893</v>
      </c>
      <c r="E729" t="s">
        <v>3894</v>
      </c>
      <c r="F729" t="s">
        <v>29</v>
      </c>
      <c r="G729" t="s">
        <v>3895</v>
      </c>
      <c r="H729" t="s">
        <v>3896</v>
      </c>
      <c r="I729">
        <v>6</v>
      </c>
      <c r="J729">
        <v>5</v>
      </c>
      <c r="K729">
        <v>23</v>
      </c>
      <c r="L729">
        <v>28979</v>
      </c>
      <c r="M729" t="s">
        <v>3897</v>
      </c>
      <c r="N729" t="s">
        <v>29</v>
      </c>
      <c r="O729">
        <v>9564156</v>
      </c>
      <c r="P729" t="s">
        <v>2941</v>
      </c>
      <c r="Q729">
        <v>1125277</v>
      </c>
      <c r="R729" t="s">
        <v>2942</v>
      </c>
      <c r="S729">
        <v>93</v>
      </c>
      <c r="T729" t="b">
        <v>0</v>
      </c>
      <c r="U729">
        <v>1</v>
      </c>
      <c r="V729">
        <v>6</v>
      </c>
      <c r="W729" t="s">
        <v>35</v>
      </c>
      <c r="X729" t="s">
        <v>3898</v>
      </c>
      <c r="Y729" t="s">
        <v>29</v>
      </c>
      <c r="Z729" t="s">
        <v>37</v>
      </c>
    </row>
    <row r="730" spans="1:26">
      <c r="A730">
        <v>1.8684286510599334E+18</v>
      </c>
      <c r="B730" t="s">
        <v>2935</v>
      </c>
      <c r="C730" t="s">
        <v>2936</v>
      </c>
      <c r="D730" t="s">
        <v>3899</v>
      </c>
      <c r="E730" t="s">
        <v>3900</v>
      </c>
      <c r="F730" t="s">
        <v>29</v>
      </c>
      <c r="G730" t="s">
        <v>3901</v>
      </c>
      <c r="H730" t="s">
        <v>29</v>
      </c>
      <c r="I730">
        <v>1</v>
      </c>
      <c r="J730">
        <v>3</v>
      </c>
      <c r="K730">
        <v>12</v>
      </c>
      <c r="L730">
        <v>29536</v>
      </c>
      <c r="M730" t="s">
        <v>3902</v>
      </c>
      <c r="N730" t="s">
        <v>29</v>
      </c>
      <c r="O730">
        <v>9564157</v>
      </c>
      <c r="P730" t="s">
        <v>2941</v>
      </c>
      <c r="Q730">
        <v>1125277</v>
      </c>
      <c r="R730" t="s">
        <v>2942</v>
      </c>
      <c r="S730">
        <v>93</v>
      </c>
      <c r="T730" t="b">
        <v>0</v>
      </c>
      <c r="U730">
        <v>1</v>
      </c>
      <c r="V730">
        <v>2</v>
      </c>
      <c r="W730" t="s">
        <v>35</v>
      </c>
      <c r="X730" t="s">
        <v>3903</v>
      </c>
      <c r="Y730" t="s">
        <v>29</v>
      </c>
      <c r="Z730" t="s">
        <v>37</v>
      </c>
    </row>
    <row r="731" spans="1:26">
      <c r="A731">
        <v>1.868325302302028E+18</v>
      </c>
      <c r="B731" t="s">
        <v>2935</v>
      </c>
      <c r="C731" t="s">
        <v>2936</v>
      </c>
      <c r="D731" t="s">
        <v>3904</v>
      </c>
      <c r="E731" t="s">
        <v>2981</v>
      </c>
      <c r="F731" t="s">
        <v>29</v>
      </c>
      <c r="G731" t="s">
        <v>3905</v>
      </c>
      <c r="H731" t="s">
        <v>3906</v>
      </c>
      <c r="I731">
        <v>5</v>
      </c>
      <c r="J731">
        <v>1</v>
      </c>
      <c r="K731">
        <v>9</v>
      </c>
      <c r="L731">
        <v>25129</v>
      </c>
      <c r="M731" t="s">
        <v>3907</v>
      </c>
      <c r="N731" t="s">
        <v>29</v>
      </c>
      <c r="O731">
        <v>9564155</v>
      </c>
      <c r="P731" t="s">
        <v>2941</v>
      </c>
      <c r="Q731">
        <v>1125277</v>
      </c>
      <c r="R731" t="s">
        <v>2942</v>
      </c>
      <c r="S731">
        <v>93</v>
      </c>
      <c r="T731" t="b">
        <v>0</v>
      </c>
      <c r="U731">
        <v>0</v>
      </c>
      <c r="V731">
        <v>2</v>
      </c>
      <c r="W731" t="s">
        <v>35</v>
      </c>
      <c r="X731" t="s">
        <v>3908</v>
      </c>
      <c r="Y731" t="s">
        <v>29</v>
      </c>
      <c r="Z731" t="s">
        <v>37</v>
      </c>
    </row>
    <row r="732" spans="1:26">
      <c r="A732">
        <v>1.8683017591955251E+18</v>
      </c>
      <c r="B732" t="s">
        <v>2935</v>
      </c>
      <c r="C732" t="s">
        <v>2936</v>
      </c>
      <c r="D732" t="s">
        <v>3597</v>
      </c>
      <c r="E732" t="s">
        <v>3909</v>
      </c>
      <c r="F732" t="s">
        <v>29</v>
      </c>
      <c r="G732" t="s">
        <v>3910</v>
      </c>
      <c r="H732" t="s">
        <v>29</v>
      </c>
      <c r="I732">
        <v>5</v>
      </c>
      <c r="J732">
        <v>4</v>
      </c>
      <c r="K732">
        <v>26</v>
      </c>
      <c r="L732">
        <v>28240</v>
      </c>
      <c r="M732" t="s">
        <v>3911</v>
      </c>
      <c r="N732" t="s">
        <v>29</v>
      </c>
      <c r="O732">
        <v>9564155</v>
      </c>
      <c r="P732" t="s">
        <v>2941</v>
      </c>
      <c r="Q732">
        <v>1125277</v>
      </c>
      <c r="R732" t="s">
        <v>2942</v>
      </c>
      <c r="S732">
        <v>93</v>
      </c>
      <c r="T732" t="b">
        <v>0</v>
      </c>
      <c r="U732">
        <v>1</v>
      </c>
      <c r="V732">
        <v>5</v>
      </c>
      <c r="W732" t="s">
        <v>35</v>
      </c>
      <c r="X732" t="s">
        <v>3601</v>
      </c>
      <c r="Y732" t="s">
        <v>29</v>
      </c>
      <c r="Z732" t="s">
        <v>37</v>
      </c>
    </row>
    <row r="733" spans="1:26">
      <c r="A733">
        <v>1.8683105580819622E+18</v>
      </c>
      <c r="B733" t="s">
        <v>2935</v>
      </c>
      <c r="C733" t="s">
        <v>2936</v>
      </c>
      <c r="D733" t="s">
        <v>3703</v>
      </c>
      <c r="E733" t="s">
        <v>3912</v>
      </c>
      <c r="F733" t="s">
        <v>29</v>
      </c>
      <c r="G733" t="s">
        <v>3913</v>
      </c>
      <c r="H733" t="s">
        <v>29</v>
      </c>
      <c r="I733">
        <v>4</v>
      </c>
      <c r="J733">
        <v>6</v>
      </c>
      <c r="K733">
        <v>17</v>
      </c>
      <c r="L733">
        <v>28156</v>
      </c>
      <c r="M733" t="s">
        <v>3914</v>
      </c>
      <c r="N733" t="s">
        <v>29</v>
      </c>
      <c r="O733">
        <v>9564155</v>
      </c>
      <c r="P733" t="s">
        <v>2941</v>
      </c>
      <c r="Q733">
        <v>1125277</v>
      </c>
      <c r="R733" t="s">
        <v>2942</v>
      </c>
      <c r="S733">
        <v>93</v>
      </c>
      <c r="T733" t="b">
        <v>0</v>
      </c>
      <c r="U733">
        <v>1</v>
      </c>
      <c r="V733">
        <v>2</v>
      </c>
      <c r="W733" t="s">
        <v>35</v>
      </c>
      <c r="X733" t="s">
        <v>3707</v>
      </c>
      <c r="Y733" t="s">
        <v>29</v>
      </c>
      <c r="Z733" t="s">
        <v>37</v>
      </c>
    </row>
    <row r="734" spans="1:26">
      <c r="A734">
        <v>1.86820677129617E+18</v>
      </c>
      <c r="B734" t="s">
        <v>2935</v>
      </c>
      <c r="C734" t="s">
        <v>2936</v>
      </c>
      <c r="D734" t="s">
        <v>3915</v>
      </c>
      <c r="E734" t="s">
        <v>3916</v>
      </c>
      <c r="F734" t="s">
        <v>29</v>
      </c>
      <c r="G734" t="s">
        <v>3917</v>
      </c>
      <c r="H734" t="s">
        <v>29</v>
      </c>
      <c r="I734">
        <v>7</v>
      </c>
      <c r="J734">
        <v>9</v>
      </c>
      <c r="K734">
        <v>24</v>
      </c>
      <c r="L734">
        <v>28855</v>
      </c>
      <c r="M734" t="s">
        <v>3918</v>
      </c>
      <c r="N734" t="s">
        <v>29</v>
      </c>
      <c r="O734">
        <v>9564155</v>
      </c>
      <c r="P734" t="s">
        <v>2941</v>
      </c>
      <c r="Q734">
        <v>1125277</v>
      </c>
      <c r="R734" t="s">
        <v>2942</v>
      </c>
      <c r="S734">
        <v>93</v>
      </c>
      <c r="T734" t="b">
        <v>0</v>
      </c>
      <c r="U734">
        <v>1</v>
      </c>
      <c r="V734">
        <v>1</v>
      </c>
      <c r="W734" t="s">
        <v>35</v>
      </c>
      <c r="X734" t="s">
        <v>3919</v>
      </c>
      <c r="Y734" t="s">
        <v>29</v>
      </c>
      <c r="Z734" t="s">
        <v>37</v>
      </c>
    </row>
    <row r="735" spans="1:26">
      <c r="A735">
        <v>1.8681276027931855E+18</v>
      </c>
      <c r="B735" t="s">
        <v>2935</v>
      </c>
      <c r="C735" t="s">
        <v>2936</v>
      </c>
      <c r="D735" t="s">
        <v>2960</v>
      </c>
      <c r="E735" t="s">
        <v>3920</v>
      </c>
      <c r="F735" t="s">
        <v>29</v>
      </c>
      <c r="G735" t="s">
        <v>3921</v>
      </c>
      <c r="H735" t="s">
        <v>29</v>
      </c>
      <c r="I735">
        <v>27</v>
      </c>
      <c r="J735">
        <v>22</v>
      </c>
      <c r="K735">
        <v>103</v>
      </c>
      <c r="L735">
        <v>40057</v>
      </c>
      <c r="M735" t="s">
        <v>3922</v>
      </c>
      <c r="N735" t="s">
        <v>29</v>
      </c>
      <c r="O735">
        <v>9564155</v>
      </c>
      <c r="P735" t="s">
        <v>2941</v>
      </c>
      <c r="Q735">
        <v>1125277</v>
      </c>
      <c r="R735" t="s">
        <v>2942</v>
      </c>
      <c r="S735">
        <v>93</v>
      </c>
      <c r="T735" t="b">
        <v>0</v>
      </c>
      <c r="U735">
        <v>1</v>
      </c>
      <c r="V735">
        <v>4</v>
      </c>
      <c r="W735" t="s">
        <v>35</v>
      </c>
      <c r="X735" t="s">
        <v>2964</v>
      </c>
      <c r="Y735" t="s">
        <v>29</v>
      </c>
      <c r="Z735" t="s">
        <v>37</v>
      </c>
    </row>
    <row r="736" spans="1:26">
      <c r="A736">
        <v>1.8681089814003878E+18</v>
      </c>
      <c r="B736" t="s">
        <v>2935</v>
      </c>
      <c r="C736" t="s">
        <v>2936</v>
      </c>
      <c r="D736" t="s">
        <v>3498</v>
      </c>
      <c r="E736" t="s">
        <v>3923</v>
      </c>
      <c r="F736" t="s">
        <v>29</v>
      </c>
      <c r="G736" t="s">
        <v>3924</v>
      </c>
      <c r="H736" t="s">
        <v>29</v>
      </c>
      <c r="I736">
        <v>9</v>
      </c>
      <c r="J736">
        <v>5</v>
      </c>
      <c r="K736">
        <v>19</v>
      </c>
      <c r="L736">
        <v>34880</v>
      </c>
      <c r="M736" t="s">
        <v>3925</v>
      </c>
      <c r="N736" t="s">
        <v>29</v>
      </c>
      <c r="O736">
        <v>9564233</v>
      </c>
      <c r="P736" t="s">
        <v>2941</v>
      </c>
      <c r="Q736">
        <v>1125277</v>
      </c>
      <c r="R736" t="s">
        <v>2942</v>
      </c>
      <c r="S736">
        <v>93</v>
      </c>
      <c r="T736" t="b">
        <v>0</v>
      </c>
      <c r="U736">
        <v>2</v>
      </c>
      <c r="V736">
        <v>11</v>
      </c>
      <c r="W736" t="s">
        <v>35</v>
      </c>
      <c r="X736" t="s">
        <v>3502</v>
      </c>
      <c r="Y736" t="s">
        <v>29</v>
      </c>
      <c r="Z736" t="s">
        <v>37</v>
      </c>
    </row>
    <row r="737" spans="1:26">
      <c r="A737">
        <v>1.8683790958824325E+18</v>
      </c>
      <c r="B737" t="s">
        <v>2994</v>
      </c>
      <c r="C737" t="s">
        <v>2995</v>
      </c>
      <c r="D737" t="s">
        <v>3926</v>
      </c>
      <c r="E737" t="s">
        <v>3927</v>
      </c>
      <c r="F737" t="s">
        <v>29</v>
      </c>
      <c r="G737" t="s">
        <v>3928</v>
      </c>
      <c r="H737" t="s">
        <v>2999</v>
      </c>
      <c r="I737">
        <v>118</v>
      </c>
      <c r="J737">
        <v>23</v>
      </c>
      <c r="K737">
        <v>354</v>
      </c>
      <c r="L737">
        <v>103066</v>
      </c>
      <c r="M737" t="s">
        <v>52</v>
      </c>
      <c r="N737" t="s">
        <v>29</v>
      </c>
      <c r="O737">
        <v>812163</v>
      </c>
      <c r="P737" t="s">
        <v>3000</v>
      </c>
      <c r="Q737">
        <v>110924</v>
      </c>
      <c r="R737" t="s">
        <v>3001</v>
      </c>
      <c r="S737">
        <v>322</v>
      </c>
      <c r="T737" t="b">
        <v>0</v>
      </c>
      <c r="U737">
        <v>8</v>
      </c>
      <c r="V737">
        <v>30</v>
      </c>
      <c r="W737" t="s">
        <v>35</v>
      </c>
      <c r="X737" t="s">
        <v>29</v>
      </c>
      <c r="Y737" t="s">
        <v>3929</v>
      </c>
      <c r="Z737" t="s">
        <v>37</v>
      </c>
    </row>
    <row r="738" spans="1:26">
      <c r="A738">
        <v>1.8682345509894922E+18</v>
      </c>
      <c r="B738" t="s">
        <v>2994</v>
      </c>
      <c r="C738" t="s">
        <v>2995</v>
      </c>
      <c r="D738" t="s">
        <v>3930</v>
      </c>
      <c r="E738" t="s">
        <v>3931</v>
      </c>
      <c r="F738" t="s">
        <v>29</v>
      </c>
      <c r="G738" t="s">
        <v>3932</v>
      </c>
      <c r="H738" t="s">
        <v>29</v>
      </c>
      <c r="I738">
        <v>14</v>
      </c>
      <c r="J738">
        <v>32</v>
      </c>
      <c r="K738">
        <v>372</v>
      </c>
      <c r="L738">
        <v>48888</v>
      </c>
      <c r="M738" t="s">
        <v>52</v>
      </c>
      <c r="N738" t="s">
        <v>3933</v>
      </c>
      <c r="O738">
        <v>812163</v>
      </c>
      <c r="P738" t="s">
        <v>3000</v>
      </c>
      <c r="Q738">
        <v>110924</v>
      </c>
      <c r="R738" t="s">
        <v>3001</v>
      </c>
      <c r="S738">
        <v>322</v>
      </c>
      <c r="T738" t="b">
        <v>0</v>
      </c>
      <c r="U738">
        <v>3</v>
      </c>
      <c r="V738">
        <v>2</v>
      </c>
      <c r="W738" t="s">
        <v>35</v>
      </c>
      <c r="X738" t="s">
        <v>29</v>
      </c>
      <c r="Y738" t="s">
        <v>3934</v>
      </c>
      <c r="Z738" t="s">
        <v>37</v>
      </c>
    </row>
    <row r="739" spans="1:26">
      <c r="A739">
        <v>1.8683646474279037E+18</v>
      </c>
      <c r="B739" t="s">
        <v>3638</v>
      </c>
      <c r="C739" t="s">
        <v>3639</v>
      </c>
      <c r="D739" t="s">
        <v>3935</v>
      </c>
      <c r="E739" t="s">
        <v>3936</v>
      </c>
      <c r="F739" t="s">
        <v>29</v>
      </c>
      <c r="G739" t="s">
        <v>3937</v>
      </c>
      <c r="H739" t="s">
        <v>3938</v>
      </c>
      <c r="I739">
        <v>31</v>
      </c>
      <c r="J739">
        <v>84</v>
      </c>
      <c r="K739">
        <v>1210</v>
      </c>
      <c r="L739">
        <v>82657</v>
      </c>
      <c r="M739" t="s">
        <v>52</v>
      </c>
      <c r="N739" t="s">
        <v>29</v>
      </c>
      <c r="O739">
        <v>8885748</v>
      </c>
      <c r="P739" t="s">
        <v>3643</v>
      </c>
      <c r="Q739">
        <v>115852</v>
      </c>
      <c r="R739" t="s">
        <v>3644</v>
      </c>
      <c r="S739">
        <v>469</v>
      </c>
      <c r="T739" t="b">
        <v>0</v>
      </c>
      <c r="U739">
        <v>5</v>
      </c>
      <c r="V739">
        <v>9</v>
      </c>
      <c r="W739" t="s">
        <v>35</v>
      </c>
      <c r="X739" t="s">
        <v>29</v>
      </c>
      <c r="Y739" t="s">
        <v>3939</v>
      </c>
      <c r="Z739" t="s">
        <v>37</v>
      </c>
    </row>
    <row r="740" spans="1:26">
      <c r="A740">
        <v>1.8683274586150385E+18</v>
      </c>
      <c r="B740" t="s">
        <v>3743</v>
      </c>
      <c r="C740" t="s">
        <v>3744</v>
      </c>
      <c r="D740" t="s">
        <v>3940</v>
      </c>
      <c r="E740" t="s">
        <v>3941</v>
      </c>
      <c r="F740" t="s">
        <v>29</v>
      </c>
      <c r="G740" t="s">
        <v>3942</v>
      </c>
      <c r="H740" t="s">
        <v>29</v>
      </c>
      <c r="I740">
        <v>2</v>
      </c>
      <c r="J740">
        <v>1</v>
      </c>
      <c r="K740">
        <v>25</v>
      </c>
      <c r="L740">
        <v>11386</v>
      </c>
      <c r="M740" t="s">
        <v>3749</v>
      </c>
      <c r="N740" t="s">
        <v>3750</v>
      </c>
      <c r="O740">
        <v>668750</v>
      </c>
      <c r="P740" t="s">
        <v>3751</v>
      </c>
      <c r="Q740">
        <v>76510</v>
      </c>
      <c r="R740" t="s">
        <v>3752</v>
      </c>
      <c r="S740">
        <v>860</v>
      </c>
      <c r="T740" t="b">
        <v>0</v>
      </c>
      <c r="U740">
        <v>1</v>
      </c>
      <c r="V740">
        <v>0</v>
      </c>
      <c r="W740" t="s">
        <v>35</v>
      </c>
      <c r="X740" t="s">
        <v>29</v>
      </c>
      <c r="Y740" t="s">
        <v>3943</v>
      </c>
      <c r="Z740" t="s">
        <v>37</v>
      </c>
    </row>
    <row r="741" spans="1:26">
      <c r="A741">
        <v>1.8681396634097132E+18</v>
      </c>
      <c r="B741" t="s">
        <v>3034</v>
      </c>
      <c r="C741" t="s">
        <v>3035</v>
      </c>
      <c r="D741" t="s">
        <v>3944</v>
      </c>
      <c r="E741" t="s">
        <v>3945</v>
      </c>
      <c r="F741" t="s">
        <v>29</v>
      </c>
      <c r="G741" t="s">
        <v>3946</v>
      </c>
      <c r="H741" t="s">
        <v>29</v>
      </c>
      <c r="I741">
        <v>74</v>
      </c>
      <c r="J741">
        <v>52</v>
      </c>
      <c r="K741">
        <v>477</v>
      </c>
      <c r="L741">
        <v>111424</v>
      </c>
      <c r="M741" t="s">
        <v>52</v>
      </c>
      <c r="N741" t="s">
        <v>3040</v>
      </c>
      <c r="O741">
        <v>12876593</v>
      </c>
      <c r="P741" t="s">
        <v>3041</v>
      </c>
      <c r="Q741">
        <v>141401</v>
      </c>
      <c r="R741" t="s">
        <v>3042</v>
      </c>
      <c r="S741">
        <v>717</v>
      </c>
      <c r="T741" t="b">
        <v>0</v>
      </c>
      <c r="U741">
        <v>12</v>
      </c>
      <c r="V741">
        <v>10</v>
      </c>
      <c r="W741" t="s">
        <v>35</v>
      </c>
      <c r="X741" t="s">
        <v>29</v>
      </c>
      <c r="Y741" t="s">
        <v>3947</v>
      </c>
      <c r="Z741" t="s">
        <v>37</v>
      </c>
    </row>
    <row r="742" spans="1:26">
      <c r="A742">
        <v>1.8681225719480404E+18</v>
      </c>
      <c r="B742" t="s">
        <v>3034</v>
      </c>
      <c r="C742" t="s">
        <v>3035</v>
      </c>
      <c r="D742" t="s">
        <v>3948</v>
      </c>
      <c r="E742" t="s">
        <v>3949</v>
      </c>
      <c r="F742" t="s">
        <v>29</v>
      </c>
      <c r="G742" t="s">
        <v>3950</v>
      </c>
      <c r="H742" t="s">
        <v>29</v>
      </c>
      <c r="I742">
        <v>94</v>
      </c>
      <c r="J742">
        <v>207</v>
      </c>
      <c r="K742">
        <v>2158</v>
      </c>
      <c r="L742">
        <v>166384</v>
      </c>
      <c r="M742" t="s">
        <v>52</v>
      </c>
      <c r="N742" t="s">
        <v>3040</v>
      </c>
      <c r="O742">
        <v>12876593</v>
      </c>
      <c r="P742" t="s">
        <v>3041</v>
      </c>
      <c r="Q742">
        <v>141401</v>
      </c>
      <c r="R742" t="s">
        <v>3042</v>
      </c>
      <c r="S742">
        <v>717</v>
      </c>
      <c r="T742" t="b">
        <v>0</v>
      </c>
      <c r="U742">
        <v>34</v>
      </c>
      <c r="V742">
        <v>34</v>
      </c>
      <c r="W742" t="s">
        <v>35</v>
      </c>
      <c r="X742" t="s">
        <v>29</v>
      </c>
      <c r="Y742" t="s">
        <v>3951</v>
      </c>
      <c r="Z742" t="s">
        <v>37</v>
      </c>
    </row>
    <row r="743" spans="1:26">
      <c r="A743">
        <v>1.8681794929819279E+18</v>
      </c>
      <c r="B743" t="s">
        <v>3034</v>
      </c>
      <c r="C743" t="s">
        <v>3035</v>
      </c>
      <c r="D743" t="s">
        <v>3952</v>
      </c>
      <c r="E743" t="s">
        <v>3953</v>
      </c>
      <c r="F743" t="s">
        <v>29</v>
      </c>
      <c r="G743" t="s">
        <v>3954</v>
      </c>
      <c r="H743" t="s">
        <v>29</v>
      </c>
      <c r="I743">
        <v>1010</v>
      </c>
      <c r="J743">
        <v>1141</v>
      </c>
      <c r="K743">
        <v>20376</v>
      </c>
      <c r="L743">
        <v>2811134</v>
      </c>
      <c r="M743" t="s">
        <v>52</v>
      </c>
      <c r="N743" t="s">
        <v>3040</v>
      </c>
      <c r="O743">
        <v>12876592</v>
      </c>
      <c r="P743" t="s">
        <v>3041</v>
      </c>
      <c r="Q743">
        <v>141401</v>
      </c>
      <c r="R743" t="s">
        <v>3042</v>
      </c>
      <c r="S743">
        <v>717</v>
      </c>
      <c r="T743" t="b">
        <v>0</v>
      </c>
      <c r="U743">
        <v>435</v>
      </c>
      <c r="V743">
        <v>832</v>
      </c>
      <c r="W743" t="s">
        <v>35</v>
      </c>
      <c r="X743" t="s">
        <v>29</v>
      </c>
      <c r="Y743" t="s">
        <v>3955</v>
      </c>
      <c r="Z743" t="s">
        <v>37</v>
      </c>
    </row>
    <row r="744" spans="1:26">
      <c r="A744">
        <v>1.8681221639134085E+18</v>
      </c>
      <c r="B744" t="s">
        <v>3083</v>
      </c>
      <c r="C744" t="s">
        <v>3083</v>
      </c>
      <c r="D744" t="s">
        <v>3956</v>
      </c>
      <c r="E744" t="s">
        <v>3957</v>
      </c>
      <c r="F744" t="s">
        <v>29</v>
      </c>
      <c r="G744" t="s">
        <v>3958</v>
      </c>
      <c r="H744" t="s">
        <v>29</v>
      </c>
      <c r="I744">
        <v>147</v>
      </c>
      <c r="J744">
        <v>527</v>
      </c>
      <c r="K744">
        <v>4564</v>
      </c>
      <c r="L744">
        <v>1368007</v>
      </c>
      <c r="M744" t="s">
        <v>52</v>
      </c>
      <c r="N744" t="s">
        <v>3087</v>
      </c>
      <c r="O744">
        <v>14375936</v>
      </c>
      <c r="P744" t="s">
        <v>3088</v>
      </c>
      <c r="Q744">
        <v>346973</v>
      </c>
      <c r="R744" t="s">
        <v>3089</v>
      </c>
      <c r="S744">
        <v>392</v>
      </c>
      <c r="T744" t="b">
        <v>0</v>
      </c>
      <c r="U744">
        <v>90</v>
      </c>
      <c r="V744">
        <v>169</v>
      </c>
      <c r="W744" t="s">
        <v>35</v>
      </c>
      <c r="X744" t="s">
        <v>29</v>
      </c>
      <c r="Y744" t="s">
        <v>3959</v>
      </c>
      <c r="Z744" t="s">
        <v>37</v>
      </c>
    </row>
    <row r="745" spans="1:26">
      <c r="A745">
        <v>1.8681313828928678E+18</v>
      </c>
      <c r="B745" t="s">
        <v>3083</v>
      </c>
      <c r="C745" t="s">
        <v>3083</v>
      </c>
      <c r="D745" t="s">
        <v>3960</v>
      </c>
      <c r="E745" t="s">
        <v>3961</v>
      </c>
      <c r="F745" t="s">
        <v>29</v>
      </c>
      <c r="G745" t="s">
        <v>3962</v>
      </c>
      <c r="H745" t="s">
        <v>29</v>
      </c>
      <c r="I745">
        <v>213</v>
      </c>
      <c r="J745">
        <v>755</v>
      </c>
      <c r="K745">
        <v>5394</v>
      </c>
      <c r="L745">
        <v>316035</v>
      </c>
      <c r="M745" t="s">
        <v>52</v>
      </c>
      <c r="N745" t="s">
        <v>3087</v>
      </c>
      <c r="O745">
        <v>14376037</v>
      </c>
      <c r="P745" t="s">
        <v>3088</v>
      </c>
      <c r="Q745">
        <v>346973</v>
      </c>
      <c r="R745" t="s">
        <v>3089</v>
      </c>
      <c r="S745">
        <v>392</v>
      </c>
      <c r="T745" t="b">
        <v>0</v>
      </c>
      <c r="U745">
        <v>33</v>
      </c>
      <c r="V745">
        <v>254</v>
      </c>
      <c r="W745" t="s">
        <v>35</v>
      </c>
      <c r="X745" t="s">
        <v>29</v>
      </c>
      <c r="Y745" t="s">
        <v>3963</v>
      </c>
      <c r="Z745" t="s">
        <v>37</v>
      </c>
    </row>
    <row r="746" spans="1:26">
      <c r="A746">
        <v>1.8681430576331735E+18</v>
      </c>
      <c r="B746" t="s">
        <v>3083</v>
      </c>
      <c r="C746" t="s">
        <v>3083</v>
      </c>
      <c r="D746" t="s">
        <v>3964</v>
      </c>
      <c r="E746" t="s">
        <v>3965</v>
      </c>
      <c r="F746" t="s">
        <v>29</v>
      </c>
      <c r="G746" t="s">
        <v>3966</v>
      </c>
      <c r="H746" t="s">
        <v>29</v>
      </c>
      <c r="I746">
        <v>742</v>
      </c>
      <c r="J746">
        <v>3313</v>
      </c>
      <c r="K746">
        <v>27354</v>
      </c>
      <c r="L746">
        <v>2407550</v>
      </c>
      <c r="M746" t="s">
        <v>52</v>
      </c>
      <c r="N746" t="s">
        <v>3087</v>
      </c>
      <c r="O746">
        <v>14375937</v>
      </c>
      <c r="P746" t="s">
        <v>3088</v>
      </c>
      <c r="Q746">
        <v>346973</v>
      </c>
      <c r="R746" t="s">
        <v>3089</v>
      </c>
      <c r="S746">
        <v>392</v>
      </c>
      <c r="T746" t="b">
        <v>0</v>
      </c>
      <c r="U746">
        <v>474</v>
      </c>
      <c r="V746">
        <v>2149</v>
      </c>
      <c r="W746" t="s">
        <v>35</v>
      </c>
      <c r="X746" t="s">
        <v>29</v>
      </c>
      <c r="Y746" t="s">
        <v>3967</v>
      </c>
      <c r="Z746" t="s">
        <v>37</v>
      </c>
    </row>
    <row r="747" spans="1:26">
      <c r="A747">
        <v>1.8681010039642278E+18</v>
      </c>
      <c r="B747" t="s">
        <v>3083</v>
      </c>
      <c r="C747" t="s">
        <v>3083</v>
      </c>
      <c r="D747" t="s">
        <v>3968</v>
      </c>
      <c r="E747" t="s">
        <v>3969</v>
      </c>
      <c r="F747" t="s">
        <v>29</v>
      </c>
      <c r="G747" t="s">
        <v>3970</v>
      </c>
      <c r="H747" t="s">
        <v>3971</v>
      </c>
      <c r="I747">
        <v>177</v>
      </c>
      <c r="J747">
        <v>927</v>
      </c>
      <c r="K747">
        <v>6790</v>
      </c>
      <c r="L747">
        <v>569213</v>
      </c>
      <c r="M747" t="s">
        <v>52</v>
      </c>
      <c r="N747" t="s">
        <v>3087</v>
      </c>
      <c r="O747">
        <v>14375937</v>
      </c>
      <c r="P747" t="s">
        <v>3088</v>
      </c>
      <c r="Q747">
        <v>346973</v>
      </c>
      <c r="R747" t="s">
        <v>3089</v>
      </c>
      <c r="S747">
        <v>392</v>
      </c>
      <c r="T747" t="b">
        <v>0</v>
      </c>
      <c r="U747">
        <v>60</v>
      </c>
      <c r="V747">
        <v>332</v>
      </c>
      <c r="W747" t="s">
        <v>35</v>
      </c>
      <c r="X747" t="s">
        <v>29</v>
      </c>
      <c r="Y747" t="s">
        <v>3972</v>
      </c>
      <c r="Z747" t="s">
        <v>37</v>
      </c>
    </row>
    <row r="748" spans="1:26">
      <c r="A748">
        <v>1.8657652747268918E+18</v>
      </c>
      <c r="B748" t="s">
        <v>3973</v>
      </c>
      <c r="C748" t="s">
        <v>3974</v>
      </c>
      <c r="D748" t="s">
        <v>3975</v>
      </c>
      <c r="E748" t="s">
        <v>3976</v>
      </c>
      <c r="F748" t="s">
        <v>29</v>
      </c>
      <c r="G748" t="s">
        <v>3977</v>
      </c>
      <c r="H748" t="s">
        <v>3978</v>
      </c>
      <c r="I748">
        <v>2</v>
      </c>
      <c r="J748">
        <v>16</v>
      </c>
      <c r="K748">
        <v>157</v>
      </c>
      <c r="L748">
        <v>18516</v>
      </c>
      <c r="M748" t="s">
        <v>52</v>
      </c>
      <c r="N748" t="s">
        <v>29</v>
      </c>
      <c r="O748">
        <v>2035100</v>
      </c>
      <c r="P748" t="s">
        <v>3979</v>
      </c>
      <c r="Q748">
        <v>106867</v>
      </c>
      <c r="R748" t="s">
        <v>3980</v>
      </c>
      <c r="S748">
        <v>411</v>
      </c>
      <c r="T748" t="b">
        <v>0</v>
      </c>
      <c r="U748">
        <v>3</v>
      </c>
      <c r="V748">
        <v>2</v>
      </c>
      <c r="W748" t="s">
        <v>35</v>
      </c>
      <c r="X748" t="s">
        <v>29</v>
      </c>
      <c r="Y748" t="s">
        <v>3981</v>
      </c>
      <c r="Z748" t="s">
        <v>37</v>
      </c>
    </row>
    <row r="749" spans="1:26">
      <c r="A749">
        <v>1.868341373348524E+18</v>
      </c>
      <c r="B749" t="s">
        <v>3973</v>
      </c>
      <c r="C749" t="s">
        <v>3974</v>
      </c>
      <c r="D749" t="s">
        <v>3982</v>
      </c>
      <c r="E749" t="s">
        <v>3983</v>
      </c>
      <c r="F749" t="s">
        <v>3984</v>
      </c>
      <c r="G749" t="s">
        <v>3985</v>
      </c>
      <c r="H749" t="s">
        <v>3986</v>
      </c>
      <c r="I749">
        <v>43</v>
      </c>
      <c r="J749">
        <v>129</v>
      </c>
      <c r="K749">
        <v>1796</v>
      </c>
      <c r="L749">
        <v>113467</v>
      </c>
      <c r="M749" t="s">
        <v>52</v>
      </c>
      <c r="N749" t="s">
        <v>29</v>
      </c>
      <c r="O749">
        <v>2035100</v>
      </c>
      <c r="P749" t="s">
        <v>3979</v>
      </c>
      <c r="Q749">
        <v>106867</v>
      </c>
      <c r="R749" t="s">
        <v>3980</v>
      </c>
      <c r="S749">
        <v>411</v>
      </c>
      <c r="T749" t="b">
        <v>0</v>
      </c>
      <c r="U749">
        <v>24</v>
      </c>
      <c r="V749">
        <v>21</v>
      </c>
      <c r="W749" t="s">
        <v>35</v>
      </c>
      <c r="X749" t="s">
        <v>29</v>
      </c>
      <c r="Y749" t="s">
        <v>29</v>
      </c>
      <c r="Z749" t="s">
        <v>37</v>
      </c>
    </row>
    <row r="750" spans="1:26">
      <c r="A750">
        <v>1.8676001391597939E+18</v>
      </c>
      <c r="B750" t="s">
        <v>3973</v>
      </c>
      <c r="C750" t="s">
        <v>3974</v>
      </c>
      <c r="D750" t="s">
        <v>3987</v>
      </c>
      <c r="E750" t="s">
        <v>3988</v>
      </c>
      <c r="F750" t="s">
        <v>3989</v>
      </c>
      <c r="G750" t="s">
        <v>3990</v>
      </c>
      <c r="H750" t="s">
        <v>3991</v>
      </c>
      <c r="I750">
        <v>13</v>
      </c>
      <c r="J750">
        <v>21</v>
      </c>
      <c r="K750">
        <v>249</v>
      </c>
      <c r="L750">
        <v>16756</v>
      </c>
      <c r="M750" t="s">
        <v>52</v>
      </c>
      <c r="N750" t="s">
        <v>29</v>
      </c>
      <c r="O750">
        <v>2035100</v>
      </c>
      <c r="P750" t="s">
        <v>3979</v>
      </c>
      <c r="Q750">
        <v>106867</v>
      </c>
      <c r="R750" t="s">
        <v>3980</v>
      </c>
      <c r="S750">
        <v>411</v>
      </c>
      <c r="T750" t="b">
        <v>0</v>
      </c>
      <c r="U750">
        <v>6</v>
      </c>
      <c r="V750">
        <v>1</v>
      </c>
      <c r="W750" t="s">
        <v>35</v>
      </c>
      <c r="X750" t="s">
        <v>29</v>
      </c>
      <c r="Y750" t="s">
        <v>29</v>
      </c>
      <c r="Z750" t="s">
        <v>37</v>
      </c>
    </row>
    <row r="751" spans="1:26">
      <c r="A751">
        <v>1.8676600268419036E+18</v>
      </c>
      <c r="B751" t="s">
        <v>3992</v>
      </c>
      <c r="C751" t="s">
        <v>3993</v>
      </c>
      <c r="D751" t="s">
        <v>3994</v>
      </c>
      <c r="E751" t="s">
        <v>3995</v>
      </c>
      <c r="F751" t="s">
        <v>3996</v>
      </c>
      <c r="G751" t="s">
        <v>3997</v>
      </c>
      <c r="H751" t="s">
        <v>29</v>
      </c>
      <c r="I751">
        <v>2</v>
      </c>
      <c r="J751">
        <v>86</v>
      </c>
      <c r="K751">
        <v>124</v>
      </c>
      <c r="L751">
        <v>3498</v>
      </c>
      <c r="M751" t="s">
        <v>3998</v>
      </c>
      <c r="N751" t="s">
        <v>3999</v>
      </c>
      <c r="O751">
        <v>1723</v>
      </c>
      <c r="P751" t="s">
        <v>4000</v>
      </c>
      <c r="Q751">
        <v>11208</v>
      </c>
      <c r="R751" t="s">
        <v>4001</v>
      </c>
      <c r="S751">
        <v>70</v>
      </c>
      <c r="T751" t="b">
        <v>0</v>
      </c>
      <c r="U751">
        <v>6</v>
      </c>
      <c r="V751">
        <v>42</v>
      </c>
      <c r="W751" t="s">
        <v>35</v>
      </c>
      <c r="X751" t="s">
        <v>29</v>
      </c>
      <c r="Y751" t="s">
        <v>29</v>
      </c>
      <c r="Z751" t="s">
        <v>37</v>
      </c>
    </row>
    <row r="752" spans="1:26">
      <c r="A752">
        <v>1.8665985831155837E+18</v>
      </c>
      <c r="B752" t="s">
        <v>3973</v>
      </c>
      <c r="C752" t="s">
        <v>3974</v>
      </c>
      <c r="D752" t="s">
        <v>4002</v>
      </c>
      <c r="E752" t="s">
        <v>4003</v>
      </c>
      <c r="F752" t="s">
        <v>29</v>
      </c>
      <c r="G752" t="s">
        <v>4004</v>
      </c>
      <c r="H752" t="s">
        <v>4005</v>
      </c>
      <c r="I752">
        <v>9</v>
      </c>
      <c r="J752">
        <v>61</v>
      </c>
      <c r="K752">
        <v>648</v>
      </c>
      <c r="L752">
        <v>56290</v>
      </c>
      <c r="M752" t="s">
        <v>52</v>
      </c>
      <c r="N752" t="s">
        <v>29</v>
      </c>
      <c r="O752">
        <v>2035100</v>
      </c>
      <c r="P752" t="s">
        <v>3979</v>
      </c>
      <c r="Q752">
        <v>106867</v>
      </c>
      <c r="R752" t="s">
        <v>3980</v>
      </c>
      <c r="S752">
        <v>411</v>
      </c>
      <c r="T752" t="b">
        <v>0</v>
      </c>
      <c r="U752">
        <v>5</v>
      </c>
      <c r="V752">
        <v>35</v>
      </c>
      <c r="W752" t="s">
        <v>35</v>
      </c>
      <c r="X752" t="s">
        <v>29</v>
      </c>
      <c r="Y752" t="s">
        <v>4006</v>
      </c>
      <c r="Z752" t="s">
        <v>37</v>
      </c>
    </row>
    <row r="753" spans="1:26">
      <c r="A753">
        <v>1.866996926811382E+18</v>
      </c>
      <c r="B753" t="s">
        <v>3973</v>
      </c>
      <c r="C753" t="s">
        <v>3974</v>
      </c>
      <c r="D753" t="s">
        <v>4007</v>
      </c>
      <c r="E753" t="s">
        <v>4008</v>
      </c>
      <c r="F753" t="s">
        <v>29</v>
      </c>
      <c r="G753" t="s">
        <v>4009</v>
      </c>
      <c r="H753" t="s">
        <v>4010</v>
      </c>
      <c r="I753">
        <v>3</v>
      </c>
      <c r="J753">
        <v>34</v>
      </c>
      <c r="K753">
        <v>150</v>
      </c>
      <c r="L753">
        <v>35683</v>
      </c>
      <c r="M753" t="s">
        <v>4011</v>
      </c>
      <c r="N753" t="s">
        <v>29</v>
      </c>
      <c r="O753">
        <v>2035100</v>
      </c>
      <c r="P753" t="s">
        <v>3979</v>
      </c>
      <c r="Q753">
        <v>106867</v>
      </c>
      <c r="R753" t="s">
        <v>3980</v>
      </c>
      <c r="S753">
        <v>411</v>
      </c>
      <c r="T753" t="b">
        <v>0</v>
      </c>
      <c r="U753">
        <v>1</v>
      </c>
      <c r="V753">
        <v>8</v>
      </c>
      <c r="W753" t="s">
        <v>35</v>
      </c>
      <c r="X753" t="s">
        <v>29</v>
      </c>
      <c r="Y753" t="s">
        <v>4012</v>
      </c>
      <c r="Z753" t="s">
        <v>37</v>
      </c>
    </row>
    <row r="754" spans="1:26">
      <c r="A754">
        <v>1.8663022108684575E+18</v>
      </c>
      <c r="B754" t="s">
        <v>3973</v>
      </c>
      <c r="C754" t="s">
        <v>3974</v>
      </c>
      <c r="D754" t="s">
        <v>4013</v>
      </c>
      <c r="E754" t="s">
        <v>4014</v>
      </c>
      <c r="F754" t="s">
        <v>4015</v>
      </c>
      <c r="G754" t="s">
        <v>4016</v>
      </c>
      <c r="H754" t="s">
        <v>4017</v>
      </c>
      <c r="I754">
        <v>4</v>
      </c>
      <c r="J754">
        <v>10</v>
      </c>
      <c r="K754">
        <v>141</v>
      </c>
      <c r="L754">
        <v>14547</v>
      </c>
      <c r="M754" t="s">
        <v>52</v>
      </c>
      <c r="N754" t="s">
        <v>29</v>
      </c>
      <c r="O754">
        <v>2035100</v>
      </c>
      <c r="P754" t="s">
        <v>3979</v>
      </c>
      <c r="Q754">
        <v>106867</v>
      </c>
      <c r="R754" t="s">
        <v>3980</v>
      </c>
      <c r="S754">
        <v>411</v>
      </c>
      <c r="T754" t="b">
        <v>0</v>
      </c>
      <c r="U754">
        <v>2</v>
      </c>
      <c r="V754">
        <v>1</v>
      </c>
      <c r="W754" t="s">
        <v>35</v>
      </c>
      <c r="X754" t="s">
        <v>29</v>
      </c>
      <c r="Y754" t="s">
        <v>29</v>
      </c>
      <c r="Z754" t="s">
        <v>37</v>
      </c>
    </row>
    <row r="755" spans="1:26">
      <c r="A755">
        <v>1.8672291453627354E+18</v>
      </c>
      <c r="B755" t="s">
        <v>3973</v>
      </c>
      <c r="C755" t="s">
        <v>3974</v>
      </c>
      <c r="D755" t="s">
        <v>4018</v>
      </c>
      <c r="E755" t="s">
        <v>4019</v>
      </c>
      <c r="F755" t="s">
        <v>29</v>
      </c>
      <c r="G755" t="s">
        <v>4020</v>
      </c>
      <c r="H755" t="s">
        <v>4021</v>
      </c>
      <c r="I755">
        <v>6</v>
      </c>
      <c r="J755">
        <v>9</v>
      </c>
      <c r="K755">
        <v>65</v>
      </c>
      <c r="L755">
        <v>14056</v>
      </c>
      <c r="M755" t="s">
        <v>4022</v>
      </c>
      <c r="N755" t="s">
        <v>29</v>
      </c>
      <c r="O755">
        <v>2035100</v>
      </c>
      <c r="P755" t="s">
        <v>3979</v>
      </c>
      <c r="Q755">
        <v>106867</v>
      </c>
      <c r="R755" t="s">
        <v>3980</v>
      </c>
      <c r="S755">
        <v>411</v>
      </c>
      <c r="T755" t="b">
        <v>0</v>
      </c>
      <c r="U755">
        <v>1</v>
      </c>
      <c r="V755">
        <v>0</v>
      </c>
      <c r="W755" t="s">
        <v>35</v>
      </c>
      <c r="X755" t="s">
        <v>29</v>
      </c>
      <c r="Y755" t="s">
        <v>4023</v>
      </c>
      <c r="Z755" t="s">
        <v>37</v>
      </c>
    </row>
    <row r="756" spans="1:26">
      <c r="A756">
        <v>1.8655592445792379E+18</v>
      </c>
      <c r="B756" t="s">
        <v>3973</v>
      </c>
      <c r="C756" t="s">
        <v>3974</v>
      </c>
      <c r="D756" t="s">
        <v>4024</v>
      </c>
      <c r="E756" t="s">
        <v>4025</v>
      </c>
      <c r="F756" t="s">
        <v>29</v>
      </c>
      <c r="G756" t="s">
        <v>4026</v>
      </c>
      <c r="H756" t="s">
        <v>4027</v>
      </c>
      <c r="I756">
        <v>3</v>
      </c>
      <c r="J756">
        <v>11</v>
      </c>
      <c r="K756">
        <v>110</v>
      </c>
      <c r="L756">
        <v>23239</v>
      </c>
      <c r="M756" t="s">
        <v>52</v>
      </c>
      <c r="N756" t="s">
        <v>29</v>
      </c>
      <c r="O756">
        <v>2035100</v>
      </c>
      <c r="P756" t="s">
        <v>3979</v>
      </c>
      <c r="Q756">
        <v>106867</v>
      </c>
      <c r="R756" t="s">
        <v>3980</v>
      </c>
      <c r="S756">
        <v>411</v>
      </c>
      <c r="T756" t="b">
        <v>0</v>
      </c>
      <c r="U756">
        <v>7</v>
      </c>
      <c r="V756">
        <v>3</v>
      </c>
      <c r="W756" t="s">
        <v>35</v>
      </c>
      <c r="X756" t="s">
        <v>29</v>
      </c>
      <c r="Y756" t="s">
        <v>4028</v>
      </c>
      <c r="Z756" t="s">
        <v>4029</v>
      </c>
    </row>
    <row r="757" spans="1:26">
      <c r="A757">
        <v>1.8652538727400573E+18</v>
      </c>
      <c r="B757" t="s">
        <v>3973</v>
      </c>
      <c r="C757" t="s">
        <v>3974</v>
      </c>
      <c r="D757" t="s">
        <v>4030</v>
      </c>
      <c r="E757" t="s">
        <v>4031</v>
      </c>
      <c r="F757" t="s">
        <v>4032</v>
      </c>
      <c r="G757" t="s">
        <v>4033</v>
      </c>
      <c r="H757" t="s">
        <v>4034</v>
      </c>
      <c r="I757">
        <v>1</v>
      </c>
      <c r="J757">
        <v>22</v>
      </c>
      <c r="K757">
        <v>200</v>
      </c>
      <c r="L757">
        <v>18665</v>
      </c>
      <c r="M757" t="s">
        <v>52</v>
      </c>
      <c r="N757" t="s">
        <v>29</v>
      </c>
      <c r="O757">
        <v>2035100</v>
      </c>
      <c r="P757" t="s">
        <v>3979</v>
      </c>
      <c r="Q757">
        <v>106867</v>
      </c>
      <c r="R757" t="s">
        <v>3980</v>
      </c>
      <c r="S757">
        <v>411</v>
      </c>
      <c r="T757" t="b">
        <v>0</v>
      </c>
      <c r="U757">
        <v>6</v>
      </c>
      <c r="V757">
        <v>2</v>
      </c>
      <c r="W757" t="s">
        <v>35</v>
      </c>
      <c r="X757" t="s">
        <v>29</v>
      </c>
      <c r="Y757" t="s">
        <v>29</v>
      </c>
      <c r="Z757" t="s">
        <v>37</v>
      </c>
    </row>
    <row r="758" spans="1:26">
      <c r="A758">
        <v>1.8673907764200532E+18</v>
      </c>
      <c r="B758" t="s">
        <v>3973</v>
      </c>
      <c r="C758" t="s">
        <v>3974</v>
      </c>
      <c r="D758" t="s">
        <v>4035</v>
      </c>
      <c r="E758" t="s">
        <v>4036</v>
      </c>
      <c r="F758" t="s">
        <v>29</v>
      </c>
      <c r="G758" t="s">
        <v>4037</v>
      </c>
      <c r="H758" t="s">
        <v>4010</v>
      </c>
      <c r="I758">
        <v>4</v>
      </c>
      <c r="J758">
        <v>14</v>
      </c>
      <c r="K758">
        <v>172</v>
      </c>
      <c r="L758">
        <v>13463</v>
      </c>
      <c r="M758" t="s">
        <v>52</v>
      </c>
      <c r="N758" t="s">
        <v>29</v>
      </c>
      <c r="O758">
        <v>2035100</v>
      </c>
      <c r="P758" t="s">
        <v>3979</v>
      </c>
      <c r="Q758">
        <v>106867</v>
      </c>
      <c r="R758" t="s">
        <v>3980</v>
      </c>
      <c r="S758">
        <v>411</v>
      </c>
      <c r="T758" t="b">
        <v>0</v>
      </c>
      <c r="U758">
        <v>2</v>
      </c>
      <c r="V758">
        <v>10</v>
      </c>
      <c r="W758" t="s">
        <v>35</v>
      </c>
      <c r="X758" t="s">
        <v>29</v>
      </c>
      <c r="Y758" t="s">
        <v>4038</v>
      </c>
      <c r="Z758" t="s">
        <v>37</v>
      </c>
    </row>
    <row r="759" spans="1:26">
      <c r="A759">
        <v>1.8677654425021112E+18</v>
      </c>
      <c r="B759" t="s">
        <v>3973</v>
      </c>
      <c r="C759" t="s">
        <v>3974</v>
      </c>
      <c r="D759" t="s">
        <v>4039</v>
      </c>
      <c r="E759" t="s">
        <v>4040</v>
      </c>
      <c r="F759" t="s">
        <v>29</v>
      </c>
      <c r="G759" t="s">
        <v>4041</v>
      </c>
      <c r="H759" t="s">
        <v>4042</v>
      </c>
      <c r="I759">
        <v>6</v>
      </c>
      <c r="J759">
        <v>18</v>
      </c>
      <c r="K759">
        <v>402</v>
      </c>
      <c r="L759">
        <v>40221</v>
      </c>
      <c r="M759" t="s">
        <v>52</v>
      </c>
      <c r="N759" t="s">
        <v>29</v>
      </c>
      <c r="O759">
        <v>2035100</v>
      </c>
      <c r="P759" t="s">
        <v>3979</v>
      </c>
      <c r="Q759">
        <v>106867</v>
      </c>
      <c r="R759" t="s">
        <v>3980</v>
      </c>
      <c r="S759">
        <v>411</v>
      </c>
      <c r="T759" t="b">
        <v>0</v>
      </c>
      <c r="U759">
        <v>1</v>
      </c>
      <c r="V759">
        <v>1</v>
      </c>
      <c r="W759" t="s">
        <v>35</v>
      </c>
      <c r="X759" t="s">
        <v>29</v>
      </c>
      <c r="Y759" t="s">
        <v>4043</v>
      </c>
      <c r="Z759" t="s">
        <v>37</v>
      </c>
    </row>
    <row r="760" spans="1:26">
      <c r="A760">
        <v>1.866014924918719E+18</v>
      </c>
      <c r="B760" t="s">
        <v>1204</v>
      </c>
      <c r="C760" t="s">
        <v>1205</v>
      </c>
      <c r="D760" t="s">
        <v>4044</v>
      </c>
      <c r="E760" t="s">
        <v>4045</v>
      </c>
      <c r="F760" t="s">
        <v>4046</v>
      </c>
      <c r="G760" t="s">
        <v>4047</v>
      </c>
      <c r="H760" t="s">
        <v>4048</v>
      </c>
      <c r="I760">
        <v>12</v>
      </c>
      <c r="J760">
        <v>51</v>
      </c>
      <c r="K760">
        <v>1013</v>
      </c>
      <c r="L760">
        <v>39620</v>
      </c>
      <c r="M760" t="s">
        <v>52</v>
      </c>
      <c r="N760" t="s">
        <v>1211</v>
      </c>
      <c r="O760">
        <v>12779158</v>
      </c>
      <c r="P760" t="s">
        <v>1212</v>
      </c>
      <c r="Q760">
        <v>190222</v>
      </c>
      <c r="R760" t="s">
        <v>1213</v>
      </c>
      <c r="S760">
        <v>637</v>
      </c>
      <c r="T760" t="b">
        <v>0</v>
      </c>
      <c r="U760">
        <v>3</v>
      </c>
      <c r="V760">
        <v>7</v>
      </c>
      <c r="W760" t="s">
        <v>35</v>
      </c>
      <c r="X760" t="s">
        <v>29</v>
      </c>
      <c r="Y760" t="s">
        <v>29</v>
      </c>
      <c r="Z760" t="s">
        <v>37</v>
      </c>
    </row>
    <row r="761" spans="1:26">
      <c r="A761">
        <v>1.8679838134959639E+18</v>
      </c>
      <c r="B761" t="s">
        <v>3973</v>
      </c>
      <c r="C761" t="s">
        <v>3974</v>
      </c>
      <c r="D761" t="s">
        <v>4049</v>
      </c>
      <c r="E761" t="s">
        <v>4050</v>
      </c>
      <c r="F761" t="s">
        <v>29</v>
      </c>
      <c r="G761" t="s">
        <v>4051</v>
      </c>
      <c r="H761" t="s">
        <v>4052</v>
      </c>
      <c r="I761">
        <v>11</v>
      </c>
      <c r="J761">
        <v>56</v>
      </c>
      <c r="K761">
        <v>447</v>
      </c>
      <c r="L761">
        <v>72301</v>
      </c>
      <c r="M761" t="s">
        <v>52</v>
      </c>
      <c r="N761" t="s">
        <v>29</v>
      </c>
      <c r="O761">
        <v>2035100</v>
      </c>
      <c r="P761" t="s">
        <v>3979</v>
      </c>
      <c r="Q761">
        <v>106867</v>
      </c>
      <c r="R761" t="s">
        <v>3980</v>
      </c>
      <c r="S761">
        <v>411</v>
      </c>
      <c r="T761" t="b">
        <v>0</v>
      </c>
      <c r="U761">
        <v>17</v>
      </c>
      <c r="V761">
        <v>23</v>
      </c>
      <c r="W761" t="s">
        <v>35</v>
      </c>
      <c r="X761" t="s">
        <v>29</v>
      </c>
      <c r="Y761" t="s">
        <v>4053</v>
      </c>
      <c r="Z761" t="s">
        <v>37</v>
      </c>
    </row>
    <row r="762" spans="1:26">
      <c r="A762">
        <v>1.8676290806588175E+18</v>
      </c>
      <c r="B762" t="s">
        <v>3973</v>
      </c>
      <c r="C762" t="s">
        <v>3974</v>
      </c>
      <c r="D762" t="s">
        <v>4054</v>
      </c>
      <c r="E762" t="s">
        <v>4055</v>
      </c>
      <c r="F762" t="s">
        <v>29</v>
      </c>
      <c r="G762" t="s">
        <v>4056</v>
      </c>
      <c r="H762" t="s">
        <v>4034</v>
      </c>
      <c r="I762">
        <v>3</v>
      </c>
      <c r="J762">
        <v>7</v>
      </c>
      <c r="K762">
        <v>93</v>
      </c>
      <c r="L762">
        <v>12803</v>
      </c>
      <c r="M762" t="s">
        <v>52</v>
      </c>
      <c r="N762" t="s">
        <v>29</v>
      </c>
      <c r="O762">
        <v>2035097</v>
      </c>
      <c r="P762" t="s">
        <v>3979</v>
      </c>
      <c r="Q762">
        <v>106867</v>
      </c>
      <c r="R762" t="s">
        <v>3980</v>
      </c>
      <c r="S762">
        <v>411</v>
      </c>
      <c r="T762" t="b">
        <v>0</v>
      </c>
      <c r="U762">
        <v>2</v>
      </c>
      <c r="V762">
        <v>6</v>
      </c>
      <c r="W762" t="s">
        <v>35</v>
      </c>
      <c r="X762" t="s">
        <v>29</v>
      </c>
      <c r="Y762" t="s">
        <v>4057</v>
      </c>
      <c r="Z762" t="s">
        <v>37</v>
      </c>
    </row>
    <row r="763" spans="1:26">
      <c r="A763">
        <v>1.8655022563862451E+18</v>
      </c>
      <c r="B763" t="s">
        <v>3973</v>
      </c>
      <c r="C763" t="s">
        <v>3974</v>
      </c>
      <c r="D763" t="s">
        <v>4058</v>
      </c>
      <c r="E763" t="s">
        <v>4059</v>
      </c>
      <c r="F763" t="s">
        <v>4060</v>
      </c>
      <c r="G763" t="s">
        <v>4061</v>
      </c>
      <c r="H763" t="s">
        <v>4042</v>
      </c>
      <c r="I763">
        <v>6</v>
      </c>
      <c r="J763">
        <v>16</v>
      </c>
      <c r="K763">
        <v>200</v>
      </c>
      <c r="L763">
        <v>16733</v>
      </c>
      <c r="M763" t="s">
        <v>52</v>
      </c>
      <c r="N763" t="s">
        <v>29</v>
      </c>
      <c r="O763">
        <v>2035100</v>
      </c>
      <c r="P763" t="s">
        <v>3979</v>
      </c>
      <c r="Q763">
        <v>106867</v>
      </c>
      <c r="R763" t="s">
        <v>3980</v>
      </c>
      <c r="S763">
        <v>411</v>
      </c>
      <c r="T763" t="b">
        <v>0</v>
      </c>
      <c r="U763">
        <v>1</v>
      </c>
      <c r="V763">
        <v>8</v>
      </c>
      <c r="W763" t="s">
        <v>35</v>
      </c>
      <c r="X763" t="s">
        <v>29</v>
      </c>
      <c r="Y763" t="s">
        <v>29</v>
      </c>
      <c r="Z763" t="s">
        <v>37</v>
      </c>
    </row>
    <row r="764" spans="1:26">
      <c r="A764">
        <v>1.8683447066035738E+18</v>
      </c>
      <c r="B764" t="s">
        <v>3973</v>
      </c>
      <c r="C764" t="s">
        <v>3974</v>
      </c>
      <c r="D764" t="s">
        <v>4062</v>
      </c>
      <c r="E764" t="s">
        <v>4063</v>
      </c>
      <c r="F764" t="s">
        <v>29</v>
      </c>
      <c r="G764" t="s">
        <v>4064</v>
      </c>
      <c r="H764" t="s">
        <v>4065</v>
      </c>
      <c r="I764">
        <v>44</v>
      </c>
      <c r="J764">
        <v>220</v>
      </c>
      <c r="K764">
        <v>2682</v>
      </c>
      <c r="L764">
        <v>1004854</v>
      </c>
      <c r="M764" t="s">
        <v>52</v>
      </c>
      <c r="N764" t="s">
        <v>29</v>
      </c>
      <c r="O764">
        <v>2035100</v>
      </c>
      <c r="P764" t="s">
        <v>3979</v>
      </c>
      <c r="Q764">
        <v>106867</v>
      </c>
      <c r="R764" t="s">
        <v>3980</v>
      </c>
      <c r="S764">
        <v>411</v>
      </c>
      <c r="T764" t="b">
        <v>0</v>
      </c>
      <c r="U764">
        <v>49</v>
      </c>
      <c r="V764">
        <v>81</v>
      </c>
      <c r="W764" t="s">
        <v>35</v>
      </c>
      <c r="X764" t="s">
        <v>29</v>
      </c>
      <c r="Y764" t="s">
        <v>4066</v>
      </c>
      <c r="Z764" t="s">
        <v>37</v>
      </c>
    </row>
    <row r="765" spans="1:26">
      <c r="A765">
        <v>1.8683434068687299E+18</v>
      </c>
      <c r="B765" t="s">
        <v>3973</v>
      </c>
      <c r="C765" t="s">
        <v>3974</v>
      </c>
      <c r="D765" t="s">
        <v>4067</v>
      </c>
      <c r="E765" t="s">
        <v>4068</v>
      </c>
      <c r="F765" t="s">
        <v>4069</v>
      </c>
      <c r="G765" t="s">
        <v>4070</v>
      </c>
      <c r="H765" t="s">
        <v>4065</v>
      </c>
      <c r="I765">
        <v>60</v>
      </c>
      <c r="J765">
        <v>285</v>
      </c>
      <c r="K765">
        <v>4504</v>
      </c>
      <c r="L765">
        <v>88375</v>
      </c>
      <c r="M765" t="s">
        <v>52</v>
      </c>
      <c r="N765" t="s">
        <v>29</v>
      </c>
      <c r="O765">
        <v>2035097</v>
      </c>
      <c r="P765" t="s">
        <v>3979</v>
      </c>
      <c r="Q765">
        <v>106867</v>
      </c>
      <c r="R765" t="s">
        <v>3980</v>
      </c>
      <c r="S765">
        <v>411</v>
      </c>
      <c r="T765" t="b">
        <v>0</v>
      </c>
      <c r="U765">
        <v>53</v>
      </c>
      <c r="V765">
        <v>35</v>
      </c>
      <c r="W765" t="s">
        <v>35</v>
      </c>
      <c r="X765" t="s">
        <v>29</v>
      </c>
      <c r="Y765" t="s">
        <v>29</v>
      </c>
      <c r="Z765" t="s">
        <v>37</v>
      </c>
    </row>
    <row r="766" spans="1:26">
      <c r="A766">
        <v>1.8658520418743547E+18</v>
      </c>
      <c r="B766" t="s">
        <v>3973</v>
      </c>
      <c r="C766" t="s">
        <v>3974</v>
      </c>
      <c r="D766" t="s">
        <v>4071</v>
      </c>
      <c r="E766" t="s">
        <v>4072</v>
      </c>
      <c r="F766" t="s">
        <v>4073</v>
      </c>
      <c r="G766" t="s">
        <v>4074</v>
      </c>
      <c r="H766" t="s">
        <v>4027</v>
      </c>
      <c r="I766">
        <v>3</v>
      </c>
      <c r="J766">
        <v>7</v>
      </c>
      <c r="K766">
        <v>57</v>
      </c>
      <c r="L766">
        <v>24962</v>
      </c>
      <c r="M766" t="s">
        <v>52</v>
      </c>
      <c r="N766" t="s">
        <v>29</v>
      </c>
      <c r="O766">
        <v>2035100</v>
      </c>
      <c r="P766" t="s">
        <v>3979</v>
      </c>
      <c r="Q766">
        <v>106867</v>
      </c>
      <c r="R766" t="s">
        <v>3980</v>
      </c>
      <c r="S766">
        <v>411</v>
      </c>
      <c r="T766" t="b">
        <v>0</v>
      </c>
      <c r="U766">
        <v>2</v>
      </c>
      <c r="V766">
        <v>0</v>
      </c>
      <c r="W766" t="s">
        <v>35</v>
      </c>
      <c r="X766" t="s">
        <v>29</v>
      </c>
      <c r="Y766" t="s">
        <v>4075</v>
      </c>
      <c r="Z766" t="s">
        <v>37</v>
      </c>
    </row>
    <row r="767" spans="1:26">
      <c r="A767">
        <v>1.868321722774004E+18</v>
      </c>
      <c r="B767" t="s">
        <v>4076</v>
      </c>
      <c r="C767" t="s">
        <v>4077</v>
      </c>
      <c r="D767" t="s">
        <v>4078</v>
      </c>
      <c r="E767" t="s">
        <v>4079</v>
      </c>
      <c r="F767" t="s">
        <v>4080</v>
      </c>
      <c r="G767" t="s">
        <v>4081</v>
      </c>
      <c r="H767" t="s">
        <v>4082</v>
      </c>
      <c r="I767">
        <v>5</v>
      </c>
      <c r="J767">
        <v>15</v>
      </c>
      <c r="K767">
        <v>114</v>
      </c>
      <c r="L767">
        <v>12958</v>
      </c>
      <c r="M767" t="s">
        <v>52</v>
      </c>
      <c r="N767" t="s">
        <v>29</v>
      </c>
      <c r="O767">
        <v>132993</v>
      </c>
      <c r="P767" t="s">
        <v>4083</v>
      </c>
      <c r="Q767">
        <v>28316</v>
      </c>
      <c r="R767" t="s">
        <v>4084</v>
      </c>
      <c r="S767">
        <v>2746</v>
      </c>
      <c r="T767" t="b">
        <v>0</v>
      </c>
      <c r="U767">
        <v>5</v>
      </c>
      <c r="V767">
        <v>11</v>
      </c>
      <c r="W767" t="s">
        <v>35</v>
      </c>
      <c r="X767" t="s">
        <v>29</v>
      </c>
      <c r="Y767" t="s">
        <v>29</v>
      </c>
      <c r="Z767" t="s">
        <v>37</v>
      </c>
    </row>
    <row r="768" spans="1:26">
      <c r="A768">
        <v>1.8676667160311278E+18</v>
      </c>
      <c r="B768" t="s">
        <v>3973</v>
      </c>
      <c r="C768" t="s">
        <v>3974</v>
      </c>
      <c r="D768" t="s">
        <v>4085</v>
      </c>
      <c r="E768" t="s">
        <v>4086</v>
      </c>
      <c r="F768" t="s">
        <v>29</v>
      </c>
      <c r="G768" t="s">
        <v>4087</v>
      </c>
      <c r="H768" t="s">
        <v>4088</v>
      </c>
      <c r="I768">
        <v>5</v>
      </c>
      <c r="J768">
        <v>30</v>
      </c>
      <c r="K768">
        <v>179</v>
      </c>
      <c r="L768">
        <v>68628</v>
      </c>
      <c r="M768" t="s">
        <v>4089</v>
      </c>
      <c r="N768" t="s">
        <v>29</v>
      </c>
      <c r="O768">
        <v>2035100</v>
      </c>
      <c r="P768" t="s">
        <v>3979</v>
      </c>
      <c r="Q768">
        <v>106867</v>
      </c>
      <c r="R768" t="s">
        <v>3980</v>
      </c>
      <c r="S768">
        <v>411</v>
      </c>
      <c r="T768" t="b">
        <v>0</v>
      </c>
      <c r="U768">
        <v>14</v>
      </c>
      <c r="V768">
        <v>17</v>
      </c>
      <c r="W768" t="s">
        <v>35</v>
      </c>
      <c r="X768" t="s">
        <v>29</v>
      </c>
      <c r="Y768" t="s">
        <v>4090</v>
      </c>
      <c r="Z768" t="s">
        <v>37</v>
      </c>
    </row>
    <row r="769" spans="1:26">
      <c r="A769">
        <v>1.8668839138950062E+18</v>
      </c>
      <c r="B769" t="s">
        <v>3973</v>
      </c>
      <c r="C769" t="s">
        <v>3974</v>
      </c>
      <c r="D769" t="s">
        <v>4091</v>
      </c>
      <c r="E769" t="s">
        <v>4092</v>
      </c>
      <c r="F769" t="s">
        <v>4093</v>
      </c>
      <c r="G769" t="s">
        <v>4094</v>
      </c>
      <c r="H769" t="s">
        <v>4095</v>
      </c>
      <c r="I769">
        <v>11</v>
      </c>
      <c r="J769">
        <v>19</v>
      </c>
      <c r="K769">
        <v>226</v>
      </c>
      <c r="L769">
        <v>23935</v>
      </c>
      <c r="M769" t="s">
        <v>52</v>
      </c>
      <c r="N769" t="s">
        <v>29</v>
      </c>
      <c r="O769">
        <v>2035097</v>
      </c>
      <c r="P769" t="s">
        <v>3979</v>
      </c>
      <c r="Q769">
        <v>106867</v>
      </c>
      <c r="R769" t="s">
        <v>3980</v>
      </c>
      <c r="S769">
        <v>411</v>
      </c>
      <c r="T769" t="b">
        <v>0</v>
      </c>
      <c r="U769">
        <v>3</v>
      </c>
      <c r="V769">
        <v>1</v>
      </c>
      <c r="W769" t="s">
        <v>35</v>
      </c>
      <c r="X769" t="s">
        <v>29</v>
      </c>
      <c r="Y769" t="s">
        <v>29</v>
      </c>
      <c r="Z769" t="s">
        <v>37</v>
      </c>
    </row>
    <row r="770" spans="1:26">
      <c r="A770">
        <v>1.861417375922561E+18</v>
      </c>
      <c r="B770" t="s">
        <v>4096</v>
      </c>
      <c r="C770" t="s">
        <v>4097</v>
      </c>
      <c r="D770" t="s">
        <v>4098</v>
      </c>
      <c r="E770" t="s">
        <v>4099</v>
      </c>
      <c r="F770" t="s">
        <v>29</v>
      </c>
      <c r="G770" t="s">
        <v>4100</v>
      </c>
      <c r="H770" t="s">
        <v>29</v>
      </c>
      <c r="I770">
        <v>163</v>
      </c>
      <c r="J770">
        <v>740</v>
      </c>
      <c r="K770">
        <v>4085</v>
      </c>
      <c r="L770">
        <v>1190863</v>
      </c>
      <c r="M770" t="s">
        <v>52</v>
      </c>
      <c r="N770" t="s">
        <v>4101</v>
      </c>
      <c r="O770">
        <v>76661</v>
      </c>
      <c r="P770" t="s">
        <v>4102</v>
      </c>
      <c r="Q770">
        <v>7251</v>
      </c>
      <c r="R770" t="s">
        <v>4103</v>
      </c>
      <c r="S770">
        <v>1497</v>
      </c>
      <c r="T770" t="b">
        <v>0</v>
      </c>
      <c r="U770">
        <v>18</v>
      </c>
      <c r="V770">
        <v>1457</v>
      </c>
      <c r="W770" t="s">
        <v>35</v>
      </c>
      <c r="X770" t="s">
        <v>29</v>
      </c>
      <c r="Y770" t="s">
        <v>4104</v>
      </c>
      <c r="Z770" t="s">
        <v>37</v>
      </c>
    </row>
    <row r="771" spans="1:26">
      <c r="A771">
        <v>1.80668204458127E+18</v>
      </c>
      <c r="B771" t="s">
        <v>4105</v>
      </c>
      <c r="C771" t="s">
        <v>4106</v>
      </c>
      <c r="D771" t="s">
        <v>4107</v>
      </c>
      <c r="E771" t="s">
        <v>4108</v>
      </c>
      <c r="F771" t="s">
        <v>4109</v>
      </c>
      <c r="G771" t="s">
        <v>4110</v>
      </c>
      <c r="H771" t="s">
        <v>29</v>
      </c>
      <c r="I771">
        <v>211</v>
      </c>
      <c r="J771">
        <v>886</v>
      </c>
      <c r="K771">
        <v>3500</v>
      </c>
      <c r="L771">
        <v>298098</v>
      </c>
      <c r="M771" t="s">
        <v>52</v>
      </c>
      <c r="N771" t="s">
        <v>29</v>
      </c>
      <c r="O771">
        <v>303040</v>
      </c>
      <c r="P771" t="s">
        <v>4111</v>
      </c>
      <c r="Q771">
        <v>24240</v>
      </c>
      <c r="R771" t="s">
        <v>4112</v>
      </c>
      <c r="S771">
        <v>8053</v>
      </c>
      <c r="T771" t="b">
        <v>0</v>
      </c>
      <c r="U771">
        <v>49</v>
      </c>
      <c r="V771">
        <v>210</v>
      </c>
      <c r="W771" t="s">
        <v>35</v>
      </c>
      <c r="X771" t="s">
        <v>29</v>
      </c>
      <c r="Y771" t="s">
        <v>4113</v>
      </c>
      <c r="Z771" t="s">
        <v>37</v>
      </c>
    </row>
    <row r="772" spans="1:26">
      <c r="A772">
        <v>1.7509318623344151E+18</v>
      </c>
      <c r="B772" t="s">
        <v>4114</v>
      </c>
      <c r="C772" t="s">
        <v>4115</v>
      </c>
      <c r="D772" t="s">
        <v>4116</v>
      </c>
      <c r="E772" t="s">
        <v>4117</v>
      </c>
      <c r="F772" t="s">
        <v>29</v>
      </c>
      <c r="G772" t="s">
        <v>4118</v>
      </c>
      <c r="H772" t="s">
        <v>29</v>
      </c>
      <c r="I772">
        <v>116</v>
      </c>
      <c r="J772">
        <v>720</v>
      </c>
      <c r="K772">
        <v>2581</v>
      </c>
      <c r="L772">
        <v>330931</v>
      </c>
      <c r="M772" t="s">
        <v>4119</v>
      </c>
      <c r="N772" t="s">
        <v>4120</v>
      </c>
      <c r="O772">
        <v>234550</v>
      </c>
      <c r="P772" t="s">
        <v>4121</v>
      </c>
      <c r="Q772">
        <v>102643</v>
      </c>
      <c r="R772" t="s">
        <v>4122</v>
      </c>
      <c r="S772">
        <v>5173</v>
      </c>
      <c r="T772" t="b">
        <v>0</v>
      </c>
      <c r="U772">
        <v>55</v>
      </c>
      <c r="V772">
        <v>335</v>
      </c>
      <c r="W772" t="s">
        <v>35</v>
      </c>
      <c r="X772" t="s">
        <v>29</v>
      </c>
      <c r="Y772" t="s">
        <v>4123</v>
      </c>
      <c r="Z772" t="s">
        <v>37</v>
      </c>
    </row>
    <row r="773" spans="1:26">
      <c r="A773">
        <v>1.7406919784704822E+18</v>
      </c>
      <c r="B773" t="s">
        <v>4124</v>
      </c>
      <c r="C773" t="s">
        <v>4125</v>
      </c>
      <c r="D773" t="s">
        <v>4126</v>
      </c>
      <c r="E773" t="s">
        <v>4127</v>
      </c>
      <c r="F773" t="s">
        <v>4128</v>
      </c>
      <c r="G773" t="s">
        <v>4129</v>
      </c>
      <c r="H773" t="s">
        <v>29</v>
      </c>
      <c r="I773">
        <v>137</v>
      </c>
      <c r="J773">
        <v>77</v>
      </c>
      <c r="K773">
        <v>1645</v>
      </c>
      <c r="L773">
        <v>355493</v>
      </c>
      <c r="M773" t="s">
        <v>52</v>
      </c>
      <c r="N773" t="s">
        <v>4130</v>
      </c>
      <c r="O773">
        <v>151269</v>
      </c>
      <c r="P773" t="s">
        <v>4131</v>
      </c>
      <c r="Q773">
        <v>3349</v>
      </c>
      <c r="R773" t="s">
        <v>4132</v>
      </c>
      <c r="S773">
        <v>187</v>
      </c>
      <c r="T773" t="b">
        <v>0</v>
      </c>
      <c r="U773">
        <v>14</v>
      </c>
      <c r="V773">
        <v>47</v>
      </c>
      <c r="W773" t="s">
        <v>35</v>
      </c>
      <c r="X773" t="s">
        <v>29</v>
      </c>
      <c r="Y773" t="s">
        <v>29</v>
      </c>
      <c r="Z773" t="s">
        <v>37</v>
      </c>
    </row>
    <row r="774" spans="1:26">
      <c r="A774">
        <v>1.8588324667415101E+18</v>
      </c>
      <c r="B774" t="s">
        <v>4105</v>
      </c>
      <c r="C774" t="s">
        <v>4106</v>
      </c>
      <c r="D774" t="s">
        <v>4133</v>
      </c>
      <c r="E774" t="s">
        <v>4134</v>
      </c>
      <c r="F774" t="s">
        <v>4135</v>
      </c>
      <c r="G774" t="s">
        <v>4136</v>
      </c>
      <c r="H774" t="s">
        <v>29</v>
      </c>
      <c r="I774">
        <v>349</v>
      </c>
      <c r="J774">
        <v>563</v>
      </c>
      <c r="K774">
        <v>2745</v>
      </c>
      <c r="L774">
        <v>1498601</v>
      </c>
      <c r="M774" t="s">
        <v>52</v>
      </c>
      <c r="N774" t="s">
        <v>29</v>
      </c>
      <c r="O774">
        <v>303040</v>
      </c>
      <c r="P774" t="s">
        <v>4111</v>
      </c>
      <c r="Q774">
        <v>24240</v>
      </c>
      <c r="R774" t="s">
        <v>4112</v>
      </c>
      <c r="S774">
        <v>8053</v>
      </c>
      <c r="T774" t="b">
        <v>0</v>
      </c>
      <c r="U774">
        <v>54</v>
      </c>
      <c r="V774">
        <v>706</v>
      </c>
      <c r="W774" t="s">
        <v>35</v>
      </c>
      <c r="X774" t="s">
        <v>29</v>
      </c>
      <c r="Y774" t="s">
        <v>4137</v>
      </c>
      <c r="Z774" t="s">
        <v>37</v>
      </c>
    </row>
    <row r="775" spans="1:26">
      <c r="A775">
        <v>1.8598264724894682E+18</v>
      </c>
      <c r="B775" t="s">
        <v>4138</v>
      </c>
      <c r="C775" t="s">
        <v>4139</v>
      </c>
      <c r="D775" t="s">
        <v>4126</v>
      </c>
      <c r="E775" t="s">
        <v>4140</v>
      </c>
      <c r="F775" t="s">
        <v>4141</v>
      </c>
      <c r="G775" t="s">
        <v>4142</v>
      </c>
      <c r="H775" t="s">
        <v>29</v>
      </c>
      <c r="I775">
        <v>241</v>
      </c>
      <c r="J775">
        <v>92</v>
      </c>
      <c r="K775">
        <v>2575</v>
      </c>
      <c r="L775">
        <v>393764</v>
      </c>
      <c r="M775" t="s">
        <v>52</v>
      </c>
      <c r="N775" t="s">
        <v>4130</v>
      </c>
      <c r="O775">
        <v>11185</v>
      </c>
      <c r="P775" t="s">
        <v>4143</v>
      </c>
      <c r="Q775">
        <v>22677</v>
      </c>
      <c r="R775" t="s">
        <v>4144</v>
      </c>
      <c r="S775">
        <v>2557</v>
      </c>
      <c r="T775" t="b">
        <v>0</v>
      </c>
      <c r="U775">
        <v>8</v>
      </c>
      <c r="V775">
        <v>97</v>
      </c>
      <c r="W775" t="s">
        <v>35</v>
      </c>
      <c r="X775" t="s">
        <v>29</v>
      </c>
      <c r="Y775" t="s">
        <v>29</v>
      </c>
      <c r="Z775" t="s">
        <v>37</v>
      </c>
    </row>
    <row r="776" spans="1:26">
      <c r="A776">
        <v>1.831121815961535E+18</v>
      </c>
      <c r="B776" t="s">
        <v>4096</v>
      </c>
      <c r="C776" t="s">
        <v>4097</v>
      </c>
      <c r="D776" t="s">
        <v>4145</v>
      </c>
      <c r="E776" t="s">
        <v>4146</v>
      </c>
      <c r="F776" t="s">
        <v>29</v>
      </c>
      <c r="G776" t="s">
        <v>4147</v>
      </c>
      <c r="H776" t="s">
        <v>29</v>
      </c>
      <c r="I776">
        <v>323</v>
      </c>
      <c r="J776">
        <v>688</v>
      </c>
      <c r="K776">
        <v>4097</v>
      </c>
      <c r="L776">
        <v>1515268</v>
      </c>
      <c r="M776" t="s">
        <v>52</v>
      </c>
      <c r="N776" t="s">
        <v>4148</v>
      </c>
      <c r="O776">
        <v>76661</v>
      </c>
      <c r="P776" t="s">
        <v>4102</v>
      </c>
      <c r="Q776">
        <v>7251</v>
      </c>
      <c r="R776" t="s">
        <v>4103</v>
      </c>
      <c r="S776">
        <v>1497</v>
      </c>
      <c r="T776" t="b">
        <v>0</v>
      </c>
      <c r="U776">
        <v>35</v>
      </c>
      <c r="V776">
        <v>1718</v>
      </c>
      <c r="W776" t="s">
        <v>35</v>
      </c>
      <c r="X776" t="s">
        <v>29</v>
      </c>
      <c r="Y776" t="s">
        <v>4149</v>
      </c>
      <c r="Z776" t="s">
        <v>37</v>
      </c>
    </row>
    <row r="777" spans="1:26">
      <c r="A777">
        <v>1.8618592371038254E+18</v>
      </c>
      <c r="B777" t="s">
        <v>4150</v>
      </c>
      <c r="C777" t="s">
        <v>4151</v>
      </c>
      <c r="D777" t="s">
        <v>4152</v>
      </c>
      <c r="E777" t="s">
        <v>4153</v>
      </c>
      <c r="F777" t="s">
        <v>4154</v>
      </c>
      <c r="G777" t="s">
        <v>4155</v>
      </c>
      <c r="H777" t="s">
        <v>29</v>
      </c>
      <c r="I777">
        <v>459</v>
      </c>
      <c r="J777">
        <v>569</v>
      </c>
      <c r="K777">
        <v>3761</v>
      </c>
      <c r="L777">
        <v>1947234</v>
      </c>
      <c r="M777" t="s">
        <v>52</v>
      </c>
      <c r="N777" t="s">
        <v>29</v>
      </c>
      <c r="O777">
        <v>226145</v>
      </c>
      <c r="P777" t="s">
        <v>4156</v>
      </c>
      <c r="Q777">
        <v>30244</v>
      </c>
      <c r="R777" t="s">
        <v>4157</v>
      </c>
      <c r="S777">
        <v>1844</v>
      </c>
      <c r="T777" t="b">
        <v>0</v>
      </c>
      <c r="U777">
        <v>85</v>
      </c>
      <c r="V777">
        <v>1128</v>
      </c>
      <c r="W777" t="s">
        <v>35</v>
      </c>
      <c r="X777" t="s">
        <v>29</v>
      </c>
      <c r="Y777" t="s">
        <v>4158</v>
      </c>
      <c r="Z777" t="s">
        <v>37</v>
      </c>
    </row>
    <row r="778" spans="1:26">
      <c r="A778">
        <v>1.8091727912683484E+18</v>
      </c>
      <c r="B778" t="s">
        <v>4159</v>
      </c>
      <c r="C778" t="s">
        <v>4160</v>
      </c>
      <c r="D778" t="s">
        <v>4161</v>
      </c>
      <c r="E778" t="s">
        <v>4162</v>
      </c>
      <c r="F778" t="s">
        <v>4163</v>
      </c>
      <c r="G778" t="s">
        <v>4164</v>
      </c>
      <c r="H778" t="s">
        <v>29</v>
      </c>
      <c r="I778">
        <v>297</v>
      </c>
      <c r="J778">
        <v>1915</v>
      </c>
      <c r="K778">
        <v>31610</v>
      </c>
      <c r="L778">
        <v>1372851</v>
      </c>
      <c r="M778" t="s">
        <v>52</v>
      </c>
      <c r="N778" t="s">
        <v>4165</v>
      </c>
      <c r="O778">
        <v>948415</v>
      </c>
      <c r="P778" t="s">
        <v>4166</v>
      </c>
      <c r="Q778">
        <v>40340</v>
      </c>
      <c r="R778" t="s">
        <v>4167</v>
      </c>
      <c r="S778">
        <v>400</v>
      </c>
      <c r="T778" t="b">
        <v>0</v>
      </c>
      <c r="U778">
        <v>59</v>
      </c>
      <c r="V778">
        <v>4603</v>
      </c>
      <c r="W778" t="s">
        <v>35</v>
      </c>
      <c r="X778" t="s">
        <v>29</v>
      </c>
      <c r="Y778" t="s">
        <v>29</v>
      </c>
      <c r="Z778" t="s">
        <v>37</v>
      </c>
    </row>
    <row r="779" spans="1:26">
      <c r="A779">
        <v>1.8310844765392202E+18</v>
      </c>
      <c r="B779" t="s">
        <v>4105</v>
      </c>
      <c r="C779" t="s">
        <v>4106</v>
      </c>
      <c r="D779" t="s">
        <v>4168</v>
      </c>
      <c r="E779" t="s">
        <v>4169</v>
      </c>
      <c r="F779" t="s">
        <v>4170</v>
      </c>
      <c r="G779" t="s">
        <v>4171</v>
      </c>
      <c r="H779" t="s">
        <v>29</v>
      </c>
      <c r="I779">
        <v>1557</v>
      </c>
      <c r="J779">
        <v>814</v>
      </c>
      <c r="K779">
        <v>3574</v>
      </c>
      <c r="L779">
        <v>1610328</v>
      </c>
      <c r="M779" t="s">
        <v>52</v>
      </c>
      <c r="N779" t="s">
        <v>29</v>
      </c>
      <c r="O779">
        <v>303062</v>
      </c>
      <c r="P779" t="s">
        <v>4111</v>
      </c>
      <c r="Q779">
        <v>24240</v>
      </c>
      <c r="R779" t="s">
        <v>4112</v>
      </c>
      <c r="S779">
        <v>8053</v>
      </c>
      <c r="T779" t="b">
        <v>0</v>
      </c>
      <c r="U779">
        <v>123</v>
      </c>
      <c r="V779">
        <v>842</v>
      </c>
      <c r="W779" t="s">
        <v>35</v>
      </c>
      <c r="X779" t="s">
        <v>29</v>
      </c>
      <c r="Y779" t="s">
        <v>4172</v>
      </c>
      <c r="Z779" t="s">
        <v>37</v>
      </c>
    </row>
    <row r="780" spans="1:26">
      <c r="A780">
        <v>1.8022365766234732E+18</v>
      </c>
      <c r="B780" t="s">
        <v>4173</v>
      </c>
      <c r="C780" t="s">
        <v>4174</v>
      </c>
      <c r="D780" t="s">
        <v>4175</v>
      </c>
      <c r="E780" t="s">
        <v>4176</v>
      </c>
      <c r="F780" t="s">
        <v>4177</v>
      </c>
      <c r="G780" t="s">
        <v>4178</v>
      </c>
      <c r="H780" t="s">
        <v>29</v>
      </c>
      <c r="I780">
        <v>362</v>
      </c>
      <c r="J780">
        <v>1672</v>
      </c>
      <c r="K780">
        <v>6803</v>
      </c>
      <c r="L780">
        <v>1390919</v>
      </c>
      <c r="M780" t="s">
        <v>52</v>
      </c>
      <c r="N780" t="s">
        <v>29</v>
      </c>
      <c r="O780">
        <v>549800</v>
      </c>
      <c r="P780" t="s">
        <v>4179</v>
      </c>
      <c r="Q780">
        <v>47749</v>
      </c>
      <c r="R780" t="s">
        <v>4180</v>
      </c>
      <c r="S780">
        <v>62</v>
      </c>
      <c r="T780" t="b">
        <v>0</v>
      </c>
      <c r="U780">
        <v>82</v>
      </c>
      <c r="V780">
        <v>1484</v>
      </c>
      <c r="W780" t="s">
        <v>35</v>
      </c>
      <c r="X780" t="s">
        <v>29</v>
      </c>
      <c r="Y780" t="s">
        <v>4181</v>
      </c>
      <c r="Z780" t="s">
        <v>37</v>
      </c>
    </row>
    <row r="781" spans="1:26">
      <c r="A781">
        <v>1.7977878555464297E+18</v>
      </c>
      <c r="B781" t="s">
        <v>4114</v>
      </c>
      <c r="C781" t="s">
        <v>4115</v>
      </c>
      <c r="D781" t="s">
        <v>4182</v>
      </c>
      <c r="E781" t="s">
        <v>4183</v>
      </c>
      <c r="F781" t="s">
        <v>29</v>
      </c>
      <c r="G781" t="s">
        <v>4184</v>
      </c>
      <c r="H781" t="s">
        <v>29</v>
      </c>
      <c r="I781">
        <v>113</v>
      </c>
      <c r="J781">
        <v>334</v>
      </c>
      <c r="K781">
        <v>1819</v>
      </c>
      <c r="L781">
        <v>98380</v>
      </c>
      <c r="M781" t="s">
        <v>52</v>
      </c>
      <c r="N781" t="s">
        <v>4101</v>
      </c>
      <c r="O781">
        <v>234568</v>
      </c>
      <c r="P781" t="s">
        <v>4121</v>
      </c>
      <c r="Q781">
        <v>102643</v>
      </c>
      <c r="R781" t="s">
        <v>4122</v>
      </c>
      <c r="S781">
        <v>5173</v>
      </c>
      <c r="T781" t="b">
        <v>0</v>
      </c>
      <c r="U781">
        <v>18</v>
      </c>
      <c r="V781">
        <v>159</v>
      </c>
      <c r="W781" t="s">
        <v>35</v>
      </c>
      <c r="X781" t="s">
        <v>29</v>
      </c>
      <c r="Y781" t="s">
        <v>4185</v>
      </c>
      <c r="Z781" t="s">
        <v>37</v>
      </c>
    </row>
    <row r="782" spans="1:26">
      <c r="A782">
        <v>1.8174560598183734E+18</v>
      </c>
      <c r="B782" t="s">
        <v>4114</v>
      </c>
      <c r="C782" t="s">
        <v>4115</v>
      </c>
      <c r="D782" t="s">
        <v>4186</v>
      </c>
      <c r="E782" t="s">
        <v>4187</v>
      </c>
      <c r="F782" t="s">
        <v>4188</v>
      </c>
      <c r="G782" t="s">
        <v>4189</v>
      </c>
      <c r="H782" t="s">
        <v>29</v>
      </c>
      <c r="I782">
        <v>149</v>
      </c>
      <c r="J782">
        <v>448</v>
      </c>
      <c r="K782">
        <v>1509</v>
      </c>
      <c r="L782">
        <v>505266</v>
      </c>
      <c r="M782" t="s">
        <v>52</v>
      </c>
      <c r="N782" t="s">
        <v>29</v>
      </c>
      <c r="O782">
        <v>234568</v>
      </c>
      <c r="P782" t="s">
        <v>4121</v>
      </c>
      <c r="Q782">
        <v>102643</v>
      </c>
      <c r="R782" t="s">
        <v>4122</v>
      </c>
      <c r="S782">
        <v>5173</v>
      </c>
      <c r="T782" t="b">
        <v>0</v>
      </c>
      <c r="U782">
        <v>27</v>
      </c>
      <c r="V782">
        <v>314</v>
      </c>
      <c r="W782" t="s">
        <v>35</v>
      </c>
      <c r="X782" t="s">
        <v>29</v>
      </c>
      <c r="Y782" t="s">
        <v>4190</v>
      </c>
      <c r="Z782" t="s">
        <v>37</v>
      </c>
    </row>
    <row r="783" spans="1:26">
      <c r="A783">
        <v>1.862883847685182E+18</v>
      </c>
      <c r="B783" t="s">
        <v>4105</v>
      </c>
      <c r="C783" t="s">
        <v>4106</v>
      </c>
      <c r="D783" t="s">
        <v>4191</v>
      </c>
      <c r="E783" t="s">
        <v>4192</v>
      </c>
      <c r="F783" t="s">
        <v>4193</v>
      </c>
      <c r="G783" t="s">
        <v>4194</v>
      </c>
      <c r="H783" t="s">
        <v>29</v>
      </c>
      <c r="I783">
        <v>238</v>
      </c>
      <c r="J783">
        <v>706</v>
      </c>
      <c r="K783">
        <v>3642</v>
      </c>
      <c r="L783">
        <v>919818</v>
      </c>
      <c r="M783" t="s">
        <v>52</v>
      </c>
      <c r="N783" t="s">
        <v>29</v>
      </c>
      <c r="O783">
        <v>303062</v>
      </c>
      <c r="P783" t="s">
        <v>4111</v>
      </c>
      <c r="Q783">
        <v>24240</v>
      </c>
      <c r="R783" t="s">
        <v>4112</v>
      </c>
      <c r="S783">
        <v>8053</v>
      </c>
      <c r="T783" t="b">
        <v>0</v>
      </c>
      <c r="U783">
        <v>36</v>
      </c>
      <c r="V783">
        <v>657</v>
      </c>
      <c r="W783" t="s">
        <v>35</v>
      </c>
      <c r="X783" t="s">
        <v>29</v>
      </c>
      <c r="Y783" t="s">
        <v>4195</v>
      </c>
      <c r="Z783" t="s">
        <v>37</v>
      </c>
    </row>
    <row r="784" spans="1:26">
      <c r="A784">
        <v>1.8146777683506547E+18</v>
      </c>
      <c r="B784" t="s">
        <v>4105</v>
      </c>
      <c r="C784" t="s">
        <v>4106</v>
      </c>
      <c r="D784" t="s">
        <v>4196</v>
      </c>
      <c r="E784" t="s">
        <v>4197</v>
      </c>
      <c r="F784" t="s">
        <v>4198</v>
      </c>
      <c r="G784" t="s">
        <v>4199</v>
      </c>
      <c r="H784" t="s">
        <v>29</v>
      </c>
      <c r="I784">
        <v>852</v>
      </c>
      <c r="J784">
        <v>531</v>
      </c>
      <c r="K784">
        <v>2609</v>
      </c>
      <c r="L784">
        <v>1404447</v>
      </c>
      <c r="M784" t="s">
        <v>52</v>
      </c>
      <c r="N784" t="s">
        <v>29</v>
      </c>
      <c r="O784">
        <v>303040</v>
      </c>
      <c r="P784" t="s">
        <v>4111</v>
      </c>
      <c r="Q784">
        <v>24240</v>
      </c>
      <c r="R784" t="s">
        <v>4112</v>
      </c>
      <c r="S784">
        <v>8053</v>
      </c>
      <c r="T784" t="b">
        <v>0</v>
      </c>
      <c r="U784">
        <v>67</v>
      </c>
      <c r="V784">
        <v>505</v>
      </c>
      <c r="W784" t="s">
        <v>35</v>
      </c>
      <c r="X784" t="s">
        <v>29</v>
      </c>
      <c r="Y784" t="s">
        <v>4200</v>
      </c>
      <c r="Z784" t="s">
        <v>37</v>
      </c>
    </row>
    <row r="785" spans="1:26">
      <c r="A785">
        <v>1.7466866551495311E+18</v>
      </c>
      <c r="B785" t="s">
        <v>4114</v>
      </c>
      <c r="C785" t="s">
        <v>4115</v>
      </c>
      <c r="D785" t="s">
        <v>4201</v>
      </c>
      <c r="E785" t="s">
        <v>4202</v>
      </c>
      <c r="F785" t="s">
        <v>4203</v>
      </c>
      <c r="G785" t="s">
        <v>4204</v>
      </c>
      <c r="H785" t="s">
        <v>29</v>
      </c>
      <c r="I785">
        <v>411</v>
      </c>
      <c r="J785">
        <v>141</v>
      </c>
      <c r="K785">
        <v>1454</v>
      </c>
      <c r="L785">
        <v>735316</v>
      </c>
      <c r="M785" t="s">
        <v>52</v>
      </c>
      <c r="N785" t="s">
        <v>4205</v>
      </c>
      <c r="O785">
        <v>234568</v>
      </c>
      <c r="P785" t="s">
        <v>4121</v>
      </c>
      <c r="Q785">
        <v>102643</v>
      </c>
      <c r="R785" t="s">
        <v>4122</v>
      </c>
      <c r="S785">
        <v>5173</v>
      </c>
      <c r="T785" t="b">
        <v>0</v>
      </c>
      <c r="U785">
        <v>24</v>
      </c>
      <c r="V785">
        <v>57</v>
      </c>
      <c r="W785" t="s">
        <v>35</v>
      </c>
      <c r="X785" t="s">
        <v>29</v>
      </c>
      <c r="Y785" t="s">
        <v>29</v>
      </c>
      <c r="Z785" t="s">
        <v>37</v>
      </c>
    </row>
    <row r="786" spans="1:26">
      <c r="A786">
        <v>1.8032529444664855E+18</v>
      </c>
      <c r="B786" t="s">
        <v>4173</v>
      </c>
      <c r="C786" t="s">
        <v>4174</v>
      </c>
      <c r="D786" t="s">
        <v>4206</v>
      </c>
      <c r="E786" t="s">
        <v>4207</v>
      </c>
      <c r="F786" t="s">
        <v>4208</v>
      </c>
      <c r="G786" t="s">
        <v>4209</v>
      </c>
      <c r="H786" t="s">
        <v>29</v>
      </c>
      <c r="I786">
        <v>566</v>
      </c>
      <c r="J786">
        <v>1013</v>
      </c>
      <c r="K786">
        <v>5456</v>
      </c>
      <c r="L786">
        <v>2862398</v>
      </c>
      <c r="M786" t="s">
        <v>52</v>
      </c>
      <c r="N786" t="s">
        <v>29</v>
      </c>
      <c r="O786">
        <v>549779</v>
      </c>
      <c r="P786" t="s">
        <v>4179</v>
      </c>
      <c r="Q786">
        <v>47749</v>
      </c>
      <c r="R786" t="s">
        <v>4180</v>
      </c>
      <c r="S786">
        <v>62</v>
      </c>
      <c r="T786" t="b">
        <v>0</v>
      </c>
      <c r="U786">
        <v>156</v>
      </c>
      <c r="V786">
        <v>1170</v>
      </c>
      <c r="W786" t="s">
        <v>35</v>
      </c>
      <c r="X786" t="s">
        <v>29</v>
      </c>
      <c r="Y786" t="s">
        <v>4210</v>
      </c>
      <c r="Z786" t="s">
        <v>37</v>
      </c>
    </row>
    <row r="787" spans="1:26">
      <c r="A787">
        <v>1.8442850442879962E+18</v>
      </c>
      <c r="B787" t="s">
        <v>4114</v>
      </c>
      <c r="C787" t="s">
        <v>4115</v>
      </c>
      <c r="D787" t="s">
        <v>4211</v>
      </c>
      <c r="E787" t="s">
        <v>4212</v>
      </c>
      <c r="F787" t="s">
        <v>29</v>
      </c>
      <c r="G787" t="s">
        <v>4213</v>
      </c>
      <c r="H787" t="s">
        <v>29</v>
      </c>
      <c r="I787">
        <v>51</v>
      </c>
      <c r="J787">
        <v>596</v>
      </c>
      <c r="K787">
        <v>1624</v>
      </c>
      <c r="L787">
        <v>248407</v>
      </c>
      <c r="M787" t="s">
        <v>52</v>
      </c>
      <c r="N787" t="s">
        <v>4214</v>
      </c>
      <c r="O787">
        <v>234568</v>
      </c>
      <c r="P787" t="s">
        <v>4121</v>
      </c>
      <c r="Q787">
        <v>102643</v>
      </c>
      <c r="R787" t="s">
        <v>4122</v>
      </c>
      <c r="S787">
        <v>5173</v>
      </c>
      <c r="T787" t="b">
        <v>0</v>
      </c>
      <c r="U787">
        <v>19</v>
      </c>
      <c r="V787">
        <v>278</v>
      </c>
      <c r="W787" t="s">
        <v>35</v>
      </c>
      <c r="X787" t="s">
        <v>29</v>
      </c>
      <c r="Y787" t="s">
        <v>4215</v>
      </c>
      <c r="Z787" t="s">
        <v>37</v>
      </c>
    </row>
    <row r="788" spans="1:26">
      <c r="A788">
        <v>1.7801549541554342E+18</v>
      </c>
      <c r="B788" t="s">
        <v>4216</v>
      </c>
      <c r="C788" t="s">
        <v>4217</v>
      </c>
      <c r="D788" t="s">
        <v>4218</v>
      </c>
      <c r="E788" t="s">
        <v>4219</v>
      </c>
      <c r="F788" t="s">
        <v>4220</v>
      </c>
      <c r="G788" t="s">
        <v>4221</v>
      </c>
      <c r="H788" t="s">
        <v>29</v>
      </c>
      <c r="I788">
        <v>667</v>
      </c>
      <c r="J788">
        <v>522</v>
      </c>
      <c r="K788">
        <v>4506</v>
      </c>
      <c r="L788">
        <v>2723358</v>
      </c>
      <c r="M788" t="s">
        <v>52</v>
      </c>
      <c r="N788" t="s">
        <v>29</v>
      </c>
      <c r="O788">
        <v>223937</v>
      </c>
      <c r="P788" t="s">
        <v>4222</v>
      </c>
      <c r="Q788">
        <v>9047</v>
      </c>
      <c r="R788" t="s">
        <v>4223</v>
      </c>
      <c r="S788">
        <v>1457</v>
      </c>
      <c r="T788" t="b">
        <v>0</v>
      </c>
      <c r="U788">
        <v>161</v>
      </c>
      <c r="V788">
        <v>972</v>
      </c>
      <c r="W788" t="s">
        <v>35</v>
      </c>
      <c r="X788" t="s">
        <v>29</v>
      </c>
      <c r="Y788" t="s">
        <v>4224</v>
      </c>
      <c r="Z788" t="s">
        <v>37</v>
      </c>
    </row>
    <row r="789" spans="1:26">
      <c r="A789">
        <v>1.840692814465643E+18</v>
      </c>
      <c r="B789" t="s">
        <v>4216</v>
      </c>
      <c r="C789" t="s">
        <v>4217</v>
      </c>
      <c r="D789" t="s">
        <v>4225</v>
      </c>
      <c r="E789" t="s">
        <v>4226</v>
      </c>
      <c r="F789" t="s">
        <v>4227</v>
      </c>
      <c r="G789" t="s">
        <v>4228</v>
      </c>
      <c r="H789" t="s">
        <v>29</v>
      </c>
      <c r="I789">
        <v>1164</v>
      </c>
      <c r="J789">
        <v>380</v>
      </c>
      <c r="K789">
        <v>5868</v>
      </c>
      <c r="L789">
        <v>1014510</v>
      </c>
      <c r="M789" t="s">
        <v>52</v>
      </c>
      <c r="N789" t="s">
        <v>4229</v>
      </c>
      <c r="O789">
        <v>223937</v>
      </c>
      <c r="P789" t="s">
        <v>4222</v>
      </c>
      <c r="Q789">
        <v>9047</v>
      </c>
      <c r="R789" t="s">
        <v>4223</v>
      </c>
      <c r="S789">
        <v>1457</v>
      </c>
      <c r="T789" t="b">
        <v>0</v>
      </c>
      <c r="U789">
        <v>47</v>
      </c>
      <c r="V789">
        <v>137</v>
      </c>
      <c r="W789" t="s">
        <v>35</v>
      </c>
      <c r="X789" t="s">
        <v>29</v>
      </c>
      <c r="Y789" t="s">
        <v>29</v>
      </c>
      <c r="Z789" t="s">
        <v>37</v>
      </c>
    </row>
    <row r="790" spans="1:26">
      <c r="A790">
        <v>1.7670351994336748E+18</v>
      </c>
      <c r="B790" t="s">
        <v>4138</v>
      </c>
      <c r="C790" t="s">
        <v>4139</v>
      </c>
      <c r="D790" t="s">
        <v>4126</v>
      </c>
      <c r="E790" t="s">
        <v>4230</v>
      </c>
      <c r="F790" t="s">
        <v>4231</v>
      </c>
      <c r="G790" t="s">
        <v>4232</v>
      </c>
      <c r="H790" t="s">
        <v>29</v>
      </c>
      <c r="I790">
        <v>40</v>
      </c>
      <c r="J790">
        <v>24</v>
      </c>
      <c r="K790">
        <v>621</v>
      </c>
      <c r="L790">
        <v>39318</v>
      </c>
      <c r="M790" t="s">
        <v>52</v>
      </c>
      <c r="N790" t="s">
        <v>4130</v>
      </c>
      <c r="O790">
        <v>11185</v>
      </c>
      <c r="P790" t="s">
        <v>4143</v>
      </c>
      <c r="Q790">
        <v>22677</v>
      </c>
      <c r="R790" t="s">
        <v>4144</v>
      </c>
      <c r="S790">
        <v>2557</v>
      </c>
      <c r="T790" t="b">
        <v>0</v>
      </c>
      <c r="U790">
        <v>1</v>
      </c>
      <c r="V790">
        <v>17</v>
      </c>
      <c r="W790" t="s">
        <v>35</v>
      </c>
      <c r="X790" t="s">
        <v>29</v>
      </c>
      <c r="Y790" t="s">
        <v>29</v>
      </c>
      <c r="Z790" t="s">
        <v>37</v>
      </c>
    </row>
    <row r="791" spans="1:26">
      <c r="A791">
        <v>1.8682345509139579E+18</v>
      </c>
      <c r="B791" t="s">
        <v>1393</v>
      </c>
      <c r="C791" t="s">
        <v>1394</v>
      </c>
      <c r="D791" t="s">
        <v>4233</v>
      </c>
      <c r="E791" t="s">
        <v>3931</v>
      </c>
      <c r="F791" t="s">
        <v>29</v>
      </c>
      <c r="G791" t="s">
        <v>4234</v>
      </c>
      <c r="H791" t="s">
        <v>29</v>
      </c>
      <c r="I791">
        <v>87</v>
      </c>
      <c r="J791">
        <v>463</v>
      </c>
      <c r="K791">
        <v>5209</v>
      </c>
      <c r="L791">
        <v>220444</v>
      </c>
      <c r="M791" t="s">
        <v>52</v>
      </c>
      <c r="N791" t="s">
        <v>4235</v>
      </c>
      <c r="O791">
        <v>24644782</v>
      </c>
      <c r="P791" t="s">
        <v>1400</v>
      </c>
      <c r="Q791">
        <v>122426</v>
      </c>
      <c r="R791" t="s">
        <v>1401</v>
      </c>
      <c r="S791">
        <v>339854</v>
      </c>
      <c r="T791" t="b">
        <v>0</v>
      </c>
      <c r="U791">
        <v>17</v>
      </c>
      <c r="V791">
        <v>64</v>
      </c>
      <c r="W791" t="s">
        <v>35</v>
      </c>
      <c r="X791" t="s">
        <v>29</v>
      </c>
      <c r="Y791" t="s">
        <v>4236</v>
      </c>
      <c r="Z791" t="s">
        <v>37</v>
      </c>
    </row>
    <row r="792" spans="1:26">
      <c r="A792">
        <v>1.8683350325129385E+18</v>
      </c>
      <c r="B792" t="s">
        <v>1363</v>
      </c>
      <c r="C792" t="s">
        <v>1364</v>
      </c>
      <c r="D792" t="s">
        <v>4237</v>
      </c>
      <c r="E792" t="s">
        <v>4238</v>
      </c>
      <c r="F792" t="s">
        <v>29</v>
      </c>
      <c r="G792" t="s">
        <v>4239</v>
      </c>
      <c r="H792" t="s">
        <v>4240</v>
      </c>
      <c r="I792">
        <v>10</v>
      </c>
      <c r="J792">
        <v>62</v>
      </c>
      <c r="K792">
        <v>684</v>
      </c>
      <c r="L792">
        <v>13214</v>
      </c>
      <c r="M792" t="s">
        <v>52</v>
      </c>
      <c r="N792" t="s">
        <v>1369</v>
      </c>
      <c r="O792">
        <v>462262</v>
      </c>
      <c r="P792" t="s">
        <v>1370</v>
      </c>
      <c r="Q792">
        <v>16271</v>
      </c>
      <c r="R792" t="s">
        <v>1371</v>
      </c>
      <c r="S792">
        <v>38</v>
      </c>
      <c r="T792" t="b">
        <v>0</v>
      </c>
      <c r="U792">
        <v>3</v>
      </c>
      <c r="V792">
        <v>10</v>
      </c>
      <c r="W792" t="s">
        <v>35</v>
      </c>
      <c r="X792" t="s">
        <v>29</v>
      </c>
      <c r="Y792" t="s">
        <v>4241</v>
      </c>
      <c r="Z792" t="s">
        <v>37</v>
      </c>
    </row>
    <row r="793" spans="1:26">
      <c r="A793">
        <v>1.8683519003676058E+18</v>
      </c>
      <c r="B793" t="s">
        <v>3638</v>
      </c>
      <c r="C793" t="s">
        <v>3639</v>
      </c>
      <c r="D793" t="s">
        <v>4242</v>
      </c>
      <c r="E793" t="s">
        <v>4243</v>
      </c>
      <c r="F793" t="s">
        <v>4244</v>
      </c>
      <c r="G793" t="s">
        <v>4245</v>
      </c>
      <c r="H793" t="s">
        <v>4246</v>
      </c>
      <c r="I793">
        <v>533</v>
      </c>
      <c r="J793">
        <v>660</v>
      </c>
      <c r="K793">
        <v>5291</v>
      </c>
      <c r="L793">
        <v>1185862</v>
      </c>
      <c r="M793" t="s">
        <v>52</v>
      </c>
      <c r="N793" t="s">
        <v>29</v>
      </c>
      <c r="O793">
        <v>8885747</v>
      </c>
      <c r="P793" t="s">
        <v>3643</v>
      </c>
      <c r="Q793">
        <v>115852</v>
      </c>
      <c r="R793" t="s">
        <v>3644</v>
      </c>
      <c r="S793">
        <v>469</v>
      </c>
      <c r="T793" t="b">
        <v>0</v>
      </c>
      <c r="U793">
        <v>1106</v>
      </c>
      <c r="V793">
        <v>66</v>
      </c>
      <c r="W793" t="s">
        <v>35</v>
      </c>
      <c r="X793" t="s">
        <v>29</v>
      </c>
      <c r="Y793" t="s">
        <v>29</v>
      </c>
      <c r="Z793" t="s">
        <v>37</v>
      </c>
    </row>
    <row r="794" spans="1:26">
      <c r="A794">
        <v>1.8683916490400074E+18</v>
      </c>
      <c r="B794" t="s">
        <v>3638</v>
      </c>
      <c r="C794" t="s">
        <v>3639</v>
      </c>
      <c r="D794" t="s">
        <v>4247</v>
      </c>
      <c r="E794" t="s">
        <v>4248</v>
      </c>
      <c r="F794" t="s">
        <v>4249</v>
      </c>
      <c r="G794" t="s">
        <v>4250</v>
      </c>
      <c r="H794" t="s">
        <v>3383</v>
      </c>
      <c r="I794">
        <v>40</v>
      </c>
      <c r="J794">
        <v>186</v>
      </c>
      <c r="K794">
        <v>4559</v>
      </c>
      <c r="L794">
        <v>134600</v>
      </c>
      <c r="M794" t="s">
        <v>52</v>
      </c>
      <c r="N794" t="s">
        <v>29</v>
      </c>
      <c r="O794">
        <v>8885747</v>
      </c>
      <c r="P794" t="s">
        <v>3643</v>
      </c>
      <c r="Q794">
        <v>115852</v>
      </c>
      <c r="R794" t="s">
        <v>3644</v>
      </c>
      <c r="S794">
        <v>469</v>
      </c>
      <c r="T794" t="b">
        <v>0</v>
      </c>
      <c r="U794">
        <v>15</v>
      </c>
      <c r="V794">
        <v>28</v>
      </c>
      <c r="W794" t="s">
        <v>35</v>
      </c>
      <c r="X794" t="s">
        <v>29</v>
      </c>
      <c r="Y794" t="s">
        <v>29</v>
      </c>
      <c r="Z794" t="s">
        <v>37</v>
      </c>
    </row>
    <row r="795" spans="1:26">
      <c r="A795">
        <v>1.8682194480263785E+18</v>
      </c>
      <c r="B795" t="s">
        <v>3837</v>
      </c>
      <c r="C795" t="s">
        <v>3838</v>
      </c>
      <c r="D795" t="s">
        <v>4251</v>
      </c>
      <c r="E795" t="s">
        <v>720</v>
      </c>
      <c r="F795" t="s">
        <v>4252</v>
      </c>
      <c r="G795" t="s">
        <v>4253</v>
      </c>
      <c r="H795" t="s">
        <v>29</v>
      </c>
      <c r="I795">
        <v>72</v>
      </c>
      <c r="J795">
        <v>148</v>
      </c>
      <c r="K795">
        <v>1866</v>
      </c>
      <c r="L795">
        <v>136238</v>
      </c>
      <c r="M795" t="s">
        <v>52</v>
      </c>
      <c r="N795" t="s">
        <v>4254</v>
      </c>
      <c r="O795">
        <v>984256</v>
      </c>
      <c r="P795" t="s">
        <v>3844</v>
      </c>
      <c r="Q795">
        <v>136135</v>
      </c>
      <c r="R795" t="s">
        <v>3845</v>
      </c>
      <c r="S795">
        <v>438</v>
      </c>
      <c r="T795" t="b">
        <v>0</v>
      </c>
      <c r="U795">
        <v>32</v>
      </c>
      <c r="V795">
        <v>6</v>
      </c>
      <c r="W795" t="s">
        <v>35</v>
      </c>
      <c r="X795" t="s">
        <v>29</v>
      </c>
      <c r="Y795" t="s">
        <v>29</v>
      </c>
      <c r="Z795" t="s">
        <v>37</v>
      </c>
    </row>
    <row r="796" spans="1:26">
      <c r="A796">
        <v>1.8682997172615662E+18</v>
      </c>
      <c r="B796" t="s">
        <v>333</v>
      </c>
      <c r="C796" t="s">
        <v>334</v>
      </c>
      <c r="D796" t="s">
        <v>4255</v>
      </c>
      <c r="E796" t="s">
        <v>4256</v>
      </c>
      <c r="F796" t="s">
        <v>29</v>
      </c>
      <c r="G796" t="s">
        <v>4257</v>
      </c>
      <c r="H796" t="s">
        <v>4258</v>
      </c>
      <c r="I796">
        <v>3</v>
      </c>
      <c r="J796">
        <v>15</v>
      </c>
      <c r="K796">
        <v>192</v>
      </c>
      <c r="L796">
        <v>14215</v>
      </c>
      <c r="M796" t="s">
        <v>52</v>
      </c>
      <c r="N796" t="s">
        <v>340</v>
      </c>
      <c r="O796">
        <v>337839</v>
      </c>
      <c r="P796" t="s">
        <v>341</v>
      </c>
      <c r="Q796">
        <v>57638</v>
      </c>
      <c r="R796" t="s">
        <v>342</v>
      </c>
      <c r="S796">
        <v>587</v>
      </c>
      <c r="T796" t="b">
        <v>0</v>
      </c>
      <c r="U796">
        <v>0</v>
      </c>
      <c r="V796">
        <v>6</v>
      </c>
      <c r="W796" t="s">
        <v>35</v>
      </c>
      <c r="X796" t="s">
        <v>29</v>
      </c>
      <c r="Y796" t="s">
        <v>4259</v>
      </c>
      <c r="Z796" t="s">
        <v>37</v>
      </c>
    </row>
    <row r="797" spans="1:26">
      <c r="A797">
        <v>1.8683779822405018E+18</v>
      </c>
      <c r="B797" t="s">
        <v>1363</v>
      </c>
      <c r="C797" t="s">
        <v>1364</v>
      </c>
      <c r="D797" t="s">
        <v>4260</v>
      </c>
      <c r="E797" t="s">
        <v>4261</v>
      </c>
      <c r="F797" t="s">
        <v>29</v>
      </c>
      <c r="G797" t="s">
        <v>4262</v>
      </c>
      <c r="H797" t="s">
        <v>4263</v>
      </c>
      <c r="I797">
        <v>31</v>
      </c>
      <c r="J797">
        <v>718</v>
      </c>
      <c r="K797">
        <v>6069</v>
      </c>
      <c r="L797">
        <v>422931</v>
      </c>
      <c r="M797" t="s">
        <v>52</v>
      </c>
      <c r="N797" t="s">
        <v>4264</v>
      </c>
      <c r="O797">
        <v>462261</v>
      </c>
      <c r="P797" t="s">
        <v>1370</v>
      </c>
      <c r="Q797">
        <v>16271</v>
      </c>
      <c r="R797" t="s">
        <v>1371</v>
      </c>
      <c r="S797">
        <v>38</v>
      </c>
      <c r="T797" t="b">
        <v>0</v>
      </c>
      <c r="U797">
        <v>23</v>
      </c>
      <c r="V797">
        <v>169</v>
      </c>
      <c r="W797" t="s">
        <v>35</v>
      </c>
      <c r="X797" t="s">
        <v>29</v>
      </c>
      <c r="Y797" t="s">
        <v>4265</v>
      </c>
      <c r="Z797" t="s">
        <v>37</v>
      </c>
    </row>
    <row r="798" spans="1:26">
      <c r="A798">
        <v>1.6188377652690985E+18</v>
      </c>
      <c r="B798" t="s">
        <v>4266</v>
      </c>
      <c r="C798" t="s">
        <v>4267</v>
      </c>
      <c r="D798" t="s">
        <v>4268</v>
      </c>
      <c r="E798" t="s">
        <v>4269</v>
      </c>
      <c r="F798" t="s">
        <v>4270</v>
      </c>
      <c r="G798" t="s">
        <v>4271</v>
      </c>
      <c r="H798" t="s">
        <v>4272</v>
      </c>
      <c r="I798">
        <v>7780</v>
      </c>
      <c r="J798">
        <v>87730</v>
      </c>
      <c r="K798">
        <v>418491</v>
      </c>
      <c r="L798">
        <v>21603909</v>
      </c>
      <c r="M798" t="s">
        <v>4273</v>
      </c>
      <c r="N798" t="s">
        <v>29</v>
      </c>
      <c r="O798">
        <v>94676198</v>
      </c>
      <c r="P798" t="s">
        <v>4274</v>
      </c>
      <c r="Q798">
        <v>860</v>
      </c>
      <c r="R798" t="s">
        <v>4275</v>
      </c>
      <c r="S798">
        <v>0</v>
      </c>
      <c r="T798" t="b">
        <v>0</v>
      </c>
      <c r="U798">
        <v>9920</v>
      </c>
      <c r="V798">
        <v>1991</v>
      </c>
      <c r="W798" t="s">
        <v>35</v>
      </c>
      <c r="X798" t="s">
        <v>29</v>
      </c>
      <c r="Y798" t="s">
        <v>29</v>
      </c>
      <c r="Z798" t="s">
        <v>37</v>
      </c>
    </row>
    <row r="799" spans="1:26">
      <c r="A799">
        <v>1.8683777778098916E+18</v>
      </c>
      <c r="B799" t="s">
        <v>3638</v>
      </c>
      <c r="C799" t="s">
        <v>3639</v>
      </c>
      <c r="D799" t="s">
        <v>4276</v>
      </c>
      <c r="E799" t="s">
        <v>4277</v>
      </c>
      <c r="F799" t="s">
        <v>4278</v>
      </c>
      <c r="G799" t="s">
        <v>4279</v>
      </c>
      <c r="H799" t="s">
        <v>3383</v>
      </c>
      <c r="I799">
        <v>65</v>
      </c>
      <c r="J799">
        <v>761</v>
      </c>
      <c r="K799">
        <v>5590</v>
      </c>
      <c r="L799">
        <v>201496</v>
      </c>
      <c r="M799" t="s">
        <v>52</v>
      </c>
      <c r="N799" t="s">
        <v>29</v>
      </c>
      <c r="O799">
        <v>8885747</v>
      </c>
      <c r="P799" t="s">
        <v>3643</v>
      </c>
      <c r="Q799">
        <v>115852</v>
      </c>
      <c r="R799" t="s">
        <v>3644</v>
      </c>
      <c r="S799">
        <v>469</v>
      </c>
      <c r="T799" t="b">
        <v>0</v>
      </c>
      <c r="U799">
        <v>99</v>
      </c>
      <c r="V799">
        <v>81</v>
      </c>
      <c r="W799" t="s">
        <v>35</v>
      </c>
      <c r="X799" t="s">
        <v>29</v>
      </c>
      <c r="Y799" t="s">
        <v>29</v>
      </c>
      <c r="Z799" t="s">
        <v>37</v>
      </c>
    </row>
    <row r="800" spans="1:26">
      <c r="A800">
        <v>1.8683420030559524E+18</v>
      </c>
      <c r="B800" t="s">
        <v>4280</v>
      </c>
      <c r="C800" t="s">
        <v>4280</v>
      </c>
      <c r="D800" t="s">
        <v>4281</v>
      </c>
      <c r="E800" t="s">
        <v>4282</v>
      </c>
      <c r="F800" t="s">
        <v>29</v>
      </c>
      <c r="G800" t="s">
        <v>4283</v>
      </c>
      <c r="H800" t="s">
        <v>29</v>
      </c>
      <c r="I800">
        <v>32</v>
      </c>
      <c r="J800">
        <v>4</v>
      </c>
      <c r="K800">
        <v>53</v>
      </c>
      <c r="L800">
        <v>74110</v>
      </c>
      <c r="M800" t="s">
        <v>4284</v>
      </c>
      <c r="N800" t="s">
        <v>29</v>
      </c>
      <c r="O800">
        <v>2356528</v>
      </c>
      <c r="P800" t="s">
        <v>4285</v>
      </c>
      <c r="Q800">
        <v>338240</v>
      </c>
      <c r="R800" t="s">
        <v>4286</v>
      </c>
      <c r="S800">
        <v>1981</v>
      </c>
      <c r="T800" t="b">
        <v>0</v>
      </c>
      <c r="U800">
        <v>2</v>
      </c>
      <c r="V800">
        <v>7</v>
      </c>
      <c r="W800" t="s">
        <v>35</v>
      </c>
      <c r="X800" t="s">
        <v>4287</v>
      </c>
      <c r="Y800" t="s">
        <v>29</v>
      </c>
      <c r="Z800" t="s">
        <v>37</v>
      </c>
    </row>
    <row r="801" spans="1:26">
      <c r="A801">
        <v>1.8683730059001654E+18</v>
      </c>
      <c r="B801" t="s">
        <v>3837</v>
      </c>
      <c r="C801" t="s">
        <v>3838</v>
      </c>
      <c r="D801" t="s">
        <v>4288</v>
      </c>
      <c r="E801" t="s">
        <v>4289</v>
      </c>
      <c r="F801" t="s">
        <v>4290</v>
      </c>
      <c r="G801" t="s">
        <v>4291</v>
      </c>
      <c r="H801" t="s">
        <v>29</v>
      </c>
      <c r="I801">
        <v>17</v>
      </c>
      <c r="J801">
        <v>180</v>
      </c>
      <c r="K801">
        <v>2682</v>
      </c>
      <c r="L801">
        <v>74792</v>
      </c>
      <c r="M801" t="s">
        <v>52</v>
      </c>
      <c r="N801" t="s">
        <v>3843</v>
      </c>
      <c r="O801">
        <v>984256</v>
      </c>
      <c r="P801" t="s">
        <v>3844</v>
      </c>
      <c r="Q801">
        <v>136135</v>
      </c>
      <c r="R801" t="s">
        <v>3845</v>
      </c>
      <c r="S801">
        <v>438</v>
      </c>
      <c r="T801" t="b">
        <v>0</v>
      </c>
      <c r="U801">
        <v>4</v>
      </c>
      <c r="V801">
        <v>13</v>
      </c>
      <c r="W801" t="s">
        <v>35</v>
      </c>
      <c r="X801" t="s">
        <v>29</v>
      </c>
      <c r="Y801" t="s">
        <v>29</v>
      </c>
      <c r="Z801" t="s">
        <v>37</v>
      </c>
    </row>
    <row r="802" spans="1:26">
      <c r="A802">
        <v>1.8682904304226432E+18</v>
      </c>
      <c r="B802" t="s">
        <v>4292</v>
      </c>
      <c r="C802" t="s">
        <v>4293</v>
      </c>
      <c r="D802" t="s">
        <v>4294</v>
      </c>
      <c r="E802" t="s">
        <v>4295</v>
      </c>
      <c r="F802" t="s">
        <v>29</v>
      </c>
      <c r="G802" t="s">
        <v>4296</v>
      </c>
      <c r="H802" t="s">
        <v>4297</v>
      </c>
      <c r="I802">
        <v>3</v>
      </c>
      <c r="J802">
        <v>4</v>
      </c>
      <c r="K802">
        <v>107</v>
      </c>
      <c r="L802">
        <v>35936</v>
      </c>
      <c r="M802" t="s">
        <v>52</v>
      </c>
      <c r="N802" t="s">
        <v>3212</v>
      </c>
      <c r="O802">
        <v>290454</v>
      </c>
      <c r="P802" t="s">
        <v>4298</v>
      </c>
      <c r="Q802">
        <v>128147</v>
      </c>
      <c r="R802" t="s">
        <v>4299</v>
      </c>
      <c r="S802">
        <v>1290</v>
      </c>
      <c r="T802" t="b">
        <v>0</v>
      </c>
      <c r="U802">
        <v>0</v>
      </c>
      <c r="V802">
        <v>1</v>
      </c>
      <c r="W802" t="s">
        <v>35</v>
      </c>
      <c r="X802" t="s">
        <v>29</v>
      </c>
      <c r="Y802" t="s">
        <v>4300</v>
      </c>
      <c r="Z802" t="s">
        <v>37</v>
      </c>
    </row>
    <row r="803" spans="1:26">
      <c r="A803">
        <v>1.8683753127251558E+18</v>
      </c>
      <c r="B803" t="s">
        <v>4301</v>
      </c>
      <c r="C803" t="s">
        <v>4302</v>
      </c>
      <c r="D803" t="s">
        <v>4303</v>
      </c>
      <c r="E803" t="s">
        <v>4304</v>
      </c>
      <c r="F803" t="s">
        <v>29</v>
      </c>
      <c r="G803" t="s">
        <v>4305</v>
      </c>
      <c r="H803" t="s">
        <v>29</v>
      </c>
      <c r="I803">
        <v>2</v>
      </c>
      <c r="J803">
        <v>6</v>
      </c>
      <c r="K803">
        <v>59</v>
      </c>
      <c r="L803">
        <v>4243</v>
      </c>
      <c r="M803" t="s">
        <v>4306</v>
      </c>
      <c r="N803" t="s">
        <v>29</v>
      </c>
      <c r="O803">
        <v>1380391</v>
      </c>
      <c r="P803" t="s">
        <v>4307</v>
      </c>
      <c r="Q803">
        <v>99794</v>
      </c>
      <c r="R803" t="s">
        <v>4308</v>
      </c>
      <c r="S803">
        <v>2044</v>
      </c>
      <c r="T803" t="b">
        <v>0</v>
      </c>
      <c r="U803">
        <v>1</v>
      </c>
      <c r="V803">
        <v>3</v>
      </c>
      <c r="W803" t="s">
        <v>35</v>
      </c>
      <c r="X803" t="s">
        <v>29</v>
      </c>
      <c r="Y803" t="s">
        <v>4309</v>
      </c>
      <c r="Z803" t="s">
        <v>37</v>
      </c>
    </row>
    <row r="804" spans="1:26">
      <c r="A804">
        <v>1.8683860435292247E+18</v>
      </c>
      <c r="B804" t="s">
        <v>333</v>
      </c>
      <c r="C804" t="s">
        <v>334</v>
      </c>
      <c r="D804" t="s">
        <v>4310</v>
      </c>
      <c r="E804" t="s">
        <v>4311</v>
      </c>
      <c r="F804" t="s">
        <v>29</v>
      </c>
      <c r="G804" t="s">
        <v>4312</v>
      </c>
      <c r="H804" t="s">
        <v>1411</v>
      </c>
      <c r="I804">
        <v>1</v>
      </c>
      <c r="J804">
        <v>3</v>
      </c>
      <c r="K804">
        <v>75</v>
      </c>
      <c r="L804">
        <v>8622</v>
      </c>
      <c r="M804" t="s">
        <v>52</v>
      </c>
      <c r="N804" t="s">
        <v>340</v>
      </c>
      <c r="O804">
        <v>337839</v>
      </c>
      <c r="P804" t="s">
        <v>341</v>
      </c>
      <c r="Q804">
        <v>57638</v>
      </c>
      <c r="R804" t="s">
        <v>342</v>
      </c>
      <c r="S804">
        <v>587</v>
      </c>
      <c r="T804" t="b">
        <v>0</v>
      </c>
      <c r="U804">
        <v>1</v>
      </c>
      <c r="V804">
        <v>3</v>
      </c>
      <c r="W804" t="s">
        <v>35</v>
      </c>
      <c r="X804" t="s">
        <v>29</v>
      </c>
      <c r="Y804" t="s">
        <v>4313</v>
      </c>
      <c r="Z804" t="s">
        <v>37</v>
      </c>
    </row>
    <row r="805" spans="1:26">
      <c r="A805">
        <v>1.8683087092034726E+18</v>
      </c>
      <c r="B805" t="s">
        <v>333</v>
      </c>
      <c r="C805" t="s">
        <v>334</v>
      </c>
      <c r="D805" t="s">
        <v>4314</v>
      </c>
      <c r="E805" t="s">
        <v>4315</v>
      </c>
      <c r="F805" t="s">
        <v>29</v>
      </c>
      <c r="G805" t="s">
        <v>4316</v>
      </c>
      <c r="H805" t="s">
        <v>489</v>
      </c>
      <c r="I805">
        <v>8</v>
      </c>
      <c r="J805">
        <v>68</v>
      </c>
      <c r="K805">
        <v>579</v>
      </c>
      <c r="L805">
        <v>21601</v>
      </c>
      <c r="M805" t="s">
        <v>52</v>
      </c>
      <c r="N805" t="s">
        <v>340</v>
      </c>
      <c r="O805">
        <v>337839</v>
      </c>
      <c r="P805" t="s">
        <v>341</v>
      </c>
      <c r="Q805">
        <v>57638</v>
      </c>
      <c r="R805" t="s">
        <v>342</v>
      </c>
      <c r="S805">
        <v>587</v>
      </c>
      <c r="T805" t="b">
        <v>0</v>
      </c>
      <c r="U805">
        <v>9</v>
      </c>
      <c r="V805">
        <v>10</v>
      </c>
      <c r="W805" t="s">
        <v>35</v>
      </c>
      <c r="X805" t="s">
        <v>29</v>
      </c>
      <c r="Y805" t="s">
        <v>4317</v>
      </c>
      <c r="Z805" t="s">
        <v>37</v>
      </c>
    </row>
    <row r="806" spans="1:26">
      <c r="A806">
        <v>1.8682970996803098E+18</v>
      </c>
      <c r="B806" t="s">
        <v>333</v>
      </c>
      <c r="C806" t="s">
        <v>334</v>
      </c>
      <c r="D806" t="s">
        <v>4318</v>
      </c>
      <c r="E806" t="s">
        <v>4319</v>
      </c>
      <c r="F806" t="s">
        <v>29</v>
      </c>
      <c r="G806" t="s">
        <v>4320</v>
      </c>
      <c r="H806" t="s">
        <v>4321</v>
      </c>
      <c r="I806">
        <v>5</v>
      </c>
      <c r="J806">
        <v>17</v>
      </c>
      <c r="K806">
        <v>326</v>
      </c>
      <c r="L806">
        <v>22081</v>
      </c>
      <c r="M806" t="s">
        <v>52</v>
      </c>
      <c r="N806" t="s">
        <v>340</v>
      </c>
      <c r="O806">
        <v>337839</v>
      </c>
      <c r="P806" t="s">
        <v>341</v>
      </c>
      <c r="Q806">
        <v>57638</v>
      </c>
      <c r="R806" t="s">
        <v>342</v>
      </c>
      <c r="S806">
        <v>587</v>
      </c>
      <c r="T806" t="b">
        <v>0</v>
      </c>
      <c r="U806">
        <v>7</v>
      </c>
      <c r="V806">
        <v>5</v>
      </c>
      <c r="W806" t="s">
        <v>35</v>
      </c>
      <c r="X806" t="s">
        <v>29</v>
      </c>
      <c r="Y806" t="s">
        <v>4322</v>
      </c>
      <c r="Z806" t="s">
        <v>37</v>
      </c>
    </row>
    <row r="807" spans="1:26">
      <c r="A807">
        <v>1.8683098897828009E+18</v>
      </c>
      <c r="B807" t="s">
        <v>1363</v>
      </c>
      <c r="C807" t="s">
        <v>1364</v>
      </c>
      <c r="D807" t="s">
        <v>4323</v>
      </c>
      <c r="E807" t="s">
        <v>4324</v>
      </c>
      <c r="F807" t="s">
        <v>29</v>
      </c>
      <c r="G807" t="s">
        <v>4325</v>
      </c>
      <c r="H807" t="s">
        <v>723</v>
      </c>
      <c r="I807">
        <v>7</v>
      </c>
      <c r="J807">
        <v>91</v>
      </c>
      <c r="K807">
        <v>825</v>
      </c>
      <c r="L807">
        <v>23647</v>
      </c>
      <c r="M807" t="s">
        <v>52</v>
      </c>
      <c r="N807" t="s">
        <v>1369</v>
      </c>
      <c r="O807">
        <v>462262</v>
      </c>
      <c r="P807" t="s">
        <v>1370</v>
      </c>
      <c r="Q807">
        <v>16271</v>
      </c>
      <c r="R807" t="s">
        <v>1371</v>
      </c>
      <c r="S807">
        <v>38</v>
      </c>
      <c r="T807" t="b">
        <v>0</v>
      </c>
      <c r="U807">
        <v>8</v>
      </c>
      <c r="V807">
        <v>8</v>
      </c>
      <c r="W807" t="s">
        <v>35</v>
      </c>
      <c r="X807" t="s">
        <v>29</v>
      </c>
      <c r="Y807" t="s">
        <v>4317</v>
      </c>
      <c r="Z807" t="s">
        <v>37</v>
      </c>
    </row>
    <row r="808" spans="1:26">
      <c r="A808">
        <v>1.8683953097489574E+18</v>
      </c>
      <c r="B808" t="s">
        <v>4280</v>
      </c>
      <c r="C808" t="s">
        <v>4280</v>
      </c>
      <c r="D808" t="s">
        <v>4326</v>
      </c>
      <c r="E808" t="s">
        <v>4327</v>
      </c>
      <c r="F808" t="s">
        <v>29</v>
      </c>
      <c r="G808" t="s">
        <v>4328</v>
      </c>
      <c r="H808" t="s">
        <v>4329</v>
      </c>
      <c r="I808">
        <v>4</v>
      </c>
      <c r="J808">
        <v>5</v>
      </c>
      <c r="K808">
        <v>21</v>
      </c>
      <c r="L808">
        <v>41355</v>
      </c>
      <c r="M808" t="s">
        <v>4330</v>
      </c>
      <c r="N808" t="s">
        <v>4331</v>
      </c>
      <c r="O808">
        <v>2356524</v>
      </c>
      <c r="P808" t="s">
        <v>4285</v>
      </c>
      <c r="Q808">
        <v>338240</v>
      </c>
      <c r="R808" t="s">
        <v>4286</v>
      </c>
      <c r="S808">
        <v>1981</v>
      </c>
      <c r="T808" t="b">
        <v>0</v>
      </c>
      <c r="U808">
        <v>0</v>
      </c>
      <c r="V808">
        <v>2</v>
      </c>
      <c r="W808" t="s">
        <v>35</v>
      </c>
      <c r="X808" t="s">
        <v>29</v>
      </c>
      <c r="Y808" t="s">
        <v>4332</v>
      </c>
      <c r="Z808" t="s">
        <v>37</v>
      </c>
    </row>
    <row r="809" spans="1:26">
      <c r="A809">
        <v>1.8683666655886054E+18</v>
      </c>
      <c r="B809" t="s">
        <v>4280</v>
      </c>
      <c r="C809" t="s">
        <v>4280</v>
      </c>
      <c r="D809" t="s">
        <v>4333</v>
      </c>
      <c r="E809" t="s">
        <v>4334</v>
      </c>
      <c r="F809" t="s">
        <v>29</v>
      </c>
      <c r="G809" t="s">
        <v>4335</v>
      </c>
      <c r="H809" t="s">
        <v>29</v>
      </c>
      <c r="I809">
        <v>9</v>
      </c>
      <c r="J809">
        <v>4</v>
      </c>
      <c r="K809">
        <v>25</v>
      </c>
      <c r="L809">
        <v>32337</v>
      </c>
      <c r="M809" t="s">
        <v>4336</v>
      </c>
      <c r="N809" t="s">
        <v>29</v>
      </c>
      <c r="O809">
        <v>2356528</v>
      </c>
      <c r="P809" t="s">
        <v>4285</v>
      </c>
      <c r="Q809">
        <v>338240</v>
      </c>
      <c r="R809" t="s">
        <v>4286</v>
      </c>
      <c r="S809">
        <v>1981</v>
      </c>
      <c r="T809" t="b">
        <v>0</v>
      </c>
      <c r="U809">
        <v>2</v>
      </c>
      <c r="V809">
        <v>2</v>
      </c>
      <c r="W809" t="s">
        <v>35</v>
      </c>
      <c r="X809" t="s">
        <v>4337</v>
      </c>
      <c r="Y809" t="s">
        <v>29</v>
      </c>
      <c r="Z809" t="s">
        <v>37</v>
      </c>
    </row>
    <row r="810" spans="1:26">
      <c r="A810">
        <v>1.8683092753841935E+18</v>
      </c>
      <c r="B810" t="s">
        <v>4338</v>
      </c>
      <c r="C810" t="s">
        <v>4339</v>
      </c>
      <c r="D810" t="s">
        <v>4340</v>
      </c>
      <c r="E810" t="s">
        <v>4341</v>
      </c>
      <c r="F810" t="s">
        <v>4342</v>
      </c>
      <c r="G810" t="s">
        <v>4343</v>
      </c>
      <c r="H810" t="s">
        <v>29</v>
      </c>
      <c r="I810">
        <v>8</v>
      </c>
      <c r="J810">
        <v>5</v>
      </c>
      <c r="K810">
        <v>107</v>
      </c>
      <c r="L810">
        <v>24346</v>
      </c>
      <c r="M810" t="s">
        <v>4344</v>
      </c>
      <c r="N810" t="s">
        <v>4345</v>
      </c>
      <c r="O810">
        <v>1676505</v>
      </c>
      <c r="P810" t="s">
        <v>4346</v>
      </c>
      <c r="Q810">
        <v>35438</v>
      </c>
      <c r="R810" t="s">
        <v>4347</v>
      </c>
      <c r="S810">
        <v>175</v>
      </c>
      <c r="T810" t="b">
        <v>0</v>
      </c>
      <c r="U810">
        <v>0</v>
      </c>
      <c r="V810">
        <v>2</v>
      </c>
      <c r="W810" t="s">
        <v>35</v>
      </c>
      <c r="X810" t="s">
        <v>29</v>
      </c>
      <c r="Y810" t="s">
        <v>29</v>
      </c>
      <c r="Z810" t="s">
        <v>37</v>
      </c>
    </row>
    <row r="811" spans="1:26">
      <c r="A811">
        <v>1.8682960819075932E+18</v>
      </c>
      <c r="B811" t="s">
        <v>3837</v>
      </c>
      <c r="C811" t="s">
        <v>3838</v>
      </c>
      <c r="D811" t="s">
        <v>4348</v>
      </c>
      <c r="E811" t="s">
        <v>4349</v>
      </c>
      <c r="F811" t="s">
        <v>4350</v>
      </c>
      <c r="G811" t="s">
        <v>4351</v>
      </c>
      <c r="H811" t="s">
        <v>29</v>
      </c>
      <c r="I811">
        <v>22</v>
      </c>
      <c r="J811">
        <v>85</v>
      </c>
      <c r="K811">
        <v>1484</v>
      </c>
      <c r="L811">
        <v>128215</v>
      </c>
      <c r="M811" t="s">
        <v>52</v>
      </c>
      <c r="N811" t="s">
        <v>4254</v>
      </c>
      <c r="O811">
        <v>984256</v>
      </c>
      <c r="P811" t="s">
        <v>3844</v>
      </c>
      <c r="Q811">
        <v>136135</v>
      </c>
      <c r="R811" t="s">
        <v>3845</v>
      </c>
      <c r="S811">
        <v>438</v>
      </c>
      <c r="T811" t="b">
        <v>0</v>
      </c>
      <c r="U811">
        <v>7</v>
      </c>
      <c r="V811">
        <v>7</v>
      </c>
      <c r="W811" t="s">
        <v>35</v>
      </c>
      <c r="X811" t="s">
        <v>29</v>
      </c>
      <c r="Y811" t="s">
        <v>29</v>
      </c>
      <c r="Z811" t="s">
        <v>37</v>
      </c>
    </row>
    <row r="812" spans="1:26">
      <c r="A812">
        <v>1.8683616299578209E+18</v>
      </c>
      <c r="B812" t="s">
        <v>3837</v>
      </c>
      <c r="C812" t="s">
        <v>3838</v>
      </c>
      <c r="D812" t="s">
        <v>4352</v>
      </c>
      <c r="E812" t="s">
        <v>4353</v>
      </c>
      <c r="F812" t="s">
        <v>4354</v>
      </c>
      <c r="G812" t="s">
        <v>4355</v>
      </c>
      <c r="H812" t="s">
        <v>29</v>
      </c>
      <c r="I812">
        <v>4</v>
      </c>
      <c r="J812">
        <v>79</v>
      </c>
      <c r="K812">
        <v>367</v>
      </c>
      <c r="L812">
        <v>10495</v>
      </c>
      <c r="M812" t="s">
        <v>52</v>
      </c>
      <c r="N812" t="s">
        <v>4356</v>
      </c>
      <c r="O812">
        <v>984256</v>
      </c>
      <c r="P812" t="s">
        <v>3844</v>
      </c>
      <c r="Q812">
        <v>136135</v>
      </c>
      <c r="R812" t="s">
        <v>3845</v>
      </c>
      <c r="S812">
        <v>438</v>
      </c>
      <c r="T812" t="b">
        <v>0</v>
      </c>
      <c r="U812">
        <v>4</v>
      </c>
      <c r="V812">
        <v>2</v>
      </c>
      <c r="W812" t="s">
        <v>35</v>
      </c>
      <c r="X812" t="s">
        <v>29</v>
      </c>
      <c r="Y812" t="s">
        <v>29</v>
      </c>
      <c r="Z812" t="s">
        <v>37</v>
      </c>
    </row>
    <row r="813" spans="1:26">
      <c r="A813">
        <v>1.868366799961727E+18</v>
      </c>
      <c r="B813" t="s">
        <v>3837</v>
      </c>
      <c r="C813" t="s">
        <v>3838</v>
      </c>
      <c r="D813" t="s">
        <v>4357</v>
      </c>
      <c r="E813" t="s">
        <v>4358</v>
      </c>
      <c r="F813" t="s">
        <v>4359</v>
      </c>
      <c r="G813" t="s">
        <v>4360</v>
      </c>
      <c r="H813" t="s">
        <v>29</v>
      </c>
      <c r="I813">
        <v>80</v>
      </c>
      <c r="J813">
        <v>1373</v>
      </c>
      <c r="K813">
        <v>7968</v>
      </c>
      <c r="L813">
        <v>213748</v>
      </c>
      <c r="M813" t="s">
        <v>52</v>
      </c>
      <c r="N813" t="s">
        <v>3843</v>
      </c>
      <c r="O813">
        <v>984263</v>
      </c>
      <c r="P813" t="s">
        <v>3844</v>
      </c>
      <c r="Q813">
        <v>136135</v>
      </c>
      <c r="R813" t="s">
        <v>3845</v>
      </c>
      <c r="S813">
        <v>438</v>
      </c>
      <c r="T813" t="b">
        <v>0</v>
      </c>
      <c r="U813">
        <v>87</v>
      </c>
      <c r="V813">
        <v>44</v>
      </c>
      <c r="W813" t="s">
        <v>35</v>
      </c>
      <c r="X813" t="s">
        <v>29</v>
      </c>
      <c r="Y813" t="s">
        <v>29</v>
      </c>
      <c r="Z813" t="s">
        <v>37</v>
      </c>
    </row>
    <row r="814" spans="1:26">
      <c r="A814">
        <v>1.7391214696099474E+18</v>
      </c>
      <c r="B814" t="s">
        <v>4138</v>
      </c>
      <c r="C814" t="s">
        <v>4139</v>
      </c>
      <c r="D814" t="s">
        <v>4126</v>
      </c>
      <c r="E814" t="s">
        <v>4361</v>
      </c>
      <c r="F814" t="s">
        <v>4362</v>
      </c>
      <c r="G814" t="s">
        <v>4363</v>
      </c>
      <c r="H814" t="s">
        <v>29</v>
      </c>
      <c r="I814">
        <v>139</v>
      </c>
      <c r="J814">
        <v>22</v>
      </c>
      <c r="K814">
        <v>686</v>
      </c>
      <c r="L814">
        <v>130102</v>
      </c>
      <c r="M814" t="s">
        <v>52</v>
      </c>
      <c r="N814" t="s">
        <v>4130</v>
      </c>
      <c r="O814">
        <v>11185</v>
      </c>
      <c r="P814" t="s">
        <v>4143</v>
      </c>
      <c r="Q814">
        <v>22677</v>
      </c>
      <c r="R814" t="s">
        <v>4144</v>
      </c>
      <c r="S814">
        <v>2557</v>
      </c>
      <c r="T814" t="b">
        <v>0</v>
      </c>
      <c r="U814">
        <v>6</v>
      </c>
      <c r="V814">
        <v>21</v>
      </c>
      <c r="W814" t="s">
        <v>35</v>
      </c>
      <c r="X814" t="s">
        <v>29</v>
      </c>
      <c r="Y814" t="s">
        <v>29</v>
      </c>
      <c r="Z814" t="s">
        <v>37</v>
      </c>
    </row>
    <row r="815" spans="1:26">
      <c r="A815">
        <v>1.8683024939453033E+18</v>
      </c>
      <c r="B815" t="s">
        <v>1447</v>
      </c>
      <c r="C815" t="s">
        <v>1448</v>
      </c>
      <c r="D815" t="s">
        <v>4364</v>
      </c>
      <c r="E815" t="s">
        <v>4365</v>
      </c>
      <c r="F815" t="s">
        <v>29</v>
      </c>
      <c r="G815" t="s">
        <v>4366</v>
      </c>
      <c r="H815" t="s">
        <v>29</v>
      </c>
      <c r="I815">
        <v>41</v>
      </c>
      <c r="J815">
        <v>316</v>
      </c>
      <c r="K815">
        <v>3423</v>
      </c>
      <c r="L815">
        <v>74207</v>
      </c>
      <c r="M815" t="s">
        <v>52</v>
      </c>
      <c r="N815" t="s">
        <v>4367</v>
      </c>
      <c r="O815">
        <v>4240900</v>
      </c>
      <c r="P815" t="s">
        <v>1453</v>
      </c>
      <c r="Q815">
        <v>60308</v>
      </c>
      <c r="R815" t="s">
        <v>1454</v>
      </c>
      <c r="S815">
        <v>26587</v>
      </c>
      <c r="T815" t="b">
        <v>0</v>
      </c>
      <c r="U815">
        <v>10</v>
      </c>
      <c r="V815">
        <v>116</v>
      </c>
      <c r="W815" t="s">
        <v>35</v>
      </c>
      <c r="X815" t="s">
        <v>29</v>
      </c>
      <c r="Y815" t="s">
        <v>4368</v>
      </c>
      <c r="Z815" t="s">
        <v>37</v>
      </c>
    </row>
    <row r="816" spans="1:26">
      <c r="A816">
        <v>1.8683457008719711E+18</v>
      </c>
      <c r="B816" t="s">
        <v>333</v>
      </c>
      <c r="C816" t="s">
        <v>334</v>
      </c>
      <c r="D816" t="s">
        <v>4369</v>
      </c>
      <c r="E816" t="s">
        <v>4370</v>
      </c>
      <c r="F816" t="s">
        <v>29</v>
      </c>
      <c r="G816" t="s">
        <v>4371</v>
      </c>
      <c r="H816" t="s">
        <v>489</v>
      </c>
      <c r="I816">
        <v>2</v>
      </c>
      <c r="J816">
        <v>9</v>
      </c>
      <c r="K816">
        <v>133</v>
      </c>
      <c r="L816">
        <v>12531</v>
      </c>
      <c r="M816" t="s">
        <v>52</v>
      </c>
      <c r="N816" t="s">
        <v>340</v>
      </c>
      <c r="O816">
        <v>337839</v>
      </c>
      <c r="P816" t="s">
        <v>341</v>
      </c>
      <c r="Q816">
        <v>57638</v>
      </c>
      <c r="R816" t="s">
        <v>342</v>
      </c>
      <c r="S816">
        <v>587</v>
      </c>
      <c r="T816" t="b">
        <v>0</v>
      </c>
      <c r="U816">
        <v>4</v>
      </c>
      <c r="V816">
        <v>1</v>
      </c>
      <c r="W816" t="s">
        <v>35</v>
      </c>
      <c r="X816" t="s">
        <v>29</v>
      </c>
      <c r="Y816" t="s">
        <v>4317</v>
      </c>
      <c r="Z816" t="s">
        <v>37</v>
      </c>
    </row>
    <row r="817" spans="1:26">
      <c r="A817">
        <v>1.8683655577347566E+18</v>
      </c>
      <c r="B817" t="s">
        <v>1280</v>
      </c>
      <c r="C817" t="s">
        <v>1281</v>
      </c>
      <c r="D817" t="s">
        <v>4372</v>
      </c>
      <c r="E817" t="s">
        <v>4373</v>
      </c>
      <c r="F817" t="s">
        <v>29</v>
      </c>
      <c r="G817" t="s">
        <v>4374</v>
      </c>
      <c r="H817" t="s">
        <v>29</v>
      </c>
      <c r="I817">
        <v>346</v>
      </c>
      <c r="J817">
        <v>4113</v>
      </c>
      <c r="K817">
        <v>24850</v>
      </c>
      <c r="L817">
        <v>464062</v>
      </c>
      <c r="M817" t="s">
        <v>52</v>
      </c>
      <c r="N817" t="s">
        <v>1286</v>
      </c>
      <c r="O817">
        <v>38439066</v>
      </c>
      <c r="P817" t="s">
        <v>1287</v>
      </c>
      <c r="Q817">
        <v>92455</v>
      </c>
      <c r="R817" t="s">
        <v>1288</v>
      </c>
      <c r="S817">
        <v>145</v>
      </c>
      <c r="T817" t="b">
        <v>0</v>
      </c>
      <c r="U817">
        <v>206</v>
      </c>
      <c r="V817">
        <v>556</v>
      </c>
      <c r="W817" t="s">
        <v>35</v>
      </c>
      <c r="X817" t="s">
        <v>29</v>
      </c>
      <c r="Y817" t="s">
        <v>4375</v>
      </c>
      <c r="Z817" t="s">
        <v>37</v>
      </c>
    </row>
    <row r="818" spans="1:26">
      <c r="A818">
        <v>1.8660211267381581E+18</v>
      </c>
      <c r="B818" t="s">
        <v>4376</v>
      </c>
      <c r="C818" t="s">
        <v>4377</v>
      </c>
      <c r="D818" t="s">
        <v>4378</v>
      </c>
      <c r="E818" t="s">
        <v>4379</v>
      </c>
      <c r="F818" t="s">
        <v>4380</v>
      </c>
      <c r="G818" t="s">
        <v>4381</v>
      </c>
      <c r="H818" t="s">
        <v>29</v>
      </c>
      <c r="I818">
        <v>0</v>
      </c>
      <c r="J818">
        <v>3</v>
      </c>
      <c r="K818">
        <v>5</v>
      </c>
      <c r="L818">
        <v>1078</v>
      </c>
      <c r="M818" t="s">
        <v>4382</v>
      </c>
      <c r="N818" t="s">
        <v>4383</v>
      </c>
      <c r="O818">
        <v>128359</v>
      </c>
      <c r="P818" t="s">
        <v>4384</v>
      </c>
      <c r="Q818">
        <v>38582</v>
      </c>
      <c r="R818" t="s">
        <v>4385</v>
      </c>
      <c r="S818">
        <v>45</v>
      </c>
      <c r="T818" t="b">
        <v>0</v>
      </c>
      <c r="U818">
        <v>2</v>
      </c>
      <c r="V818">
        <v>1</v>
      </c>
      <c r="W818" t="s">
        <v>35</v>
      </c>
      <c r="X818" t="s">
        <v>29</v>
      </c>
      <c r="Y818" t="s">
        <v>29</v>
      </c>
      <c r="Z818" t="s">
        <v>37</v>
      </c>
    </row>
    <row r="819" spans="1:26">
      <c r="A819">
        <v>1.8683766562909844E+18</v>
      </c>
      <c r="B819" t="s">
        <v>3638</v>
      </c>
      <c r="C819" t="s">
        <v>3639</v>
      </c>
      <c r="D819" t="s">
        <v>4386</v>
      </c>
      <c r="E819" t="s">
        <v>4387</v>
      </c>
      <c r="F819" t="s">
        <v>4388</v>
      </c>
      <c r="G819" t="s">
        <v>4389</v>
      </c>
      <c r="H819" t="s">
        <v>3383</v>
      </c>
      <c r="I819">
        <v>23</v>
      </c>
      <c r="J819">
        <v>282</v>
      </c>
      <c r="K819">
        <v>4679</v>
      </c>
      <c r="L819">
        <v>128216</v>
      </c>
      <c r="M819" t="s">
        <v>52</v>
      </c>
      <c r="N819" t="s">
        <v>29</v>
      </c>
      <c r="O819">
        <v>8885747</v>
      </c>
      <c r="P819" t="s">
        <v>3643</v>
      </c>
      <c r="Q819">
        <v>115852</v>
      </c>
      <c r="R819" t="s">
        <v>3644</v>
      </c>
      <c r="S819">
        <v>469</v>
      </c>
      <c r="T819" t="b">
        <v>0</v>
      </c>
      <c r="U819">
        <v>17</v>
      </c>
      <c r="V819">
        <v>22</v>
      </c>
      <c r="W819" t="s">
        <v>35</v>
      </c>
      <c r="X819" t="s">
        <v>29</v>
      </c>
      <c r="Y819" t="s">
        <v>29</v>
      </c>
      <c r="Z819" t="s">
        <v>37</v>
      </c>
    </row>
    <row r="820" spans="1:26">
      <c r="A820">
        <v>1.8684175005656479E+18</v>
      </c>
      <c r="B820" t="s">
        <v>4280</v>
      </c>
      <c r="C820" t="s">
        <v>4280</v>
      </c>
      <c r="D820" t="s">
        <v>4390</v>
      </c>
      <c r="E820" t="s">
        <v>4391</v>
      </c>
      <c r="F820" t="s">
        <v>29</v>
      </c>
      <c r="G820" t="s">
        <v>4392</v>
      </c>
      <c r="H820" t="s">
        <v>29</v>
      </c>
      <c r="I820">
        <v>3</v>
      </c>
      <c r="J820">
        <v>2</v>
      </c>
      <c r="K820">
        <v>35</v>
      </c>
      <c r="L820">
        <v>36697</v>
      </c>
      <c r="M820" t="s">
        <v>4393</v>
      </c>
      <c r="N820" t="s">
        <v>29</v>
      </c>
      <c r="O820">
        <v>2356528</v>
      </c>
      <c r="P820" t="s">
        <v>4285</v>
      </c>
      <c r="Q820">
        <v>338240</v>
      </c>
      <c r="R820" t="s">
        <v>4286</v>
      </c>
      <c r="S820">
        <v>1981</v>
      </c>
      <c r="T820" t="b">
        <v>0</v>
      </c>
      <c r="U820">
        <v>1</v>
      </c>
      <c r="V820">
        <v>1</v>
      </c>
      <c r="W820" t="s">
        <v>35</v>
      </c>
      <c r="X820" t="s">
        <v>4394</v>
      </c>
      <c r="Y820" t="s">
        <v>29</v>
      </c>
      <c r="Z820" t="s">
        <v>37</v>
      </c>
    </row>
    <row r="821" spans="1:26">
      <c r="A821">
        <v>1.8680873250176942E+18</v>
      </c>
      <c r="B821" t="s">
        <v>4280</v>
      </c>
      <c r="C821" t="s">
        <v>4280</v>
      </c>
      <c r="D821" t="s">
        <v>4395</v>
      </c>
      <c r="E821" t="s">
        <v>4396</v>
      </c>
      <c r="F821" t="s">
        <v>29</v>
      </c>
      <c r="G821" t="s">
        <v>4397</v>
      </c>
      <c r="H821" t="s">
        <v>29</v>
      </c>
      <c r="I821">
        <v>6</v>
      </c>
      <c r="J821">
        <v>3</v>
      </c>
      <c r="K821">
        <v>18</v>
      </c>
      <c r="L821">
        <v>36071</v>
      </c>
      <c r="M821" t="s">
        <v>4398</v>
      </c>
      <c r="N821" t="s">
        <v>29</v>
      </c>
      <c r="O821">
        <v>2356528</v>
      </c>
      <c r="P821" t="s">
        <v>4285</v>
      </c>
      <c r="Q821">
        <v>338240</v>
      </c>
      <c r="R821" t="s">
        <v>4286</v>
      </c>
      <c r="S821">
        <v>1981</v>
      </c>
      <c r="T821" t="b">
        <v>0</v>
      </c>
      <c r="U821">
        <v>1</v>
      </c>
      <c r="V821">
        <v>1</v>
      </c>
      <c r="W821" t="s">
        <v>35</v>
      </c>
      <c r="X821" t="s">
        <v>4399</v>
      </c>
      <c r="Y821" t="s">
        <v>29</v>
      </c>
      <c r="Z821" t="s">
        <v>37</v>
      </c>
    </row>
    <row r="822" spans="1:26">
      <c r="A822">
        <v>1.8682383197771162E+18</v>
      </c>
      <c r="B822" t="s">
        <v>4400</v>
      </c>
      <c r="C822" t="s">
        <v>4401</v>
      </c>
      <c r="D822" t="s">
        <v>4402</v>
      </c>
      <c r="E822" t="s">
        <v>4403</v>
      </c>
      <c r="F822" t="s">
        <v>4404</v>
      </c>
      <c r="G822" t="s">
        <v>4405</v>
      </c>
      <c r="H822" t="s">
        <v>4406</v>
      </c>
      <c r="I822">
        <v>1</v>
      </c>
      <c r="J822">
        <v>25</v>
      </c>
      <c r="K822">
        <v>398</v>
      </c>
      <c r="L822">
        <v>16527</v>
      </c>
      <c r="M822" t="s">
        <v>52</v>
      </c>
      <c r="N822" t="s">
        <v>4407</v>
      </c>
      <c r="O822">
        <v>433377</v>
      </c>
      <c r="P822" t="s">
        <v>4408</v>
      </c>
      <c r="Q822">
        <v>58051</v>
      </c>
      <c r="R822" t="s">
        <v>4409</v>
      </c>
      <c r="S822">
        <v>322</v>
      </c>
      <c r="T822" t="b">
        <v>0</v>
      </c>
      <c r="U822">
        <v>4</v>
      </c>
      <c r="V822">
        <v>12</v>
      </c>
      <c r="W822" t="s">
        <v>35</v>
      </c>
      <c r="X822" t="s">
        <v>29</v>
      </c>
      <c r="Y822" t="s">
        <v>29</v>
      </c>
      <c r="Z822" t="s">
        <v>37</v>
      </c>
    </row>
    <row r="823" spans="1:26">
      <c r="A823">
        <v>1.8682945122522196E+18</v>
      </c>
      <c r="B823" t="s">
        <v>4292</v>
      </c>
      <c r="C823" t="s">
        <v>4293</v>
      </c>
      <c r="D823" t="s">
        <v>4410</v>
      </c>
      <c r="E823" t="s">
        <v>4411</v>
      </c>
      <c r="F823" t="s">
        <v>29</v>
      </c>
      <c r="G823" t="s">
        <v>4412</v>
      </c>
      <c r="H823" t="s">
        <v>4413</v>
      </c>
      <c r="I823">
        <v>2</v>
      </c>
      <c r="J823">
        <v>0</v>
      </c>
      <c r="K823">
        <v>9</v>
      </c>
      <c r="L823">
        <v>6426</v>
      </c>
      <c r="M823" t="s">
        <v>52</v>
      </c>
      <c r="N823" t="s">
        <v>3212</v>
      </c>
      <c r="O823">
        <v>290454</v>
      </c>
      <c r="P823" t="s">
        <v>4298</v>
      </c>
      <c r="Q823">
        <v>128147</v>
      </c>
      <c r="R823" t="s">
        <v>4299</v>
      </c>
      <c r="S823">
        <v>1290</v>
      </c>
      <c r="T823" t="b">
        <v>0</v>
      </c>
      <c r="U823">
        <v>1</v>
      </c>
      <c r="V823">
        <v>1</v>
      </c>
      <c r="W823" t="s">
        <v>35</v>
      </c>
      <c r="X823" t="s">
        <v>29</v>
      </c>
      <c r="Y823" t="s">
        <v>4414</v>
      </c>
      <c r="Z823" t="s">
        <v>37</v>
      </c>
    </row>
    <row r="824" spans="1:26">
      <c r="A824">
        <v>1.8683224208278162E+18</v>
      </c>
      <c r="B824" t="s">
        <v>333</v>
      </c>
      <c r="C824" t="s">
        <v>334</v>
      </c>
      <c r="D824" t="s">
        <v>4415</v>
      </c>
      <c r="E824" t="s">
        <v>4416</v>
      </c>
      <c r="F824" t="s">
        <v>29</v>
      </c>
      <c r="G824" t="s">
        <v>4417</v>
      </c>
      <c r="H824" t="s">
        <v>4418</v>
      </c>
      <c r="I824">
        <v>6</v>
      </c>
      <c r="J824">
        <v>16</v>
      </c>
      <c r="K824">
        <v>211</v>
      </c>
      <c r="L824">
        <v>14493</v>
      </c>
      <c r="M824" t="s">
        <v>52</v>
      </c>
      <c r="N824" t="s">
        <v>340</v>
      </c>
      <c r="O824">
        <v>337839</v>
      </c>
      <c r="P824" t="s">
        <v>341</v>
      </c>
      <c r="Q824">
        <v>57638</v>
      </c>
      <c r="R824" t="s">
        <v>342</v>
      </c>
      <c r="S824">
        <v>587</v>
      </c>
      <c r="T824" t="b">
        <v>0</v>
      </c>
      <c r="U824">
        <v>7</v>
      </c>
      <c r="V824">
        <v>2</v>
      </c>
      <c r="W824" t="s">
        <v>35</v>
      </c>
      <c r="X824" t="s">
        <v>29</v>
      </c>
      <c r="Y824" t="s">
        <v>4419</v>
      </c>
      <c r="Z824" t="s">
        <v>37</v>
      </c>
    </row>
    <row r="825" spans="1:26">
      <c r="A825">
        <v>1.8684063350138435E+18</v>
      </c>
      <c r="B825" t="s">
        <v>290</v>
      </c>
      <c r="C825" t="s">
        <v>291</v>
      </c>
      <c r="D825" t="s">
        <v>4420</v>
      </c>
      <c r="E825" t="s">
        <v>4421</v>
      </c>
      <c r="F825" t="s">
        <v>29</v>
      </c>
      <c r="G825" t="s">
        <v>4422</v>
      </c>
      <c r="H825" t="s">
        <v>4423</v>
      </c>
      <c r="I825">
        <v>11</v>
      </c>
      <c r="J825">
        <v>18</v>
      </c>
      <c r="K825">
        <v>404</v>
      </c>
      <c r="L825">
        <v>17259</v>
      </c>
      <c r="M825" t="s">
        <v>52</v>
      </c>
      <c r="N825" t="s">
        <v>305</v>
      </c>
      <c r="O825">
        <v>1906482</v>
      </c>
      <c r="P825" t="s">
        <v>298</v>
      </c>
      <c r="Q825">
        <v>124666</v>
      </c>
      <c r="R825" t="s">
        <v>299</v>
      </c>
      <c r="S825">
        <v>432</v>
      </c>
      <c r="T825" t="b">
        <v>0</v>
      </c>
      <c r="U825">
        <v>0</v>
      </c>
      <c r="V825">
        <v>5</v>
      </c>
      <c r="W825" t="s">
        <v>35</v>
      </c>
      <c r="X825" t="s">
        <v>29</v>
      </c>
      <c r="Y825" t="s">
        <v>4424</v>
      </c>
      <c r="Z825" t="s">
        <v>37</v>
      </c>
    </row>
    <row r="826" spans="1:26">
      <c r="A826">
        <v>1.8683422220617075E+18</v>
      </c>
      <c r="B826" t="s">
        <v>1267</v>
      </c>
      <c r="C826" t="s">
        <v>1268</v>
      </c>
      <c r="D826" t="s">
        <v>4425</v>
      </c>
      <c r="E826" t="s">
        <v>4426</v>
      </c>
      <c r="F826" t="s">
        <v>29</v>
      </c>
      <c r="G826" t="s">
        <v>4427</v>
      </c>
      <c r="H826" t="s">
        <v>29</v>
      </c>
      <c r="I826">
        <v>196</v>
      </c>
      <c r="J826">
        <v>882</v>
      </c>
      <c r="K826">
        <v>3433</v>
      </c>
      <c r="L826">
        <v>459727</v>
      </c>
      <c r="M826" t="s">
        <v>52</v>
      </c>
      <c r="N826" t="s">
        <v>1273</v>
      </c>
      <c r="O826">
        <v>17891376</v>
      </c>
      <c r="P826" t="s">
        <v>1274</v>
      </c>
      <c r="Q826">
        <v>168939</v>
      </c>
      <c r="R826" t="s">
        <v>1275</v>
      </c>
      <c r="S826">
        <v>47365</v>
      </c>
      <c r="T826" t="b">
        <v>0</v>
      </c>
      <c r="U826">
        <v>182</v>
      </c>
      <c r="V826">
        <v>14</v>
      </c>
      <c r="W826" t="s">
        <v>35</v>
      </c>
      <c r="X826" t="s">
        <v>29</v>
      </c>
      <c r="Y826" t="s">
        <v>4428</v>
      </c>
      <c r="Z826" t="s">
        <v>37</v>
      </c>
    </row>
    <row r="827" spans="1:26">
      <c r="A827">
        <v>1.8682858177239578E+18</v>
      </c>
      <c r="B827" t="s">
        <v>1363</v>
      </c>
      <c r="C827" t="s">
        <v>1364</v>
      </c>
      <c r="D827" t="s">
        <v>4429</v>
      </c>
      <c r="E827" t="s">
        <v>4430</v>
      </c>
      <c r="F827" t="s">
        <v>29</v>
      </c>
      <c r="G827" t="s">
        <v>4431</v>
      </c>
      <c r="H827" t="s">
        <v>29</v>
      </c>
      <c r="I827">
        <v>14</v>
      </c>
      <c r="J827">
        <v>73</v>
      </c>
      <c r="K827">
        <v>919</v>
      </c>
      <c r="L827">
        <v>19752</v>
      </c>
      <c r="M827" t="s">
        <v>52</v>
      </c>
      <c r="N827" t="s">
        <v>1369</v>
      </c>
      <c r="O827">
        <v>462262</v>
      </c>
      <c r="P827" t="s">
        <v>1370</v>
      </c>
      <c r="Q827">
        <v>16271</v>
      </c>
      <c r="R827" t="s">
        <v>1371</v>
      </c>
      <c r="S827">
        <v>38</v>
      </c>
      <c r="T827" t="b">
        <v>0</v>
      </c>
      <c r="U827">
        <v>14</v>
      </c>
      <c r="V827">
        <v>8</v>
      </c>
      <c r="W827" t="s">
        <v>35</v>
      </c>
      <c r="X827" t="s">
        <v>29</v>
      </c>
      <c r="Y827" t="s">
        <v>4432</v>
      </c>
      <c r="Z827" t="s">
        <v>37</v>
      </c>
    </row>
    <row r="828" spans="1:26">
      <c r="A828">
        <v>1.8683305576981752E+18</v>
      </c>
      <c r="B828" t="s">
        <v>1363</v>
      </c>
      <c r="C828" t="s">
        <v>1364</v>
      </c>
      <c r="D828" t="s">
        <v>4433</v>
      </c>
      <c r="E828" t="s">
        <v>4434</v>
      </c>
      <c r="F828" t="s">
        <v>29</v>
      </c>
      <c r="G828" t="s">
        <v>4435</v>
      </c>
      <c r="H828" t="s">
        <v>29</v>
      </c>
      <c r="I828">
        <v>18</v>
      </c>
      <c r="J828">
        <v>71</v>
      </c>
      <c r="K828">
        <v>733</v>
      </c>
      <c r="L828">
        <v>18748</v>
      </c>
      <c r="M828" t="s">
        <v>52</v>
      </c>
      <c r="N828" t="s">
        <v>1369</v>
      </c>
      <c r="O828">
        <v>462261</v>
      </c>
      <c r="P828" t="s">
        <v>1370</v>
      </c>
      <c r="Q828">
        <v>16271</v>
      </c>
      <c r="R828" t="s">
        <v>1371</v>
      </c>
      <c r="S828">
        <v>38</v>
      </c>
      <c r="T828" t="b">
        <v>0</v>
      </c>
      <c r="U828">
        <v>5</v>
      </c>
      <c r="V828">
        <v>5</v>
      </c>
      <c r="W828" t="s">
        <v>35</v>
      </c>
      <c r="X828" t="s">
        <v>29</v>
      </c>
      <c r="Y828" t="s">
        <v>4436</v>
      </c>
      <c r="Z828" t="s">
        <v>37</v>
      </c>
    </row>
    <row r="829" spans="1:26">
      <c r="A829">
        <v>1.8683812565403692E+18</v>
      </c>
      <c r="B829" t="s">
        <v>3638</v>
      </c>
      <c r="C829" t="s">
        <v>3639</v>
      </c>
      <c r="D829" t="s">
        <v>4437</v>
      </c>
      <c r="E829" t="s">
        <v>4438</v>
      </c>
      <c r="F829" t="s">
        <v>4439</v>
      </c>
      <c r="G829" t="s">
        <v>4440</v>
      </c>
      <c r="H829" t="s">
        <v>3383</v>
      </c>
      <c r="I829">
        <v>30</v>
      </c>
      <c r="J829">
        <v>145</v>
      </c>
      <c r="K829">
        <v>3117</v>
      </c>
      <c r="L829">
        <v>108202</v>
      </c>
      <c r="M829" t="s">
        <v>52</v>
      </c>
      <c r="N829" t="s">
        <v>29</v>
      </c>
      <c r="O829">
        <v>8885747</v>
      </c>
      <c r="P829" t="s">
        <v>3643</v>
      </c>
      <c r="Q829">
        <v>115852</v>
      </c>
      <c r="R829" t="s">
        <v>3644</v>
      </c>
      <c r="S829">
        <v>469</v>
      </c>
      <c r="T829" t="b">
        <v>0</v>
      </c>
      <c r="U829">
        <v>4</v>
      </c>
      <c r="V829">
        <v>6</v>
      </c>
      <c r="W829" t="s">
        <v>35</v>
      </c>
      <c r="X829" t="s">
        <v>29</v>
      </c>
      <c r="Y829" t="s">
        <v>29</v>
      </c>
      <c r="Z829" t="s">
        <v>37</v>
      </c>
    </row>
    <row r="830" spans="1:26">
      <c r="A830">
        <v>1.8684063331599529E+18</v>
      </c>
      <c r="B830" t="s">
        <v>3638</v>
      </c>
      <c r="C830" t="s">
        <v>3639</v>
      </c>
      <c r="D830" t="s">
        <v>4441</v>
      </c>
      <c r="E830" t="s">
        <v>4442</v>
      </c>
      <c r="F830" t="s">
        <v>4443</v>
      </c>
      <c r="G830" t="s">
        <v>4444</v>
      </c>
      <c r="H830" t="s">
        <v>4445</v>
      </c>
      <c r="I830">
        <v>71</v>
      </c>
      <c r="J830">
        <v>34</v>
      </c>
      <c r="K830">
        <v>755</v>
      </c>
      <c r="L830">
        <v>87579</v>
      </c>
      <c r="M830" t="s">
        <v>4446</v>
      </c>
      <c r="N830" t="s">
        <v>4447</v>
      </c>
      <c r="O830">
        <v>8885747</v>
      </c>
      <c r="P830" t="s">
        <v>3643</v>
      </c>
      <c r="Q830">
        <v>115852</v>
      </c>
      <c r="R830" t="s">
        <v>3644</v>
      </c>
      <c r="S830">
        <v>469</v>
      </c>
      <c r="T830" t="b">
        <v>0</v>
      </c>
      <c r="U830">
        <v>9</v>
      </c>
      <c r="V830">
        <v>7</v>
      </c>
      <c r="W830" t="s">
        <v>35</v>
      </c>
      <c r="X830" t="s">
        <v>29</v>
      </c>
      <c r="Y830" t="s">
        <v>29</v>
      </c>
      <c r="Z830" t="s">
        <v>37</v>
      </c>
    </row>
    <row r="831" spans="1:26">
      <c r="A831">
        <v>1.8683386651116628E+18</v>
      </c>
      <c r="B831" t="s">
        <v>3837</v>
      </c>
      <c r="C831" t="s">
        <v>3838</v>
      </c>
      <c r="D831" t="s">
        <v>4448</v>
      </c>
      <c r="E831" t="s">
        <v>4449</v>
      </c>
      <c r="F831" t="s">
        <v>4450</v>
      </c>
      <c r="G831" t="s">
        <v>4451</v>
      </c>
      <c r="H831" t="s">
        <v>29</v>
      </c>
      <c r="I831">
        <v>121</v>
      </c>
      <c r="J831">
        <v>273</v>
      </c>
      <c r="K831">
        <v>1962</v>
      </c>
      <c r="L831">
        <v>128490</v>
      </c>
      <c r="M831" t="s">
        <v>4452</v>
      </c>
      <c r="N831" t="s">
        <v>3843</v>
      </c>
      <c r="O831">
        <v>984263</v>
      </c>
      <c r="P831" t="s">
        <v>3844</v>
      </c>
      <c r="Q831">
        <v>136135</v>
      </c>
      <c r="R831" t="s">
        <v>3845</v>
      </c>
      <c r="S831">
        <v>438</v>
      </c>
      <c r="T831" t="b">
        <v>0</v>
      </c>
      <c r="U831">
        <v>54</v>
      </c>
      <c r="V831">
        <v>6</v>
      </c>
      <c r="W831" t="s">
        <v>35</v>
      </c>
      <c r="X831" t="s">
        <v>29</v>
      </c>
      <c r="Y831" t="s">
        <v>29</v>
      </c>
      <c r="Z831" t="s">
        <v>37</v>
      </c>
    </row>
    <row r="832" spans="1:26">
      <c r="A832">
        <v>1.7938202940226604E+18</v>
      </c>
      <c r="B832" t="s">
        <v>4138</v>
      </c>
      <c r="C832" t="s">
        <v>4139</v>
      </c>
      <c r="D832" t="s">
        <v>4126</v>
      </c>
      <c r="E832" t="s">
        <v>4453</v>
      </c>
      <c r="F832" t="s">
        <v>4454</v>
      </c>
      <c r="G832" t="s">
        <v>4455</v>
      </c>
      <c r="H832" t="s">
        <v>29</v>
      </c>
      <c r="I832">
        <v>62</v>
      </c>
      <c r="J832">
        <v>16</v>
      </c>
      <c r="K832">
        <v>724</v>
      </c>
      <c r="L832">
        <v>65102</v>
      </c>
      <c r="M832" t="s">
        <v>52</v>
      </c>
      <c r="N832" t="s">
        <v>4130</v>
      </c>
      <c r="O832">
        <v>11185</v>
      </c>
      <c r="P832" t="s">
        <v>4143</v>
      </c>
      <c r="Q832">
        <v>22677</v>
      </c>
      <c r="R832" t="s">
        <v>4144</v>
      </c>
      <c r="S832">
        <v>2557</v>
      </c>
      <c r="T832" t="b">
        <v>0</v>
      </c>
      <c r="U832">
        <v>1</v>
      </c>
      <c r="V832">
        <v>13</v>
      </c>
      <c r="W832" t="s">
        <v>35</v>
      </c>
      <c r="X832" t="s">
        <v>29</v>
      </c>
      <c r="Y832" t="s">
        <v>29</v>
      </c>
      <c r="Z832" t="s">
        <v>37</v>
      </c>
    </row>
    <row r="833" spans="1:26">
      <c r="A833">
        <v>1.8684421629431685E+18</v>
      </c>
      <c r="B833" t="s">
        <v>275</v>
      </c>
      <c r="C833" t="s">
        <v>276</v>
      </c>
      <c r="D833" t="s">
        <v>4456</v>
      </c>
      <c r="E833" t="s">
        <v>4457</v>
      </c>
      <c r="F833" t="s">
        <v>29</v>
      </c>
      <c r="G833" t="s">
        <v>4458</v>
      </c>
      <c r="H833" t="s">
        <v>29</v>
      </c>
      <c r="I833">
        <v>172</v>
      </c>
      <c r="J833">
        <v>22</v>
      </c>
      <c r="K833">
        <v>262</v>
      </c>
      <c r="L833">
        <v>44095</v>
      </c>
      <c r="M833" t="s">
        <v>52</v>
      </c>
      <c r="N833" t="s">
        <v>289</v>
      </c>
      <c r="O833">
        <v>8539601</v>
      </c>
      <c r="P833" t="s">
        <v>282</v>
      </c>
      <c r="Q833">
        <v>75535</v>
      </c>
      <c r="R833" t="s">
        <v>283</v>
      </c>
      <c r="S833">
        <v>117</v>
      </c>
      <c r="T833" t="b">
        <v>0</v>
      </c>
      <c r="U833">
        <v>21</v>
      </c>
      <c r="V833">
        <v>8</v>
      </c>
      <c r="W833" t="s">
        <v>35</v>
      </c>
      <c r="X833" t="s">
        <v>29</v>
      </c>
      <c r="Y833" t="s">
        <v>4459</v>
      </c>
      <c r="Z833" t="s">
        <v>37</v>
      </c>
    </row>
    <row r="834" spans="1:26">
      <c r="A834">
        <v>1.8683616507615398E+18</v>
      </c>
      <c r="B834" t="s">
        <v>717</v>
      </c>
      <c r="C834" t="s">
        <v>718</v>
      </c>
      <c r="D834" t="s">
        <v>4460</v>
      </c>
      <c r="E834" t="s">
        <v>4461</v>
      </c>
      <c r="F834" t="s">
        <v>29</v>
      </c>
      <c r="G834" t="s">
        <v>4462</v>
      </c>
      <c r="H834" t="s">
        <v>4463</v>
      </c>
      <c r="I834">
        <v>12</v>
      </c>
      <c r="J834">
        <v>207</v>
      </c>
      <c r="K834">
        <v>2316</v>
      </c>
      <c r="L834">
        <v>40548</v>
      </c>
      <c r="M834" t="s">
        <v>52</v>
      </c>
      <c r="N834" t="s">
        <v>29</v>
      </c>
      <c r="O834">
        <v>756191</v>
      </c>
      <c r="P834" t="s">
        <v>724</v>
      </c>
      <c r="Q834">
        <v>32997</v>
      </c>
      <c r="R834" t="s">
        <v>725</v>
      </c>
      <c r="S834">
        <v>303</v>
      </c>
      <c r="T834" t="b">
        <v>0</v>
      </c>
      <c r="U834">
        <v>27</v>
      </c>
      <c r="V834">
        <v>96</v>
      </c>
      <c r="W834" t="s">
        <v>35</v>
      </c>
      <c r="X834" t="s">
        <v>29</v>
      </c>
      <c r="Y834" t="s">
        <v>4464</v>
      </c>
      <c r="Z834" t="s">
        <v>37</v>
      </c>
    </row>
    <row r="835" spans="1:26">
      <c r="A835">
        <v>1.868285602413609E+18</v>
      </c>
      <c r="B835" t="s">
        <v>333</v>
      </c>
      <c r="C835" t="s">
        <v>334</v>
      </c>
      <c r="D835" t="s">
        <v>4465</v>
      </c>
      <c r="E835" t="s">
        <v>4466</v>
      </c>
      <c r="F835" t="s">
        <v>29</v>
      </c>
      <c r="G835" t="s">
        <v>4467</v>
      </c>
      <c r="H835" t="s">
        <v>489</v>
      </c>
      <c r="I835">
        <v>4</v>
      </c>
      <c r="J835">
        <v>15</v>
      </c>
      <c r="K835">
        <v>209</v>
      </c>
      <c r="L835">
        <v>9112</v>
      </c>
      <c r="M835" t="s">
        <v>52</v>
      </c>
      <c r="N835" t="s">
        <v>340</v>
      </c>
      <c r="O835">
        <v>337839</v>
      </c>
      <c r="P835" t="s">
        <v>341</v>
      </c>
      <c r="Q835">
        <v>57638</v>
      </c>
      <c r="R835" t="s">
        <v>342</v>
      </c>
      <c r="S835">
        <v>587</v>
      </c>
      <c r="T835" t="b">
        <v>0</v>
      </c>
      <c r="U835">
        <v>2</v>
      </c>
      <c r="V835">
        <v>1</v>
      </c>
      <c r="W835" t="s">
        <v>35</v>
      </c>
      <c r="X835" t="s">
        <v>29</v>
      </c>
      <c r="Y835" t="s">
        <v>4468</v>
      </c>
      <c r="Z835" t="s">
        <v>37</v>
      </c>
    </row>
    <row r="836" spans="1:26">
      <c r="A836">
        <v>1.8683083442318254E+18</v>
      </c>
      <c r="B836" t="s">
        <v>333</v>
      </c>
      <c r="C836" t="s">
        <v>334</v>
      </c>
      <c r="D836" t="s">
        <v>4469</v>
      </c>
      <c r="E836" t="s">
        <v>4470</v>
      </c>
      <c r="F836" t="s">
        <v>29</v>
      </c>
      <c r="G836" t="s">
        <v>4471</v>
      </c>
      <c r="H836" t="s">
        <v>4472</v>
      </c>
      <c r="I836">
        <v>7</v>
      </c>
      <c r="J836">
        <v>137</v>
      </c>
      <c r="K836">
        <v>956</v>
      </c>
      <c r="L836">
        <v>24555</v>
      </c>
      <c r="M836" t="s">
        <v>52</v>
      </c>
      <c r="N836" t="s">
        <v>340</v>
      </c>
      <c r="O836">
        <v>337839</v>
      </c>
      <c r="P836" t="s">
        <v>341</v>
      </c>
      <c r="Q836">
        <v>57638</v>
      </c>
      <c r="R836" t="s">
        <v>342</v>
      </c>
      <c r="S836">
        <v>587</v>
      </c>
      <c r="T836" t="b">
        <v>0</v>
      </c>
      <c r="U836">
        <v>19</v>
      </c>
      <c r="V836">
        <v>27</v>
      </c>
      <c r="W836" t="s">
        <v>35</v>
      </c>
      <c r="X836" t="s">
        <v>29</v>
      </c>
      <c r="Y836" t="s">
        <v>4473</v>
      </c>
      <c r="Z836" t="s">
        <v>37</v>
      </c>
    </row>
    <row r="837" spans="1:26">
      <c r="A837">
        <v>1.8683018149253204E+18</v>
      </c>
      <c r="B837" t="s">
        <v>333</v>
      </c>
      <c r="C837" t="s">
        <v>334</v>
      </c>
      <c r="D837" t="s">
        <v>4474</v>
      </c>
      <c r="E837" t="s">
        <v>4475</v>
      </c>
      <c r="F837" t="s">
        <v>29</v>
      </c>
      <c r="G837" t="s">
        <v>4476</v>
      </c>
      <c r="H837" t="s">
        <v>4477</v>
      </c>
      <c r="I837">
        <v>4</v>
      </c>
      <c r="J837">
        <v>11</v>
      </c>
      <c r="K837">
        <v>99</v>
      </c>
      <c r="L837">
        <v>10345</v>
      </c>
      <c r="M837" t="s">
        <v>52</v>
      </c>
      <c r="N837" t="s">
        <v>340</v>
      </c>
      <c r="O837">
        <v>337839</v>
      </c>
      <c r="P837" t="s">
        <v>341</v>
      </c>
      <c r="Q837">
        <v>57638</v>
      </c>
      <c r="R837" t="s">
        <v>342</v>
      </c>
      <c r="S837">
        <v>587</v>
      </c>
      <c r="T837" t="b">
        <v>0</v>
      </c>
      <c r="U837">
        <v>0</v>
      </c>
      <c r="V837">
        <v>2</v>
      </c>
      <c r="W837" t="s">
        <v>35</v>
      </c>
      <c r="X837" t="s">
        <v>29</v>
      </c>
      <c r="Y837" t="s">
        <v>4478</v>
      </c>
      <c r="Z837" t="s">
        <v>37</v>
      </c>
    </row>
    <row r="838" spans="1:26">
      <c r="A838">
        <v>1.8683708020953459E+18</v>
      </c>
      <c r="B838" t="s">
        <v>1280</v>
      </c>
      <c r="C838" t="s">
        <v>1281</v>
      </c>
      <c r="D838" t="s">
        <v>4479</v>
      </c>
      <c r="E838" t="s">
        <v>4480</v>
      </c>
      <c r="F838" t="s">
        <v>29</v>
      </c>
      <c r="G838" t="s">
        <v>4481</v>
      </c>
      <c r="H838" t="s">
        <v>1293</v>
      </c>
      <c r="I838">
        <v>336</v>
      </c>
      <c r="J838">
        <v>4231</v>
      </c>
      <c r="K838">
        <v>28303</v>
      </c>
      <c r="L838">
        <v>505731</v>
      </c>
      <c r="M838" t="s">
        <v>52</v>
      </c>
      <c r="N838" t="s">
        <v>1294</v>
      </c>
      <c r="O838">
        <v>38439064</v>
      </c>
      <c r="P838" t="s">
        <v>1287</v>
      </c>
      <c r="Q838">
        <v>92455</v>
      </c>
      <c r="R838" t="s">
        <v>1288</v>
      </c>
      <c r="S838">
        <v>145</v>
      </c>
      <c r="T838" t="b">
        <v>0</v>
      </c>
      <c r="U838">
        <v>174</v>
      </c>
      <c r="V838">
        <v>589</v>
      </c>
      <c r="W838" t="s">
        <v>35</v>
      </c>
      <c r="X838" t="s">
        <v>29</v>
      </c>
      <c r="Y838" t="s">
        <v>4482</v>
      </c>
      <c r="Z838" t="s">
        <v>37</v>
      </c>
    </row>
    <row r="839" spans="1:26">
      <c r="A839">
        <v>1.8682913404650542E+18</v>
      </c>
      <c r="B839" t="s">
        <v>1363</v>
      </c>
      <c r="C839" t="s">
        <v>1364</v>
      </c>
      <c r="D839" t="s">
        <v>4483</v>
      </c>
      <c r="E839" t="s">
        <v>4484</v>
      </c>
      <c r="F839" t="s">
        <v>29</v>
      </c>
      <c r="G839" t="s">
        <v>4485</v>
      </c>
      <c r="H839" t="s">
        <v>29</v>
      </c>
      <c r="I839">
        <v>1</v>
      </c>
      <c r="J839">
        <v>30</v>
      </c>
      <c r="K839">
        <v>334</v>
      </c>
      <c r="L839">
        <v>11383</v>
      </c>
      <c r="M839" t="s">
        <v>52</v>
      </c>
      <c r="N839" t="s">
        <v>1369</v>
      </c>
      <c r="O839">
        <v>462262</v>
      </c>
      <c r="P839" t="s">
        <v>1370</v>
      </c>
      <c r="Q839">
        <v>16271</v>
      </c>
      <c r="R839" t="s">
        <v>1371</v>
      </c>
      <c r="S839">
        <v>38</v>
      </c>
      <c r="T839" t="b">
        <v>0</v>
      </c>
      <c r="U839">
        <v>1</v>
      </c>
      <c r="V839">
        <v>1</v>
      </c>
      <c r="W839" t="s">
        <v>35</v>
      </c>
      <c r="X839" t="s">
        <v>29</v>
      </c>
      <c r="Y839" t="s">
        <v>4486</v>
      </c>
      <c r="Z839" t="s">
        <v>37</v>
      </c>
    </row>
    <row r="840" spans="1:26">
      <c r="A840">
        <v>1.8682954689223311E+18</v>
      </c>
      <c r="B840" t="s">
        <v>3638</v>
      </c>
      <c r="C840" t="s">
        <v>3639</v>
      </c>
      <c r="D840" t="s">
        <v>4487</v>
      </c>
      <c r="E840" t="s">
        <v>4488</v>
      </c>
      <c r="F840" t="s">
        <v>4489</v>
      </c>
      <c r="G840" t="s">
        <v>4490</v>
      </c>
      <c r="H840" t="s">
        <v>29</v>
      </c>
      <c r="I840">
        <v>136</v>
      </c>
      <c r="J840">
        <v>56</v>
      </c>
      <c r="K840">
        <v>1029</v>
      </c>
      <c r="L840">
        <v>188766</v>
      </c>
      <c r="M840" t="s">
        <v>52</v>
      </c>
      <c r="N840" t="s">
        <v>4447</v>
      </c>
      <c r="O840">
        <v>8885747</v>
      </c>
      <c r="P840" t="s">
        <v>3643</v>
      </c>
      <c r="Q840">
        <v>115852</v>
      </c>
      <c r="R840" t="s">
        <v>3644</v>
      </c>
      <c r="S840">
        <v>469</v>
      </c>
      <c r="T840" t="b">
        <v>0</v>
      </c>
      <c r="U840">
        <v>40</v>
      </c>
      <c r="V840">
        <v>2</v>
      </c>
      <c r="W840" t="s">
        <v>35</v>
      </c>
      <c r="X840" t="s">
        <v>29</v>
      </c>
      <c r="Y840" t="s">
        <v>29</v>
      </c>
      <c r="Z840" t="s">
        <v>37</v>
      </c>
    </row>
    <row r="841" spans="1:26">
      <c r="A841">
        <v>1.8682528204719557E+18</v>
      </c>
      <c r="B841" t="s">
        <v>4280</v>
      </c>
      <c r="C841" t="s">
        <v>4280</v>
      </c>
      <c r="D841" t="s">
        <v>4491</v>
      </c>
      <c r="E841" t="s">
        <v>4492</v>
      </c>
      <c r="F841" t="s">
        <v>29</v>
      </c>
      <c r="G841" t="s">
        <v>4493</v>
      </c>
      <c r="H841" t="s">
        <v>29</v>
      </c>
      <c r="I841">
        <v>57</v>
      </c>
      <c r="J841">
        <v>29</v>
      </c>
      <c r="K841">
        <v>237</v>
      </c>
      <c r="L841">
        <v>88365</v>
      </c>
      <c r="M841" t="s">
        <v>4494</v>
      </c>
      <c r="N841" t="s">
        <v>29</v>
      </c>
      <c r="O841">
        <v>2356528</v>
      </c>
      <c r="P841" t="s">
        <v>4285</v>
      </c>
      <c r="Q841">
        <v>338240</v>
      </c>
      <c r="R841" t="s">
        <v>4286</v>
      </c>
      <c r="S841">
        <v>1981</v>
      </c>
      <c r="T841" t="b">
        <v>0</v>
      </c>
      <c r="U841">
        <v>24</v>
      </c>
      <c r="V841">
        <v>5</v>
      </c>
      <c r="W841" t="s">
        <v>35</v>
      </c>
      <c r="X841" t="s">
        <v>4495</v>
      </c>
      <c r="Y841" t="s">
        <v>29</v>
      </c>
      <c r="Z841" t="s">
        <v>37</v>
      </c>
    </row>
    <row r="842" spans="1:26">
      <c r="A842">
        <v>1.8683781676955446E+18</v>
      </c>
      <c r="B842" t="s">
        <v>4496</v>
      </c>
      <c r="C842" t="s">
        <v>4496</v>
      </c>
      <c r="D842" t="s">
        <v>4497</v>
      </c>
      <c r="E842" t="s">
        <v>4498</v>
      </c>
      <c r="F842" t="s">
        <v>4499</v>
      </c>
      <c r="G842" t="s">
        <v>4500</v>
      </c>
      <c r="H842" t="s">
        <v>4501</v>
      </c>
      <c r="I842">
        <v>4</v>
      </c>
      <c r="J842">
        <v>90</v>
      </c>
      <c r="K842">
        <v>956</v>
      </c>
      <c r="L842">
        <v>14291</v>
      </c>
      <c r="M842" t="s">
        <v>52</v>
      </c>
      <c r="N842" t="s">
        <v>29</v>
      </c>
      <c r="O842">
        <v>472709</v>
      </c>
      <c r="P842" t="s">
        <v>4502</v>
      </c>
      <c r="Q842">
        <v>36881</v>
      </c>
      <c r="R842" t="s">
        <v>4503</v>
      </c>
      <c r="S842">
        <v>1078</v>
      </c>
      <c r="T842" t="b">
        <v>0</v>
      </c>
      <c r="U842">
        <v>6</v>
      </c>
      <c r="V842">
        <v>24</v>
      </c>
      <c r="W842" t="s">
        <v>35</v>
      </c>
      <c r="X842" t="s">
        <v>29</v>
      </c>
      <c r="Y842" t="s">
        <v>29</v>
      </c>
      <c r="Z842" t="s">
        <v>37</v>
      </c>
    </row>
    <row r="843" spans="1:26">
      <c r="A843">
        <v>1.8683024939327944E+18</v>
      </c>
      <c r="B843" t="s">
        <v>3837</v>
      </c>
      <c r="C843" t="s">
        <v>3838</v>
      </c>
      <c r="D843" t="s">
        <v>4504</v>
      </c>
      <c r="E843" t="s">
        <v>4365</v>
      </c>
      <c r="F843" t="s">
        <v>29</v>
      </c>
      <c r="G843" t="s">
        <v>4505</v>
      </c>
      <c r="H843" t="s">
        <v>29</v>
      </c>
      <c r="I843">
        <v>7</v>
      </c>
      <c r="J843">
        <v>28</v>
      </c>
      <c r="K843">
        <v>385</v>
      </c>
      <c r="L843">
        <v>62770</v>
      </c>
      <c r="M843" t="s">
        <v>4506</v>
      </c>
      <c r="N843" t="s">
        <v>3843</v>
      </c>
      <c r="O843">
        <v>984256</v>
      </c>
      <c r="P843" t="s">
        <v>3844</v>
      </c>
      <c r="Q843">
        <v>136135</v>
      </c>
      <c r="R843" t="s">
        <v>3845</v>
      </c>
      <c r="S843">
        <v>438</v>
      </c>
      <c r="T843" t="b">
        <v>0</v>
      </c>
      <c r="U843">
        <v>2</v>
      </c>
      <c r="V843">
        <v>1</v>
      </c>
      <c r="W843" t="s">
        <v>35</v>
      </c>
      <c r="X843" t="s">
        <v>29</v>
      </c>
      <c r="Y843" t="s">
        <v>29</v>
      </c>
      <c r="Z843" t="s">
        <v>37</v>
      </c>
    </row>
    <row r="844" spans="1:26">
      <c r="A844">
        <v>1.8683786778238894E+18</v>
      </c>
      <c r="B844" t="s">
        <v>4507</v>
      </c>
      <c r="C844" t="s">
        <v>4508</v>
      </c>
      <c r="D844" t="s">
        <v>4509</v>
      </c>
      <c r="E844" t="s">
        <v>4510</v>
      </c>
      <c r="F844" t="s">
        <v>29</v>
      </c>
      <c r="G844" t="s">
        <v>4511</v>
      </c>
      <c r="H844" t="s">
        <v>29</v>
      </c>
      <c r="I844">
        <v>201</v>
      </c>
      <c r="J844">
        <v>924</v>
      </c>
      <c r="K844">
        <v>3340</v>
      </c>
      <c r="L844">
        <v>118077</v>
      </c>
      <c r="M844" t="s">
        <v>52</v>
      </c>
      <c r="N844" t="s">
        <v>4512</v>
      </c>
      <c r="O844">
        <v>12131042</v>
      </c>
      <c r="P844" t="s">
        <v>4513</v>
      </c>
      <c r="Q844">
        <v>55551</v>
      </c>
      <c r="R844" t="s">
        <v>4514</v>
      </c>
      <c r="S844">
        <v>76</v>
      </c>
      <c r="T844" t="b">
        <v>0</v>
      </c>
      <c r="U844">
        <v>19</v>
      </c>
      <c r="V844">
        <v>64</v>
      </c>
      <c r="W844" t="s">
        <v>35</v>
      </c>
      <c r="X844" t="s">
        <v>29</v>
      </c>
      <c r="Y844" t="s">
        <v>4515</v>
      </c>
      <c r="Z844" t="s">
        <v>37</v>
      </c>
    </row>
    <row r="845" spans="1:26">
      <c r="A845">
        <v>1.8683121216139881E+18</v>
      </c>
      <c r="B845" t="s">
        <v>1030</v>
      </c>
      <c r="C845" t="s">
        <v>1031</v>
      </c>
      <c r="D845" t="s">
        <v>4516</v>
      </c>
      <c r="E845" t="s">
        <v>4517</v>
      </c>
      <c r="F845" t="s">
        <v>4518</v>
      </c>
      <c r="G845" t="s">
        <v>4519</v>
      </c>
      <c r="H845" t="s">
        <v>29</v>
      </c>
      <c r="I845">
        <v>1</v>
      </c>
      <c r="J845">
        <v>10</v>
      </c>
      <c r="K845">
        <v>197</v>
      </c>
      <c r="L845">
        <v>22742</v>
      </c>
      <c r="M845" t="s">
        <v>52</v>
      </c>
      <c r="N845" t="s">
        <v>1036</v>
      </c>
      <c r="O845">
        <v>225733</v>
      </c>
      <c r="P845" t="s">
        <v>1037</v>
      </c>
      <c r="Q845">
        <v>42662</v>
      </c>
      <c r="R845" t="s">
        <v>1038</v>
      </c>
      <c r="S845">
        <v>148</v>
      </c>
      <c r="T845" t="b">
        <v>0</v>
      </c>
      <c r="U845">
        <v>1</v>
      </c>
      <c r="V845">
        <v>1</v>
      </c>
      <c r="W845" t="s">
        <v>35</v>
      </c>
      <c r="X845" t="s">
        <v>29</v>
      </c>
      <c r="Y845" t="s">
        <v>4520</v>
      </c>
      <c r="Z845" t="s">
        <v>37</v>
      </c>
    </row>
    <row r="846" spans="1:26">
      <c r="A846">
        <v>1.8683072360631834E+18</v>
      </c>
      <c r="B846" t="s">
        <v>333</v>
      </c>
      <c r="C846" t="s">
        <v>334</v>
      </c>
      <c r="D846" t="s">
        <v>4521</v>
      </c>
      <c r="E846" t="s">
        <v>4522</v>
      </c>
      <c r="F846" t="s">
        <v>29</v>
      </c>
      <c r="G846" t="s">
        <v>4523</v>
      </c>
      <c r="H846" t="s">
        <v>4321</v>
      </c>
      <c r="I846">
        <v>4</v>
      </c>
      <c r="J846">
        <v>12</v>
      </c>
      <c r="K846">
        <v>150</v>
      </c>
      <c r="L846">
        <v>12248</v>
      </c>
      <c r="M846" t="s">
        <v>52</v>
      </c>
      <c r="N846" t="s">
        <v>340</v>
      </c>
      <c r="O846">
        <v>337839</v>
      </c>
      <c r="P846" t="s">
        <v>341</v>
      </c>
      <c r="Q846">
        <v>57638</v>
      </c>
      <c r="R846" t="s">
        <v>342</v>
      </c>
      <c r="S846">
        <v>587</v>
      </c>
      <c r="T846" t="b">
        <v>0</v>
      </c>
      <c r="U846">
        <v>3</v>
      </c>
      <c r="V846">
        <v>3</v>
      </c>
      <c r="W846" t="s">
        <v>35</v>
      </c>
      <c r="X846" t="s">
        <v>29</v>
      </c>
      <c r="Y846" t="s">
        <v>4524</v>
      </c>
      <c r="Z846" t="s">
        <v>37</v>
      </c>
    </row>
    <row r="847" spans="1:26">
      <c r="A847">
        <v>1.868284814136095E+18</v>
      </c>
      <c r="B847" t="s">
        <v>333</v>
      </c>
      <c r="C847" t="s">
        <v>334</v>
      </c>
      <c r="D847" t="s">
        <v>4525</v>
      </c>
      <c r="E847" t="s">
        <v>4526</v>
      </c>
      <c r="F847" t="s">
        <v>29</v>
      </c>
      <c r="G847" t="s">
        <v>4527</v>
      </c>
      <c r="H847" t="s">
        <v>1411</v>
      </c>
      <c r="I847">
        <v>7</v>
      </c>
      <c r="J847">
        <v>52</v>
      </c>
      <c r="K847">
        <v>298</v>
      </c>
      <c r="L847">
        <v>16479</v>
      </c>
      <c r="M847" t="s">
        <v>52</v>
      </c>
      <c r="N847" t="s">
        <v>340</v>
      </c>
      <c r="O847">
        <v>337839</v>
      </c>
      <c r="P847" t="s">
        <v>341</v>
      </c>
      <c r="Q847">
        <v>57638</v>
      </c>
      <c r="R847" t="s">
        <v>342</v>
      </c>
      <c r="S847">
        <v>587</v>
      </c>
      <c r="T847" t="b">
        <v>0</v>
      </c>
      <c r="U847">
        <v>14</v>
      </c>
      <c r="V847">
        <v>8</v>
      </c>
      <c r="W847" t="s">
        <v>35</v>
      </c>
      <c r="X847" t="s">
        <v>29</v>
      </c>
      <c r="Y847" t="s">
        <v>4528</v>
      </c>
      <c r="Z847" t="s">
        <v>37</v>
      </c>
    </row>
    <row r="848" spans="1:26">
      <c r="A848">
        <v>1.8682832737569754E+18</v>
      </c>
      <c r="B848" t="s">
        <v>333</v>
      </c>
      <c r="C848" t="s">
        <v>334</v>
      </c>
      <c r="D848" t="s">
        <v>4529</v>
      </c>
      <c r="E848" t="s">
        <v>4530</v>
      </c>
      <c r="F848" t="s">
        <v>29</v>
      </c>
      <c r="G848" t="s">
        <v>4531</v>
      </c>
      <c r="H848" t="s">
        <v>1411</v>
      </c>
      <c r="I848">
        <v>1</v>
      </c>
      <c r="J848">
        <v>11</v>
      </c>
      <c r="K848">
        <v>181</v>
      </c>
      <c r="L848">
        <v>11524</v>
      </c>
      <c r="M848" t="s">
        <v>52</v>
      </c>
      <c r="N848" t="s">
        <v>340</v>
      </c>
      <c r="O848">
        <v>337839</v>
      </c>
      <c r="P848" t="s">
        <v>341</v>
      </c>
      <c r="Q848">
        <v>57638</v>
      </c>
      <c r="R848" t="s">
        <v>342</v>
      </c>
      <c r="S848">
        <v>587</v>
      </c>
      <c r="T848" t="b">
        <v>0</v>
      </c>
      <c r="U848">
        <v>2</v>
      </c>
      <c r="V848">
        <v>4</v>
      </c>
      <c r="W848" t="s">
        <v>35</v>
      </c>
      <c r="X848" t="s">
        <v>29</v>
      </c>
      <c r="Y848" t="s">
        <v>4532</v>
      </c>
      <c r="Z848" t="s">
        <v>37</v>
      </c>
    </row>
    <row r="849" spans="1:26">
      <c r="A849">
        <v>1.8682234408528571E+18</v>
      </c>
      <c r="B849" t="s">
        <v>1047</v>
      </c>
      <c r="C849" t="s">
        <v>1048</v>
      </c>
      <c r="D849" t="s">
        <v>4533</v>
      </c>
      <c r="E849" t="s">
        <v>4534</v>
      </c>
      <c r="F849" t="s">
        <v>29</v>
      </c>
      <c r="G849" t="s">
        <v>4535</v>
      </c>
      <c r="H849" t="s">
        <v>4536</v>
      </c>
      <c r="I849">
        <v>1</v>
      </c>
      <c r="J849">
        <v>3</v>
      </c>
      <c r="K849">
        <v>52</v>
      </c>
      <c r="L849">
        <v>7794</v>
      </c>
      <c r="M849" t="s">
        <v>52</v>
      </c>
      <c r="N849" t="s">
        <v>1159</v>
      </c>
      <c r="O849">
        <v>129250</v>
      </c>
      <c r="P849" t="s">
        <v>1056</v>
      </c>
      <c r="Q849">
        <v>67189</v>
      </c>
      <c r="R849" t="s">
        <v>1057</v>
      </c>
      <c r="S849">
        <v>508</v>
      </c>
      <c r="T849" t="b">
        <v>0</v>
      </c>
      <c r="U849">
        <v>0</v>
      </c>
      <c r="V849">
        <v>4</v>
      </c>
      <c r="W849" t="s">
        <v>35</v>
      </c>
      <c r="X849" t="s">
        <v>29</v>
      </c>
      <c r="Y849" t="s">
        <v>4537</v>
      </c>
      <c r="Z849" t="s">
        <v>37</v>
      </c>
    </row>
    <row r="850" spans="1:26">
      <c r="A850">
        <v>1.8682118958841981E+18</v>
      </c>
      <c r="B850" t="s">
        <v>4538</v>
      </c>
      <c r="C850" t="s">
        <v>4538</v>
      </c>
      <c r="D850" t="s">
        <v>4539</v>
      </c>
      <c r="E850" t="s">
        <v>4540</v>
      </c>
      <c r="F850" t="s">
        <v>29</v>
      </c>
      <c r="G850" t="s">
        <v>4541</v>
      </c>
      <c r="H850" t="s">
        <v>29</v>
      </c>
      <c r="I850">
        <v>34</v>
      </c>
      <c r="J850">
        <v>73</v>
      </c>
      <c r="K850">
        <v>2844</v>
      </c>
      <c r="L850">
        <v>636324</v>
      </c>
      <c r="M850" t="s">
        <v>52</v>
      </c>
      <c r="N850" t="s">
        <v>4542</v>
      </c>
      <c r="O850">
        <v>3035293</v>
      </c>
      <c r="P850" t="s">
        <v>4543</v>
      </c>
      <c r="Q850">
        <v>109936</v>
      </c>
      <c r="R850" t="s">
        <v>4544</v>
      </c>
      <c r="S850">
        <v>244</v>
      </c>
      <c r="T850" t="b">
        <v>0</v>
      </c>
      <c r="U850">
        <v>8</v>
      </c>
      <c r="V850">
        <v>32</v>
      </c>
      <c r="W850" t="s">
        <v>35</v>
      </c>
      <c r="X850" t="s">
        <v>29</v>
      </c>
      <c r="Y850" t="s">
        <v>4545</v>
      </c>
      <c r="Z850" t="s">
        <v>37</v>
      </c>
    </row>
    <row r="851" spans="1:26">
      <c r="A851">
        <v>1.8682990150092721E+18</v>
      </c>
      <c r="B851" t="s">
        <v>333</v>
      </c>
      <c r="C851" t="s">
        <v>334</v>
      </c>
      <c r="D851" t="s">
        <v>4546</v>
      </c>
      <c r="E851" t="s">
        <v>4547</v>
      </c>
      <c r="F851" t="s">
        <v>29</v>
      </c>
      <c r="G851" t="s">
        <v>4548</v>
      </c>
      <c r="H851" t="s">
        <v>4549</v>
      </c>
      <c r="I851">
        <v>1</v>
      </c>
      <c r="J851">
        <v>3</v>
      </c>
      <c r="K851">
        <v>60</v>
      </c>
      <c r="L851">
        <v>7092</v>
      </c>
      <c r="M851" t="s">
        <v>52</v>
      </c>
      <c r="N851" t="s">
        <v>340</v>
      </c>
      <c r="O851">
        <v>337839</v>
      </c>
      <c r="P851" t="s">
        <v>341</v>
      </c>
      <c r="Q851">
        <v>57638</v>
      </c>
      <c r="R851" t="s">
        <v>342</v>
      </c>
      <c r="S851">
        <v>587</v>
      </c>
      <c r="T851" t="b">
        <v>0</v>
      </c>
      <c r="U851">
        <v>0</v>
      </c>
      <c r="V851">
        <v>1</v>
      </c>
      <c r="W851" t="s">
        <v>35</v>
      </c>
      <c r="X851" t="s">
        <v>29</v>
      </c>
      <c r="Y851" t="s">
        <v>4550</v>
      </c>
      <c r="Z851" t="s">
        <v>37</v>
      </c>
    </row>
    <row r="852" spans="1:26">
      <c r="A852">
        <v>1.8684157445951247E+18</v>
      </c>
      <c r="B852" t="s">
        <v>1280</v>
      </c>
      <c r="C852" t="s">
        <v>1281</v>
      </c>
      <c r="D852" t="s">
        <v>4551</v>
      </c>
      <c r="E852" t="s">
        <v>954</v>
      </c>
      <c r="F852" t="s">
        <v>29</v>
      </c>
      <c r="G852" t="s">
        <v>4552</v>
      </c>
      <c r="H852" t="s">
        <v>1293</v>
      </c>
      <c r="I852">
        <v>126</v>
      </c>
      <c r="J852">
        <v>1919</v>
      </c>
      <c r="K852">
        <v>14258</v>
      </c>
      <c r="L852">
        <v>361236</v>
      </c>
      <c r="M852" t="s">
        <v>52</v>
      </c>
      <c r="N852" t="s">
        <v>1294</v>
      </c>
      <c r="O852">
        <v>38439065</v>
      </c>
      <c r="P852" t="s">
        <v>1287</v>
      </c>
      <c r="Q852">
        <v>92455</v>
      </c>
      <c r="R852" t="s">
        <v>1288</v>
      </c>
      <c r="S852">
        <v>145</v>
      </c>
      <c r="T852" t="b">
        <v>0</v>
      </c>
      <c r="U852">
        <v>67</v>
      </c>
      <c r="V852">
        <v>464</v>
      </c>
      <c r="W852" t="s">
        <v>35</v>
      </c>
      <c r="X852" t="s">
        <v>29</v>
      </c>
      <c r="Y852" t="s">
        <v>4553</v>
      </c>
      <c r="Z852" t="s">
        <v>37</v>
      </c>
    </row>
    <row r="853" spans="1:26">
      <c r="A853">
        <v>1.8682420959848371E+18</v>
      </c>
      <c r="B853" t="s">
        <v>333</v>
      </c>
      <c r="C853" t="s">
        <v>334</v>
      </c>
      <c r="D853" t="s">
        <v>4554</v>
      </c>
      <c r="E853" t="s">
        <v>1061</v>
      </c>
      <c r="F853" t="s">
        <v>29</v>
      </c>
      <c r="G853" t="s">
        <v>4555</v>
      </c>
      <c r="H853" t="s">
        <v>4556</v>
      </c>
      <c r="I853">
        <v>1</v>
      </c>
      <c r="J853">
        <v>5</v>
      </c>
      <c r="K853">
        <v>84</v>
      </c>
      <c r="L853">
        <v>9985</v>
      </c>
      <c r="M853" t="s">
        <v>52</v>
      </c>
      <c r="N853" t="s">
        <v>340</v>
      </c>
      <c r="O853">
        <v>337840</v>
      </c>
      <c r="P853" t="s">
        <v>341</v>
      </c>
      <c r="Q853">
        <v>57638</v>
      </c>
      <c r="R853" t="s">
        <v>342</v>
      </c>
      <c r="S853">
        <v>587</v>
      </c>
      <c r="T853" t="b">
        <v>0</v>
      </c>
      <c r="U853">
        <v>2</v>
      </c>
      <c r="V853">
        <v>3</v>
      </c>
      <c r="W853" t="s">
        <v>35</v>
      </c>
      <c r="X853" t="s">
        <v>29</v>
      </c>
      <c r="Y853" t="s">
        <v>4557</v>
      </c>
      <c r="Z853" t="s">
        <v>37</v>
      </c>
    </row>
    <row r="854" spans="1:26">
      <c r="A854">
        <v>1.8683553426329684E+18</v>
      </c>
      <c r="B854" t="s">
        <v>4558</v>
      </c>
      <c r="C854" t="s">
        <v>4559</v>
      </c>
      <c r="D854" t="s">
        <v>4560</v>
      </c>
      <c r="E854" t="s">
        <v>3234</v>
      </c>
      <c r="F854" t="s">
        <v>29</v>
      </c>
      <c r="G854" t="s">
        <v>4561</v>
      </c>
      <c r="H854" t="s">
        <v>4562</v>
      </c>
      <c r="I854">
        <v>7</v>
      </c>
      <c r="J854">
        <v>1</v>
      </c>
      <c r="K854">
        <v>13</v>
      </c>
      <c r="L854">
        <v>9936</v>
      </c>
      <c r="M854" t="s">
        <v>52</v>
      </c>
      <c r="N854" t="s">
        <v>29</v>
      </c>
      <c r="O854">
        <v>61058</v>
      </c>
      <c r="P854" t="s">
        <v>4563</v>
      </c>
      <c r="Q854">
        <v>31760</v>
      </c>
      <c r="R854" t="s">
        <v>4564</v>
      </c>
      <c r="S854">
        <v>901</v>
      </c>
      <c r="T854" t="b">
        <v>0</v>
      </c>
      <c r="U854">
        <v>1</v>
      </c>
      <c r="V854">
        <v>1</v>
      </c>
      <c r="W854" t="s">
        <v>35</v>
      </c>
      <c r="X854" t="s">
        <v>29</v>
      </c>
      <c r="Y854" t="s">
        <v>4565</v>
      </c>
      <c r="Z854" t="s">
        <v>37</v>
      </c>
    </row>
    <row r="855" spans="1:26">
      <c r="A855">
        <v>1.6646635094880748E+18</v>
      </c>
      <c r="B855" t="s">
        <v>4266</v>
      </c>
      <c r="C855" t="s">
        <v>4267</v>
      </c>
      <c r="D855" t="s">
        <v>4566</v>
      </c>
      <c r="E855" t="s">
        <v>4567</v>
      </c>
      <c r="F855" t="s">
        <v>4568</v>
      </c>
      <c r="G855" t="s">
        <v>4569</v>
      </c>
      <c r="H855" t="s">
        <v>4570</v>
      </c>
      <c r="I855">
        <v>28180</v>
      </c>
      <c r="J855">
        <v>109327</v>
      </c>
      <c r="K855">
        <v>592538</v>
      </c>
      <c r="L855">
        <v>95074893</v>
      </c>
      <c r="M855" t="s">
        <v>4571</v>
      </c>
      <c r="N855" t="s">
        <v>29</v>
      </c>
      <c r="O855">
        <v>94676201</v>
      </c>
      <c r="P855" t="s">
        <v>4274</v>
      </c>
      <c r="Q855">
        <v>860</v>
      </c>
      <c r="R855" t="s">
        <v>4275</v>
      </c>
      <c r="S855">
        <v>0</v>
      </c>
      <c r="T855" t="b">
        <v>0</v>
      </c>
      <c r="U855">
        <v>120743</v>
      </c>
      <c r="V855">
        <v>6748</v>
      </c>
      <c r="W855" t="s">
        <v>35</v>
      </c>
      <c r="X855" t="s">
        <v>29</v>
      </c>
      <c r="Y855" t="s">
        <v>29</v>
      </c>
      <c r="Z855" t="s">
        <v>37</v>
      </c>
    </row>
    <row r="856" spans="1:26">
      <c r="A856">
        <v>1.8683251472303107E+18</v>
      </c>
      <c r="B856" t="s">
        <v>3638</v>
      </c>
      <c r="C856" t="s">
        <v>3639</v>
      </c>
      <c r="D856" t="s">
        <v>4572</v>
      </c>
      <c r="E856" t="s">
        <v>3067</v>
      </c>
      <c r="F856" t="s">
        <v>29</v>
      </c>
      <c r="G856" t="s">
        <v>4573</v>
      </c>
      <c r="H856" t="s">
        <v>4574</v>
      </c>
      <c r="I856">
        <v>70</v>
      </c>
      <c r="J856">
        <v>19</v>
      </c>
      <c r="K856">
        <v>421</v>
      </c>
      <c r="L856">
        <v>141653</v>
      </c>
      <c r="M856" t="s">
        <v>4575</v>
      </c>
      <c r="N856" t="s">
        <v>4447</v>
      </c>
      <c r="O856">
        <v>8885747</v>
      </c>
      <c r="P856" t="s">
        <v>3643</v>
      </c>
      <c r="Q856">
        <v>115852</v>
      </c>
      <c r="R856" t="s">
        <v>3644</v>
      </c>
      <c r="S856">
        <v>469</v>
      </c>
      <c r="T856" t="b">
        <v>0</v>
      </c>
      <c r="U856">
        <v>6</v>
      </c>
      <c r="V856">
        <v>2</v>
      </c>
      <c r="W856" t="s">
        <v>35</v>
      </c>
      <c r="X856" t="s">
        <v>29</v>
      </c>
      <c r="Y856" t="s">
        <v>29</v>
      </c>
      <c r="Z856" t="s">
        <v>37</v>
      </c>
    </row>
    <row r="857" spans="1:26">
      <c r="A857">
        <v>1.8682644920246029E+18</v>
      </c>
      <c r="B857" t="s">
        <v>4338</v>
      </c>
      <c r="C857" t="s">
        <v>4339</v>
      </c>
      <c r="D857" t="s">
        <v>4576</v>
      </c>
      <c r="E857" t="s">
        <v>4577</v>
      </c>
      <c r="F857" t="s">
        <v>4578</v>
      </c>
      <c r="G857" t="s">
        <v>4579</v>
      </c>
      <c r="H857" t="s">
        <v>4580</v>
      </c>
      <c r="I857">
        <v>6</v>
      </c>
      <c r="J857">
        <v>16</v>
      </c>
      <c r="K857">
        <v>390</v>
      </c>
      <c r="L857">
        <v>31765</v>
      </c>
      <c r="M857" t="s">
        <v>52</v>
      </c>
      <c r="N857" t="s">
        <v>29</v>
      </c>
      <c r="O857">
        <v>1676505</v>
      </c>
      <c r="P857" t="s">
        <v>4346</v>
      </c>
      <c r="Q857">
        <v>35438</v>
      </c>
      <c r="R857" t="s">
        <v>4347</v>
      </c>
      <c r="S857">
        <v>175</v>
      </c>
      <c r="T857" t="b">
        <v>0</v>
      </c>
      <c r="U857">
        <v>1</v>
      </c>
      <c r="V857">
        <v>1</v>
      </c>
      <c r="W857" t="s">
        <v>35</v>
      </c>
      <c r="X857" t="s">
        <v>29</v>
      </c>
      <c r="Y857" t="s">
        <v>29</v>
      </c>
      <c r="Z857" t="s">
        <v>37</v>
      </c>
    </row>
    <row r="858" spans="1:26">
      <c r="A858">
        <v>1.8682481326240074E+18</v>
      </c>
      <c r="B858" t="s">
        <v>4338</v>
      </c>
      <c r="C858" t="s">
        <v>4339</v>
      </c>
      <c r="D858" t="s">
        <v>4581</v>
      </c>
      <c r="E858" t="s">
        <v>4582</v>
      </c>
      <c r="F858" t="s">
        <v>4583</v>
      </c>
      <c r="G858" t="s">
        <v>4584</v>
      </c>
      <c r="H858" t="s">
        <v>29</v>
      </c>
      <c r="I858">
        <v>5</v>
      </c>
      <c r="J858">
        <v>6</v>
      </c>
      <c r="K858">
        <v>77</v>
      </c>
      <c r="L858">
        <v>21033</v>
      </c>
      <c r="M858" t="s">
        <v>4344</v>
      </c>
      <c r="N858" t="s">
        <v>4345</v>
      </c>
      <c r="O858">
        <v>1676505</v>
      </c>
      <c r="P858" t="s">
        <v>4346</v>
      </c>
      <c r="Q858">
        <v>35438</v>
      </c>
      <c r="R858" t="s">
        <v>4347</v>
      </c>
      <c r="S858">
        <v>175</v>
      </c>
      <c r="T858" t="b">
        <v>0</v>
      </c>
      <c r="U858">
        <v>0</v>
      </c>
      <c r="V858">
        <v>1</v>
      </c>
      <c r="W858" t="s">
        <v>35</v>
      </c>
      <c r="X858" t="s">
        <v>29</v>
      </c>
      <c r="Y858" t="s">
        <v>29</v>
      </c>
      <c r="Z858" t="s">
        <v>37</v>
      </c>
    </row>
    <row r="859" spans="1:26">
      <c r="A859">
        <v>1.868314331630498E+18</v>
      </c>
      <c r="B859" t="s">
        <v>3837</v>
      </c>
      <c r="C859" t="s">
        <v>3838</v>
      </c>
      <c r="D859" t="s">
        <v>4585</v>
      </c>
      <c r="E859" t="s">
        <v>4586</v>
      </c>
      <c r="F859" t="s">
        <v>29</v>
      </c>
      <c r="G859" t="s">
        <v>4587</v>
      </c>
      <c r="H859" t="s">
        <v>29</v>
      </c>
      <c r="I859">
        <v>13</v>
      </c>
      <c r="J859">
        <v>28</v>
      </c>
      <c r="K859">
        <v>348</v>
      </c>
      <c r="L859">
        <v>49199</v>
      </c>
      <c r="M859" t="s">
        <v>4506</v>
      </c>
      <c r="N859" t="s">
        <v>3843</v>
      </c>
      <c r="O859">
        <v>984256</v>
      </c>
      <c r="P859" t="s">
        <v>3844</v>
      </c>
      <c r="Q859">
        <v>136135</v>
      </c>
      <c r="R859" t="s">
        <v>3845</v>
      </c>
      <c r="S859">
        <v>438</v>
      </c>
      <c r="T859" t="b">
        <v>0</v>
      </c>
      <c r="U859">
        <v>3</v>
      </c>
      <c r="V859">
        <v>2</v>
      </c>
      <c r="W859" t="s">
        <v>35</v>
      </c>
      <c r="X859" t="s">
        <v>29</v>
      </c>
      <c r="Y859" t="s">
        <v>29</v>
      </c>
      <c r="Z859" t="s">
        <v>37</v>
      </c>
    </row>
    <row r="860" spans="1:26">
      <c r="A860">
        <v>1.8683376886315013E+18</v>
      </c>
      <c r="B860" t="s">
        <v>3837</v>
      </c>
      <c r="C860" t="s">
        <v>3838</v>
      </c>
      <c r="D860" t="s">
        <v>4588</v>
      </c>
      <c r="E860" t="s">
        <v>4589</v>
      </c>
      <c r="F860" t="s">
        <v>4590</v>
      </c>
      <c r="G860" t="s">
        <v>4591</v>
      </c>
      <c r="H860" t="s">
        <v>29</v>
      </c>
      <c r="I860">
        <v>112</v>
      </c>
      <c r="J860">
        <v>138</v>
      </c>
      <c r="K860">
        <v>1335</v>
      </c>
      <c r="L860">
        <v>115256</v>
      </c>
      <c r="M860" t="s">
        <v>4452</v>
      </c>
      <c r="N860" t="s">
        <v>3843</v>
      </c>
      <c r="O860">
        <v>984256</v>
      </c>
      <c r="P860" t="s">
        <v>3844</v>
      </c>
      <c r="Q860">
        <v>136135</v>
      </c>
      <c r="R860" t="s">
        <v>3845</v>
      </c>
      <c r="S860">
        <v>438</v>
      </c>
      <c r="T860" t="b">
        <v>0</v>
      </c>
      <c r="U860">
        <v>36</v>
      </c>
      <c r="V860">
        <v>6</v>
      </c>
      <c r="W860" t="s">
        <v>35</v>
      </c>
      <c r="X860" t="s">
        <v>29</v>
      </c>
      <c r="Y860" t="s">
        <v>29</v>
      </c>
      <c r="Z860" t="s">
        <v>37</v>
      </c>
    </row>
    <row r="861" spans="1:26">
      <c r="A861">
        <v>1.8683878180973038E+18</v>
      </c>
      <c r="B861" t="s">
        <v>3837</v>
      </c>
      <c r="C861" t="s">
        <v>3838</v>
      </c>
      <c r="D861" t="s">
        <v>4592</v>
      </c>
      <c r="E861" t="s">
        <v>4593</v>
      </c>
      <c r="F861" t="s">
        <v>29</v>
      </c>
      <c r="G861" t="s">
        <v>4594</v>
      </c>
      <c r="H861" t="s">
        <v>29</v>
      </c>
      <c r="I861">
        <v>9</v>
      </c>
      <c r="J861">
        <v>22</v>
      </c>
      <c r="K861">
        <v>526</v>
      </c>
      <c r="L861">
        <v>37449</v>
      </c>
      <c r="M861" t="s">
        <v>4595</v>
      </c>
      <c r="N861" t="s">
        <v>3843</v>
      </c>
      <c r="O861">
        <v>984256</v>
      </c>
      <c r="P861" t="s">
        <v>3844</v>
      </c>
      <c r="Q861">
        <v>136135</v>
      </c>
      <c r="R861" t="s">
        <v>3845</v>
      </c>
      <c r="S861">
        <v>438</v>
      </c>
      <c r="T861" t="b">
        <v>0</v>
      </c>
      <c r="U861">
        <v>4</v>
      </c>
      <c r="V861">
        <v>2</v>
      </c>
      <c r="W861" t="s">
        <v>35</v>
      </c>
      <c r="X861" t="s">
        <v>29</v>
      </c>
      <c r="Y861" t="s">
        <v>29</v>
      </c>
      <c r="Z861" t="s">
        <v>37</v>
      </c>
    </row>
    <row r="862" spans="1:26">
      <c r="A862">
        <v>1.800369714662871E+18</v>
      </c>
      <c r="B862" t="s">
        <v>4138</v>
      </c>
      <c r="C862" t="s">
        <v>4139</v>
      </c>
      <c r="D862" t="s">
        <v>4126</v>
      </c>
      <c r="E862" t="s">
        <v>4596</v>
      </c>
      <c r="F862" t="s">
        <v>4597</v>
      </c>
      <c r="G862" t="s">
        <v>4598</v>
      </c>
      <c r="H862" t="s">
        <v>29</v>
      </c>
      <c r="I862">
        <v>35</v>
      </c>
      <c r="J862">
        <v>20</v>
      </c>
      <c r="K862">
        <v>590</v>
      </c>
      <c r="L862">
        <v>30286</v>
      </c>
      <c r="M862" t="s">
        <v>52</v>
      </c>
      <c r="N862" t="s">
        <v>4130</v>
      </c>
      <c r="O862">
        <v>11185</v>
      </c>
      <c r="P862" t="s">
        <v>4143</v>
      </c>
      <c r="Q862">
        <v>22677</v>
      </c>
      <c r="R862" t="s">
        <v>4144</v>
      </c>
      <c r="S862">
        <v>2557</v>
      </c>
      <c r="T862" t="b">
        <v>0</v>
      </c>
      <c r="U862">
        <v>3</v>
      </c>
      <c r="V862">
        <v>16</v>
      </c>
      <c r="W862" t="s">
        <v>35</v>
      </c>
      <c r="X862" t="s">
        <v>29</v>
      </c>
      <c r="Y862" t="s">
        <v>29</v>
      </c>
      <c r="Z862" t="s">
        <v>37</v>
      </c>
    </row>
    <row r="863" spans="1:26">
      <c r="A863">
        <v>1.7387576436642491E+18</v>
      </c>
      <c r="B863" t="s">
        <v>4138</v>
      </c>
      <c r="C863" t="s">
        <v>4139</v>
      </c>
      <c r="D863" t="s">
        <v>4126</v>
      </c>
      <c r="E863" t="s">
        <v>4599</v>
      </c>
      <c r="F863" t="s">
        <v>4600</v>
      </c>
      <c r="G863" t="s">
        <v>4601</v>
      </c>
      <c r="H863" t="s">
        <v>29</v>
      </c>
      <c r="I863">
        <v>120</v>
      </c>
      <c r="J863">
        <v>23</v>
      </c>
      <c r="K863">
        <v>552</v>
      </c>
      <c r="L863">
        <v>157958</v>
      </c>
      <c r="M863" t="s">
        <v>52</v>
      </c>
      <c r="N863" t="s">
        <v>4130</v>
      </c>
      <c r="O863">
        <v>11185</v>
      </c>
      <c r="P863" t="s">
        <v>4143</v>
      </c>
      <c r="Q863">
        <v>22677</v>
      </c>
      <c r="R863" t="s">
        <v>4144</v>
      </c>
      <c r="S863">
        <v>2557</v>
      </c>
      <c r="T863" t="b">
        <v>0</v>
      </c>
      <c r="U863">
        <v>4</v>
      </c>
      <c r="V863">
        <v>18</v>
      </c>
      <c r="W863" t="s">
        <v>35</v>
      </c>
      <c r="X863" t="s">
        <v>29</v>
      </c>
      <c r="Y863" t="s">
        <v>29</v>
      </c>
      <c r="Z863" t="s">
        <v>37</v>
      </c>
    </row>
    <row r="864" spans="1:26">
      <c r="A864">
        <v>1.8682647526587233E+18</v>
      </c>
      <c r="B864" t="s">
        <v>717</v>
      </c>
      <c r="C864" t="s">
        <v>718</v>
      </c>
      <c r="D864" t="s">
        <v>4602</v>
      </c>
      <c r="E864" t="s">
        <v>4603</v>
      </c>
      <c r="F864" t="s">
        <v>29</v>
      </c>
      <c r="G864" t="s">
        <v>4604</v>
      </c>
      <c r="H864" t="s">
        <v>4605</v>
      </c>
      <c r="I864">
        <v>8</v>
      </c>
      <c r="J864">
        <v>86</v>
      </c>
      <c r="K864">
        <v>1015</v>
      </c>
      <c r="L864">
        <v>33461</v>
      </c>
      <c r="M864" t="s">
        <v>52</v>
      </c>
      <c r="N864" t="s">
        <v>29</v>
      </c>
      <c r="O864">
        <v>756191</v>
      </c>
      <c r="P864" t="s">
        <v>724</v>
      </c>
      <c r="Q864">
        <v>32997</v>
      </c>
      <c r="R864" t="s">
        <v>725</v>
      </c>
      <c r="S864">
        <v>303</v>
      </c>
      <c r="T864" t="b">
        <v>0</v>
      </c>
      <c r="U864">
        <v>8</v>
      </c>
      <c r="V864">
        <v>10</v>
      </c>
      <c r="W864" t="s">
        <v>35</v>
      </c>
      <c r="X864" t="s">
        <v>29</v>
      </c>
      <c r="Y864" t="s">
        <v>4606</v>
      </c>
      <c r="Z864" t="s">
        <v>37</v>
      </c>
    </row>
    <row r="865" spans="1:26">
      <c r="A865">
        <v>1.8683763603029156E+18</v>
      </c>
      <c r="B865" t="s">
        <v>275</v>
      </c>
      <c r="C865" t="s">
        <v>276</v>
      </c>
      <c r="D865" t="s">
        <v>4607</v>
      </c>
      <c r="E865" t="s">
        <v>4608</v>
      </c>
      <c r="F865" t="s">
        <v>29</v>
      </c>
      <c r="G865" t="s">
        <v>4609</v>
      </c>
      <c r="H865" t="s">
        <v>29</v>
      </c>
      <c r="I865">
        <v>32</v>
      </c>
      <c r="J865">
        <v>433</v>
      </c>
      <c r="K865">
        <v>3199</v>
      </c>
      <c r="L865">
        <v>93379</v>
      </c>
      <c r="M865" t="s">
        <v>52</v>
      </c>
      <c r="N865" t="s">
        <v>281</v>
      </c>
      <c r="O865">
        <v>8539601</v>
      </c>
      <c r="P865" t="s">
        <v>282</v>
      </c>
      <c r="Q865">
        <v>75535</v>
      </c>
      <c r="R865" t="s">
        <v>283</v>
      </c>
      <c r="S865">
        <v>117</v>
      </c>
      <c r="T865" t="b">
        <v>0</v>
      </c>
      <c r="U865">
        <v>46</v>
      </c>
      <c r="V865">
        <v>87</v>
      </c>
      <c r="W865" t="s">
        <v>35</v>
      </c>
      <c r="X865" t="s">
        <v>29</v>
      </c>
      <c r="Y865" t="s">
        <v>4610</v>
      </c>
      <c r="Z865" t="s">
        <v>37</v>
      </c>
    </row>
    <row r="866" spans="1:26">
      <c r="A866">
        <v>1.8682508101630241E+18</v>
      </c>
      <c r="B866" t="s">
        <v>609</v>
      </c>
      <c r="C866" t="s">
        <v>610</v>
      </c>
      <c r="D866" t="s">
        <v>4611</v>
      </c>
      <c r="E866" t="s">
        <v>4612</v>
      </c>
      <c r="F866" t="s">
        <v>29</v>
      </c>
      <c r="G866" t="s">
        <v>4613</v>
      </c>
      <c r="H866" t="s">
        <v>4614</v>
      </c>
      <c r="I866">
        <v>9</v>
      </c>
      <c r="J866">
        <v>42</v>
      </c>
      <c r="K866">
        <v>812</v>
      </c>
      <c r="L866">
        <v>41296</v>
      </c>
      <c r="M866" t="s">
        <v>52</v>
      </c>
      <c r="N866" t="s">
        <v>29</v>
      </c>
      <c r="O866">
        <v>277178</v>
      </c>
      <c r="P866" t="s">
        <v>617</v>
      </c>
      <c r="Q866">
        <v>20340</v>
      </c>
      <c r="R866" t="s">
        <v>618</v>
      </c>
      <c r="S866">
        <v>346</v>
      </c>
      <c r="T866" t="b">
        <v>0</v>
      </c>
      <c r="U866">
        <v>3</v>
      </c>
      <c r="V866">
        <v>4</v>
      </c>
      <c r="W866" t="s">
        <v>35</v>
      </c>
      <c r="X866" t="s">
        <v>29</v>
      </c>
      <c r="Y866" t="s">
        <v>4615</v>
      </c>
      <c r="Z866" t="s">
        <v>37</v>
      </c>
    </row>
    <row r="867" spans="1:26">
      <c r="A867">
        <v>1.8660229253435392E+18</v>
      </c>
      <c r="B867" t="s">
        <v>1008</v>
      </c>
      <c r="C867" t="s">
        <v>1009</v>
      </c>
      <c r="D867" t="s">
        <v>4616</v>
      </c>
      <c r="E867" t="s">
        <v>4617</v>
      </c>
      <c r="F867" t="s">
        <v>4618</v>
      </c>
      <c r="G867" t="s">
        <v>4619</v>
      </c>
      <c r="H867" t="s">
        <v>29</v>
      </c>
      <c r="I867">
        <v>178</v>
      </c>
      <c r="J867">
        <v>433</v>
      </c>
      <c r="K867">
        <v>1546</v>
      </c>
      <c r="L867">
        <v>862027</v>
      </c>
      <c r="M867" t="s">
        <v>52</v>
      </c>
      <c r="N867" t="s">
        <v>1014</v>
      </c>
      <c r="O867">
        <v>290295</v>
      </c>
      <c r="P867" t="s">
        <v>1015</v>
      </c>
      <c r="Q867">
        <v>28025</v>
      </c>
      <c r="R867" t="s">
        <v>1016</v>
      </c>
      <c r="S867">
        <v>102</v>
      </c>
      <c r="T867" t="b">
        <v>0</v>
      </c>
      <c r="U867">
        <v>215</v>
      </c>
      <c r="V867">
        <v>76</v>
      </c>
      <c r="W867" t="s">
        <v>35</v>
      </c>
      <c r="X867" t="s">
        <v>29</v>
      </c>
      <c r="Y867" t="s">
        <v>29</v>
      </c>
      <c r="Z867" t="s">
        <v>37</v>
      </c>
    </row>
    <row r="868" spans="1:26">
      <c r="A868">
        <v>1.7178747907430482E+18</v>
      </c>
      <c r="B868" t="s">
        <v>4266</v>
      </c>
      <c r="C868" t="s">
        <v>4267</v>
      </c>
      <c r="D868" t="s">
        <v>4620</v>
      </c>
      <c r="E868" t="s">
        <v>4621</v>
      </c>
      <c r="F868" t="s">
        <v>4622</v>
      </c>
      <c r="G868" t="s">
        <v>4623</v>
      </c>
      <c r="H868" t="s">
        <v>4624</v>
      </c>
      <c r="I868">
        <v>8789</v>
      </c>
      <c r="J868">
        <v>77561</v>
      </c>
      <c r="K868">
        <v>489324</v>
      </c>
      <c r="L868">
        <v>19911620</v>
      </c>
      <c r="M868" t="s">
        <v>52</v>
      </c>
      <c r="N868" t="s">
        <v>29</v>
      </c>
      <c r="O868">
        <v>94676198</v>
      </c>
      <c r="P868" t="s">
        <v>4274</v>
      </c>
      <c r="Q868">
        <v>860</v>
      </c>
      <c r="R868" t="s">
        <v>4275</v>
      </c>
      <c r="S868">
        <v>0</v>
      </c>
      <c r="T868" t="b">
        <v>0</v>
      </c>
      <c r="U868">
        <v>21288</v>
      </c>
      <c r="V868">
        <v>4596</v>
      </c>
      <c r="W868" t="s">
        <v>35</v>
      </c>
      <c r="X868" t="s">
        <v>29</v>
      </c>
      <c r="Y868" t="s">
        <v>4625</v>
      </c>
      <c r="Z868" t="s">
        <v>37</v>
      </c>
    </row>
    <row r="869" spans="1:26">
      <c r="A869">
        <v>1.8682891548174175E+18</v>
      </c>
      <c r="B869" t="s">
        <v>4280</v>
      </c>
      <c r="C869" t="s">
        <v>4280</v>
      </c>
      <c r="D869" t="s">
        <v>4626</v>
      </c>
      <c r="E869" t="s">
        <v>4627</v>
      </c>
      <c r="F869" t="s">
        <v>29</v>
      </c>
      <c r="G869" t="s">
        <v>4628</v>
      </c>
      <c r="H869" t="s">
        <v>29</v>
      </c>
      <c r="I869">
        <v>13</v>
      </c>
      <c r="J869">
        <v>2</v>
      </c>
      <c r="K869">
        <v>50</v>
      </c>
      <c r="L869">
        <v>36190</v>
      </c>
      <c r="M869" t="s">
        <v>4629</v>
      </c>
      <c r="N869" t="s">
        <v>29</v>
      </c>
      <c r="O869">
        <v>2356528</v>
      </c>
      <c r="P869" t="s">
        <v>4285</v>
      </c>
      <c r="Q869">
        <v>338240</v>
      </c>
      <c r="R869" t="s">
        <v>4286</v>
      </c>
      <c r="S869">
        <v>1981</v>
      </c>
      <c r="T869" t="b">
        <v>0</v>
      </c>
      <c r="U869">
        <v>2</v>
      </c>
      <c r="V869">
        <v>1</v>
      </c>
      <c r="W869" t="s">
        <v>35</v>
      </c>
      <c r="X869" t="s">
        <v>4630</v>
      </c>
      <c r="Y869" t="s">
        <v>29</v>
      </c>
      <c r="Z869" t="s">
        <v>37</v>
      </c>
    </row>
    <row r="870" spans="1:26">
      <c r="A870">
        <v>1.8682987179266662E+18</v>
      </c>
      <c r="B870" t="s">
        <v>3837</v>
      </c>
      <c r="C870" t="s">
        <v>3838</v>
      </c>
      <c r="D870" t="s">
        <v>4631</v>
      </c>
      <c r="E870" t="s">
        <v>4632</v>
      </c>
      <c r="F870" t="s">
        <v>4633</v>
      </c>
      <c r="G870" t="s">
        <v>4634</v>
      </c>
      <c r="H870" t="s">
        <v>29</v>
      </c>
      <c r="I870">
        <v>216</v>
      </c>
      <c r="J870">
        <v>461</v>
      </c>
      <c r="K870">
        <v>3368</v>
      </c>
      <c r="L870">
        <v>266858</v>
      </c>
      <c r="M870" t="s">
        <v>52</v>
      </c>
      <c r="N870" t="s">
        <v>4254</v>
      </c>
      <c r="O870">
        <v>984256</v>
      </c>
      <c r="P870" t="s">
        <v>3844</v>
      </c>
      <c r="Q870">
        <v>136135</v>
      </c>
      <c r="R870" t="s">
        <v>3845</v>
      </c>
      <c r="S870">
        <v>438</v>
      </c>
      <c r="T870" t="b">
        <v>0</v>
      </c>
      <c r="U870">
        <v>157</v>
      </c>
      <c r="V870">
        <v>26</v>
      </c>
      <c r="W870" t="s">
        <v>35</v>
      </c>
      <c r="X870" t="s">
        <v>29</v>
      </c>
      <c r="Y870" t="s">
        <v>29</v>
      </c>
      <c r="Z870" t="s">
        <v>37</v>
      </c>
    </row>
    <row r="871" spans="1:26">
      <c r="A871">
        <v>1.8683611116802586E+18</v>
      </c>
      <c r="B871" t="s">
        <v>3837</v>
      </c>
      <c r="C871" t="s">
        <v>3838</v>
      </c>
      <c r="D871" t="s">
        <v>4635</v>
      </c>
      <c r="E871" t="s">
        <v>4636</v>
      </c>
      <c r="F871" t="s">
        <v>4637</v>
      </c>
      <c r="G871" t="s">
        <v>4638</v>
      </c>
      <c r="H871" t="s">
        <v>29</v>
      </c>
      <c r="I871">
        <v>212</v>
      </c>
      <c r="J871">
        <v>1588</v>
      </c>
      <c r="K871">
        <v>10144</v>
      </c>
      <c r="L871">
        <v>260021</v>
      </c>
      <c r="M871" t="s">
        <v>52</v>
      </c>
      <c r="N871" t="s">
        <v>3843</v>
      </c>
      <c r="O871">
        <v>984256</v>
      </c>
      <c r="P871" t="s">
        <v>3844</v>
      </c>
      <c r="Q871">
        <v>136135</v>
      </c>
      <c r="R871" t="s">
        <v>3845</v>
      </c>
      <c r="S871">
        <v>438</v>
      </c>
      <c r="T871" t="b">
        <v>0</v>
      </c>
      <c r="U871">
        <v>246</v>
      </c>
      <c r="V871">
        <v>41</v>
      </c>
      <c r="W871" t="s">
        <v>35</v>
      </c>
      <c r="X871" t="s">
        <v>29</v>
      </c>
      <c r="Y871" t="s">
        <v>29</v>
      </c>
      <c r="Z871" t="s">
        <v>37</v>
      </c>
    </row>
    <row r="872" spans="1:26">
      <c r="A872">
        <v>1.868348822046507E+18</v>
      </c>
      <c r="B872" t="s">
        <v>2994</v>
      </c>
      <c r="C872" t="s">
        <v>2995</v>
      </c>
      <c r="D872" t="s">
        <v>4639</v>
      </c>
      <c r="E872" t="s">
        <v>4640</v>
      </c>
      <c r="F872" t="s">
        <v>4641</v>
      </c>
      <c r="G872" t="s">
        <v>4642</v>
      </c>
      <c r="H872" t="s">
        <v>29</v>
      </c>
      <c r="I872">
        <v>24</v>
      </c>
      <c r="J872">
        <v>20</v>
      </c>
      <c r="K872">
        <v>230</v>
      </c>
      <c r="L872">
        <v>61203</v>
      </c>
      <c r="M872" t="s">
        <v>4643</v>
      </c>
      <c r="N872" t="s">
        <v>3376</v>
      </c>
      <c r="O872">
        <v>812163</v>
      </c>
      <c r="P872" t="s">
        <v>3000</v>
      </c>
      <c r="Q872">
        <v>110924</v>
      </c>
      <c r="R872" t="s">
        <v>3001</v>
      </c>
      <c r="S872">
        <v>322</v>
      </c>
      <c r="T872" t="b">
        <v>0</v>
      </c>
      <c r="U872">
        <v>0</v>
      </c>
      <c r="V872">
        <v>1</v>
      </c>
      <c r="W872" t="s">
        <v>35</v>
      </c>
      <c r="X872" t="s">
        <v>29</v>
      </c>
      <c r="Y872" t="s">
        <v>29</v>
      </c>
      <c r="Z872" t="s">
        <v>37</v>
      </c>
    </row>
    <row r="873" spans="1:26">
      <c r="A873">
        <v>1.8683299808219999E+18</v>
      </c>
      <c r="B873" t="s">
        <v>2994</v>
      </c>
      <c r="C873" t="s">
        <v>2995</v>
      </c>
      <c r="D873" t="s">
        <v>3415</v>
      </c>
      <c r="E873" t="s">
        <v>4644</v>
      </c>
      <c r="F873" t="s">
        <v>4645</v>
      </c>
      <c r="G873" t="s">
        <v>4646</v>
      </c>
      <c r="H873" t="s">
        <v>29</v>
      </c>
      <c r="I873">
        <v>23</v>
      </c>
      <c r="J873">
        <v>100</v>
      </c>
      <c r="K873">
        <v>1566</v>
      </c>
      <c r="L873">
        <v>100791</v>
      </c>
      <c r="M873" t="s">
        <v>52</v>
      </c>
      <c r="N873" t="s">
        <v>3174</v>
      </c>
      <c r="O873">
        <v>812163</v>
      </c>
      <c r="P873" t="s">
        <v>3000</v>
      </c>
      <c r="Q873">
        <v>110924</v>
      </c>
      <c r="R873" t="s">
        <v>3001</v>
      </c>
      <c r="S873">
        <v>322</v>
      </c>
      <c r="T873" t="b">
        <v>0</v>
      </c>
      <c r="U873">
        <v>6</v>
      </c>
      <c r="V873">
        <v>8</v>
      </c>
      <c r="W873" t="s">
        <v>35</v>
      </c>
      <c r="X873" t="s">
        <v>29</v>
      </c>
      <c r="Y873" t="s">
        <v>29</v>
      </c>
      <c r="Z873" t="s">
        <v>37</v>
      </c>
    </row>
    <row r="874" spans="1:26">
      <c r="A874">
        <v>1.8683724004355154E+18</v>
      </c>
      <c r="B874" t="s">
        <v>1258</v>
      </c>
      <c r="C874" t="s">
        <v>3735</v>
      </c>
      <c r="D874" t="s">
        <v>4647</v>
      </c>
      <c r="E874" t="s">
        <v>4648</v>
      </c>
      <c r="F874" t="s">
        <v>4649</v>
      </c>
      <c r="G874" t="s">
        <v>4650</v>
      </c>
      <c r="H874" t="s">
        <v>29</v>
      </c>
      <c r="I874">
        <v>65</v>
      </c>
      <c r="J874">
        <v>286</v>
      </c>
      <c r="K874">
        <v>3857</v>
      </c>
      <c r="L874">
        <v>143794</v>
      </c>
      <c r="M874" t="s">
        <v>3739</v>
      </c>
      <c r="N874" t="s">
        <v>3740</v>
      </c>
      <c r="O874">
        <v>26078978</v>
      </c>
      <c r="P874" t="s">
        <v>52</v>
      </c>
      <c r="Q874">
        <v>121345</v>
      </c>
      <c r="R874" t="s">
        <v>3741</v>
      </c>
      <c r="S874">
        <v>277</v>
      </c>
      <c r="T874" t="b">
        <v>0</v>
      </c>
      <c r="U874">
        <v>4</v>
      </c>
      <c r="V874">
        <v>22</v>
      </c>
      <c r="W874" t="s">
        <v>35</v>
      </c>
      <c r="X874" t="s">
        <v>29</v>
      </c>
      <c r="Y874" t="s">
        <v>29</v>
      </c>
      <c r="Z874" t="s">
        <v>37</v>
      </c>
    </row>
    <row r="875" spans="1:26">
      <c r="A875">
        <v>1.8683388958150495E+18</v>
      </c>
      <c r="B875" t="s">
        <v>3168</v>
      </c>
      <c r="C875" t="s">
        <v>3169</v>
      </c>
      <c r="D875" t="s">
        <v>4651</v>
      </c>
      <c r="E875" t="s">
        <v>4652</v>
      </c>
      <c r="F875" t="s">
        <v>4653</v>
      </c>
      <c r="G875" t="s">
        <v>4654</v>
      </c>
      <c r="H875" t="s">
        <v>4655</v>
      </c>
      <c r="I875">
        <v>0</v>
      </c>
      <c r="J875">
        <v>3</v>
      </c>
      <c r="K875">
        <v>13</v>
      </c>
      <c r="L875">
        <v>8140</v>
      </c>
      <c r="M875" t="s">
        <v>52</v>
      </c>
      <c r="N875" t="s">
        <v>3174</v>
      </c>
      <c r="O875">
        <v>294711</v>
      </c>
      <c r="P875" t="s">
        <v>3175</v>
      </c>
      <c r="Q875">
        <v>66342</v>
      </c>
      <c r="R875" t="s">
        <v>3176</v>
      </c>
      <c r="S875">
        <v>1449</v>
      </c>
      <c r="T875" t="b">
        <v>0</v>
      </c>
      <c r="U875">
        <v>1</v>
      </c>
      <c r="V875">
        <v>1</v>
      </c>
      <c r="W875" t="s">
        <v>35</v>
      </c>
      <c r="X875" t="s">
        <v>29</v>
      </c>
      <c r="Y875" t="s">
        <v>29</v>
      </c>
      <c r="Z875" t="s">
        <v>37</v>
      </c>
    </row>
    <row r="876" spans="1:26">
      <c r="A876">
        <v>1.8683242149584448E+18</v>
      </c>
      <c r="B876" t="s">
        <v>2994</v>
      </c>
      <c r="C876" t="s">
        <v>2995</v>
      </c>
      <c r="D876" t="s">
        <v>4656</v>
      </c>
      <c r="E876" t="s">
        <v>4657</v>
      </c>
      <c r="F876" t="s">
        <v>4658</v>
      </c>
      <c r="G876" t="s">
        <v>4659</v>
      </c>
      <c r="H876" t="s">
        <v>29</v>
      </c>
      <c r="I876">
        <v>13</v>
      </c>
      <c r="J876">
        <v>18</v>
      </c>
      <c r="K876">
        <v>590</v>
      </c>
      <c r="L876">
        <v>74092</v>
      </c>
      <c r="M876" t="s">
        <v>52</v>
      </c>
      <c r="N876" t="s">
        <v>3174</v>
      </c>
      <c r="O876">
        <v>812163</v>
      </c>
      <c r="P876" t="s">
        <v>3000</v>
      </c>
      <c r="Q876">
        <v>110924</v>
      </c>
      <c r="R876" t="s">
        <v>3001</v>
      </c>
      <c r="S876">
        <v>322</v>
      </c>
      <c r="T876" t="b">
        <v>0</v>
      </c>
      <c r="U876">
        <v>1</v>
      </c>
      <c r="V876">
        <v>6</v>
      </c>
      <c r="W876" t="s">
        <v>35</v>
      </c>
      <c r="X876" t="s">
        <v>29</v>
      </c>
      <c r="Y876" t="s">
        <v>29</v>
      </c>
      <c r="Z876" t="s">
        <v>37</v>
      </c>
    </row>
    <row r="877" spans="1:26">
      <c r="A877">
        <v>1.8683077303496054E+18</v>
      </c>
      <c r="B877" t="s">
        <v>3392</v>
      </c>
      <c r="C877" t="s">
        <v>3393</v>
      </c>
      <c r="D877" t="s">
        <v>4660</v>
      </c>
      <c r="E877" t="s">
        <v>4661</v>
      </c>
      <c r="F877" t="s">
        <v>29</v>
      </c>
      <c r="G877" t="s">
        <v>4662</v>
      </c>
      <c r="H877" t="s">
        <v>29</v>
      </c>
      <c r="I877">
        <v>34</v>
      </c>
      <c r="J877">
        <v>25</v>
      </c>
      <c r="K877">
        <v>536</v>
      </c>
      <c r="L877">
        <v>25964</v>
      </c>
      <c r="M877" t="s">
        <v>4663</v>
      </c>
      <c r="N877" t="s">
        <v>3405</v>
      </c>
      <c r="O877">
        <v>1480966</v>
      </c>
      <c r="P877" t="s">
        <v>3399</v>
      </c>
      <c r="Q877">
        <v>103753</v>
      </c>
      <c r="R877" t="s">
        <v>3400</v>
      </c>
      <c r="S877">
        <v>552</v>
      </c>
      <c r="T877" t="b">
        <v>0</v>
      </c>
      <c r="U877">
        <v>12</v>
      </c>
      <c r="V877">
        <v>1</v>
      </c>
      <c r="W877" t="s">
        <v>35</v>
      </c>
      <c r="X877" t="s">
        <v>29</v>
      </c>
      <c r="Y877" t="s">
        <v>29</v>
      </c>
      <c r="Z877" t="s">
        <v>37</v>
      </c>
    </row>
    <row r="878" spans="1:26">
      <c r="A878">
        <v>1.8682818138039378E+18</v>
      </c>
      <c r="B878" t="s">
        <v>3392</v>
      </c>
      <c r="C878" t="s">
        <v>3393</v>
      </c>
      <c r="D878" t="s">
        <v>4664</v>
      </c>
      <c r="E878" t="s">
        <v>4665</v>
      </c>
      <c r="F878" t="s">
        <v>4666</v>
      </c>
      <c r="G878" t="s">
        <v>4667</v>
      </c>
      <c r="H878" t="s">
        <v>29</v>
      </c>
      <c r="I878">
        <v>6</v>
      </c>
      <c r="J878">
        <v>5</v>
      </c>
      <c r="K878">
        <v>285</v>
      </c>
      <c r="L878">
        <v>41445</v>
      </c>
      <c r="M878" t="s">
        <v>52</v>
      </c>
      <c r="N878" t="s">
        <v>3405</v>
      </c>
      <c r="O878">
        <v>1480966</v>
      </c>
      <c r="P878" t="s">
        <v>3399</v>
      </c>
      <c r="Q878">
        <v>103753</v>
      </c>
      <c r="R878" t="s">
        <v>3400</v>
      </c>
      <c r="S878">
        <v>552</v>
      </c>
      <c r="T878" t="b">
        <v>0</v>
      </c>
      <c r="U878">
        <v>1</v>
      </c>
      <c r="V878">
        <v>1</v>
      </c>
      <c r="W878" t="s">
        <v>35</v>
      </c>
      <c r="X878" t="s">
        <v>29</v>
      </c>
      <c r="Y878" t="s">
        <v>29</v>
      </c>
      <c r="Z878" t="s">
        <v>37</v>
      </c>
    </row>
    <row r="879" spans="1:26">
      <c r="A879">
        <v>1.8682773054972805E+18</v>
      </c>
      <c r="B879" t="s">
        <v>3392</v>
      </c>
      <c r="C879" t="s">
        <v>3393</v>
      </c>
      <c r="D879" t="s">
        <v>4668</v>
      </c>
      <c r="E879" t="s">
        <v>4669</v>
      </c>
      <c r="F879" t="s">
        <v>4670</v>
      </c>
      <c r="G879" t="s">
        <v>4671</v>
      </c>
      <c r="H879" t="s">
        <v>29</v>
      </c>
      <c r="I879">
        <v>8</v>
      </c>
      <c r="J879">
        <v>32</v>
      </c>
      <c r="K879">
        <v>959</v>
      </c>
      <c r="L879">
        <v>36130</v>
      </c>
      <c r="M879" t="s">
        <v>52</v>
      </c>
      <c r="N879" t="s">
        <v>3405</v>
      </c>
      <c r="O879">
        <v>1480966</v>
      </c>
      <c r="P879" t="s">
        <v>3399</v>
      </c>
      <c r="Q879">
        <v>103753</v>
      </c>
      <c r="R879" t="s">
        <v>3400</v>
      </c>
      <c r="S879">
        <v>552</v>
      </c>
      <c r="T879" t="b">
        <v>0</v>
      </c>
      <c r="U879">
        <v>10</v>
      </c>
      <c r="V879">
        <v>1</v>
      </c>
      <c r="W879" t="s">
        <v>35</v>
      </c>
      <c r="X879" t="s">
        <v>29</v>
      </c>
      <c r="Y879" t="s">
        <v>29</v>
      </c>
      <c r="Z879" t="s">
        <v>37</v>
      </c>
    </row>
    <row r="880" spans="1:26">
      <c r="A880">
        <v>1.8683593673488922E+18</v>
      </c>
      <c r="B880" t="s">
        <v>3392</v>
      </c>
      <c r="C880" t="s">
        <v>3393</v>
      </c>
      <c r="D880" t="s">
        <v>4672</v>
      </c>
      <c r="E880" t="s">
        <v>4673</v>
      </c>
      <c r="F880" t="s">
        <v>4674</v>
      </c>
      <c r="G880" t="s">
        <v>4675</v>
      </c>
      <c r="H880" t="s">
        <v>29</v>
      </c>
      <c r="I880">
        <v>9</v>
      </c>
      <c r="J880">
        <v>13</v>
      </c>
      <c r="K880">
        <v>424</v>
      </c>
      <c r="L880">
        <v>18300</v>
      </c>
      <c r="M880" t="s">
        <v>52</v>
      </c>
      <c r="N880" t="s">
        <v>3405</v>
      </c>
      <c r="O880">
        <v>1480966</v>
      </c>
      <c r="P880" t="s">
        <v>3399</v>
      </c>
      <c r="Q880">
        <v>103753</v>
      </c>
      <c r="R880" t="s">
        <v>3400</v>
      </c>
      <c r="S880">
        <v>552</v>
      </c>
      <c r="T880" t="b">
        <v>0</v>
      </c>
      <c r="U880">
        <v>2</v>
      </c>
      <c r="V880">
        <v>2</v>
      </c>
      <c r="W880" t="s">
        <v>35</v>
      </c>
      <c r="X880" t="s">
        <v>29</v>
      </c>
      <c r="Y880" t="s">
        <v>29</v>
      </c>
      <c r="Z880" t="s">
        <v>37</v>
      </c>
    </row>
    <row r="881" spans="1:26">
      <c r="A881">
        <v>1.8682345517822162E+18</v>
      </c>
      <c r="B881" t="s">
        <v>1258</v>
      </c>
      <c r="C881" t="s">
        <v>3735</v>
      </c>
      <c r="D881" t="s">
        <v>4676</v>
      </c>
      <c r="E881" t="s">
        <v>3931</v>
      </c>
      <c r="F881" t="s">
        <v>4677</v>
      </c>
      <c r="G881" t="s">
        <v>4678</v>
      </c>
      <c r="H881" t="s">
        <v>4679</v>
      </c>
      <c r="I881">
        <v>74</v>
      </c>
      <c r="J881">
        <v>321</v>
      </c>
      <c r="K881">
        <v>4789</v>
      </c>
      <c r="L881">
        <v>162577</v>
      </c>
      <c r="M881" t="s">
        <v>4680</v>
      </c>
      <c r="N881" t="s">
        <v>29</v>
      </c>
      <c r="O881">
        <v>26079172</v>
      </c>
      <c r="P881" t="s">
        <v>52</v>
      </c>
      <c r="Q881">
        <v>121345</v>
      </c>
      <c r="R881" t="s">
        <v>3741</v>
      </c>
      <c r="S881">
        <v>277</v>
      </c>
      <c r="T881" t="b">
        <v>0</v>
      </c>
      <c r="U881">
        <v>2</v>
      </c>
      <c r="V881">
        <v>14</v>
      </c>
      <c r="W881" t="s">
        <v>35</v>
      </c>
      <c r="X881" t="s">
        <v>29</v>
      </c>
      <c r="Y881" t="s">
        <v>29</v>
      </c>
      <c r="Z881" t="s">
        <v>37</v>
      </c>
    </row>
    <row r="882" spans="1:26">
      <c r="A882">
        <v>1.8683553459379942E+18</v>
      </c>
      <c r="B882" t="s">
        <v>4681</v>
      </c>
      <c r="C882" t="s">
        <v>4682</v>
      </c>
      <c r="D882" t="s">
        <v>4683</v>
      </c>
      <c r="E882" t="s">
        <v>4684</v>
      </c>
      <c r="F882" t="s">
        <v>29</v>
      </c>
      <c r="G882" t="s">
        <v>4685</v>
      </c>
      <c r="H882" t="s">
        <v>4686</v>
      </c>
      <c r="I882">
        <v>1</v>
      </c>
      <c r="J882">
        <v>7</v>
      </c>
      <c r="K882">
        <v>101</v>
      </c>
      <c r="L882">
        <v>8285</v>
      </c>
      <c r="M882" t="s">
        <v>4687</v>
      </c>
      <c r="N882" t="s">
        <v>4688</v>
      </c>
      <c r="O882">
        <v>325211</v>
      </c>
      <c r="P882" t="s">
        <v>4689</v>
      </c>
      <c r="Q882">
        <v>33518</v>
      </c>
      <c r="R882" t="s">
        <v>4690</v>
      </c>
      <c r="S882">
        <v>711</v>
      </c>
      <c r="T882" t="b">
        <v>0</v>
      </c>
      <c r="U882">
        <v>1</v>
      </c>
      <c r="V882">
        <v>1</v>
      </c>
      <c r="W882" t="s">
        <v>35</v>
      </c>
      <c r="X882" t="s">
        <v>29</v>
      </c>
      <c r="Y882" t="s">
        <v>29</v>
      </c>
      <c r="Z882" t="s">
        <v>37</v>
      </c>
    </row>
    <row r="883" spans="1:26">
      <c r="A883">
        <v>1.868375476198359E+18</v>
      </c>
      <c r="B883" t="s">
        <v>3205</v>
      </c>
      <c r="C883" t="s">
        <v>3206</v>
      </c>
      <c r="D883" t="s">
        <v>4691</v>
      </c>
      <c r="E883" t="s">
        <v>4692</v>
      </c>
      <c r="F883" t="s">
        <v>29</v>
      </c>
      <c r="G883" t="s">
        <v>4693</v>
      </c>
      <c r="H883" t="s">
        <v>29</v>
      </c>
      <c r="I883">
        <v>4</v>
      </c>
      <c r="J883">
        <v>7</v>
      </c>
      <c r="K883">
        <v>30</v>
      </c>
      <c r="L883">
        <v>12773</v>
      </c>
      <c r="M883" t="s">
        <v>3211</v>
      </c>
      <c r="N883" t="s">
        <v>3212</v>
      </c>
      <c r="O883">
        <v>156681</v>
      </c>
      <c r="P883" t="s">
        <v>3213</v>
      </c>
      <c r="Q883">
        <v>35682</v>
      </c>
      <c r="R883" t="s">
        <v>3214</v>
      </c>
      <c r="S883">
        <v>1430</v>
      </c>
      <c r="T883" t="b">
        <v>0</v>
      </c>
      <c r="U883">
        <v>3</v>
      </c>
      <c r="V883">
        <v>1</v>
      </c>
      <c r="W883" t="s">
        <v>35</v>
      </c>
      <c r="X883" t="s">
        <v>29</v>
      </c>
      <c r="Y883" t="s">
        <v>29</v>
      </c>
      <c r="Z883" t="s">
        <v>37</v>
      </c>
    </row>
    <row r="884" spans="1:26">
      <c r="A884">
        <v>1.8684340596655434E+18</v>
      </c>
      <c r="B884" t="s">
        <v>4694</v>
      </c>
      <c r="C884" t="s">
        <v>4695</v>
      </c>
      <c r="D884" t="s">
        <v>4696</v>
      </c>
      <c r="E884" t="s">
        <v>4697</v>
      </c>
      <c r="F884" t="s">
        <v>29</v>
      </c>
      <c r="G884" t="s">
        <v>4698</v>
      </c>
      <c r="H884" t="s">
        <v>4699</v>
      </c>
      <c r="I884">
        <v>1</v>
      </c>
      <c r="J884">
        <v>2</v>
      </c>
      <c r="K884">
        <v>12</v>
      </c>
      <c r="L884">
        <v>9010</v>
      </c>
      <c r="M884" t="s">
        <v>4700</v>
      </c>
      <c r="N884" t="s">
        <v>4701</v>
      </c>
      <c r="O884">
        <v>1123810</v>
      </c>
      <c r="P884" t="s">
        <v>4702</v>
      </c>
      <c r="Q884">
        <v>34290</v>
      </c>
      <c r="R884" t="s">
        <v>4703</v>
      </c>
      <c r="S884">
        <v>63</v>
      </c>
      <c r="T884" t="b">
        <v>0</v>
      </c>
      <c r="U884">
        <v>1</v>
      </c>
      <c r="V884">
        <v>0</v>
      </c>
      <c r="W884" t="s">
        <v>35</v>
      </c>
      <c r="X884" t="s">
        <v>29</v>
      </c>
      <c r="Y884" t="s">
        <v>29</v>
      </c>
      <c r="Z884" t="s">
        <v>37</v>
      </c>
    </row>
    <row r="885" spans="1:26">
      <c r="A885">
        <v>1.868356093929247E+18</v>
      </c>
      <c r="B885" t="s">
        <v>3083</v>
      </c>
      <c r="C885" t="s">
        <v>3083</v>
      </c>
      <c r="D885" t="s">
        <v>4704</v>
      </c>
      <c r="E885" t="s">
        <v>4705</v>
      </c>
      <c r="F885" t="s">
        <v>4706</v>
      </c>
      <c r="G885" t="s">
        <v>4707</v>
      </c>
      <c r="H885" t="s">
        <v>29</v>
      </c>
      <c r="I885">
        <v>44</v>
      </c>
      <c r="J885">
        <v>136</v>
      </c>
      <c r="K885">
        <v>809</v>
      </c>
      <c r="L885">
        <v>93120</v>
      </c>
      <c r="M885" t="s">
        <v>4708</v>
      </c>
      <c r="N885" t="s">
        <v>4709</v>
      </c>
      <c r="O885">
        <v>14376035</v>
      </c>
      <c r="P885" t="s">
        <v>3088</v>
      </c>
      <c r="Q885">
        <v>346973</v>
      </c>
      <c r="R885" t="s">
        <v>3089</v>
      </c>
      <c r="S885">
        <v>392</v>
      </c>
      <c r="T885" t="b">
        <v>0</v>
      </c>
      <c r="U885">
        <v>6</v>
      </c>
      <c r="V885">
        <v>31</v>
      </c>
      <c r="W885" t="s">
        <v>35</v>
      </c>
      <c r="X885" t="s">
        <v>29</v>
      </c>
      <c r="Y885" t="s">
        <v>29</v>
      </c>
      <c r="Z885" t="s">
        <v>37</v>
      </c>
    </row>
    <row r="886" spans="1:26">
      <c r="A886">
        <v>1.8682541112187415E+18</v>
      </c>
      <c r="B886" t="s">
        <v>4710</v>
      </c>
      <c r="C886" t="s">
        <v>4711</v>
      </c>
      <c r="D886" t="s">
        <v>4712</v>
      </c>
      <c r="E886" t="s">
        <v>4713</v>
      </c>
      <c r="F886" t="s">
        <v>4714</v>
      </c>
      <c r="G886" t="s">
        <v>4715</v>
      </c>
      <c r="H886" t="s">
        <v>29</v>
      </c>
      <c r="I886">
        <v>7</v>
      </c>
      <c r="J886">
        <v>8</v>
      </c>
      <c r="K886">
        <v>231</v>
      </c>
      <c r="L886">
        <v>64254</v>
      </c>
      <c r="M886" t="s">
        <v>52</v>
      </c>
      <c r="N886" t="s">
        <v>4716</v>
      </c>
      <c r="O886">
        <v>551401</v>
      </c>
      <c r="P886" t="s">
        <v>4717</v>
      </c>
      <c r="Q886">
        <v>40407</v>
      </c>
      <c r="R886" t="s">
        <v>4718</v>
      </c>
      <c r="S886">
        <v>282</v>
      </c>
      <c r="T886" t="b">
        <v>0</v>
      </c>
      <c r="U886">
        <v>10</v>
      </c>
      <c r="V886">
        <v>2</v>
      </c>
      <c r="W886" t="s">
        <v>35</v>
      </c>
      <c r="X886" t="s">
        <v>29</v>
      </c>
      <c r="Y886" t="s">
        <v>29</v>
      </c>
      <c r="Z886" t="s">
        <v>37</v>
      </c>
    </row>
    <row r="887" spans="1:26">
      <c r="A887">
        <v>1.8681867703341755E+18</v>
      </c>
      <c r="B887" t="s">
        <v>4710</v>
      </c>
      <c r="C887" t="s">
        <v>4711</v>
      </c>
      <c r="D887" t="s">
        <v>4719</v>
      </c>
      <c r="E887" t="s">
        <v>4720</v>
      </c>
      <c r="F887" t="s">
        <v>4721</v>
      </c>
      <c r="G887" t="s">
        <v>4722</v>
      </c>
      <c r="H887" t="s">
        <v>29</v>
      </c>
      <c r="I887">
        <v>8</v>
      </c>
      <c r="J887">
        <v>16</v>
      </c>
      <c r="K887">
        <v>485</v>
      </c>
      <c r="L887">
        <v>22312</v>
      </c>
      <c r="M887" t="s">
        <v>52</v>
      </c>
      <c r="N887" t="s">
        <v>4716</v>
      </c>
      <c r="O887">
        <v>551402</v>
      </c>
      <c r="P887" t="s">
        <v>4717</v>
      </c>
      <c r="Q887">
        <v>40407</v>
      </c>
      <c r="R887" t="s">
        <v>4718</v>
      </c>
      <c r="S887">
        <v>282</v>
      </c>
      <c r="T887" t="b">
        <v>0</v>
      </c>
      <c r="U887">
        <v>3</v>
      </c>
      <c r="V887">
        <v>3</v>
      </c>
      <c r="W887" t="s">
        <v>35</v>
      </c>
      <c r="X887" t="s">
        <v>29</v>
      </c>
      <c r="Y887" t="s">
        <v>29</v>
      </c>
      <c r="Z887" t="s">
        <v>37</v>
      </c>
    </row>
    <row r="888" spans="1:26">
      <c r="A888">
        <v>1.8681134975084874E+18</v>
      </c>
      <c r="B888" t="s">
        <v>4723</v>
      </c>
      <c r="C888" t="s">
        <v>4724</v>
      </c>
      <c r="D888" t="s">
        <v>4725</v>
      </c>
      <c r="E888" t="s">
        <v>4726</v>
      </c>
      <c r="F888" t="s">
        <v>4727</v>
      </c>
      <c r="G888" t="s">
        <v>4728</v>
      </c>
      <c r="H888" t="s">
        <v>4729</v>
      </c>
      <c r="I888">
        <v>1</v>
      </c>
      <c r="J888">
        <v>1</v>
      </c>
      <c r="K888">
        <v>13</v>
      </c>
      <c r="L888">
        <v>2629</v>
      </c>
      <c r="M888" t="s">
        <v>4730</v>
      </c>
      <c r="N888" t="s">
        <v>29</v>
      </c>
      <c r="O888">
        <v>113399</v>
      </c>
      <c r="P888" t="s">
        <v>4731</v>
      </c>
      <c r="Q888">
        <v>86636</v>
      </c>
      <c r="R888" t="s">
        <v>4732</v>
      </c>
      <c r="S888">
        <v>247</v>
      </c>
      <c r="T888" t="b">
        <v>0</v>
      </c>
      <c r="U888">
        <v>1</v>
      </c>
      <c r="V888">
        <v>1</v>
      </c>
      <c r="W888" t="s">
        <v>35</v>
      </c>
      <c r="X888" t="s">
        <v>29</v>
      </c>
      <c r="Y888" t="s">
        <v>29</v>
      </c>
      <c r="Z888" t="s">
        <v>37</v>
      </c>
    </row>
    <row r="889" spans="1:26">
      <c r="A889">
        <v>1.8682644853934042E+18</v>
      </c>
      <c r="B889" t="s">
        <v>3743</v>
      </c>
      <c r="C889" t="s">
        <v>3744</v>
      </c>
      <c r="D889" t="s">
        <v>4733</v>
      </c>
      <c r="E889" t="s">
        <v>4734</v>
      </c>
      <c r="F889" t="s">
        <v>4735</v>
      </c>
      <c r="G889" t="s">
        <v>4736</v>
      </c>
      <c r="H889" t="s">
        <v>29</v>
      </c>
      <c r="I889">
        <v>6</v>
      </c>
      <c r="J889">
        <v>6</v>
      </c>
      <c r="K889">
        <v>171</v>
      </c>
      <c r="L889">
        <v>15260</v>
      </c>
      <c r="M889" t="s">
        <v>52</v>
      </c>
      <c r="N889" t="s">
        <v>4737</v>
      </c>
      <c r="O889">
        <v>668750</v>
      </c>
      <c r="P889" t="s">
        <v>3751</v>
      </c>
      <c r="Q889">
        <v>76510</v>
      </c>
      <c r="R889" t="s">
        <v>3752</v>
      </c>
      <c r="S889">
        <v>860</v>
      </c>
      <c r="T889" t="b">
        <v>0</v>
      </c>
      <c r="U889">
        <v>1</v>
      </c>
      <c r="V889">
        <v>1</v>
      </c>
      <c r="W889" t="s">
        <v>35</v>
      </c>
      <c r="X889" t="s">
        <v>29</v>
      </c>
      <c r="Y889" t="s">
        <v>29</v>
      </c>
      <c r="Z889" t="s">
        <v>37</v>
      </c>
    </row>
    <row r="890" spans="1:26">
      <c r="A890">
        <v>1.8684006413342561E+18</v>
      </c>
      <c r="B890" t="s">
        <v>3837</v>
      </c>
      <c r="C890" t="s">
        <v>3838</v>
      </c>
      <c r="D890" t="s">
        <v>4738</v>
      </c>
      <c r="E890" t="s">
        <v>4739</v>
      </c>
      <c r="F890" t="s">
        <v>29</v>
      </c>
      <c r="G890" t="s">
        <v>4740</v>
      </c>
      <c r="H890" t="s">
        <v>29</v>
      </c>
      <c r="I890">
        <v>2</v>
      </c>
      <c r="J890">
        <v>27</v>
      </c>
      <c r="K890">
        <v>412</v>
      </c>
      <c r="L890">
        <v>35513</v>
      </c>
      <c r="M890" t="s">
        <v>4741</v>
      </c>
      <c r="N890" t="s">
        <v>4742</v>
      </c>
      <c r="O890">
        <v>984256</v>
      </c>
      <c r="P890" t="s">
        <v>3844</v>
      </c>
      <c r="Q890">
        <v>136135</v>
      </c>
      <c r="R890" t="s">
        <v>3845</v>
      </c>
      <c r="S890">
        <v>438</v>
      </c>
      <c r="T890" t="b">
        <v>0</v>
      </c>
      <c r="U890">
        <v>2</v>
      </c>
      <c r="V890">
        <v>3</v>
      </c>
      <c r="W890" t="s">
        <v>35</v>
      </c>
      <c r="X890" t="s">
        <v>29</v>
      </c>
      <c r="Y890" t="s">
        <v>29</v>
      </c>
      <c r="Z890" t="s">
        <v>37</v>
      </c>
    </row>
    <row r="891" spans="1:26">
      <c r="A891">
        <v>1.8682571955795561E+18</v>
      </c>
      <c r="B891" t="s">
        <v>2994</v>
      </c>
      <c r="C891" t="s">
        <v>2995</v>
      </c>
      <c r="D891" t="s">
        <v>4743</v>
      </c>
      <c r="E891" t="s">
        <v>1627</v>
      </c>
      <c r="F891" t="s">
        <v>29</v>
      </c>
      <c r="G891" t="s">
        <v>4744</v>
      </c>
      <c r="H891" t="s">
        <v>4745</v>
      </c>
      <c r="I891">
        <v>42</v>
      </c>
      <c r="J891">
        <v>16</v>
      </c>
      <c r="K891">
        <v>138</v>
      </c>
      <c r="L891">
        <v>67948</v>
      </c>
      <c r="M891" t="s">
        <v>4746</v>
      </c>
      <c r="N891" t="s">
        <v>29</v>
      </c>
      <c r="O891">
        <v>812163</v>
      </c>
      <c r="P891" t="s">
        <v>3000</v>
      </c>
      <c r="Q891">
        <v>110924</v>
      </c>
      <c r="R891" t="s">
        <v>3001</v>
      </c>
      <c r="S891">
        <v>322</v>
      </c>
      <c r="T891" t="b">
        <v>0</v>
      </c>
      <c r="U891">
        <v>2</v>
      </c>
      <c r="V891">
        <v>1</v>
      </c>
      <c r="W891" t="s">
        <v>35</v>
      </c>
      <c r="X891" t="s">
        <v>29</v>
      </c>
      <c r="Y891" t="s">
        <v>29</v>
      </c>
      <c r="Z891" t="s">
        <v>37</v>
      </c>
    </row>
    <row r="892" spans="1:26">
      <c r="A892">
        <v>1.8682194526823096E+18</v>
      </c>
      <c r="B892" t="s">
        <v>2994</v>
      </c>
      <c r="C892" t="s">
        <v>2995</v>
      </c>
      <c r="D892" t="s">
        <v>4747</v>
      </c>
      <c r="E892" t="s">
        <v>4748</v>
      </c>
      <c r="F892" t="s">
        <v>4749</v>
      </c>
      <c r="G892" t="s">
        <v>4750</v>
      </c>
      <c r="H892" t="s">
        <v>29</v>
      </c>
      <c r="I892">
        <v>94</v>
      </c>
      <c r="J892">
        <v>195</v>
      </c>
      <c r="K892">
        <v>1961</v>
      </c>
      <c r="L892">
        <v>240781</v>
      </c>
      <c r="M892" t="s">
        <v>52</v>
      </c>
      <c r="N892" t="s">
        <v>3376</v>
      </c>
      <c r="O892">
        <v>812163</v>
      </c>
      <c r="P892" t="s">
        <v>3000</v>
      </c>
      <c r="Q892">
        <v>110924</v>
      </c>
      <c r="R892" t="s">
        <v>3001</v>
      </c>
      <c r="S892">
        <v>322</v>
      </c>
      <c r="T892" t="b">
        <v>0</v>
      </c>
      <c r="U892">
        <v>43</v>
      </c>
      <c r="V892">
        <v>4</v>
      </c>
      <c r="W892" t="s">
        <v>35</v>
      </c>
      <c r="X892" t="s">
        <v>29</v>
      </c>
      <c r="Y892" t="s">
        <v>29</v>
      </c>
      <c r="Z892" t="s">
        <v>37</v>
      </c>
    </row>
    <row r="893" spans="1:26">
      <c r="A893">
        <v>1.8682993762311007E+18</v>
      </c>
      <c r="B893" t="s">
        <v>2994</v>
      </c>
      <c r="C893" t="s">
        <v>2995</v>
      </c>
      <c r="D893" t="s">
        <v>4751</v>
      </c>
      <c r="E893" t="s">
        <v>4752</v>
      </c>
      <c r="F893" t="s">
        <v>4753</v>
      </c>
      <c r="G893" t="s">
        <v>4754</v>
      </c>
      <c r="H893" t="s">
        <v>29</v>
      </c>
      <c r="I893">
        <v>242</v>
      </c>
      <c r="J893">
        <v>304</v>
      </c>
      <c r="K893">
        <v>2369</v>
      </c>
      <c r="L893">
        <v>461048</v>
      </c>
      <c r="M893" t="s">
        <v>4755</v>
      </c>
      <c r="N893" t="s">
        <v>3376</v>
      </c>
      <c r="O893">
        <v>812163</v>
      </c>
      <c r="P893" t="s">
        <v>3000</v>
      </c>
      <c r="Q893">
        <v>110924</v>
      </c>
      <c r="R893" t="s">
        <v>3001</v>
      </c>
      <c r="S893">
        <v>322</v>
      </c>
      <c r="T893" t="b">
        <v>0</v>
      </c>
      <c r="U893">
        <v>217</v>
      </c>
      <c r="V893">
        <v>17</v>
      </c>
      <c r="W893" t="s">
        <v>35</v>
      </c>
      <c r="X893" t="s">
        <v>29</v>
      </c>
      <c r="Y893" t="s">
        <v>29</v>
      </c>
      <c r="Z893" t="s">
        <v>37</v>
      </c>
    </row>
    <row r="894" spans="1:26">
      <c r="A894">
        <v>1.8683529576636339E+18</v>
      </c>
      <c r="B894" t="s">
        <v>2994</v>
      </c>
      <c r="C894" t="s">
        <v>2995</v>
      </c>
      <c r="D894" t="s">
        <v>4756</v>
      </c>
      <c r="E894" t="s">
        <v>4757</v>
      </c>
      <c r="F894" t="s">
        <v>4758</v>
      </c>
      <c r="G894" t="s">
        <v>4759</v>
      </c>
      <c r="H894" t="s">
        <v>29</v>
      </c>
      <c r="I894">
        <v>21</v>
      </c>
      <c r="J894">
        <v>35</v>
      </c>
      <c r="K894">
        <v>350</v>
      </c>
      <c r="L894">
        <v>79089</v>
      </c>
      <c r="M894" t="s">
        <v>52</v>
      </c>
      <c r="N894" t="s">
        <v>3174</v>
      </c>
      <c r="O894">
        <v>812163</v>
      </c>
      <c r="P894" t="s">
        <v>3000</v>
      </c>
      <c r="Q894">
        <v>110924</v>
      </c>
      <c r="R894" t="s">
        <v>3001</v>
      </c>
      <c r="S894">
        <v>322</v>
      </c>
      <c r="T894" t="b">
        <v>0</v>
      </c>
      <c r="U894">
        <v>2</v>
      </c>
      <c r="V894">
        <v>2</v>
      </c>
      <c r="W894" t="s">
        <v>35</v>
      </c>
      <c r="X894" t="s">
        <v>29</v>
      </c>
      <c r="Y894" t="s">
        <v>29</v>
      </c>
      <c r="Z894" t="s">
        <v>37</v>
      </c>
    </row>
    <row r="895" spans="1:26">
      <c r="A895">
        <v>1.8683534529983777E+18</v>
      </c>
      <c r="B895" t="s">
        <v>3196</v>
      </c>
      <c r="C895" t="s">
        <v>3196</v>
      </c>
      <c r="D895" t="s">
        <v>4760</v>
      </c>
      <c r="E895" t="s">
        <v>4761</v>
      </c>
      <c r="F895" t="s">
        <v>4762</v>
      </c>
      <c r="G895" t="s">
        <v>4763</v>
      </c>
      <c r="H895" t="s">
        <v>4764</v>
      </c>
      <c r="I895">
        <v>11</v>
      </c>
      <c r="J895">
        <v>27</v>
      </c>
      <c r="K895">
        <v>754</v>
      </c>
      <c r="L895">
        <v>25005</v>
      </c>
      <c r="M895" t="s">
        <v>52</v>
      </c>
      <c r="N895" t="s">
        <v>3201</v>
      </c>
      <c r="O895">
        <v>376786</v>
      </c>
      <c r="P895" t="s">
        <v>3202</v>
      </c>
      <c r="Q895">
        <v>106893</v>
      </c>
      <c r="R895" t="s">
        <v>3203</v>
      </c>
      <c r="S895">
        <v>415</v>
      </c>
      <c r="T895" t="b">
        <v>0</v>
      </c>
      <c r="U895">
        <v>6</v>
      </c>
      <c r="V895">
        <v>2</v>
      </c>
      <c r="W895" t="s">
        <v>35</v>
      </c>
      <c r="X895" t="s">
        <v>29</v>
      </c>
      <c r="Y895" t="s">
        <v>29</v>
      </c>
      <c r="Z895" t="s">
        <v>37</v>
      </c>
    </row>
    <row r="896" spans="1:26">
      <c r="A896">
        <v>1.8683574856751314E+18</v>
      </c>
      <c r="B896" t="s">
        <v>3168</v>
      </c>
      <c r="C896" t="s">
        <v>3169</v>
      </c>
      <c r="D896" t="s">
        <v>4765</v>
      </c>
      <c r="E896" t="s">
        <v>4766</v>
      </c>
      <c r="F896" t="s">
        <v>4767</v>
      </c>
      <c r="G896" t="s">
        <v>4768</v>
      </c>
      <c r="H896" t="s">
        <v>29</v>
      </c>
      <c r="I896">
        <v>3</v>
      </c>
      <c r="J896">
        <v>8</v>
      </c>
      <c r="K896">
        <v>47</v>
      </c>
      <c r="L896">
        <v>48625</v>
      </c>
      <c r="M896" t="s">
        <v>52</v>
      </c>
      <c r="N896" t="s">
        <v>3636</v>
      </c>
      <c r="O896">
        <v>294711</v>
      </c>
      <c r="P896" t="s">
        <v>3175</v>
      </c>
      <c r="Q896">
        <v>66342</v>
      </c>
      <c r="R896" t="s">
        <v>3176</v>
      </c>
      <c r="S896">
        <v>1449</v>
      </c>
      <c r="T896" t="b">
        <v>0</v>
      </c>
      <c r="U896">
        <v>4</v>
      </c>
      <c r="V896">
        <v>1</v>
      </c>
      <c r="W896" t="s">
        <v>35</v>
      </c>
      <c r="X896" t="s">
        <v>29</v>
      </c>
      <c r="Y896" t="s">
        <v>29</v>
      </c>
      <c r="Z896" t="s">
        <v>37</v>
      </c>
    </row>
    <row r="897" spans="1:26">
      <c r="A897">
        <v>1.8683230426378696E+18</v>
      </c>
      <c r="B897" t="s">
        <v>3392</v>
      </c>
      <c r="C897" t="s">
        <v>3393</v>
      </c>
      <c r="D897" t="s">
        <v>4769</v>
      </c>
      <c r="E897" t="s">
        <v>4770</v>
      </c>
      <c r="F897" t="s">
        <v>4771</v>
      </c>
      <c r="G897" t="s">
        <v>4772</v>
      </c>
      <c r="H897" t="s">
        <v>29</v>
      </c>
      <c r="I897">
        <v>11</v>
      </c>
      <c r="J897">
        <v>17</v>
      </c>
      <c r="K897">
        <v>409</v>
      </c>
      <c r="L897">
        <v>22304</v>
      </c>
      <c r="M897" t="s">
        <v>52</v>
      </c>
      <c r="N897" t="s">
        <v>3405</v>
      </c>
      <c r="O897">
        <v>1480966</v>
      </c>
      <c r="P897" t="s">
        <v>3399</v>
      </c>
      <c r="Q897">
        <v>103753</v>
      </c>
      <c r="R897" t="s">
        <v>3400</v>
      </c>
      <c r="S897">
        <v>552</v>
      </c>
      <c r="T897" t="b">
        <v>0</v>
      </c>
      <c r="U897">
        <v>4</v>
      </c>
      <c r="V897">
        <v>3</v>
      </c>
      <c r="W897" t="s">
        <v>35</v>
      </c>
      <c r="X897" t="s">
        <v>29</v>
      </c>
      <c r="Y897" t="s">
        <v>29</v>
      </c>
      <c r="Z897" t="s">
        <v>37</v>
      </c>
    </row>
    <row r="898" spans="1:26">
      <c r="A898">
        <v>1.8684150508446356E+18</v>
      </c>
      <c r="B898" t="s">
        <v>3837</v>
      </c>
      <c r="C898" t="s">
        <v>3838</v>
      </c>
      <c r="D898" t="s">
        <v>4773</v>
      </c>
      <c r="E898" t="s">
        <v>4774</v>
      </c>
      <c r="F898" t="s">
        <v>4775</v>
      </c>
      <c r="G898" t="s">
        <v>4776</v>
      </c>
      <c r="H898" t="s">
        <v>29</v>
      </c>
      <c r="I898">
        <v>49</v>
      </c>
      <c r="J898">
        <v>555</v>
      </c>
      <c r="K898">
        <v>5544</v>
      </c>
      <c r="L898">
        <v>89574</v>
      </c>
      <c r="M898" t="s">
        <v>52</v>
      </c>
      <c r="N898" t="s">
        <v>4356</v>
      </c>
      <c r="O898">
        <v>984256</v>
      </c>
      <c r="P898" t="s">
        <v>3844</v>
      </c>
      <c r="Q898">
        <v>136135</v>
      </c>
      <c r="R898" t="s">
        <v>3845</v>
      </c>
      <c r="S898">
        <v>438</v>
      </c>
      <c r="T898" t="b">
        <v>0</v>
      </c>
      <c r="U898">
        <v>21</v>
      </c>
      <c r="V898">
        <v>27</v>
      </c>
      <c r="W898" t="s">
        <v>35</v>
      </c>
      <c r="X898" t="s">
        <v>29</v>
      </c>
      <c r="Y898" t="s">
        <v>29</v>
      </c>
      <c r="Z898" t="s">
        <v>37</v>
      </c>
    </row>
    <row r="899" spans="1:26">
      <c r="A899">
        <v>1.8683548373873544E+18</v>
      </c>
      <c r="B899" t="s">
        <v>4777</v>
      </c>
      <c r="C899" t="s">
        <v>4778</v>
      </c>
      <c r="D899" t="s">
        <v>4779</v>
      </c>
      <c r="E899" t="s">
        <v>4780</v>
      </c>
      <c r="F899" t="s">
        <v>4781</v>
      </c>
      <c r="G899" t="s">
        <v>4782</v>
      </c>
      <c r="H899" t="s">
        <v>29</v>
      </c>
      <c r="I899">
        <v>108</v>
      </c>
      <c r="J899">
        <v>649</v>
      </c>
      <c r="K899">
        <v>9720</v>
      </c>
      <c r="L899">
        <v>375536</v>
      </c>
      <c r="M899" t="s">
        <v>52</v>
      </c>
      <c r="N899" t="s">
        <v>742</v>
      </c>
      <c r="O899">
        <v>10795892</v>
      </c>
      <c r="P899" t="s">
        <v>4783</v>
      </c>
      <c r="Q899">
        <v>95508</v>
      </c>
      <c r="R899" t="s">
        <v>4784</v>
      </c>
      <c r="S899">
        <v>98</v>
      </c>
      <c r="T899" t="b">
        <v>0</v>
      </c>
      <c r="U899">
        <v>46</v>
      </c>
      <c r="V899">
        <v>191</v>
      </c>
      <c r="W899" t="s">
        <v>35</v>
      </c>
      <c r="X899" t="s">
        <v>29</v>
      </c>
      <c r="Y899" t="s">
        <v>29</v>
      </c>
      <c r="Z899" t="s">
        <v>37</v>
      </c>
    </row>
    <row r="900" spans="1:26">
      <c r="A900">
        <v>1.8681892743882307E+18</v>
      </c>
      <c r="B900" t="s">
        <v>3034</v>
      </c>
      <c r="C900" t="s">
        <v>3035</v>
      </c>
      <c r="D900" t="s">
        <v>4785</v>
      </c>
      <c r="E900" t="s">
        <v>4786</v>
      </c>
      <c r="F900" t="s">
        <v>4787</v>
      </c>
      <c r="G900" t="s">
        <v>4788</v>
      </c>
      <c r="H900" t="s">
        <v>4789</v>
      </c>
      <c r="I900">
        <v>69</v>
      </c>
      <c r="J900">
        <v>85</v>
      </c>
      <c r="K900">
        <v>1136</v>
      </c>
      <c r="L900">
        <v>166359</v>
      </c>
      <c r="M900" t="s">
        <v>52</v>
      </c>
      <c r="N900" t="s">
        <v>3040</v>
      </c>
      <c r="O900">
        <v>12876592</v>
      </c>
      <c r="P900" t="s">
        <v>3041</v>
      </c>
      <c r="Q900">
        <v>141401</v>
      </c>
      <c r="R900" t="s">
        <v>3042</v>
      </c>
      <c r="S900">
        <v>717</v>
      </c>
      <c r="T900" t="b">
        <v>0</v>
      </c>
      <c r="U900">
        <v>11</v>
      </c>
      <c r="V900">
        <v>21</v>
      </c>
      <c r="W900" t="s">
        <v>35</v>
      </c>
      <c r="X900" t="s">
        <v>29</v>
      </c>
      <c r="Y900" t="s">
        <v>29</v>
      </c>
      <c r="Z900" t="s">
        <v>37</v>
      </c>
    </row>
    <row r="901" spans="1:26">
      <c r="A901">
        <v>1.8684148235345961E+18</v>
      </c>
      <c r="B901" t="s">
        <v>4694</v>
      </c>
      <c r="C901" t="s">
        <v>4695</v>
      </c>
      <c r="D901" t="s">
        <v>4790</v>
      </c>
      <c r="E901" t="s">
        <v>4791</v>
      </c>
      <c r="F901" t="s">
        <v>4792</v>
      </c>
      <c r="G901" t="s">
        <v>4793</v>
      </c>
      <c r="H901" t="s">
        <v>4794</v>
      </c>
      <c r="I901">
        <v>0</v>
      </c>
      <c r="J901">
        <v>6</v>
      </c>
      <c r="K901">
        <v>16</v>
      </c>
      <c r="L901">
        <v>5791</v>
      </c>
      <c r="M901" t="s">
        <v>52</v>
      </c>
      <c r="N901" t="s">
        <v>4701</v>
      </c>
      <c r="O901">
        <v>1123810</v>
      </c>
      <c r="P901" t="s">
        <v>4702</v>
      </c>
      <c r="Q901">
        <v>34290</v>
      </c>
      <c r="R901" t="s">
        <v>4703</v>
      </c>
      <c r="S901">
        <v>63</v>
      </c>
      <c r="T901" t="b">
        <v>0</v>
      </c>
      <c r="U901">
        <v>1</v>
      </c>
      <c r="V901">
        <v>1</v>
      </c>
      <c r="W901" t="s">
        <v>35</v>
      </c>
      <c r="X901" t="s">
        <v>29</v>
      </c>
      <c r="Y901" t="s">
        <v>29</v>
      </c>
      <c r="Z901" t="s">
        <v>37</v>
      </c>
    </row>
    <row r="902" spans="1:26">
      <c r="A902">
        <v>1.8681287528548068E+18</v>
      </c>
      <c r="B902" t="s">
        <v>3083</v>
      </c>
      <c r="C902" t="s">
        <v>3083</v>
      </c>
      <c r="D902" t="s">
        <v>4795</v>
      </c>
      <c r="E902" t="s">
        <v>4796</v>
      </c>
      <c r="F902" t="s">
        <v>4797</v>
      </c>
      <c r="G902" t="s">
        <v>4798</v>
      </c>
      <c r="H902" t="s">
        <v>3674</v>
      </c>
      <c r="I902">
        <v>789</v>
      </c>
      <c r="J902">
        <v>2104</v>
      </c>
      <c r="K902">
        <v>20269</v>
      </c>
      <c r="L902">
        <v>801086</v>
      </c>
      <c r="M902" t="s">
        <v>52</v>
      </c>
      <c r="N902" t="s">
        <v>4799</v>
      </c>
      <c r="O902">
        <v>14375935</v>
      </c>
      <c r="P902" t="s">
        <v>3088</v>
      </c>
      <c r="Q902">
        <v>346973</v>
      </c>
      <c r="R902" t="s">
        <v>3089</v>
      </c>
      <c r="S902">
        <v>392</v>
      </c>
      <c r="T902" t="b">
        <v>0</v>
      </c>
      <c r="U902">
        <v>203</v>
      </c>
      <c r="V902">
        <v>452</v>
      </c>
      <c r="W902" t="s">
        <v>35</v>
      </c>
      <c r="X902" t="s">
        <v>29</v>
      </c>
      <c r="Y902" t="s">
        <v>29</v>
      </c>
      <c r="Z902" t="s">
        <v>37</v>
      </c>
    </row>
    <row r="903" spans="1:26">
      <c r="A903">
        <v>1.8680862819783805E+18</v>
      </c>
      <c r="B903" t="s">
        <v>4694</v>
      </c>
      <c r="C903" t="s">
        <v>4695</v>
      </c>
      <c r="D903" t="s">
        <v>4800</v>
      </c>
      <c r="E903" t="s">
        <v>4801</v>
      </c>
      <c r="F903" t="s">
        <v>4802</v>
      </c>
      <c r="G903" t="s">
        <v>4803</v>
      </c>
      <c r="H903" t="s">
        <v>4804</v>
      </c>
      <c r="I903">
        <v>3</v>
      </c>
      <c r="J903">
        <v>11</v>
      </c>
      <c r="K903">
        <v>42</v>
      </c>
      <c r="L903">
        <v>6816</v>
      </c>
      <c r="M903" t="s">
        <v>52</v>
      </c>
      <c r="N903" t="s">
        <v>4701</v>
      </c>
      <c r="O903">
        <v>1123810</v>
      </c>
      <c r="P903" t="s">
        <v>4702</v>
      </c>
      <c r="Q903">
        <v>34290</v>
      </c>
      <c r="R903" t="s">
        <v>4703</v>
      </c>
      <c r="S903">
        <v>63</v>
      </c>
      <c r="T903" t="b">
        <v>0</v>
      </c>
      <c r="U903">
        <v>1</v>
      </c>
      <c r="V903">
        <v>1</v>
      </c>
      <c r="W903" t="s">
        <v>35</v>
      </c>
      <c r="X903" t="s">
        <v>29</v>
      </c>
      <c r="Y903" t="s">
        <v>29</v>
      </c>
      <c r="Z903" t="s">
        <v>37</v>
      </c>
    </row>
    <row r="904" spans="1:26">
      <c r="A904">
        <v>1.8682673312958469E+18</v>
      </c>
      <c r="B904" t="s">
        <v>4710</v>
      </c>
      <c r="C904" t="s">
        <v>4711</v>
      </c>
      <c r="D904" t="s">
        <v>4805</v>
      </c>
      <c r="E904" t="s">
        <v>4806</v>
      </c>
      <c r="F904" t="s">
        <v>4807</v>
      </c>
      <c r="G904" t="s">
        <v>4808</v>
      </c>
      <c r="H904" t="s">
        <v>29</v>
      </c>
      <c r="I904">
        <v>6</v>
      </c>
      <c r="J904">
        <v>13</v>
      </c>
      <c r="K904">
        <v>177</v>
      </c>
      <c r="L904">
        <v>8763</v>
      </c>
      <c r="M904" t="s">
        <v>52</v>
      </c>
      <c r="N904" t="s">
        <v>4809</v>
      </c>
      <c r="O904">
        <v>551402</v>
      </c>
      <c r="P904" t="s">
        <v>4717</v>
      </c>
      <c r="Q904">
        <v>40407</v>
      </c>
      <c r="R904" t="s">
        <v>4718</v>
      </c>
      <c r="S904">
        <v>282</v>
      </c>
      <c r="T904" t="b">
        <v>0</v>
      </c>
      <c r="U904">
        <v>1</v>
      </c>
      <c r="V904">
        <v>3</v>
      </c>
      <c r="W904" t="s">
        <v>35</v>
      </c>
      <c r="X904" t="s">
        <v>29</v>
      </c>
      <c r="Y904" t="s">
        <v>29</v>
      </c>
      <c r="Z904" t="s">
        <v>37</v>
      </c>
    </row>
    <row r="905" spans="1:26">
      <c r="A905">
        <v>1.8682647533256338E+18</v>
      </c>
      <c r="B905" t="s">
        <v>4777</v>
      </c>
      <c r="C905" t="s">
        <v>4778</v>
      </c>
      <c r="D905" t="s">
        <v>4810</v>
      </c>
      <c r="E905" t="s">
        <v>4603</v>
      </c>
      <c r="F905" t="s">
        <v>29</v>
      </c>
      <c r="G905" t="s">
        <v>4811</v>
      </c>
      <c r="H905" t="s">
        <v>29</v>
      </c>
      <c r="I905">
        <v>346</v>
      </c>
      <c r="J905">
        <v>105</v>
      </c>
      <c r="K905">
        <v>1908</v>
      </c>
      <c r="L905">
        <v>405653</v>
      </c>
      <c r="M905" t="s">
        <v>4812</v>
      </c>
      <c r="N905" t="s">
        <v>742</v>
      </c>
      <c r="O905">
        <v>10795896</v>
      </c>
      <c r="P905" t="s">
        <v>4783</v>
      </c>
      <c r="Q905">
        <v>95508</v>
      </c>
      <c r="R905" t="s">
        <v>4784</v>
      </c>
      <c r="S905">
        <v>98</v>
      </c>
      <c r="T905" t="b">
        <v>0</v>
      </c>
      <c r="U905">
        <v>98</v>
      </c>
      <c r="V905">
        <v>48</v>
      </c>
      <c r="W905" t="s">
        <v>35</v>
      </c>
      <c r="X905" t="s">
        <v>29</v>
      </c>
      <c r="Y905" t="s">
        <v>29</v>
      </c>
      <c r="Z905" t="s">
        <v>37</v>
      </c>
    </row>
    <row r="906" spans="1:26">
      <c r="A906">
        <v>1.8683481079327462E+18</v>
      </c>
      <c r="B906" t="s">
        <v>3837</v>
      </c>
      <c r="C906" t="s">
        <v>3838</v>
      </c>
      <c r="D906" t="s">
        <v>4813</v>
      </c>
      <c r="E906" t="s">
        <v>4814</v>
      </c>
      <c r="F906" t="s">
        <v>29</v>
      </c>
      <c r="G906" t="s">
        <v>4815</v>
      </c>
      <c r="H906" t="s">
        <v>29</v>
      </c>
      <c r="I906">
        <v>105</v>
      </c>
      <c r="J906">
        <v>36</v>
      </c>
      <c r="K906">
        <v>244</v>
      </c>
      <c r="L906">
        <v>79221</v>
      </c>
      <c r="M906" t="s">
        <v>4506</v>
      </c>
      <c r="N906" t="s">
        <v>3843</v>
      </c>
      <c r="O906">
        <v>984257</v>
      </c>
      <c r="P906" t="s">
        <v>3844</v>
      </c>
      <c r="Q906">
        <v>136135</v>
      </c>
      <c r="R906" t="s">
        <v>3845</v>
      </c>
      <c r="S906">
        <v>438</v>
      </c>
      <c r="T906" t="b">
        <v>0</v>
      </c>
      <c r="U906">
        <v>25</v>
      </c>
      <c r="V906">
        <v>2</v>
      </c>
      <c r="W906" t="s">
        <v>35</v>
      </c>
      <c r="X906" t="s">
        <v>29</v>
      </c>
      <c r="Y906" t="s">
        <v>29</v>
      </c>
      <c r="Z906" t="s">
        <v>37</v>
      </c>
    </row>
    <row r="907" spans="1:26">
      <c r="A907">
        <v>1.8683024939956393E+18</v>
      </c>
      <c r="B907" t="s">
        <v>4694</v>
      </c>
      <c r="C907" t="s">
        <v>4695</v>
      </c>
      <c r="D907" t="s">
        <v>4816</v>
      </c>
      <c r="E907" t="s">
        <v>4365</v>
      </c>
      <c r="F907" t="s">
        <v>4817</v>
      </c>
      <c r="G907" t="s">
        <v>4818</v>
      </c>
      <c r="H907" t="s">
        <v>4819</v>
      </c>
      <c r="I907">
        <v>4</v>
      </c>
      <c r="J907">
        <v>18</v>
      </c>
      <c r="K907">
        <v>148</v>
      </c>
      <c r="L907">
        <v>11344</v>
      </c>
      <c r="M907" t="s">
        <v>52</v>
      </c>
      <c r="N907" t="s">
        <v>4820</v>
      </c>
      <c r="O907">
        <v>1123810</v>
      </c>
      <c r="P907" t="s">
        <v>4702</v>
      </c>
      <c r="Q907">
        <v>34290</v>
      </c>
      <c r="R907" t="s">
        <v>4703</v>
      </c>
      <c r="S907">
        <v>63</v>
      </c>
      <c r="T907" t="b">
        <v>0</v>
      </c>
      <c r="U907">
        <v>6</v>
      </c>
      <c r="V907">
        <v>1</v>
      </c>
      <c r="W907" t="s">
        <v>35</v>
      </c>
      <c r="X907" t="s">
        <v>29</v>
      </c>
      <c r="Y907" t="s">
        <v>29</v>
      </c>
      <c r="Z907" t="s">
        <v>37</v>
      </c>
    </row>
    <row r="908" spans="1:26">
      <c r="A908">
        <v>1.8682734314706253E+18</v>
      </c>
      <c r="B908" t="s">
        <v>4821</v>
      </c>
      <c r="C908" t="s">
        <v>4822</v>
      </c>
      <c r="D908" t="s">
        <v>4823</v>
      </c>
      <c r="E908" t="s">
        <v>4824</v>
      </c>
      <c r="F908" t="s">
        <v>4825</v>
      </c>
      <c r="G908" t="s">
        <v>4826</v>
      </c>
      <c r="H908" t="s">
        <v>4827</v>
      </c>
      <c r="I908">
        <v>3</v>
      </c>
      <c r="J908">
        <v>2</v>
      </c>
      <c r="K908">
        <v>105</v>
      </c>
      <c r="L908">
        <v>5814</v>
      </c>
      <c r="M908" t="s">
        <v>52</v>
      </c>
      <c r="N908" t="s">
        <v>4828</v>
      </c>
      <c r="O908">
        <v>157613</v>
      </c>
      <c r="P908" t="s">
        <v>4829</v>
      </c>
      <c r="Q908">
        <v>40480</v>
      </c>
      <c r="R908" t="s">
        <v>4830</v>
      </c>
      <c r="S908">
        <v>765</v>
      </c>
      <c r="T908" t="b">
        <v>0</v>
      </c>
      <c r="U908">
        <v>3</v>
      </c>
      <c r="V908">
        <v>1</v>
      </c>
      <c r="W908" t="s">
        <v>35</v>
      </c>
      <c r="X908" t="s">
        <v>29</v>
      </c>
      <c r="Y908" t="s">
        <v>29</v>
      </c>
      <c r="Z908" t="s">
        <v>37</v>
      </c>
    </row>
    <row r="909" spans="1:26">
      <c r="A909">
        <v>1.8683770488400732E+18</v>
      </c>
      <c r="B909" t="s">
        <v>4831</v>
      </c>
      <c r="C909" t="s">
        <v>4832</v>
      </c>
      <c r="D909" t="s">
        <v>4833</v>
      </c>
      <c r="E909" t="s">
        <v>4834</v>
      </c>
      <c r="F909" t="s">
        <v>4835</v>
      </c>
      <c r="G909" t="s">
        <v>4836</v>
      </c>
      <c r="H909" t="s">
        <v>29</v>
      </c>
      <c r="I909">
        <v>3</v>
      </c>
      <c r="J909">
        <v>2</v>
      </c>
      <c r="K909">
        <v>93</v>
      </c>
      <c r="L909">
        <v>9962</v>
      </c>
      <c r="M909" t="s">
        <v>52</v>
      </c>
      <c r="N909" t="s">
        <v>143</v>
      </c>
      <c r="O909">
        <v>1641578</v>
      </c>
      <c r="P909" t="s">
        <v>4837</v>
      </c>
      <c r="Q909">
        <v>47630</v>
      </c>
      <c r="R909" t="s">
        <v>4838</v>
      </c>
      <c r="S909">
        <v>598</v>
      </c>
      <c r="T909" t="b">
        <v>0</v>
      </c>
      <c r="U909">
        <v>1</v>
      </c>
      <c r="V909">
        <v>3</v>
      </c>
      <c r="W909" t="s">
        <v>35</v>
      </c>
      <c r="X909" t="s">
        <v>29</v>
      </c>
      <c r="Y909" t="s">
        <v>29</v>
      </c>
      <c r="Z909" t="s">
        <v>37</v>
      </c>
    </row>
    <row r="910" spans="1:26">
      <c r="A910">
        <v>1.8660275382098048E+18</v>
      </c>
      <c r="B910" t="s">
        <v>4839</v>
      </c>
      <c r="C910" t="s">
        <v>4840</v>
      </c>
      <c r="D910" t="s">
        <v>4841</v>
      </c>
      <c r="E910" t="s">
        <v>4842</v>
      </c>
      <c r="F910" t="s">
        <v>4843</v>
      </c>
      <c r="G910" t="s">
        <v>4844</v>
      </c>
      <c r="H910" t="s">
        <v>4845</v>
      </c>
      <c r="I910">
        <v>136</v>
      </c>
      <c r="J910">
        <v>445</v>
      </c>
      <c r="K910">
        <v>7491</v>
      </c>
      <c r="L910">
        <v>292389</v>
      </c>
      <c r="M910" t="s">
        <v>52</v>
      </c>
      <c r="N910" t="s">
        <v>29</v>
      </c>
      <c r="O910">
        <v>45007827</v>
      </c>
      <c r="P910" t="s">
        <v>4846</v>
      </c>
      <c r="Q910">
        <v>163438</v>
      </c>
      <c r="R910" t="s">
        <v>4847</v>
      </c>
      <c r="S910">
        <v>80</v>
      </c>
      <c r="T910" t="b">
        <v>0</v>
      </c>
      <c r="U910">
        <v>14</v>
      </c>
      <c r="V910">
        <v>25</v>
      </c>
      <c r="W910" t="s">
        <v>35</v>
      </c>
      <c r="X910" t="s">
        <v>29</v>
      </c>
      <c r="Y910" t="s">
        <v>29</v>
      </c>
      <c r="Z910" t="s">
        <v>37</v>
      </c>
    </row>
    <row r="911" spans="1:26">
      <c r="A911">
        <v>1.8683306751177239E+18</v>
      </c>
      <c r="B911" t="s">
        <v>3837</v>
      </c>
      <c r="C911" t="s">
        <v>3838</v>
      </c>
      <c r="D911" t="s">
        <v>4848</v>
      </c>
      <c r="E911" t="s">
        <v>4849</v>
      </c>
      <c r="F911" t="s">
        <v>4850</v>
      </c>
      <c r="G911" t="s">
        <v>4851</v>
      </c>
      <c r="H911" t="s">
        <v>29</v>
      </c>
      <c r="I911">
        <v>370</v>
      </c>
      <c r="J911">
        <v>23</v>
      </c>
      <c r="K911">
        <v>268</v>
      </c>
      <c r="L911">
        <v>122457</v>
      </c>
      <c r="M911" t="s">
        <v>52</v>
      </c>
      <c r="N911" t="s">
        <v>3843</v>
      </c>
      <c r="O911">
        <v>984256</v>
      </c>
      <c r="P911" t="s">
        <v>3844</v>
      </c>
      <c r="Q911">
        <v>136135</v>
      </c>
      <c r="R911" t="s">
        <v>3845</v>
      </c>
      <c r="S911">
        <v>438</v>
      </c>
      <c r="T911" t="b">
        <v>0</v>
      </c>
      <c r="U911">
        <v>26</v>
      </c>
      <c r="V911">
        <v>3</v>
      </c>
      <c r="W911" t="s">
        <v>35</v>
      </c>
      <c r="X911" t="s">
        <v>29</v>
      </c>
      <c r="Y911" t="s">
        <v>29</v>
      </c>
      <c r="Z911" t="s">
        <v>37</v>
      </c>
    </row>
    <row r="912" spans="1:26">
      <c r="A912">
        <v>1.8683647218560824E+18</v>
      </c>
      <c r="B912" t="s">
        <v>3168</v>
      </c>
      <c r="C912" t="s">
        <v>3169</v>
      </c>
      <c r="D912" t="s">
        <v>4852</v>
      </c>
      <c r="E912" t="s">
        <v>4853</v>
      </c>
      <c r="F912" t="s">
        <v>4854</v>
      </c>
      <c r="G912" t="s">
        <v>4855</v>
      </c>
      <c r="H912" t="s">
        <v>3173</v>
      </c>
      <c r="I912">
        <v>14</v>
      </c>
      <c r="J912">
        <v>51</v>
      </c>
      <c r="K912">
        <v>686</v>
      </c>
      <c r="L912">
        <v>19398</v>
      </c>
      <c r="M912" t="s">
        <v>52</v>
      </c>
      <c r="N912" t="s">
        <v>29</v>
      </c>
      <c r="O912">
        <v>294711</v>
      </c>
      <c r="P912" t="s">
        <v>3175</v>
      </c>
      <c r="Q912">
        <v>66342</v>
      </c>
      <c r="R912" t="s">
        <v>3176</v>
      </c>
      <c r="S912">
        <v>1449</v>
      </c>
      <c r="T912" t="b">
        <v>0</v>
      </c>
      <c r="U912">
        <v>1</v>
      </c>
      <c r="V912">
        <v>1</v>
      </c>
      <c r="W912" t="s">
        <v>35</v>
      </c>
      <c r="X912" t="s">
        <v>29</v>
      </c>
      <c r="Y912" t="s">
        <v>29</v>
      </c>
      <c r="Z912" t="s">
        <v>37</v>
      </c>
    </row>
    <row r="913" spans="1:26">
      <c r="A913">
        <v>1.8682194469358592E+18</v>
      </c>
      <c r="B913" t="s">
        <v>3196</v>
      </c>
      <c r="C913" t="s">
        <v>3196</v>
      </c>
      <c r="D913" t="s">
        <v>4856</v>
      </c>
      <c r="E913" t="s">
        <v>720</v>
      </c>
      <c r="F913" t="s">
        <v>4857</v>
      </c>
      <c r="G913" t="s">
        <v>4858</v>
      </c>
      <c r="H913" t="s">
        <v>29</v>
      </c>
      <c r="I913">
        <v>63</v>
      </c>
      <c r="J913">
        <v>44</v>
      </c>
      <c r="K913">
        <v>771</v>
      </c>
      <c r="L913">
        <v>61439</v>
      </c>
      <c r="M913" t="s">
        <v>52</v>
      </c>
      <c r="N913" t="s">
        <v>3201</v>
      </c>
      <c r="O913">
        <v>376786</v>
      </c>
      <c r="P913" t="s">
        <v>3202</v>
      </c>
      <c r="Q913">
        <v>106893</v>
      </c>
      <c r="R913" t="s">
        <v>3203</v>
      </c>
      <c r="S913">
        <v>415</v>
      </c>
      <c r="T913" t="b">
        <v>0</v>
      </c>
      <c r="U913">
        <v>99</v>
      </c>
      <c r="V913">
        <v>16</v>
      </c>
      <c r="W913" t="s">
        <v>35</v>
      </c>
      <c r="X913" t="s">
        <v>29</v>
      </c>
      <c r="Y913" t="s">
        <v>29</v>
      </c>
      <c r="Z913" t="s">
        <v>37</v>
      </c>
    </row>
    <row r="914" spans="1:26">
      <c r="A914">
        <v>1.8683038266186591E+18</v>
      </c>
      <c r="B914" t="s">
        <v>3392</v>
      </c>
      <c r="C914" t="s">
        <v>3393</v>
      </c>
      <c r="D914" t="s">
        <v>4859</v>
      </c>
      <c r="E914" t="s">
        <v>4860</v>
      </c>
      <c r="F914" t="s">
        <v>4861</v>
      </c>
      <c r="G914" t="s">
        <v>4862</v>
      </c>
      <c r="H914" t="s">
        <v>29</v>
      </c>
      <c r="I914">
        <v>34</v>
      </c>
      <c r="J914">
        <v>109</v>
      </c>
      <c r="K914">
        <v>1309</v>
      </c>
      <c r="L914">
        <v>79665</v>
      </c>
      <c r="M914" t="s">
        <v>52</v>
      </c>
      <c r="N914" t="s">
        <v>3405</v>
      </c>
      <c r="O914">
        <v>1480966</v>
      </c>
      <c r="P914" t="s">
        <v>3399</v>
      </c>
      <c r="Q914">
        <v>103753</v>
      </c>
      <c r="R914" t="s">
        <v>3400</v>
      </c>
      <c r="S914">
        <v>552</v>
      </c>
      <c r="T914" t="b">
        <v>0</v>
      </c>
      <c r="U914">
        <v>28</v>
      </c>
      <c r="V914">
        <v>3</v>
      </c>
      <c r="W914" t="s">
        <v>35</v>
      </c>
      <c r="X914" t="s">
        <v>29</v>
      </c>
      <c r="Y914" t="s">
        <v>29</v>
      </c>
      <c r="Z914" t="s">
        <v>37</v>
      </c>
    </row>
    <row r="915" spans="1:26">
      <c r="A915">
        <v>1.8683153548687283E+18</v>
      </c>
      <c r="B915" t="s">
        <v>3392</v>
      </c>
      <c r="C915" t="s">
        <v>3393</v>
      </c>
      <c r="D915" t="s">
        <v>4863</v>
      </c>
      <c r="E915" t="s">
        <v>4864</v>
      </c>
      <c r="F915" t="s">
        <v>4865</v>
      </c>
      <c r="G915" t="s">
        <v>4866</v>
      </c>
      <c r="H915" t="s">
        <v>29</v>
      </c>
      <c r="I915">
        <v>35</v>
      </c>
      <c r="J915">
        <v>15</v>
      </c>
      <c r="K915">
        <v>147</v>
      </c>
      <c r="L915">
        <v>34641</v>
      </c>
      <c r="M915" t="s">
        <v>52</v>
      </c>
      <c r="N915" t="s">
        <v>3405</v>
      </c>
      <c r="O915">
        <v>1480966</v>
      </c>
      <c r="P915" t="s">
        <v>3399</v>
      </c>
      <c r="Q915">
        <v>103753</v>
      </c>
      <c r="R915" t="s">
        <v>3400</v>
      </c>
      <c r="S915">
        <v>552</v>
      </c>
      <c r="T915" t="b">
        <v>0</v>
      </c>
      <c r="U915">
        <v>25</v>
      </c>
      <c r="V915">
        <v>2</v>
      </c>
      <c r="W915" t="s">
        <v>35</v>
      </c>
      <c r="X915" t="s">
        <v>29</v>
      </c>
      <c r="Y915" t="s">
        <v>29</v>
      </c>
      <c r="Z915" t="s">
        <v>37</v>
      </c>
    </row>
    <row r="916" spans="1:26">
      <c r="A916">
        <v>1.8683453905225979E+18</v>
      </c>
      <c r="B916" t="s">
        <v>3837</v>
      </c>
      <c r="C916" t="s">
        <v>3838</v>
      </c>
      <c r="D916" t="s">
        <v>4867</v>
      </c>
      <c r="E916" t="s">
        <v>4868</v>
      </c>
      <c r="F916" t="s">
        <v>4869</v>
      </c>
      <c r="G916" t="s">
        <v>4870</v>
      </c>
      <c r="H916" t="s">
        <v>29</v>
      </c>
      <c r="I916">
        <v>58</v>
      </c>
      <c r="J916">
        <v>161</v>
      </c>
      <c r="K916">
        <v>1169</v>
      </c>
      <c r="L916">
        <v>119988</v>
      </c>
      <c r="M916" t="s">
        <v>4452</v>
      </c>
      <c r="N916" t="s">
        <v>3843</v>
      </c>
      <c r="O916">
        <v>984256</v>
      </c>
      <c r="P916" t="s">
        <v>3844</v>
      </c>
      <c r="Q916">
        <v>136135</v>
      </c>
      <c r="R916" t="s">
        <v>3845</v>
      </c>
      <c r="S916">
        <v>438</v>
      </c>
      <c r="T916" t="b">
        <v>0</v>
      </c>
      <c r="U916">
        <v>30</v>
      </c>
      <c r="V916">
        <v>3</v>
      </c>
      <c r="W916" t="s">
        <v>35</v>
      </c>
      <c r="X916" t="s">
        <v>29</v>
      </c>
      <c r="Y916" t="s">
        <v>29</v>
      </c>
      <c r="Z916" t="s">
        <v>37</v>
      </c>
    </row>
    <row r="917" spans="1:26">
      <c r="A917">
        <v>1.868401115315999E+18</v>
      </c>
      <c r="B917" t="s">
        <v>3224</v>
      </c>
      <c r="C917" t="s">
        <v>3225</v>
      </c>
      <c r="D917" t="s">
        <v>4871</v>
      </c>
      <c r="E917" t="s">
        <v>4872</v>
      </c>
      <c r="F917" t="s">
        <v>4873</v>
      </c>
      <c r="G917" t="s">
        <v>4874</v>
      </c>
      <c r="H917" t="s">
        <v>29</v>
      </c>
      <c r="I917">
        <v>17</v>
      </c>
      <c r="J917">
        <v>62</v>
      </c>
      <c r="K917">
        <v>441</v>
      </c>
      <c r="L917">
        <v>240593</v>
      </c>
      <c r="M917" t="s">
        <v>52</v>
      </c>
      <c r="N917" t="s">
        <v>4875</v>
      </c>
      <c r="O917">
        <v>2999631</v>
      </c>
      <c r="P917" t="s">
        <v>3230</v>
      </c>
      <c r="Q917">
        <v>183050</v>
      </c>
      <c r="R917" t="s">
        <v>3231</v>
      </c>
      <c r="S917">
        <v>920</v>
      </c>
      <c r="T917" t="b">
        <v>0</v>
      </c>
      <c r="U917">
        <v>23</v>
      </c>
      <c r="V917">
        <v>7</v>
      </c>
      <c r="W917" t="s">
        <v>35</v>
      </c>
      <c r="X917" t="s">
        <v>29</v>
      </c>
      <c r="Y917" t="s">
        <v>29</v>
      </c>
      <c r="Z917" t="s">
        <v>37</v>
      </c>
    </row>
    <row r="918" spans="1:26">
      <c r="A918">
        <v>1.868380774279328E+18</v>
      </c>
      <c r="B918" t="s">
        <v>3837</v>
      </c>
      <c r="C918" t="s">
        <v>3838</v>
      </c>
      <c r="D918" t="s">
        <v>4876</v>
      </c>
      <c r="E918" t="s">
        <v>4877</v>
      </c>
      <c r="F918" t="s">
        <v>4878</v>
      </c>
      <c r="G918" t="s">
        <v>4879</v>
      </c>
      <c r="H918" t="s">
        <v>29</v>
      </c>
      <c r="I918">
        <v>25</v>
      </c>
      <c r="J918">
        <v>478</v>
      </c>
      <c r="K918">
        <v>6067</v>
      </c>
      <c r="L918">
        <v>93848</v>
      </c>
      <c r="M918" t="s">
        <v>52</v>
      </c>
      <c r="N918" t="s">
        <v>3843</v>
      </c>
      <c r="O918">
        <v>984263</v>
      </c>
      <c r="P918" t="s">
        <v>3844</v>
      </c>
      <c r="Q918">
        <v>136135</v>
      </c>
      <c r="R918" t="s">
        <v>3845</v>
      </c>
      <c r="S918">
        <v>438</v>
      </c>
      <c r="T918" t="b">
        <v>0</v>
      </c>
      <c r="U918">
        <v>19</v>
      </c>
      <c r="V918">
        <v>28</v>
      </c>
      <c r="W918" t="s">
        <v>35</v>
      </c>
      <c r="X918" t="s">
        <v>29</v>
      </c>
      <c r="Y918" t="s">
        <v>29</v>
      </c>
      <c r="Z918" t="s">
        <v>37</v>
      </c>
    </row>
    <row r="919" spans="1:26">
      <c r="A919">
        <v>1.8684008915118861E+18</v>
      </c>
      <c r="B919" t="s">
        <v>3034</v>
      </c>
      <c r="C919" t="s">
        <v>3035</v>
      </c>
      <c r="D919" t="s">
        <v>4880</v>
      </c>
      <c r="E919" t="s">
        <v>4881</v>
      </c>
      <c r="F919" t="s">
        <v>4882</v>
      </c>
      <c r="G919" t="s">
        <v>4883</v>
      </c>
      <c r="H919" t="s">
        <v>3652</v>
      </c>
      <c r="I919">
        <v>37</v>
      </c>
      <c r="J919">
        <v>46</v>
      </c>
      <c r="K919">
        <v>629</v>
      </c>
      <c r="L919">
        <v>96025</v>
      </c>
      <c r="M919" t="s">
        <v>52</v>
      </c>
      <c r="N919" t="s">
        <v>3040</v>
      </c>
      <c r="O919">
        <v>12876593</v>
      </c>
      <c r="P919" t="s">
        <v>3041</v>
      </c>
      <c r="Q919">
        <v>141401</v>
      </c>
      <c r="R919" t="s">
        <v>3042</v>
      </c>
      <c r="S919">
        <v>717</v>
      </c>
      <c r="T919" t="b">
        <v>0</v>
      </c>
      <c r="U919">
        <v>3</v>
      </c>
      <c r="V919">
        <v>10</v>
      </c>
      <c r="W919" t="s">
        <v>35</v>
      </c>
      <c r="X919" t="s">
        <v>29</v>
      </c>
      <c r="Y919" t="s">
        <v>29</v>
      </c>
      <c r="Z919" t="s">
        <v>37</v>
      </c>
    </row>
    <row r="920" spans="1:26">
      <c r="A920">
        <v>1.8683711957221583E+18</v>
      </c>
      <c r="B920" t="s">
        <v>3034</v>
      </c>
      <c r="C920" t="s">
        <v>3035</v>
      </c>
      <c r="D920" t="s">
        <v>4884</v>
      </c>
      <c r="E920" t="s">
        <v>4885</v>
      </c>
      <c r="F920" t="s">
        <v>4886</v>
      </c>
      <c r="G920" t="s">
        <v>4887</v>
      </c>
      <c r="H920" t="s">
        <v>3052</v>
      </c>
      <c r="I920">
        <v>43</v>
      </c>
      <c r="J920">
        <v>52</v>
      </c>
      <c r="K920">
        <v>803</v>
      </c>
      <c r="L920">
        <v>95255</v>
      </c>
      <c r="M920" t="s">
        <v>52</v>
      </c>
      <c r="N920" t="s">
        <v>3040</v>
      </c>
      <c r="O920">
        <v>12876593</v>
      </c>
      <c r="P920" t="s">
        <v>3041</v>
      </c>
      <c r="Q920">
        <v>141401</v>
      </c>
      <c r="R920" t="s">
        <v>3042</v>
      </c>
      <c r="S920">
        <v>717</v>
      </c>
      <c r="T920" t="b">
        <v>0</v>
      </c>
      <c r="U920">
        <v>5</v>
      </c>
      <c r="V920">
        <v>11</v>
      </c>
      <c r="W920" t="s">
        <v>35</v>
      </c>
      <c r="X920" t="s">
        <v>29</v>
      </c>
      <c r="Y920" t="s">
        <v>29</v>
      </c>
      <c r="Z920" t="s">
        <v>37</v>
      </c>
    </row>
    <row r="921" spans="1:26">
      <c r="A921">
        <v>1.8681098353484273E+18</v>
      </c>
      <c r="B921" t="s">
        <v>3083</v>
      </c>
      <c r="C921" t="s">
        <v>3083</v>
      </c>
      <c r="D921" t="s">
        <v>4888</v>
      </c>
      <c r="E921" t="s">
        <v>4889</v>
      </c>
      <c r="F921" t="s">
        <v>4890</v>
      </c>
      <c r="G921" t="s">
        <v>4891</v>
      </c>
      <c r="H921" t="s">
        <v>4892</v>
      </c>
      <c r="I921">
        <v>532</v>
      </c>
      <c r="J921">
        <v>1805</v>
      </c>
      <c r="K921">
        <v>11582</v>
      </c>
      <c r="L921">
        <v>425214</v>
      </c>
      <c r="M921" t="s">
        <v>52</v>
      </c>
      <c r="N921" t="s">
        <v>3087</v>
      </c>
      <c r="O921">
        <v>14375935</v>
      </c>
      <c r="P921" t="s">
        <v>3088</v>
      </c>
      <c r="Q921">
        <v>346973</v>
      </c>
      <c r="R921" t="s">
        <v>3089</v>
      </c>
      <c r="S921">
        <v>392</v>
      </c>
      <c r="T921" t="b">
        <v>0</v>
      </c>
      <c r="U921">
        <v>235</v>
      </c>
      <c r="V921">
        <v>263</v>
      </c>
      <c r="W921" t="s">
        <v>35</v>
      </c>
      <c r="X921" t="s">
        <v>29</v>
      </c>
      <c r="Y921" t="s">
        <v>29</v>
      </c>
      <c r="Z921" t="s">
        <v>37</v>
      </c>
    </row>
    <row r="922" spans="1:26">
      <c r="A922">
        <v>1.8683204018618327E+18</v>
      </c>
      <c r="B922" t="s">
        <v>2994</v>
      </c>
      <c r="C922" t="s">
        <v>2995</v>
      </c>
      <c r="D922" t="s">
        <v>4893</v>
      </c>
      <c r="E922" t="s">
        <v>4894</v>
      </c>
      <c r="F922" t="s">
        <v>4895</v>
      </c>
      <c r="G922" t="s">
        <v>4896</v>
      </c>
      <c r="H922" t="s">
        <v>29</v>
      </c>
      <c r="I922">
        <v>20</v>
      </c>
      <c r="J922">
        <v>47</v>
      </c>
      <c r="K922">
        <v>923</v>
      </c>
      <c r="L922">
        <v>107172</v>
      </c>
      <c r="M922" t="s">
        <v>52</v>
      </c>
      <c r="N922" t="s">
        <v>3174</v>
      </c>
      <c r="O922">
        <v>812161</v>
      </c>
      <c r="P922" t="s">
        <v>3000</v>
      </c>
      <c r="Q922">
        <v>110924</v>
      </c>
      <c r="R922" t="s">
        <v>3001</v>
      </c>
      <c r="S922">
        <v>322</v>
      </c>
      <c r="T922" t="b">
        <v>0</v>
      </c>
      <c r="U922">
        <v>4</v>
      </c>
      <c r="V922">
        <v>6</v>
      </c>
      <c r="W922" t="s">
        <v>35</v>
      </c>
      <c r="X922" t="s">
        <v>29</v>
      </c>
      <c r="Y922" t="s">
        <v>29</v>
      </c>
      <c r="Z922" t="s">
        <v>37</v>
      </c>
    </row>
    <row r="923" spans="1:26">
      <c r="A923">
        <v>1.868415574403113E+18</v>
      </c>
      <c r="B923" t="s">
        <v>4694</v>
      </c>
      <c r="C923" t="s">
        <v>4695</v>
      </c>
      <c r="D923" t="s">
        <v>4897</v>
      </c>
      <c r="E923" t="s">
        <v>4898</v>
      </c>
      <c r="F923" t="s">
        <v>4899</v>
      </c>
      <c r="G923" t="s">
        <v>4900</v>
      </c>
      <c r="H923" t="s">
        <v>4699</v>
      </c>
      <c r="I923">
        <v>3</v>
      </c>
      <c r="J923">
        <v>8</v>
      </c>
      <c r="K923">
        <v>79</v>
      </c>
      <c r="L923">
        <v>6930</v>
      </c>
      <c r="M923" t="s">
        <v>52</v>
      </c>
      <c r="N923" t="s">
        <v>4701</v>
      </c>
      <c r="O923">
        <v>1123810</v>
      </c>
      <c r="P923" t="s">
        <v>4702</v>
      </c>
      <c r="Q923">
        <v>34290</v>
      </c>
      <c r="R923" t="s">
        <v>4703</v>
      </c>
      <c r="S923">
        <v>63</v>
      </c>
      <c r="T923" t="b">
        <v>0</v>
      </c>
      <c r="U923">
        <v>3</v>
      </c>
      <c r="V923">
        <v>1</v>
      </c>
      <c r="W923" t="s">
        <v>35</v>
      </c>
      <c r="X923" t="s">
        <v>29</v>
      </c>
      <c r="Y923" t="s">
        <v>29</v>
      </c>
      <c r="Z923" t="s">
        <v>37</v>
      </c>
    </row>
    <row r="924" spans="1:26">
      <c r="A924">
        <v>1.8683893147043558E+18</v>
      </c>
      <c r="B924" t="s">
        <v>3392</v>
      </c>
      <c r="C924" t="s">
        <v>3393</v>
      </c>
      <c r="D924" t="s">
        <v>4901</v>
      </c>
      <c r="E924" t="s">
        <v>4902</v>
      </c>
      <c r="F924" t="s">
        <v>4903</v>
      </c>
      <c r="G924" t="s">
        <v>4904</v>
      </c>
      <c r="H924" t="s">
        <v>29</v>
      </c>
      <c r="I924">
        <v>5</v>
      </c>
      <c r="J924">
        <v>34</v>
      </c>
      <c r="K924">
        <v>761</v>
      </c>
      <c r="L924">
        <v>20916</v>
      </c>
      <c r="M924" t="s">
        <v>52</v>
      </c>
      <c r="N924" t="s">
        <v>3405</v>
      </c>
      <c r="O924">
        <v>1480962</v>
      </c>
      <c r="P924" t="s">
        <v>3399</v>
      </c>
      <c r="Q924">
        <v>103753</v>
      </c>
      <c r="R924" t="s">
        <v>3400</v>
      </c>
      <c r="S924">
        <v>552</v>
      </c>
      <c r="T924" t="b">
        <v>0</v>
      </c>
      <c r="U924">
        <v>1</v>
      </c>
      <c r="V924">
        <v>8</v>
      </c>
      <c r="W924" t="s">
        <v>35</v>
      </c>
      <c r="X924" t="s">
        <v>29</v>
      </c>
      <c r="Y924" t="s">
        <v>29</v>
      </c>
      <c r="Z924" t="s">
        <v>37</v>
      </c>
    </row>
    <row r="925" spans="1:26">
      <c r="A925">
        <v>1.8681147971638889E+18</v>
      </c>
      <c r="B925" t="s">
        <v>3034</v>
      </c>
      <c r="C925" t="s">
        <v>3035</v>
      </c>
      <c r="D925" t="s">
        <v>4905</v>
      </c>
      <c r="E925" t="s">
        <v>4906</v>
      </c>
      <c r="F925" t="s">
        <v>4907</v>
      </c>
      <c r="G925" t="s">
        <v>4908</v>
      </c>
      <c r="H925" t="s">
        <v>4909</v>
      </c>
      <c r="I925">
        <v>25</v>
      </c>
      <c r="J925">
        <v>45</v>
      </c>
      <c r="K925">
        <v>601</v>
      </c>
      <c r="L925">
        <v>89304</v>
      </c>
      <c r="M925" t="s">
        <v>52</v>
      </c>
      <c r="N925" t="s">
        <v>3040</v>
      </c>
      <c r="O925">
        <v>12876594</v>
      </c>
      <c r="P925" t="s">
        <v>3041</v>
      </c>
      <c r="Q925">
        <v>141401</v>
      </c>
      <c r="R925" t="s">
        <v>3042</v>
      </c>
      <c r="S925">
        <v>717</v>
      </c>
      <c r="T925" t="b">
        <v>0</v>
      </c>
      <c r="U925">
        <v>3</v>
      </c>
      <c r="V925">
        <v>5</v>
      </c>
      <c r="W925" t="s">
        <v>35</v>
      </c>
      <c r="X925" t="s">
        <v>29</v>
      </c>
      <c r="Y925" t="s">
        <v>29</v>
      </c>
      <c r="Z925" t="s">
        <v>37</v>
      </c>
    </row>
    <row r="926" spans="1:26">
      <c r="A926">
        <v>1.8681005238635397E+18</v>
      </c>
      <c r="B926" t="s">
        <v>3034</v>
      </c>
      <c r="C926" t="s">
        <v>3035</v>
      </c>
      <c r="D926" t="s">
        <v>4910</v>
      </c>
      <c r="E926" t="s">
        <v>4911</v>
      </c>
      <c r="F926" t="s">
        <v>4912</v>
      </c>
      <c r="G926" t="s">
        <v>4913</v>
      </c>
      <c r="H926" t="s">
        <v>3272</v>
      </c>
      <c r="I926">
        <v>51</v>
      </c>
      <c r="J926">
        <v>44</v>
      </c>
      <c r="K926">
        <v>537</v>
      </c>
      <c r="L926">
        <v>96438</v>
      </c>
      <c r="M926" t="s">
        <v>52</v>
      </c>
      <c r="N926" t="s">
        <v>3040</v>
      </c>
      <c r="O926">
        <v>12876593</v>
      </c>
      <c r="P926" t="s">
        <v>3041</v>
      </c>
      <c r="Q926">
        <v>141401</v>
      </c>
      <c r="R926" t="s">
        <v>3042</v>
      </c>
      <c r="S926">
        <v>717</v>
      </c>
      <c r="T926" t="b">
        <v>0</v>
      </c>
      <c r="U926">
        <v>9</v>
      </c>
      <c r="V926">
        <v>4</v>
      </c>
      <c r="W926" t="s">
        <v>35</v>
      </c>
      <c r="X926" t="s">
        <v>29</v>
      </c>
      <c r="Y926" t="s">
        <v>29</v>
      </c>
      <c r="Z926" t="s">
        <v>37</v>
      </c>
    </row>
    <row r="927" spans="1:26">
      <c r="A927">
        <v>1.8682252338341274E+18</v>
      </c>
      <c r="B927" t="s">
        <v>4777</v>
      </c>
      <c r="C927" t="s">
        <v>4778</v>
      </c>
      <c r="D927" t="s">
        <v>4914</v>
      </c>
      <c r="E927" t="s">
        <v>4915</v>
      </c>
      <c r="F927" t="s">
        <v>29</v>
      </c>
      <c r="G927" t="s">
        <v>4916</v>
      </c>
      <c r="H927" t="s">
        <v>4917</v>
      </c>
      <c r="I927">
        <v>42</v>
      </c>
      <c r="J927">
        <v>156</v>
      </c>
      <c r="K927">
        <v>1924</v>
      </c>
      <c r="L927">
        <v>228168</v>
      </c>
      <c r="M927" t="s">
        <v>4918</v>
      </c>
      <c r="N927" t="s">
        <v>742</v>
      </c>
      <c r="O927">
        <v>10795896</v>
      </c>
      <c r="P927" t="s">
        <v>4783</v>
      </c>
      <c r="Q927">
        <v>95508</v>
      </c>
      <c r="R927" t="s">
        <v>4784</v>
      </c>
      <c r="S927">
        <v>98</v>
      </c>
      <c r="T927" t="b">
        <v>0</v>
      </c>
      <c r="U927">
        <v>5</v>
      </c>
      <c r="V927">
        <v>69</v>
      </c>
      <c r="W927" t="s">
        <v>35</v>
      </c>
      <c r="X927" t="s">
        <v>4919</v>
      </c>
      <c r="Y927" t="s">
        <v>29</v>
      </c>
      <c r="Z927" t="s">
        <v>37</v>
      </c>
    </row>
    <row r="928" spans="1:26">
      <c r="A928">
        <v>1.8681018162250061E+18</v>
      </c>
      <c r="B928" t="s">
        <v>2474</v>
      </c>
      <c r="C928" t="s">
        <v>2475</v>
      </c>
      <c r="D928" t="s">
        <v>4920</v>
      </c>
      <c r="E928" t="s">
        <v>4921</v>
      </c>
      <c r="F928" t="s">
        <v>4922</v>
      </c>
      <c r="G928" t="s">
        <v>4923</v>
      </c>
      <c r="H928" t="s">
        <v>4924</v>
      </c>
      <c r="I928">
        <v>12</v>
      </c>
      <c r="J928">
        <v>3</v>
      </c>
      <c r="K928">
        <v>46</v>
      </c>
      <c r="L928">
        <v>12100</v>
      </c>
      <c r="M928" t="s">
        <v>52</v>
      </c>
      <c r="N928" t="s">
        <v>4925</v>
      </c>
      <c r="O928">
        <v>1511302</v>
      </c>
      <c r="P928" t="s">
        <v>2481</v>
      </c>
      <c r="Q928">
        <v>56647</v>
      </c>
      <c r="R928" t="s">
        <v>2482</v>
      </c>
      <c r="S928">
        <v>80</v>
      </c>
      <c r="T928" t="b">
        <v>0</v>
      </c>
      <c r="U928">
        <v>2</v>
      </c>
      <c r="V928">
        <v>0</v>
      </c>
      <c r="W928" t="s">
        <v>35</v>
      </c>
      <c r="X928" t="s">
        <v>29</v>
      </c>
      <c r="Y928" t="s">
        <v>29</v>
      </c>
      <c r="Z928" t="s">
        <v>37</v>
      </c>
    </row>
    <row r="929" spans="1:26">
      <c r="A929">
        <v>1.8681237362992538E+18</v>
      </c>
      <c r="B929" t="s">
        <v>2474</v>
      </c>
      <c r="C929" t="s">
        <v>2475</v>
      </c>
      <c r="D929" t="s">
        <v>4926</v>
      </c>
      <c r="E929" t="s">
        <v>4927</v>
      </c>
      <c r="F929" t="s">
        <v>4928</v>
      </c>
      <c r="G929" t="s">
        <v>4929</v>
      </c>
      <c r="H929" t="s">
        <v>4930</v>
      </c>
      <c r="I929">
        <v>150</v>
      </c>
      <c r="J929">
        <v>146</v>
      </c>
      <c r="K929">
        <v>721</v>
      </c>
      <c r="L929">
        <v>53715</v>
      </c>
      <c r="M929" t="s">
        <v>52</v>
      </c>
      <c r="N929" t="s">
        <v>4931</v>
      </c>
      <c r="O929">
        <v>1511302</v>
      </c>
      <c r="P929" t="s">
        <v>2481</v>
      </c>
      <c r="Q929">
        <v>56647</v>
      </c>
      <c r="R929" t="s">
        <v>2482</v>
      </c>
      <c r="S929">
        <v>80</v>
      </c>
      <c r="T929" t="b">
        <v>0</v>
      </c>
      <c r="U929">
        <v>29</v>
      </c>
      <c r="V929">
        <v>3</v>
      </c>
      <c r="W929" t="s">
        <v>35</v>
      </c>
      <c r="X929" t="s">
        <v>29</v>
      </c>
      <c r="Y929" t="s">
        <v>29</v>
      </c>
      <c r="Z929" t="s">
        <v>37</v>
      </c>
    </row>
    <row r="930" spans="1:26">
      <c r="A930">
        <v>1.8683270099000074E+18</v>
      </c>
      <c r="B930" t="s">
        <v>3392</v>
      </c>
      <c r="C930" t="s">
        <v>3393</v>
      </c>
      <c r="D930" t="s">
        <v>4932</v>
      </c>
      <c r="E930" t="s">
        <v>4933</v>
      </c>
      <c r="F930" t="s">
        <v>4934</v>
      </c>
      <c r="G930" t="s">
        <v>4935</v>
      </c>
      <c r="H930" t="s">
        <v>29</v>
      </c>
      <c r="I930">
        <v>46</v>
      </c>
      <c r="J930">
        <v>399</v>
      </c>
      <c r="K930">
        <v>5555</v>
      </c>
      <c r="L930">
        <v>148528</v>
      </c>
      <c r="M930" t="s">
        <v>52</v>
      </c>
      <c r="N930" t="s">
        <v>3398</v>
      </c>
      <c r="O930">
        <v>1480964</v>
      </c>
      <c r="P930" t="s">
        <v>3399</v>
      </c>
      <c r="Q930">
        <v>103753</v>
      </c>
      <c r="R930" t="s">
        <v>3400</v>
      </c>
      <c r="S930">
        <v>552</v>
      </c>
      <c r="T930" t="b">
        <v>0</v>
      </c>
      <c r="U930">
        <v>44</v>
      </c>
      <c r="V930">
        <v>59</v>
      </c>
      <c r="W930" t="s">
        <v>35</v>
      </c>
      <c r="X930" t="s">
        <v>29</v>
      </c>
      <c r="Y930" t="s">
        <v>29</v>
      </c>
      <c r="Z930" t="s">
        <v>37</v>
      </c>
    </row>
    <row r="931" spans="1:26">
      <c r="A931">
        <v>1.8681245370256348E+18</v>
      </c>
      <c r="B931" t="s">
        <v>2474</v>
      </c>
      <c r="C931" t="s">
        <v>2475</v>
      </c>
      <c r="D931" t="s">
        <v>4936</v>
      </c>
      <c r="E931" t="s">
        <v>4937</v>
      </c>
      <c r="F931" t="s">
        <v>4938</v>
      </c>
      <c r="G931" t="s">
        <v>4939</v>
      </c>
      <c r="H931" t="s">
        <v>4924</v>
      </c>
      <c r="I931">
        <v>107</v>
      </c>
      <c r="J931">
        <v>91</v>
      </c>
      <c r="K931">
        <v>644</v>
      </c>
      <c r="L931">
        <v>47718</v>
      </c>
      <c r="M931" t="s">
        <v>52</v>
      </c>
      <c r="N931" t="s">
        <v>4940</v>
      </c>
      <c r="O931">
        <v>1511302</v>
      </c>
      <c r="P931" t="s">
        <v>2481</v>
      </c>
      <c r="Q931">
        <v>56647</v>
      </c>
      <c r="R931" t="s">
        <v>2482</v>
      </c>
      <c r="S931">
        <v>80</v>
      </c>
      <c r="T931" t="b">
        <v>0</v>
      </c>
      <c r="U931">
        <v>11</v>
      </c>
      <c r="V931">
        <v>6</v>
      </c>
      <c r="W931" t="s">
        <v>35</v>
      </c>
      <c r="X931" t="s">
        <v>29</v>
      </c>
      <c r="Y931" t="s">
        <v>29</v>
      </c>
      <c r="Z931" t="s">
        <v>37</v>
      </c>
    </row>
    <row r="932" spans="1:26">
      <c r="A932">
        <v>1.8660273072380644E+18</v>
      </c>
      <c r="B932" t="s">
        <v>4941</v>
      </c>
      <c r="C932" t="s">
        <v>4942</v>
      </c>
      <c r="D932" t="s">
        <v>4943</v>
      </c>
      <c r="E932" t="s">
        <v>4944</v>
      </c>
      <c r="F932" t="s">
        <v>4945</v>
      </c>
      <c r="G932" t="s">
        <v>4946</v>
      </c>
      <c r="H932" t="s">
        <v>29</v>
      </c>
      <c r="I932">
        <v>3</v>
      </c>
      <c r="J932">
        <v>71</v>
      </c>
      <c r="K932">
        <v>118</v>
      </c>
      <c r="L932">
        <v>5946</v>
      </c>
      <c r="M932" t="s">
        <v>52</v>
      </c>
      <c r="N932" t="s">
        <v>4947</v>
      </c>
      <c r="O932">
        <v>54834</v>
      </c>
      <c r="P932" t="s">
        <v>4948</v>
      </c>
      <c r="Q932">
        <v>15101</v>
      </c>
      <c r="R932" t="s">
        <v>4949</v>
      </c>
      <c r="S932">
        <v>60</v>
      </c>
      <c r="T932" t="b">
        <v>0</v>
      </c>
      <c r="U932">
        <v>1</v>
      </c>
      <c r="V932">
        <v>2</v>
      </c>
      <c r="W932" t="s">
        <v>35</v>
      </c>
      <c r="X932" t="s">
        <v>29</v>
      </c>
      <c r="Y932" t="s">
        <v>29</v>
      </c>
      <c r="Z932" t="s">
        <v>37</v>
      </c>
    </row>
    <row r="933" spans="1:26">
      <c r="A933">
        <v>1.8682724862086595E+18</v>
      </c>
      <c r="B933" t="s">
        <v>4950</v>
      </c>
      <c r="C933" t="s">
        <v>4951</v>
      </c>
      <c r="D933" t="s">
        <v>4952</v>
      </c>
      <c r="E933" t="s">
        <v>4953</v>
      </c>
      <c r="F933" t="s">
        <v>4954</v>
      </c>
      <c r="G933" t="s">
        <v>4955</v>
      </c>
      <c r="H933" t="s">
        <v>29</v>
      </c>
      <c r="I933">
        <v>89</v>
      </c>
      <c r="J933">
        <v>303</v>
      </c>
      <c r="K933">
        <v>6485</v>
      </c>
      <c r="L933">
        <v>223302</v>
      </c>
      <c r="M933" t="s">
        <v>52</v>
      </c>
      <c r="N933" t="s">
        <v>4956</v>
      </c>
      <c r="O933">
        <v>3966792</v>
      </c>
      <c r="P933" t="s">
        <v>4957</v>
      </c>
      <c r="Q933">
        <v>3157</v>
      </c>
      <c r="R933" t="s">
        <v>4958</v>
      </c>
      <c r="S933">
        <v>228</v>
      </c>
      <c r="T933" t="b">
        <v>0</v>
      </c>
      <c r="U933">
        <v>30</v>
      </c>
      <c r="V933">
        <v>43</v>
      </c>
      <c r="W933" t="s">
        <v>35</v>
      </c>
      <c r="X933" t="s">
        <v>29</v>
      </c>
      <c r="Y933" t="s">
        <v>29</v>
      </c>
      <c r="Z933" t="s">
        <v>37</v>
      </c>
    </row>
    <row r="934" spans="1:26">
      <c r="A934">
        <v>1.8682234628815672E+18</v>
      </c>
      <c r="B934" t="s">
        <v>3392</v>
      </c>
      <c r="C934" t="s">
        <v>3393</v>
      </c>
      <c r="D934" t="s">
        <v>4959</v>
      </c>
      <c r="E934" t="s">
        <v>4960</v>
      </c>
      <c r="F934" t="s">
        <v>4961</v>
      </c>
      <c r="G934" t="s">
        <v>4962</v>
      </c>
      <c r="H934" t="s">
        <v>29</v>
      </c>
      <c r="I934">
        <v>22</v>
      </c>
      <c r="J934">
        <v>52</v>
      </c>
      <c r="K934">
        <v>827</v>
      </c>
      <c r="L934">
        <v>68581</v>
      </c>
      <c r="M934" t="s">
        <v>52</v>
      </c>
      <c r="N934" t="s">
        <v>3405</v>
      </c>
      <c r="O934">
        <v>1480964</v>
      </c>
      <c r="P934" t="s">
        <v>3399</v>
      </c>
      <c r="Q934">
        <v>103753</v>
      </c>
      <c r="R934" t="s">
        <v>3400</v>
      </c>
      <c r="S934">
        <v>552</v>
      </c>
      <c r="T934" t="b">
        <v>0</v>
      </c>
      <c r="U934">
        <v>29</v>
      </c>
      <c r="V934">
        <v>7</v>
      </c>
      <c r="W934" t="s">
        <v>35</v>
      </c>
      <c r="X934" t="s">
        <v>29</v>
      </c>
      <c r="Y934" t="s">
        <v>29</v>
      </c>
      <c r="Z934" t="s">
        <v>37</v>
      </c>
    </row>
    <row r="935" spans="1:26">
      <c r="A935">
        <v>1.8682782919013663E+18</v>
      </c>
      <c r="B935" t="s">
        <v>3837</v>
      </c>
      <c r="C935" t="s">
        <v>3838</v>
      </c>
      <c r="D935" t="s">
        <v>4963</v>
      </c>
      <c r="E935" t="s">
        <v>4964</v>
      </c>
      <c r="F935" t="s">
        <v>29</v>
      </c>
      <c r="G935" t="s">
        <v>4965</v>
      </c>
      <c r="H935" t="s">
        <v>4966</v>
      </c>
      <c r="I935">
        <v>17</v>
      </c>
      <c r="J935">
        <v>28</v>
      </c>
      <c r="K935">
        <v>256</v>
      </c>
      <c r="L935">
        <v>66427</v>
      </c>
      <c r="M935" t="s">
        <v>4967</v>
      </c>
      <c r="N935" t="s">
        <v>3843</v>
      </c>
      <c r="O935">
        <v>984256</v>
      </c>
      <c r="P935" t="s">
        <v>3844</v>
      </c>
      <c r="Q935">
        <v>136135</v>
      </c>
      <c r="R935" t="s">
        <v>3845</v>
      </c>
      <c r="S935">
        <v>438</v>
      </c>
      <c r="T935" t="b">
        <v>0</v>
      </c>
      <c r="U935">
        <v>2</v>
      </c>
      <c r="V935">
        <v>2</v>
      </c>
      <c r="W935" t="s">
        <v>35</v>
      </c>
      <c r="X935" t="s">
        <v>29</v>
      </c>
      <c r="Y935" t="s">
        <v>29</v>
      </c>
      <c r="Z935" t="s">
        <v>37</v>
      </c>
    </row>
    <row r="936" spans="1:26">
      <c r="A936">
        <v>1.8682498964252713E+18</v>
      </c>
      <c r="B936" t="s">
        <v>3024</v>
      </c>
      <c r="C936" t="s">
        <v>3025</v>
      </c>
      <c r="D936" t="s">
        <v>4968</v>
      </c>
      <c r="E936" t="s">
        <v>4969</v>
      </c>
      <c r="F936" t="s">
        <v>4970</v>
      </c>
      <c r="G936" t="s">
        <v>4971</v>
      </c>
      <c r="H936" t="s">
        <v>4972</v>
      </c>
      <c r="I936">
        <v>5</v>
      </c>
      <c r="J936">
        <v>16</v>
      </c>
      <c r="K936">
        <v>310</v>
      </c>
      <c r="L936">
        <v>16003</v>
      </c>
      <c r="M936" t="s">
        <v>52</v>
      </c>
      <c r="N936" t="s">
        <v>3030</v>
      </c>
      <c r="O936">
        <v>1076244</v>
      </c>
      <c r="P936" t="s">
        <v>3031</v>
      </c>
      <c r="Q936">
        <v>55798</v>
      </c>
      <c r="R936" t="s">
        <v>3032</v>
      </c>
      <c r="S936">
        <v>1771</v>
      </c>
      <c r="T936" t="b">
        <v>0</v>
      </c>
      <c r="U936">
        <v>6</v>
      </c>
      <c r="V936">
        <v>2</v>
      </c>
      <c r="W936" t="s">
        <v>35</v>
      </c>
      <c r="X936" t="s">
        <v>29</v>
      </c>
      <c r="Y936" t="s">
        <v>29</v>
      </c>
      <c r="Z936" t="s">
        <v>37</v>
      </c>
    </row>
    <row r="937" spans="1:26">
      <c r="A937">
        <v>1.8684320971042696E+18</v>
      </c>
      <c r="B937" t="s">
        <v>3034</v>
      </c>
      <c r="C937" t="s">
        <v>3035</v>
      </c>
      <c r="D937" t="s">
        <v>4973</v>
      </c>
      <c r="E937" t="s">
        <v>4974</v>
      </c>
      <c r="F937" t="s">
        <v>4975</v>
      </c>
      <c r="G937" t="s">
        <v>4976</v>
      </c>
      <c r="H937" t="s">
        <v>4977</v>
      </c>
      <c r="I937">
        <v>30</v>
      </c>
      <c r="J937">
        <v>57</v>
      </c>
      <c r="K937">
        <v>763</v>
      </c>
      <c r="L937">
        <v>97382</v>
      </c>
      <c r="M937" t="s">
        <v>52</v>
      </c>
      <c r="N937" t="s">
        <v>3040</v>
      </c>
      <c r="O937">
        <v>12876593</v>
      </c>
      <c r="P937" t="s">
        <v>3041</v>
      </c>
      <c r="Q937">
        <v>141401</v>
      </c>
      <c r="R937" t="s">
        <v>3042</v>
      </c>
      <c r="S937">
        <v>717</v>
      </c>
      <c r="T937" t="b">
        <v>0</v>
      </c>
      <c r="U937">
        <v>1</v>
      </c>
      <c r="V937">
        <v>15</v>
      </c>
      <c r="W937" t="s">
        <v>35</v>
      </c>
      <c r="X937" t="s">
        <v>29</v>
      </c>
      <c r="Y937" t="s">
        <v>29</v>
      </c>
      <c r="Z937" t="s">
        <v>37</v>
      </c>
    </row>
    <row r="938" spans="1:26">
      <c r="A938">
        <v>1.8684015870829773E+18</v>
      </c>
      <c r="B938" t="s">
        <v>3224</v>
      </c>
      <c r="C938" t="s">
        <v>3225</v>
      </c>
      <c r="D938" t="s">
        <v>4978</v>
      </c>
      <c r="E938" t="s">
        <v>4979</v>
      </c>
      <c r="F938" t="s">
        <v>4980</v>
      </c>
      <c r="G938" t="s">
        <v>4981</v>
      </c>
      <c r="H938" t="s">
        <v>4982</v>
      </c>
      <c r="I938">
        <v>6</v>
      </c>
      <c r="J938">
        <v>41</v>
      </c>
      <c r="K938">
        <v>306</v>
      </c>
      <c r="L938">
        <v>77236</v>
      </c>
      <c r="M938" t="s">
        <v>52</v>
      </c>
      <c r="N938" t="s">
        <v>29</v>
      </c>
      <c r="O938">
        <v>2999631</v>
      </c>
      <c r="P938" t="s">
        <v>3230</v>
      </c>
      <c r="Q938">
        <v>183050</v>
      </c>
      <c r="R938" t="s">
        <v>3231</v>
      </c>
      <c r="S938">
        <v>920</v>
      </c>
      <c r="T938" t="b">
        <v>0</v>
      </c>
      <c r="U938">
        <v>1</v>
      </c>
      <c r="V938">
        <v>1</v>
      </c>
      <c r="W938" t="s">
        <v>35</v>
      </c>
      <c r="X938" t="s">
        <v>29</v>
      </c>
      <c r="Y938" t="s">
        <v>29</v>
      </c>
      <c r="Z938" t="s">
        <v>37</v>
      </c>
    </row>
    <row r="939" spans="1:26">
      <c r="A939">
        <v>1.8681100455666284E+18</v>
      </c>
      <c r="B939" t="s">
        <v>3083</v>
      </c>
      <c r="C939" t="s">
        <v>3083</v>
      </c>
      <c r="D939" t="s">
        <v>4983</v>
      </c>
      <c r="E939" t="s">
        <v>4984</v>
      </c>
      <c r="F939" t="s">
        <v>4985</v>
      </c>
      <c r="G939" t="s">
        <v>4986</v>
      </c>
      <c r="H939" t="s">
        <v>29</v>
      </c>
      <c r="I939">
        <v>190</v>
      </c>
      <c r="J939">
        <v>356</v>
      </c>
      <c r="K939">
        <v>2536</v>
      </c>
      <c r="L939">
        <v>228467</v>
      </c>
      <c r="M939" t="s">
        <v>52</v>
      </c>
      <c r="N939" t="s">
        <v>3087</v>
      </c>
      <c r="O939">
        <v>14375934</v>
      </c>
      <c r="P939" t="s">
        <v>3088</v>
      </c>
      <c r="Q939">
        <v>346973</v>
      </c>
      <c r="R939" t="s">
        <v>3089</v>
      </c>
      <c r="S939">
        <v>392</v>
      </c>
      <c r="T939" t="b">
        <v>0</v>
      </c>
      <c r="U939">
        <v>44</v>
      </c>
      <c r="V939">
        <v>87</v>
      </c>
      <c r="W939" t="s">
        <v>35</v>
      </c>
      <c r="X939" t="s">
        <v>29</v>
      </c>
      <c r="Y939" t="s">
        <v>29</v>
      </c>
      <c r="Z939" t="s">
        <v>37</v>
      </c>
    </row>
    <row r="940" spans="1:26">
      <c r="A940">
        <v>1.8681207117113677E+18</v>
      </c>
      <c r="B940" t="s">
        <v>3083</v>
      </c>
      <c r="C940" t="s">
        <v>3083</v>
      </c>
      <c r="D940" t="s">
        <v>4987</v>
      </c>
      <c r="E940" t="s">
        <v>4988</v>
      </c>
      <c r="F940" t="s">
        <v>4989</v>
      </c>
      <c r="G940" t="s">
        <v>4990</v>
      </c>
      <c r="H940" t="s">
        <v>4991</v>
      </c>
      <c r="I940">
        <v>888</v>
      </c>
      <c r="J940">
        <v>5108</v>
      </c>
      <c r="K940">
        <v>35883</v>
      </c>
      <c r="L940">
        <v>1036071</v>
      </c>
      <c r="M940" t="s">
        <v>52</v>
      </c>
      <c r="N940" t="s">
        <v>3087</v>
      </c>
      <c r="O940">
        <v>14375935</v>
      </c>
      <c r="P940" t="s">
        <v>3088</v>
      </c>
      <c r="Q940">
        <v>346973</v>
      </c>
      <c r="R940" t="s">
        <v>3089</v>
      </c>
      <c r="S940">
        <v>392</v>
      </c>
      <c r="T940" t="b">
        <v>0</v>
      </c>
      <c r="U940">
        <v>632</v>
      </c>
      <c r="V940">
        <v>581</v>
      </c>
      <c r="W940" t="s">
        <v>35</v>
      </c>
      <c r="X940" t="s">
        <v>29</v>
      </c>
      <c r="Y940" t="s">
        <v>29</v>
      </c>
      <c r="Z940" t="s">
        <v>37</v>
      </c>
    </row>
    <row r="941" spans="1:26">
      <c r="A941">
        <v>1.8681172498335173E+18</v>
      </c>
      <c r="B941" t="s">
        <v>4694</v>
      </c>
      <c r="C941" t="s">
        <v>4695</v>
      </c>
      <c r="D941" t="s">
        <v>4992</v>
      </c>
      <c r="E941" t="s">
        <v>4993</v>
      </c>
      <c r="F941" t="s">
        <v>4994</v>
      </c>
      <c r="G941" t="s">
        <v>4995</v>
      </c>
      <c r="H941" t="s">
        <v>4996</v>
      </c>
      <c r="I941">
        <v>2</v>
      </c>
      <c r="J941">
        <v>23</v>
      </c>
      <c r="K941">
        <v>141</v>
      </c>
      <c r="L941">
        <v>9679</v>
      </c>
      <c r="M941" t="s">
        <v>52</v>
      </c>
      <c r="N941" t="s">
        <v>4701</v>
      </c>
      <c r="O941">
        <v>1123810</v>
      </c>
      <c r="P941" t="s">
        <v>4702</v>
      </c>
      <c r="Q941">
        <v>34290</v>
      </c>
      <c r="R941" t="s">
        <v>4703</v>
      </c>
      <c r="S941">
        <v>63</v>
      </c>
      <c r="T941" t="b">
        <v>0</v>
      </c>
      <c r="U941">
        <v>3</v>
      </c>
      <c r="V941">
        <v>2</v>
      </c>
      <c r="W941" t="s">
        <v>35</v>
      </c>
      <c r="X941" t="s">
        <v>29</v>
      </c>
      <c r="Y941" t="s">
        <v>29</v>
      </c>
      <c r="Z941" t="s">
        <v>37</v>
      </c>
    </row>
    <row r="942" spans="1:26">
      <c r="A942">
        <v>1.8683474772856381E+18</v>
      </c>
      <c r="B942" t="s">
        <v>3743</v>
      </c>
      <c r="C942" t="s">
        <v>3744</v>
      </c>
      <c r="D942" t="s">
        <v>4997</v>
      </c>
      <c r="E942" t="s">
        <v>4998</v>
      </c>
      <c r="F942" t="s">
        <v>4999</v>
      </c>
      <c r="G942" t="s">
        <v>5000</v>
      </c>
      <c r="H942" t="s">
        <v>5001</v>
      </c>
      <c r="I942">
        <v>1</v>
      </c>
      <c r="J942">
        <v>2</v>
      </c>
      <c r="K942">
        <v>79</v>
      </c>
      <c r="L942">
        <v>17145</v>
      </c>
      <c r="M942" t="s">
        <v>52</v>
      </c>
      <c r="N942" t="s">
        <v>4737</v>
      </c>
      <c r="O942">
        <v>668750</v>
      </c>
      <c r="P942" t="s">
        <v>3751</v>
      </c>
      <c r="Q942">
        <v>76510</v>
      </c>
      <c r="R942" t="s">
        <v>3752</v>
      </c>
      <c r="S942">
        <v>860</v>
      </c>
      <c r="T942" t="b">
        <v>0</v>
      </c>
      <c r="U942">
        <v>1</v>
      </c>
      <c r="V942">
        <v>0</v>
      </c>
      <c r="W942" t="s">
        <v>35</v>
      </c>
      <c r="X942" t="s">
        <v>29</v>
      </c>
      <c r="Y942" t="s">
        <v>29</v>
      </c>
      <c r="Z942" t="s">
        <v>37</v>
      </c>
    </row>
    <row r="943" spans="1:26">
      <c r="A943">
        <v>1.8683867457940813E+18</v>
      </c>
      <c r="B943" t="s">
        <v>3196</v>
      </c>
      <c r="C943" t="s">
        <v>3196</v>
      </c>
      <c r="D943" t="s">
        <v>5002</v>
      </c>
      <c r="E943" t="s">
        <v>5003</v>
      </c>
      <c r="F943" t="s">
        <v>29</v>
      </c>
      <c r="G943" t="s">
        <v>5004</v>
      </c>
      <c r="H943" t="s">
        <v>29</v>
      </c>
      <c r="I943">
        <v>7</v>
      </c>
      <c r="J943">
        <v>2</v>
      </c>
      <c r="K943">
        <v>43</v>
      </c>
      <c r="L943">
        <v>9128</v>
      </c>
      <c r="M943" t="s">
        <v>5005</v>
      </c>
      <c r="N943" t="s">
        <v>5006</v>
      </c>
      <c r="O943">
        <v>376786</v>
      </c>
      <c r="P943" t="s">
        <v>3202</v>
      </c>
      <c r="Q943">
        <v>106893</v>
      </c>
      <c r="R943" t="s">
        <v>3203</v>
      </c>
      <c r="S943">
        <v>415</v>
      </c>
      <c r="T943" t="b">
        <v>0</v>
      </c>
      <c r="U943">
        <v>1</v>
      </c>
      <c r="V943">
        <v>1</v>
      </c>
      <c r="W943" t="s">
        <v>35</v>
      </c>
      <c r="X943" t="s">
        <v>29</v>
      </c>
      <c r="Y943" t="s">
        <v>29</v>
      </c>
      <c r="Z943" t="s">
        <v>37</v>
      </c>
    </row>
    <row r="944" spans="1:26">
      <c r="A944">
        <v>1.8683014886505841E+18</v>
      </c>
      <c r="B944" t="s">
        <v>3168</v>
      </c>
      <c r="C944" t="s">
        <v>3169</v>
      </c>
      <c r="D944" t="s">
        <v>5007</v>
      </c>
      <c r="E944" t="s">
        <v>5008</v>
      </c>
      <c r="F944" t="s">
        <v>5009</v>
      </c>
      <c r="G944" t="s">
        <v>5010</v>
      </c>
      <c r="H944" t="s">
        <v>4966</v>
      </c>
      <c r="I944">
        <v>11</v>
      </c>
      <c r="J944">
        <v>14</v>
      </c>
      <c r="K944">
        <v>168</v>
      </c>
      <c r="L944">
        <v>47098</v>
      </c>
      <c r="M944" t="s">
        <v>52</v>
      </c>
      <c r="N944" t="s">
        <v>5011</v>
      </c>
      <c r="O944">
        <v>294711</v>
      </c>
      <c r="P944" t="s">
        <v>3175</v>
      </c>
      <c r="Q944">
        <v>66342</v>
      </c>
      <c r="R944" t="s">
        <v>3176</v>
      </c>
      <c r="S944">
        <v>1449</v>
      </c>
      <c r="T944" t="b">
        <v>0</v>
      </c>
      <c r="U944">
        <v>2</v>
      </c>
      <c r="V944">
        <v>1</v>
      </c>
      <c r="W944" t="s">
        <v>35</v>
      </c>
      <c r="X944" t="s">
        <v>29</v>
      </c>
      <c r="Y944" t="s">
        <v>29</v>
      </c>
      <c r="Z944" t="s">
        <v>37</v>
      </c>
    </row>
    <row r="945" spans="1:26">
      <c r="A945">
        <v>1.8683035541018586E+18</v>
      </c>
      <c r="B945" t="s">
        <v>2474</v>
      </c>
      <c r="C945" t="s">
        <v>2475</v>
      </c>
      <c r="D945" t="s">
        <v>5012</v>
      </c>
      <c r="E945" t="s">
        <v>5013</v>
      </c>
      <c r="F945" t="s">
        <v>5014</v>
      </c>
      <c r="G945" t="s">
        <v>5015</v>
      </c>
      <c r="H945" t="s">
        <v>5016</v>
      </c>
      <c r="I945">
        <v>6</v>
      </c>
      <c r="J945">
        <v>36</v>
      </c>
      <c r="K945">
        <v>334</v>
      </c>
      <c r="L945">
        <v>19473</v>
      </c>
      <c r="M945" t="s">
        <v>52</v>
      </c>
      <c r="N945" t="s">
        <v>5017</v>
      </c>
      <c r="O945">
        <v>1511302</v>
      </c>
      <c r="P945" t="s">
        <v>2481</v>
      </c>
      <c r="Q945">
        <v>56647</v>
      </c>
      <c r="R945" t="s">
        <v>2482</v>
      </c>
      <c r="S945">
        <v>80</v>
      </c>
      <c r="T945" t="b">
        <v>0</v>
      </c>
      <c r="U945">
        <v>3</v>
      </c>
      <c r="V945">
        <v>4</v>
      </c>
      <c r="W945" t="s">
        <v>35</v>
      </c>
      <c r="X945" t="s">
        <v>29</v>
      </c>
      <c r="Y945" t="s">
        <v>29</v>
      </c>
      <c r="Z945" t="s">
        <v>37</v>
      </c>
    </row>
    <row r="946" spans="1:26">
      <c r="A946">
        <v>1.8684171065150013E+18</v>
      </c>
      <c r="B946" t="s">
        <v>2474</v>
      </c>
      <c r="C946" t="s">
        <v>2475</v>
      </c>
      <c r="D946" t="s">
        <v>5018</v>
      </c>
      <c r="E946" t="s">
        <v>5019</v>
      </c>
      <c r="F946" t="s">
        <v>5020</v>
      </c>
      <c r="G946" t="s">
        <v>5021</v>
      </c>
      <c r="H946" t="s">
        <v>5016</v>
      </c>
      <c r="I946">
        <v>68</v>
      </c>
      <c r="J946">
        <v>2</v>
      </c>
      <c r="K946">
        <v>22</v>
      </c>
      <c r="L946">
        <v>21490</v>
      </c>
      <c r="M946" t="s">
        <v>52</v>
      </c>
      <c r="N946" t="s">
        <v>5022</v>
      </c>
      <c r="O946">
        <v>1511302</v>
      </c>
      <c r="P946" t="s">
        <v>2481</v>
      </c>
      <c r="Q946">
        <v>56647</v>
      </c>
      <c r="R946" t="s">
        <v>2482</v>
      </c>
      <c r="S946">
        <v>80</v>
      </c>
      <c r="T946" t="b">
        <v>0</v>
      </c>
      <c r="U946">
        <v>0</v>
      </c>
      <c r="V946">
        <v>2</v>
      </c>
      <c r="W946" t="s">
        <v>35</v>
      </c>
      <c r="X946" t="s">
        <v>29</v>
      </c>
      <c r="Y946" t="s">
        <v>29</v>
      </c>
      <c r="Z946" t="s">
        <v>37</v>
      </c>
    </row>
    <row r="947" spans="1:26">
      <c r="A947">
        <v>1.8682949333852201E+18</v>
      </c>
      <c r="B947" t="s">
        <v>5023</v>
      </c>
      <c r="C947" t="s">
        <v>5024</v>
      </c>
      <c r="D947" t="s">
        <v>5025</v>
      </c>
      <c r="E947" t="s">
        <v>5026</v>
      </c>
      <c r="F947" t="s">
        <v>5027</v>
      </c>
      <c r="G947" t="s">
        <v>5028</v>
      </c>
      <c r="H947" t="s">
        <v>29</v>
      </c>
      <c r="I947">
        <v>80</v>
      </c>
      <c r="J947">
        <v>18</v>
      </c>
      <c r="K947">
        <v>580</v>
      </c>
      <c r="L947">
        <v>52812</v>
      </c>
      <c r="M947" t="s">
        <v>52</v>
      </c>
      <c r="N947" t="s">
        <v>5029</v>
      </c>
      <c r="O947">
        <v>92098</v>
      </c>
      <c r="P947" t="s">
        <v>5030</v>
      </c>
      <c r="Q947">
        <v>4934</v>
      </c>
      <c r="R947" t="s">
        <v>5031</v>
      </c>
      <c r="S947">
        <v>97</v>
      </c>
      <c r="T947" t="b">
        <v>0</v>
      </c>
      <c r="U947">
        <v>31</v>
      </c>
      <c r="V947">
        <v>6</v>
      </c>
      <c r="W947" t="s">
        <v>35</v>
      </c>
      <c r="X947" t="s">
        <v>29</v>
      </c>
      <c r="Y947" t="s">
        <v>29</v>
      </c>
      <c r="Z947" t="s">
        <v>37</v>
      </c>
    </row>
    <row r="948" spans="1:26">
      <c r="A948">
        <v>1.8683763677435412E+18</v>
      </c>
      <c r="B948" t="s">
        <v>5032</v>
      </c>
      <c r="C948" t="s">
        <v>5033</v>
      </c>
      <c r="D948" t="s">
        <v>5034</v>
      </c>
      <c r="E948" t="s">
        <v>5035</v>
      </c>
      <c r="F948" t="s">
        <v>5036</v>
      </c>
      <c r="G948" t="s">
        <v>5037</v>
      </c>
      <c r="H948" t="s">
        <v>5038</v>
      </c>
      <c r="I948">
        <v>5</v>
      </c>
      <c r="J948">
        <v>32</v>
      </c>
      <c r="K948">
        <v>426</v>
      </c>
      <c r="L948">
        <v>7928</v>
      </c>
      <c r="M948" t="s">
        <v>52</v>
      </c>
      <c r="N948" t="s">
        <v>5039</v>
      </c>
      <c r="O948">
        <v>247129</v>
      </c>
      <c r="P948" t="s">
        <v>5040</v>
      </c>
      <c r="Q948">
        <v>78213</v>
      </c>
      <c r="R948" t="s">
        <v>5041</v>
      </c>
      <c r="S948">
        <v>1031</v>
      </c>
      <c r="T948" t="b">
        <v>0</v>
      </c>
      <c r="U948">
        <v>1</v>
      </c>
      <c r="V948">
        <v>0</v>
      </c>
      <c r="W948" t="s">
        <v>35</v>
      </c>
      <c r="X948" t="s">
        <v>29</v>
      </c>
      <c r="Y948" t="s">
        <v>29</v>
      </c>
      <c r="Z948" t="s">
        <v>37</v>
      </c>
    </row>
    <row r="949" spans="1:26">
      <c r="A949">
        <v>1.8683178464443146E+18</v>
      </c>
      <c r="B949" t="s">
        <v>3392</v>
      </c>
      <c r="C949" t="s">
        <v>3393</v>
      </c>
      <c r="D949" t="s">
        <v>5042</v>
      </c>
      <c r="E949" t="s">
        <v>5043</v>
      </c>
      <c r="F949" t="s">
        <v>5044</v>
      </c>
      <c r="G949" t="s">
        <v>5045</v>
      </c>
      <c r="H949" t="s">
        <v>29</v>
      </c>
      <c r="I949">
        <v>15</v>
      </c>
      <c r="J949">
        <v>18</v>
      </c>
      <c r="K949">
        <v>856</v>
      </c>
      <c r="L949">
        <v>22874</v>
      </c>
      <c r="M949" t="s">
        <v>52</v>
      </c>
      <c r="N949" t="s">
        <v>3405</v>
      </c>
      <c r="O949">
        <v>1480966</v>
      </c>
      <c r="P949" t="s">
        <v>3399</v>
      </c>
      <c r="Q949">
        <v>103753</v>
      </c>
      <c r="R949" t="s">
        <v>3400</v>
      </c>
      <c r="S949">
        <v>552</v>
      </c>
      <c r="T949" t="b">
        <v>0</v>
      </c>
      <c r="U949">
        <v>3</v>
      </c>
      <c r="V949">
        <v>3</v>
      </c>
      <c r="W949" t="s">
        <v>35</v>
      </c>
      <c r="X949" t="s">
        <v>29</v>
      </c>
      <c r="Y949" t="s">
        <v>29</v>
      </c>
      <c r="Z949" t="s">
        <v>37</v>
      </c>
    </row>
    <row r="950" spans="1:26">
      <c r="A950">
        <v>1.8683195736128678E+18</v>
      </c>
      <c r="B950" t="s">
        <v>3392</v>
      </c>
      <c r="C950" t="s">
        <v>3393</v>
      </c>
      <c r="D950" t="s">
        <v>5046</v>
      </c>
      <c r="E950" t="s">
        <v>5047</v>
      </c>
      <c r="F950" t="s">
        <v>5048</v>
      </c>
      <c r="G950" t="s">
        <v>5049</v>
      </c>
      <c r="H950" t="s">
        <v>29</v>
      </c>
      <c r="I950">
        <v>9</v>
      </c>
      <c r="J950">
        <v>20</v>
      </c>
      <c r="K950">
        <v>417</v>
      </c>
      <c r="L950">
        <v>29361</v>
      </c>
      <c r="M950" t="s">
        <v>52</v>
      </c>
      <c r="N950" t="s">
        <v>3405</v>
      </c>
      <c r="O950">
        <v>1480966</v>
      </c>
      <c r="P950" t="s">
        <v>3399</v>
      </c>
      <c r="Q950">
        <v>103753</v>
      </c>
      <c r="R950" t="s">
        <v>3400</v>
      </c>
      <c r="S950">
        <v>552</v>
      </c>
      <c r="T950" t="b">
        <v>0</v>
      </c>
      <c r="U950">
        <v>7</v>
      </c>
      <c r="V950">
        <v>8</v>
      </c>
      <c r="W950" t="s">
        <v>35</v>
      </c>
      <c r="X950" t="s">
        <v>29</v>
      </c>
      <c r="Y950" t="s">
        <v>29</v>
      </c>
      <c r="Z950" t="s">
        <v>37</v>
      </c>
    </row>
    <row r="951" spans="1:26">
      <c r="A951">
        <v>1.8682838698391964E+18</v>
      </c>
      <c r="B951" t="s">
        <v>4777</v>
      </c>
      <c r="C951" t="s">
        <v>4778</v>
      </c>
      <c r="D951" t="s">
        <v>5050</v>
      </c>
      <c r="E951" t="s">
        <v>5051</v>
      </c>
      <c r="F951" t="s">
        <v>5052</v>
      </c>
      <c r="G951" t="s">
        <v>5053</v>
      </c>
      <c r="H951" t="s">
        <v>29</v>
      </c>
      <c r="I951">
        <v>91</v>
      </c>
      <c r="J951">
        <v>687</v>
      </c>
      <c r="K951">
        <v>9263</v>
      </c>
      <c r="L951">
        <v>418833</v>
      </c>
      <c r="M951" t="s">
        <v>52</v>
      </c>
      <c r="N951" t="s">
        <v>742</v>
      </c>
      <c r="O951">
        <v>10795968</v>
      </c>
      <c r="P951" t="s">
        <v>4783</v>
      </c>
      <c r="Q951">
        <v>95508</v>
      </c>
      <c r="R951" t="s">
        <v>4784</v>
      </c>
      <c r="S951">
        <v>98</v>
      </c>
      <c r="T951" t="b">
        <v>0</v>
      </c>
      <c r="U951">
        <v>25</v>
      </c>
      <c r="V951">
        <v>135</v>
      </c>
      <c r="W951" t="s">
        <v>35</v>
      </c>
      <c r="X951" t="s">
        <v>29</v>
      </c>
      <c r="Y951" t="s">
        <v>29</v>
      </c>
      <c r="Z951" t="s">
        <v>37</v>
      </c>
    </row>
    <row r="952" spans="1:26">
      <c r="A952">
        <v>1.8681512493018895E+18</v>
      </c>
      <c r="B952" t="s">
        <v>3034</v>
      </c>
      <c r="C952" t="s">
        <v>3035</v>
      </c>
      <c r="D952" t="s">
        <v>5054</v>
      </c>
      <c r="E952" t="s">
        <v>5055</v>
      </c>
      <c r="F952" t="s">
        <v>5056</v>
      </c>
      <c r="G952" t="s">
        <v>5057</v>
      </c>
      <c r="H952" t="s">
        <v>3761</v>
      </c>
      <c r="I952">
        <v>42</v>
      </c>
      <c r="J952">
        <v>73</v>
      </c>
      <c r="K952">
        <v>1306</v>
      </c>
      <c r="L952">
        <v>136035</v>
      </c>
      <c r="M952" t="s">
        <v>52</v>
      </c>
      <c r="N952" t="s">
        <v>3040</v>
      </c>
      <c r="O952">
        <v>12876593</v>
      </c>
      <c r="P952" t="s">
        <v>3041</v>
      </c>
      <c r="Q952">
        <v>141401</v>
      </c>
      <c r="R952" t="s">
        <v>3042</v>
      </c>
      <c r="S952">
        <v>717</v>
      </c>
      <c r="T952" t="b">
        <v>0</v>
      </c>
      <c r="U952">
        <v>4</v>
      </c>
      <c r="V952">
        <v>19</v>
      </c>
      <c r="W952" t="s">
        <v>35</v>
      </c>
      <c r="X952" t="s">
        <v>29</v>
      </c>
      <c r="Y952" t="s">
        <v>29</v>
      </c>
      <c r="Z952" t="s">
        <v>37</v>
      </c>
    </row>
    <row r="953" spans="1:26">
      <c r="A953">
        <v>1.8681364725381409E+18</v>
      </c>
      <c r="B953" t="s">
        <v>3034</v>
      </c>
      <c r="C953" t="s">
        <v>3035</v>
      </c>
      <c r="D953" t="s">
        <v>5058</v>
      </c>
      <c r="E953" t="s">
        <v>5059</v>
      </c>
      <c r="F953" t="s">
        <v>5060</v>
      </c>
      <c r="G953" t="s">
        <v>5061</v>
      </c>
      <c r="H953" t="s">
        <v>3761</v>
      </c>
      <c r="I953">
        <v>42</v>
      </c>
      <c r="J953">
        <v>69</v>
      </c>
      <c r="K953">
        <v>1177</v>
      </c>
      <c r="L953">
        <v>129339</v>
      </c>
      <c r="M953" t="s">
        <v>52</v>
      </c>
      <c r="N953" t="s">
        <v>3040</v>
      </c>
      <c r="O953">
        <v>12876593</v>
      </c>
      <c r="P953" t="s">
        <v>3041</v>
      </c>
      <c r="Q953">
        <v>141401</v>
      </c>
      <c r="R953" t="s">
        <v>3042</v>
      </c>
      <c r="S953">
        <v>717</v>
      </c>
      <c r="T953" t="b">
        <v>0</v>
      </c>
      <c r="U953">
        <v>8</v>
      </c>
      <c r="V953">
        <v>16</v>
      </c>
      <c r="W953" t="s">
        <v>35</v>
      </c>
      <c r="X953" t="s">
        <v>29</v>
      </c>
      <c r="Y953" t="s">
        <v>29</v>
      </c>
      <c r="Z953" t="s">
        <v>37</v>
      </c>
    </row>
    <row r="954" spans="1:26">
      <c r="A954">
        <v>1.8680865095529434E+18</v>
      </c>
      <c r="B954" t="s">
        <v>3034</v>
      </c>
      <c r="C954" t="s">
        <v>3035</v>
      </c>
      <c r="D954" t="s">
        <v>5062</v>
      </c>
      <c r="E954" t="s">
        <v>5063</v>
      </c>
      <c r="F954" t="s">
        <v>5064</v>
      </c>
      <c r="G954" t="s">
        <v>5065</v>
      </c>
      <c r="H954" t="s">
        <v>3262</v>
      </c>
      <c r="I954">
        <v>24</v>
      </c>
      <c r="J954">
        <v>49</v>
      </c>
      <c r="K954">
        <v>511</v>
      </c>
      <c r="L954">
        <v>100046</v>
      </c>
      <c r="M954" t="s">
        <v>52</v>
      </c>
      <c r="N954" t="s">
        <v>3040</v>
      </c>
      <c r="O954">
        <v>12876592</v>
      </c>
      <c r="P954" t="s">
        <v>3041</v>
      </c>
      <c r="Q954">
        <v>141401</v>
      </c>
      <c r="R954" t="s">
        <v>3042</v>
      </c>
      <c r="S954">
        <v>717</v>
      </c>
      <c r="T954" t="b">
        <v>0</v>
      </c>
      <c r="U954">
        <v>2</v>
      </c>
      <c r="V954">
        <v>13</v>
      </c>
      <c r="W954" t="s">
        <v>35</v>
      </c>
      <c r="X954" t="s">
        <v>29</v>
      </c>
      <c r="Y954" t="s">
        <v>29</v>
      </c>
      <c r="Z954" t="s">
        <v>37</v>
      </c>
    </row>
    <row r="955" spans="1:26">
      <c r="A955">
        <v>1.8683206298809795E+18</v>
      </c>
      <c r="B955" t="s">
        <v>3083</v>
      </c>
      <c r="C955" t="s">
        <v>3083</v>
      </c>
      <c r="D955" t="s">
        <v>5066</v>
      </c>
      <c r="E955" t="s">
        <v>5067</v>
      </c>
      <c r="F955" t="s">
        <v>5068</v>
      </c>
      <c r="G955" t="s">
        <v>5069</v>
      </c>
      <c r="H955" t="s">
        <v>29</v>
      </c>
      <c r="I955">
        <v>112</v>
      </c>
      <c r="J955">
        <v>137</v>
      </c>
      <c r="K955">
        <v>1177</v>
      </c>
      <c r="L955">
        <v>103887</v>
      </c>
      <c r="M955" t="s">
        <v>5070</v>
      </c>
      <c r="N955" t="s">
        <v>5071</v>
      </c>
      <c r="O955">
        <v>14376035</v>
      </c>
      <c r="P955" t="s">
        <v>3088</v>
      </c>
      <c r="Q955">
        <v>346973</v>
      </c>
      <c r="R955" t="s">
        <v>3089</v>
      </c>
      <c r="S955">
        <v>392</v>
      </c>
      <c r="T955" t="b">
        <v>0</v>
      </c>
      <c r="U955">
        <v>3</v>
      </c>
      <c r="V955">
        <v>32</v>
      </c>
      <c r="W955" t="s">
        <v>35</v>
      </c>
      <c r="X955" t="s">
        <v>29</v>
      </c>
      <c r="Y955" t="s">
        <v>29</v>
      </c>
      <c r="Z955" t="s">
        <v>37</v>
      </c>
    </row>
    <row r="956" spans="1:26">
      <c r="A956">
        <v>1.8683490496714509E+18</v>
      </c>
      <c r="B956" t="s">
        <v>3392</v>
      </c>
      <c r="C956" t="s">
        <v>3393</v>
      </c>
      <c r="D956" t="s">
        <v>5072</v>
      </c>
      <c r="E956" t="s">
        <v>5073</v>
      </c>
      <c r="F956" t="s">
        <v>5074</v>
      </c>
      <c r="G956" t="s">
        <v>5075</v>
      </c>
      <c r="H956" t="s">
        <v>29</v>
      </c>
      <c r="I956">
        <v>9</v>
      </c>
      <c r="J956">
        <v>14</v>
      </c>
      <c r="K956">
        <v>481</v>
      </c>
      <c r="L956">
        <v>17535</v>
      </c>
      <c r="M956" t="s">
        <v>52</v>
      </c>
      <c r="N956" t="s">
        <v>3405</v>
      </c>
      <c r="O956">
        <v>1480964</v>
      </c>
      <c r="P956" t="s">
        <v>3399</v>
      </c>
      <c r="Q956">
        <v>103753</v>
      </c>
      <c r="R956" t="s">
        <v>3400</v>
      </c>
      <c r="S956">
        <v>552</v>
      </c>
      <c r="T956" t="b">
        <v>0</v>
      </c>
      <c r="U956">
        <v>1</v>
      </c>
      <c r="V956">
        <v>1</v>
      </c>
      <c r="W956" t="s">
        <v>35</v>
      </c>
      <c r="X956" t="s">
        <v>29</v>
      </c>
      <c r="Y956" t="s">
        <v>29</v>
      </c>
      <c r="Z956" t="s">
        <v>37</v>
      </c>
    </row>
    <row r="957" spans="1:26">
      <c r="A957">
        <v>1.8683617662307866E+18</v>
      </c>
      <c r="B957" t="s">
        <v>3837</v>
      </c>
      <c r="C957" t="s">
        <v>3838</v>
      </c>
      <c r="D957" t="s">
        <v>5076</v>
      </c>
      <c r="E957" t="s">
        <v>5077</v>
      </c>
      <c r="F957" t="s">
        <v>4354</v>
      </c>
      <c r="G957" t="s">
        <v>5078</v>
      </c>
      <c r="H957" t="s">
        <v>29</v>
      </c>
      <c r="I957">
        <v>127</v>
      </c>
      <c r="J957">
        <v>1663</v>
      </c>
      <c r="K957">
        <v>7409</v>
      </c>
      <c r="L957">
        <v>356196</v>
      </c>
      <c r="M957" t="s">
        <v>52</v>
      </c>
      <c r="N957" t="s">
        <v>4356</v>
      </c>
      <c r="O957">
        <v>984256</v>
      </c>
      <c r="P957" t="s">
        <v>3844</v>
      </c>
      <c r="Q957">
        <v>136135</v>
      </c>
      <c r="R957" t="s">
        <v>3845</v>
      </c>
      <c r="S957">
        <v>438</v>
      </c>
      <c r="T957" t="b">
        <v>0</v>
      </c>
      <c r="U957">
        <v>191</v>
      </c>
      <c r="V957">
        <v>28</v>
      </c>
      <c r="W957" t="s">
        <v>35</v>
      </c>
      <c r="X957" t="s">
        <v>29</v>
      </c>
      <c r="Y957" t="s">
        <v>29</v>
      </c>
      <c r="Z957" t="s">
        <v>37</v>
      </c>
    </row>
    <row r="958" spans="1:26">
      <c r="A958">
        <v>1.8683015307654349E+18</v>
      </c>
      <c r="B958" t="s">
        <v>2994</v>
      </c>
      <c r="C958" t="s">
        <v>2995</v>
      </c>
      <c r="D958" t="s">
        <v>5079</v>
      </c>
      <c r="E958" t="s">
        <v>5080</v>
      </c>
      <c r="F958" t="s">
        <v>5081</v>
      </c>
      <c r="G958" t="s">
        <v>5082</v>
      </c>
      <c r="H958" t="s">
        <v>5083</v>
      </c>
      <c r="I958">
        <v>13</v>
      </c>
      <c r="J958">
        <v>55</v>
      </c>
      <c r="K958">
        <v>1631</v>
      </c>
      <c r="L958">
        <v>96859</v>
      </c>
      <c r="M958" t="s">
        <v>52</v>
      </c>
      <c r="N958" t="s">
        <v>29</v>
      </c>
      <c r="O958">
        <v>812163</v>
      </c>
      <c r="P958" t="s">
        <v>3000</v>
      </c>
      <c r="Q958">
        <v>110924</v>
      </c>
      <c r="R958" t="s">
        <v>3001</v>
      </c>
      <c r="S958">
        <v>322</v>
      </c>
      <c r="T958" t="b">
        <v>0</v>
      </c>
      <c r="U958">
        <v>4</v>
      </c>
      <c r="V958">
        <v>5</v>
      </c>
      <c r="W958" t="s">
        <v>35</v>
      </c>
      <c r="X958" t="s">
        <v>29</v>
      </c>
      <c r="Y958" t="s">
        <v>29</v>
      </c>
      <c r="Z958" t="s">
        <v>37</v>
      </c>
    </row>
    <row r="959" spans="1:26">
      <c r="A959">
        <v>1.8683301754460575E+18</v>
      </c>
      <c r="B959" t="s">
        <v>3392</v>
      </c>
      <c r="C959" t="s">
        <v>3393</v>
      </c>
      <c r="D959" t="s">
        <v>5084</v>
      </c>
      <c r="E959" t="s">
        <v>5085</v>
      </c>
      <c r="F959" t="s">
        <v>5086</v>
      </c>
      <c r="G959" t="s">
        <v>5087</v>
      </c>
      <c r="H959" t="s">
        <v>29</v>
      </c>
      <c r="I959">
        <v>18</v>
      </c>
      <c r="J959">
        <v>41</v>
      </c>
      <c r="K959">
        <v>1034</v>
      </c>
      <c r="L959">
        <v>32944</v>
      </c>
      <c r="M959" t="s">
        <v>52</v>
      </c>
      <c r="N959" t="s">
        <v>3405</v>
      </c>
      <c r="O959">
        <v>1480966</v>
      </c>
      <c r="P959" t="s">
        <v>3399</v>
      </c>
      <c r="Q959">
        <v>103753</v>
      </c>
      <c r="R959" t="s">
        <v>3400</v>
      </c>
      <c r="S959">
        <v>552</v>
      </c>
      <c r="T959" t="b">
        <v>0</v>
      </c>
      <c r="U959">
        <v>13</v>
      </c>
      <c r="V959">
        <v>1</v>
      </c>
      <c r="W959" t="s">
        <v>35</v>
      </c>
      <c r="X959" t="s">
        <v>29</v>
      </c>
      <c r="Y959" t="s">
        <v>29</v>
      </c>
      <c r="Z959" t="s">
        <v>37</v>
      </c>
    </row>
    <row r="960" spans="1:26">
      <c r="A960">
        <v>1.8683246949249556E+18</v>
      </c>
      <c r="B960" t="s">
        <v>3392</v>
      </c>
      <c r="C960" t="s">
        <v>3393</v>
      </c>
      <c r="D960" t="s">
        <v>5088</v>
      </c>
      <c r="E960" t="s">
        <v>5089</v>
      </c>
      <c r="F960" t="s">
        <v>5090</v>
      </c>
      <c r="G960" t="s">
        <v>5091</v>
      </c>
      <c r="H960" t="s">
        <v>29</v>
      </c>
      <c r="I960">
        <v>93</v>
      </c>
      <c r="J960">
        <v>607</v>
      </c>
      <c r="K960">
        <v>4307</v>
      </c>
      <c r="L960">
        <v>156804</v>
      </c>
      <c r="M960" t="s">
        <v>52</v>
      </c>
      <c r="N960" t="s">
        <v>3405</v>
      </c>
      <c r="O960">
        <v>1480966</v>
      </c>
      <c r="P960" t="s">
        <v>3399</v>
      </c>
      <c r="Q960">
        <v>103753</v>
      </c>
      <c r="R960" t="s">
        <v>3400</v>
      </c>
      <c r="S960">
        <v>552</v>
      </c>
      <c r="T960" t="b">
        <v>0</v>
      </c>
      <c r="U960">
        <v>122</v>
      </c>
      <c r="V960">
        <v>28</v>
      </c>
      <c r="W960" t="s">
        <v>35</v>
      </c>
      <c r="X960" t="s">
        <v>29</v>
      </c>
      <c r="Y960" t="s">
        <v>29</v>
      </c>
      <c r="Z960" t="s">
        <v>37</v>
      </c>
    </row>
    <row r="961" spans="1:26">
      <c r="A961">
        <v>1.8683703567357422E+18</v>
      </c>
      <c r="B961" t="s">
        <v>3196</v>
      </c>
      <c r="C961" t="s">
        <v>3196</v>
      </c>
      <c r="D961" t="s">
        <v>5092</v>
      </c>
      <c r="E961" t="s">
        <v>5093</v>
      </c>
      <c r="F961" t="s">
        <v>29</v>
      </c>
      <c r="G961" t="s">
        <v>5094</v>
      </c>
      <c r="H961" t="s">
        <v>29</v>
      </c>
      <c r="I961">
        <v>5</v>
      </c>
      <c r="J961">
        <v>6</v>
      </c>
      <c r="K961">
        <v>68</v>
      </c>
      <c r="L961">
        <v>14279</v>
      </c>
      <c r="M961" t="s">
        <v>5005</v>
      </c>
      <c r="N961" t="s">
        <v>5006</v>
      </c>
      <c r="O961">
        <v>376786</v>
      </c>
      <c r="P961" t="s">
        <v>3202</v>
      </c>
      <c r="Q961">
        <v>106893</v>
      </c>
      <c r="R961" t="s">
        <v>3203</v>
      </c>
      <c r="S961">
        <v>415</v>
      </c>
      <c r="T961" t="b">
        <v>0</v>
      </c>
      <c r="U961">
        <v>3</v>
      </c>
      <c r="V961">
        <v>1</v>
      </c>
      <c r="W961" t="s">
        <v>35</v>
      </c>
      <c r="X961" t="s">
        <v>29</v>
      </c>
      <c r="Y961" t="s">
        <v>29</v>
      </c>
      <c r="Z961" t="s">
        <v>37</v>
      </c>
    </row>
    <row r="962" spans="1:26">
      <c r="A962">
        <v>1.8684047701651909E+18</v>
      </c>
      <c r="B962" t="s">
        <v>5095</v>
      </c>
      <c r="C962" t="s">
        <v>5096</v>
      </c>
      <c r="D962" t="s">
        <v>5097</v>
      </c>
      <c r="E962" t="s">
        <v>5098</v>
      </c>
      <c r="F962" t="s">
        <v>29</v>
      </c>
      <c r="G962" t="s">
        <v>5099</v>
      </c>
      <c r="H962" t="s">
        <v>29</v>
      </c>
      <c r="I962">
        <v>6</v>
      </c>
      <c r="J962">
        <v>28</v>
      </c>
      <c r="K962">
        <v>99</v>
      </c>
      <c r="L962">
        <v>28114</v>
      </c>
      <c r="M962" t="s">
        <v>5100</v>
      </c>
      <c r="N962" t="s">
        <v>5101</v>
      </c>
      <c r="O962">
        <v>1894097</v>
      </c>
      <c r="P962" t="s">
        <v>5102</v>
      </c>
      <c r="Q962">
        <v>78436</v>
      </c>
      <c r="R962" t="s">
        <v>5103</v>
      </c>
      <c r="S962">
        <v>676</v>
      </c>
      <c r="T962" t="b">
        <v>0</v>
      </c>
      <c r="U962">
        <v>9</v>
      </c>
      <c r="V962">
        <v>3</v>
      </c>
      <c r="W962" t="s">
        <v>35</v>
      </c>
      <c r="X962" t="s">
        <v>29</v>
      </c>
      <c r="Y962" t="s">
        <v>29</v>
      </c>
      <c r="Z962" t="s">
        <v>37</v>
      </c>
    </row>
    <row r="963" spans="1:26">
      <c r="A963">
        <v>1.8682647513501245E+18</v>
      </c>
      <c r="B963" t="s">
        <v>3837</v>
      </c>
      <c r="C963" t="s">
        <v>3838</v>
      </c>
      <c r="D963" t="s">
        <v>5104</v>
      </c>
      <c r="E963" t="s">
        <v>4603</v>
      </c>
      <c r="F963" t="s">
        <v>29</v>
      </c>
      <c r="G963" t="s">
        <v>5105</v>
      </c>
      <c r="H963" t="s">
        <v>3842</v>
      </c>
      <c r="I963">
        <v>3</v>
      </c>
      <c r="J963">
        <v>15</v>
      </c>
      <c r="K963">
        <v>157</v>
      </c>
      <c r="L963">
        <v>48664</v>
      </c>
      <c r="M963" t="s">
        <v>5106</v>
      </c>
      <c r="N963" t="s">
        <v>4254</v>
      </c>
      <c r="O963">
        <v>984256</v>
      </c>
      <c r="P963" t="s">
        <v>3844</v>
      </c>
      <c r="Q963">
        <v>136135</v>
      </c>
      <c r="R963" t="s">
        <v>3845</v>
      </c>
      <c r="S963">
        <v>438</v>
      </c>
      <c r="T963" t="b">
        <v>0</v>
      </c>
      <c r="U963">
        <v>1</v>
      </c>
      <c r="V963">
        <v>1</v>
      </c>
      <c r="W963" t="s">
        <v>35</v>
      </c>
      <c r="X963" t="s">
        <v>29</v>
      </c>
      <c r="Y963" t="s">
        <v>29</v>
      </c>
      <c r="Z963" t="s">
        <v>37</v>
      </c>
    </row>
    <row r="964" spans="1:26">
      <c r="A964">
        <v>1.8684195140244728E+18</v>
      </c>
      <c r="B964" t="s">
        <v>4280</v>
      </c>
      <c r="C964" t="s">
        <v>4280</v>
      </c>
      <c r="D964" t="s">
        <v>5107</v>
      </c>
      <c r="E964" t="s">
        <v>538</v>
      </c>
      <c r="F964" t="s">
        <v>29</v>
      </c>
      <c r="G964" t="s">
        <v>5108</v>
      </c>
      <c r="H964" t="s">
        <v>29</v>
      </c>
      <c r="I964">
        <v>9</v>
      </c>
      <c r="J964">
        <v>1</v>
      </c>
      <c r="K964">
        <v>16</v>
      </c>
      <c r="L964">
        <v>32434</v>
      </c>
      <c r="M964" t="s">
        <v>4629</v>
      </c>
      <c r="N964" t="s">
        <v>29</v>
      </c>
      <c r="O964">
        <v>2356528</v>
      </c>
      <c r="P964" t="s">
        <v>4285</v>
      </c>
      <c r="Q964">
        <v>338240</v>
      </c>
      <c r="R964" t="s">
        <v>4286</v>
      </c>
      <c r="S964">
        <v>1981</v>
      </c>
      <c r="T964" t="b">
        <v>0</v>
      </c>
      <c r="U964">
        <v>1</v>
      </c>
      <c r="V964">
        <v>1</v>
      </c>
      <c r="W964" t="s">
        <v>35</v>
      </c>
      <c r="X964" t="s">
        <v>4630</v>
      </c>
      <c r="Y964" t="s">
        <v>29</v>
      </c>
      <c r="Z964" t="s">
        <v>37</v>
      </c>
    </row>
    <row r="965" spans="1:26">
      <c r="A965">
        <v>1.8681069849665088E+18</v>
      </c>
      <c r="B965" t="s">
        <v>3034</v>
      </c>
      <c r="C965" t="s">
        <v>3035</v>
      </c>
      <c r="D965" t="s">
        <v>5109</v>
      </c>
      <c r="E965" t="s">
        <v>5110</v>
      </c>
      <c r="F965" t="s">
        <v>29</v>
      </c>
      <c r="G965" t="s">
        <v>5111</v>
      </c>
      <c r="H965" t="s">
        <v>5112</v>
      </c>
      <c r="I965">
        <v>75</v>
      </c>
      <c r="J965">
        <v>46</v>
      </c>
      <c r="K965">
        <v>663</v>
      </c>
      <c r="L965">
        <v>133350</v>
      </c>
      <c r="M965" t="s">
        <v>52</v>
      </c>
      <c r="N965" t="s">
        <v>3040</v>
      </c>
      <c r="O965">
        <v>12876593</v>
      </c>
      <c r="P965" t="s">
        <v>3041</v>
      </c>
      <c r="Q965">
        <v>141401</v>
      </c>
      <c r="R965" t="s">
        <v>3042</v>
      </c>
      <c r="S965">
        <v>717</v>
      </c>
      <c r="T965" t="b">
        <v>0</v>
      </c>
      <c r="U965">
        <v>9</v>
      </c>
      <c r="V965">
        <v>25</v>
      </c>
      <c r="W965" t="s">
        <v>35</v>
      </c>
      <c r="X965" t="s">
        <v>29</v>
      </c>
      <c r="Y965" t="s">
        <v>29</v>
      </c>
      <c r="Z965" t="s">
        <v>37</v>
      </c>
    </row>
    <row r="966" spans="1:26">
      <c r="A966">
        <v>1.86837231942237E+18</v>
      </c>
      <c r="B966" t="s">
        <v>3083</v>
      </c>
      <c r="C966" t="s">
        <v>3083</v>
      </c>
      <c r="D966" t="s">
        <v>5113</v>
      </c>
      <c r="E966" t="s">
        <v>5114</v>
      </c>
      <c r="F966" t="s">
        <v>29</v>
      </c>
      <c r="G966" t="s">
        <v>5115</v>
      </c>
      <c r="H966" t="s">
        <v>5116</v>
      </c>
      <c r="I966">
        <v>38</v>
      </c>
      <c r="J966">
        <v>92</v>
      </c>
      <c r="K966">
        <v>609</v>
      </c>
      <c r="L966">
        <v>77980</v>
      </c>
      <c r="M966" t="s">
        <v>5117</v>
      </c>
      <c r="N966" t="s">
        <v>3087</v>
      </c>
      <c r="O966">
        <v>14375934</v>
      </c>
      <c r="P966" t="s">
        <v>3088</v>
      </c>
      <c r="Q966">
        <v>346973</v>
      </c>
      <c r="R966" t="s">
        <v>3089</v>
      </c>
      <c r="S966">
        <v>392</v>
      </c>
      <c r="T966" t="b">
        <v>0</v>
      </c>
      <c r="U966">
        <v>3</v>
      </c>
      <c r="V966">
        <v>16</v>
      </c>
      <c r="W966" t="s">
        <v>35</v>
      </c>
      <c r="X966" t="s">
        <v>5118</v>
      </c>
      <c r="Y966" t="s">
        <v>29</v>
      </c>
      <c r="Z966" t="s">
        <v>37</v>
      </c>
    </row>
    <row r="967" spans="1:26">
      <c r="A967">
        <v>1.8682806264049055E+18</v>
      </c>
      <c r="B967" t="s">
        <v>3392</v>
      </c>
      <c r="C967" t="s">
        <v>3393</v>
      </c>
      <c r="D967" t="s">
        <v>5119</v>
      </c>
      <c r="E967" t="s">
        <v>5120</v>
      </c>
      <c r="F967" t="s">
        <v>5121</v>
      </c>
      <c r="G967" t="s">
        <v>5122</v>
      </c>
      <c r="H967" t="s">
        <v>29</v>
      </c>
      <c r="I967">
        <v>9</v>
      </c>
      <c r="J967">
        <v>4</v>
      </c>
      <c r="K967">
        <v>347</v>
      </c>
      <c r="L967">
        <v>21641</v>
      </c>
      <c r="M967" t="s">
        <v>52</v>
      </c>
      <c r="N967" t="s">
        <v>3405</v>
      </c>
      <c r="O967">
        <v>1480962</v>
      </c>
      <c r="P967" t="s">
        <v>3399</v>
      </c>
      <c r="Q967">
        <v>103753</v>
      </c>
      <c r="R967" t="s">
        <v>3400</v>
      </c>
      <c r="S967">
        <v>552</v>
      </c>
      <c r="T967" t="b">
        <v>0</v>
      </c>
      <c r="U967">
        <v>2</v>
      </c>
      <c r="V967">
        <v>1</v>
      </c>
      <c r="W967" t="s">
        <v>35</v>
      </c>
      <c r="X967" t="s">
        <v>29</v>
      </c>
      <c r="Y967" t="s">
        <v>29</v>
      </c>
      <c r="Z967" t="s">
        <v>37</v>
      </c>
    </row>
    <row r="968" spans="1:26">
      <c r="A968">
        <v>1.8683068749672453E+18</v>
      </c>
      <c r="B968" t="s">
        <v>3392</v>
      </c>
      <c r="C968" t="s">
        <v>3393</v>
      </c>
      <c r="D968" t="s">
        <v>5123</v>
      </c>
      <c r="E968" t="s">
        <v>5124</v>
      </c>
      <c r="F968" t="s">
        <v>5125</v>
      </c>
      <c r="G968" t="s">
        <v>5126</v>
      </c>
      <c r="H968" t="s">
        <v>29</v>
      </c>
      <c r="I968">
        <v>15</v>
      </c>
      <c r="J968">
        <v>27</v>
      </c>
      <c r="K968">
        <v>726</v>
      </c>
      <c r="L968">
        <v>25669</v>
      </c>
      <c r="M968" t="s">
        <v>52</v>
      </c>
      <c r="N968" t="s">
        <v>3405</v>
      </c>
      <c r="O968">
        <v>1480964</v>
      </c>
      <c r="P968" t="s">
        <v>3399</v>
      </c>
      <c r="Q968">
        <v>103753</v>
      </c>
      <c r="R968" t="s">
        <v>3400</v>
      </c>
      <c r="S968">
        <v>552</v>
      </c>
      <c r="T968" t="b">
        <v>0</v>
      </c>
      <c r="U968">
        <v>2</v>
      </c>
      <c r="V968">
        <v>7</v>
      </c>
      <c r="W968" t="s">
        <v>35</v>
      </c>
      <c r="X968" t="s">
        <v>29</v>
      </c>
      <c r="Y968" t="s">
        <v>29</v>
      </c>
      <c r="Z968" t="s">
        <v>37</v>
      </c>
    </row>
    <row r="969" spans="1:26">
      <c r="A969">
        <v>1.8683479540602063E+18</v>
      </c>
      <c r="B969" t="s">
        <v>2994</v>
      </c>
      <c r="C969" t="s">
        <v>2995</v>
      </c>
      <c r="D969" t="s">
        <v>5127</v>
      </c>
      <c r="E969" t="s">
        <v>5128</v>
      </c>
      <c r="F969" t="s">
        <v>5129</v>
      </c>
      <c r="G969" t="s">
        <v>5130</v>
      </c>
      <c r="H969" t="s">
        <v>29</v>
      </c>
      <c r="I969">
        <v>77</v>
      </c>
      <c r="J969">
        <v>73</v>
      </c>
      <c r="K969">
        <v>962</v>
      </c>
      <c r="L969">
        <v>211887</v>
      </c>
      <c r="M969" t="s">
        <v>52</v>
      </c>
      <c r="N969" t="s">
        <v>3174</v>
      </c>
      <c r="O969">
        <v>812163</v>
      </c>
      <c r="P969" t="s">
        <v>3000</v>
      </c>
      <c r="Q969">
        <v>110924</v>
      </c>
      <c r="R969" t="s">
        <v>3001</v>
      </c>
      <c r="S969">
        <v>322</v>
      </c>
      <c r="T969" t="b">
        <v>0</v>
      </c>
      <c r="U969">
        <v>23</v>
      </c>
      <c r="V969">
        <v>6</v>
      </c>
      <c r="W969" t="s">
        <v>35</v>
      </c>
      <c r="X969" t="s">
        <v>29</v>
      </c>
      <c r="Y969" t="s">
        <v>29</v>
      </c>
      <c r="Z969" t="s">
        <v>37</v>
      </c>
    </row>
    <row r="970" spans="1:26">
      <c r="A970">
        <v>1.8680879643429112E+18</v>
      </c>
      <c r="B970" t="s">
        <v>2474</v>
      </c>
      <c r="C970" t="s">
        <v>2475</v>
      </c>
      <c r="D970" t="s">
        <v>5131</v>
      </c>
      <c r="E970" t="s">
        <v>5132</v>
      </c>
      <c r="F970" t="s">
        <v>5133</v>
      </c>
      <c r="G970" t="s">
        <v>5134</v>
      </c>
      <c r="H970" t="s">
        <v>5135</v>
      </c>
      <c r="I970">
        <v>3</v>
      </c>
      <c r="J970">
        <v>10</v>
      </c>
      <c r="K970">
        <v>188</v>
      </c>
      <c r="L970">
        <v>7529</v>
      </c>
      <c r="M970" t="s">
        <v>52</v>
      </c>
      <c r="N970" t="s">
        <v>5022</v>
      </c>
      <c r="O970">
        <v>1511302</v>
      </c>
      <c r="P970" t="s">
        <v>2481</v>
      </c>
      <c r="Q970">
        <v>56647</v>
      </c>
      <c r="R970" t="s">
        <v>2482</v>
      </c>
      <c r="S970">
        <v>80</v>
      </c>
      <c r="T970" t="b">
        <v>0</v>
      </c>
      <c r="U970">
        <v>0</v>
      </c>
      <c r="V970">
        <v>2</v>
      </c>
      <c r="W970" t="s">
        <v>35</v>
      </c>
      <c r="X970" t="s">
        <v>29</v>
      </c>
      <c r="Y970" t="s">
        <v>29</v>
      </c>
      <c r="Z970" t="s">
        <v>37</v>
      </c>
    </row>
    <row r="971" spans="1:26">
      <c r="A971">
        <v>1.8683423667610506E+18</v>
      </c>
      <c r="B971" t="s">
        <v>5032</v>
      </c>
      <c r="C971" t="s">
        <v>5033</v>
      </c>
      <c r="D971" t="s">
        <v>5136</v>
      </c>
      <c r="E971" t="s">
        <v>5137</v>
      </c>
      <c r="F971" t="s">
        <v>5138</v>
      </c>
      <c r="G971" t="s">
        <v>5139</v>
      </c>
      <c r="H971" t="s">
        <v>5140</v>
      </c>
      <c r="I971">
        <v>6</v>
      </c>
      <c r="J971">
        <v>11</v>
      </c>
      <c r="K971">
        <v>165</v>
      </c>
      <c r="L971">
        <v>5253</v>
      </c>
      <c r="M971" t="s">
        <v>52</v>
      </c>
      <c r="N971" t="s">
        <v>5039</v>
      </c>
      <c r="O971">
        <v>247129</v>
      </c>
      <c r="P971" t="s">
        <v>5040</v>
      </c>
      <c r="Q971">
        <v>78213</v>
      </c>
      <c r="R971" t="s">
        <v>5041</v>
      </c>
      <c r="S971">
        <v>1031</v>
      </c>
      <c r="T971" t="b">
        <v>0</v>
      </c>
      <c r="U971">
        <v>1</v>
      </c>
      <c r="V971">
        <v>0</v>
      </c>
      <c r="W971" t="s">
        <v>35</v>
      </c>
      <c r="X971" t="s">
        <v>29</v>
      </c>
      <c r="Y971" t="s">
        <v>29</v>
      </c>
      <c r="Z971" t="s">
        <v>37</v>
      </c>
    </row>
    <row r="972" spans="1:26">
      <c r="A972">
        <v>1.8682913536012539E+18</v>
      </c>
      <c r="B972" t="s">
        <v>5141</v>
      </c>
      <c r="C972" t="s">
        <v>5142</v>
      </c>
      <c r="D972" t="s">
        <v>5143</v>
      </c>
      <c r="E972" t="s">
        <v>5144</v>
      </c>
      <c r="F972" t="s">
        <v>5145</v>
      </c>
      <c r="G972" t="s">
        <v>5146</v>
      </c>
      <c r="H972" t="s">
        <v>5147</v>
      </c>
      <c r="I972">
        <v>1</v>
      </c>
      <c r="J972">
        <v>1</v>
      </c>
      <c r="K972">
        <v>16</v>
      </c>
      <c r="L972">
        <v>1498</v>
      </c>
      <c r="M972" t="s">
        <v>5148</v>
      </c>
      <c r="N972" t="s">
        <v>5149</v>
      </c>
      <c r="O972">
        <v>18440</v>
      </c>
      <c r="P972" t="s">
        <v>5150</v>
      </c>
      <c r="Q972">
        <v>19725</v>
      </c>
      <c r="R972" t="s">
        <v>5151</v>
      </c>
      <c r="S972">
        <v>154</v>
      </c>
      <c r="T972" t="b">
        <v>0</v>
      </c>
      <c r="U972">
        <v>0</v>
      </c>
      <c r="V972">
        <v>0</v>
      </c>
      <c r="W972" t="s">
        <v>35</v>
      </c>
      <c r="X972" t="s">
        <v>29</v>
      </c>
      <c r="Y972" t="s">
        <v>29</v>
      </c>
      <c r="Z972" t="s">
        <v>37</v>
      </c>
    </row>
    <row r="973" spans="1:26">
      <c r="A973">
        <v>1.8683306962566597E+18</v>
      </c>
      <c r="B973" t="s">
        <v>2994</v>
      </c>
      <c r="C973" t="s">
        <v>2995</v>
      </c>
      <c r="D973" t="s">
        <v>5152</v>
      </c>
      <c r="E973" t="s">
        <v>5153</v>
      </c>
      <c r="F973" t="s">
        <v>5154</v>
      </c>
      <c r="G973" t="s">
        <v>5155</v>
      </c>
      <c r="H973" t="s">
        <v>29</v>
      </c>
      <c r="I973">
        <v>91</v>
      </c>
      <c r="J973">
        <v>111</v>
      </c>
      <c r="K973">
        <v>1140</v>
      </c>
      <c r="L973">
        <v>133706</v>
      </c>
      <c r="M973" t="s">
        <v>4643</v>
      </c>
      <c r="N973" t="s">
        <v>3174</v>
      </c>
      <c r="O973">
        <v>812161</v>
      </c>
      <c r="P973" t="s">
        <v>3000</v>
      </c>
      <c r="Q973">
        <v>110924</v>
      </c>
      <c r="R973" t="s">
        <v>3001</v>
      </c>
      <c r="S973">
        <v>322</v>
      </c>
      <c r="T973" t="b">
        <v>0</v>
      </c>
      <c r="U973">
        <v>18</v>
      </c>
      <c r="V973">
        <v>1</v>
      </c>
      <c r="W973" t="s">
        <v>35</v>
      </c>
      <c r="X973" t="s">
        <v>29</v>
      </c>
      <c r="Y973" t="s">
        <v>29</v>
      </c>
      <c r="Z973" t="s">
        <v>37</v>
      </c>
    </row>
    <row r="974" spans="1:26">
      <c r="A974">
        <v>1.8683605724185439E+18</v>
      </c>
      <c r="B974" t="s">
        <v>3168</v>
      </c>
      <c r="C974" t="s">
        <v>3169</v>
      </c>
      <c r="D974" t="s">
        <v>5156</v>
      </c>
      <c r="E974" t="s">
        <v>5157</v>
      </c>
      <c r="F974" t="s">
        <v>5158</v>
      </c>
      <c r="G974" t="s">
        <v>5159</v>
      </c>
      <c r="H974" t="s">
        <v>3173</v>
      </c>
      <c r="I974">
        <v>24</v>
      </c>
      <c r="J974">
        <v>101</v>
      </c>
      <c r="K974">
        <v>1345</v>
      </c>
      <c r="L974">
        <v>39065</v>
      </c>
      <c r="M974" t="s">
        <v>52</v>
      </c>
      <c r="N974" t="s">
        <v>29</v>
      </c>
      <c r="O974">
        <v>294711</v>
      </c>
      <c r="P974" t="s">
        <v>3175</v>
      </c>
      <c r="Q974">
        <v>66342</v>
      </c>
      <c r="R974" t="s">
        <v>3176</v>
      </c>
      <c r="S974">
        <v>1449</v>
      </c>
      <c r="T974" t="b">
        <v>0</v>
      </c>
      <c r="U974">
        <v>11</v>
      </c>
      <c r="V974">
        <v>7</v>
      </c>
      <c r="W974" t="s">
        <v>35</v>
      </c>
      <c r="X974" t="s">
        <v>29</v>
      </c>
      <c r="Y974" t="s">
        <v>29</v>
      </c>
      <c r="Z974" t="s">
        <v>37</v>
      </c>
    </row>
    <row r="975" spans="1:26">
      <c r="A975">
        <v>1.8683372218261176E+18</v>
      </c>
      <c r="B975" t="s">
        <v>3392</v>
      </c>
      <c r="C975" t="s">
        <v>3393</v>
      </c>
      <c r="D975" t="s">
        <v>5160</v>
      </c>
      <c r="E975" t="s">
        <v>5161</v>
      </c>
      <c r="F975" t="s">
        <v>29</v>
      </c>
      <c r="G975" t="s">
        <v>5162</v>
      </c>
      <c r="H975" t="s">
        <v>29</v>
      </c>
      <c r="I975">
        <v>28</v>
      </c>
      <c r="J975">
        <v>3</v>
      </c>
      <c r="K975">
        <v>152</v>
      </c>
      <c r="L975">
        <v>22880</v>
      </c>
      <c r="M975" t="s">
        <v>5163</v>
      </c>
      <c r="N975" t="s">
        <v>3405</v>
      </c>
      <c r="O975">
        <v>1480966</v>
      </c>
      <c r="P975" t="s">
        <v>3399</v>
      </c>
      <c r="Q975">
        <v>103753</v>
      </c>
      <c r="R975" t="s">
        <v>3400</v>
      </c>
      <c r="S975">
        <v>552</v>
      </c>
      <c r="T975" t="b">
        <v>0</v>
      </c>
      <c r="U975">
        <v>4</v>
      </c>
      <c r="V975">
        <v>2</v>
      </c>
      <c r="W975" t="s">
        <v>35</v>
      </c>
      <c r="X975" t="s">
        <v>29</v>
      </c>
      <c r="Y975" t="s">
        <v>29</v>
      </c>
      <c r="Z975" t="s">
        <v>37</v>
      </c>
    </row>
    <row r="976" spans="1:26">
      <c r="A976">
        <v>1.8682693769501701E+18</v>
      </c>
      <c r="B976" t="s">
        <v>3392</v>
      </c>
      <c r="C976" t="s">
        <v>3393</v>
      </c>
      <c r="D976" t="s">
        <v>5164</v>
      </c>
      <c r="E976" t="s">
        <v>5165</v>
      </c>
      <c r="F976" t="s">
        <v>5166</v>
      </c>
      <c r="G976" t="s">
        <v>5167</v>
      </c>
      <c r="H976" t="s">
        <v>29</v>
      </c>
      <c r="I976">
        <v>14</v>
      </c>
      <c r="J976">
        <v>11</v>
      </c>
      <c r="K976">
        <v>634</v>
      </c>
      <c r="L976">
        <v>33415</v>
      </c>
      <c r="M976" t="s">
        <v>52</v>
      </c>
      <c r="N976" t="s">
        <v>3405</v>
      </c>
      <c r="O976">
        <v>1480966</v>
      </c>
      <c r="P976" t="s">
        <v>3399</v>
      </c>
      <c r="Q976">
        <v>103753</v>
      </c>
      <c r="R976" t="s">
        <v>3400</v>
      </c>
      <c r="S976">
        <v>552</v>
      </c>
      <c r="T976" t="b">
        <v>0</v>
      </c>
      <c r="U976">
        <v>2</v>
      </c>
      <c r="V976">
        <v>2</v>
      </c>
      <c r="W976" t="s">
        <v>35</v>
      </c>
      <c r="X976" t="s">
        <v>29</v>
      </c>
      <c r="Y976" t="s">
        <v>29</v>
      </c>
      <c r="Z976" t="s">
        <v>37</v>
      </c>
    </row>
    <row r="977" spans="1:26">
      <c r="A977">
        <v>1.8683047504979436E+18</v>
      </c>
      <c r="B977" t="s">
        <v>3392</v>
      </c>
      <c r="C977" t="s">
        <v>3393</v>
      </c>
      <c r="D977" t="s">
        <v>5168</v>
      </c>
      <c r="E977" t="s">
        <v>5169</v>
      </c>
      <c r="F977" t="s">
        <v>5170</v>
      </c>
      <c r="G977" t="s">
        <v>5171</v>
      </c>
      <c r="H977" t="s">
        <v>29</v>
      </c>
      <c r="I977">
        <v>24</v>
      </c>
      <c r="J977">
        <v>35</v>
      </c>
      <c r="K977">
        <v>1095</v>
      </c>
      <c r="L977">
        <v>35510</v>
      </c>
      <c r="M977" t="s">
        <v>52</v>
      </c>
      <c r="N977" t="s">
        <v>3405</v>
      </c>
      <c r="O977">
        <v>1480966</v>
      </c>
      <c r="P977" t="s">
        <v>3399</v>
      </c>
      <c r="Q977">
        <v>103753</v>
      </c>
      <c r="R977" t="s">
        <v>3400</v>
      </c>
      <c r="S977">
        <v>552</v>
      </c>
      <c r="T977" t="b">
        <v>0</v>
      </c>
      <c r="U977">
        <v>6</v>
      </c>
      <c r="V977">
        <v>7</v>
      </c>
      <c r="W977" t="s">
        <v>35</v>
      </c>
      <c r="X977" t="s">
        <v>29</v>
      </c>
      <c r="Y977" t="s">
        <v>29</v>
      </c>
      <c r="Z977" t="s">
        <v>37</v>
      </c>
    </row>
    <row r="978" spans="1:26">
      <c r="A978">
        <v>1.8683212501642322E+18</v>
      </c>
      <c r="B978" t="s">
        <v>3392</v>
      </c>
      <c r="C978" t="s">
        <v>3393</v>
      </c>
      <c r="D978" t="s">
        <v>5172</v>
      </c>
      <c r="E978" t="s">
        <v>5173</v>
      </c>
      <c r="F978" t="s">
        <v>5174</v>
      </c>
      <c r="G978" t="s">
        <v>5175</v>
      </c>
      <c r="H978" t="s">
        <v>29</v>
      </c>
      <c r="I978">
        <v>58</v>
      </c>
      <c r="J978">
        <v>123</v>
      </c>
      <c r="K978">
        <v>1406</v>
      </c>
      <c r="L978">
        <v>54100</v>
      </c>
      <c r="M978" t="s">
        <v>52</v>
      </c>
      <c r="N978" t="s">
        <v>3405</v>
      </c>
      <c r="O978">
        <v>1480966</v>
      </c>
      <c r="P978" t="s">
        <v>3399</v>
      </c>
      <c r="Q978">
        <v>103753</v>
      </c>
      <c r="R978" t="s">
        <v>3400</v>
      </c>
      <c r="S978">
        <v>552</v>
      </c>
      <c r="T978" t="b">
        <v>0</v>
      </c>
      <c r="U978">
        <v>45</v>
      </c>
      <c r="V978">
        <v>4</v>
      </c>
      <c r="W978" t="s">
        <v>35</v>
      </c>
      <c r="X978" t="s">
        <v>29</v>
      </c>
      <c r="Y978" t="s">
        <v>29</v>
      </c>
      <c r="Z978" t="s">
        <v>37</v>
      </c>
    </row>
    <row r="979" spans="1:26">
      <c r="A979">
        <v>1.8684059198450977E+18</v>
      </c>
      <c r="B979" t="s">
        <v>3224</v>
      </c>
      <c r="C979" t="s">
        <v>3225</v>
      </c>
      <c r="D979" t="s">
        <v>5176</v>
      </c>
      <c r="E979" t="s">
        <v>5177</v>
      </c>
      <c r="F979" t="s">
        <v>5178</v>
      </c>
      <c r="G979" t="s">
        <v>5179</v>
      </c>
      <c r="H979" t="s">
        <v>5180</v>
      </c>
      <c r="I979">
        <v>22</v>
      </c>
      <c r="J979">
        <v>34</v>
      </c>
      <c r="K979">
        <v>328</v>
      </c>
      <c r="L979">
        <v>117362</v>
      </c>
      <c r="M979" t="s">
        <v>52</v>
      </c>
      <c r="N979" t="s">
        <v>29</v>
      </c>
      <c r="O979">
        <v>2999631</v>
      </c>
      <c r="P979" t="s">
        <v>3230</v>
      </c>
      <c r="Q979">
        <v>183050</v>
      </c>
      <c r="R979" t="s">
        <v>3231</v>
      </c>
      <c r="S979">
        <v>920</v>
      </c>
      <c r="T979" t="b">
        <v>0</v>
      </c>
      <c r="U979">
        <v>1</v>
      </c>
      <c r="V979">
        <v>6</v>
      </c>
      <c r="W979" t="s">
        <v>35</v>
      </c>
      <c r="X979" t="s">
        <v>29</v>
      </c>
      <c r="Y979" t="s">
        <v>29</v>
      </c>
      <c r="Z979" t="s">
        <v>37</v>
      </c>
    </row>
    <row r="980" spans="1:26">
      <c r="A980">
        <v>1.8683203603300682E+18</v>
      </c>
      <c r="B980" t="s">
        <v>4777</v>
      </c>
      <c r="C980" t="s">
        <v>4778</v>
      </c>
      <c r="D980" t="s">
        <v>5181</v>
      </c>
      <c r="E980" t="s">
        <v>5182</v>
      </c>
      <c r="F980" t="s">
        <v>5183</v>
      </c>
      <c r="G980" t="s">
        <v>5184</v>
      </c>
      <c r="H980" t="s">
        <v>4917</v>
      </c>
      <c r="I980">
        <v>135</v>
      </c>
      <c r="J980">
        <v>240</v>
      </c>
      <c r="K980">
        <v>4929</v>
      </c>
      <c r="L980">
        <v>443490</v>
      </c>
      <c r="M980" t="s">
        <v>52</v>
      </c>
      <c r="N980" t="s">
        <v>742</v>
      </c>
      <c r="O980">
        <v>10795892</v>
      </c>
      <c r="P980" t="s">
        <v>4783</v>
      </c>
      <c r="Q980">
        <v>95508</v>
      </c>
      <c r="R980" t="s">
        <v>4784</v>
      </c>
      <c r="S980">
        <v>98</v>
      </c>
      <c r="T980" t="b">
        <v>0</v>
      </c>
      <c r="U980">
        <v>70</v>
      </c>
      <c r="V980">
        <v>117</v>
      </c>
      <c r="W980" t="s">
        <v>35</v>
      </c>
      <c r="X980" t="s">
        <v>29</v>
      </c>
      <c r="Y980" t="s">
        <v>29</v>
      </c>
      <c r="Z980" t="s">
        <v>37</v>
      </c>
    </row>
    <row r="981" spans="1:26">
      <c r="A981">
        <v>1.8683795065218092E+18</v>
      </c>
      <c r="B981" t="s">
        <v>3205</v>
      </c>
      <c r="C981" t="s">
        <v>3206</v>
      </c>
      <c r="D981" t="s">
        <v>5185</v>
      </c>
      <c r="E981" t="s">
        <v>5186</v>
      </c>
      <c r="F981" t="s">
        <v>29</v>
      </c>
      <c r="G981" t="s">
        <v>5187</v>
      </c>
      <c r="H981" t="s">
        <v>5188</v>
      </c>
      <c r="I981">
        <v>1</v>
      </c>
      <c r="J981">
        <v>9</v>
      </c>
      <c r="K981">
        <v>42</v>
      </c>
      <c r="L981">
        <v>11043</v>
      </c>
      <c r="M981" t="s">
        <v>5189</v>
      </c>
      <c r="N981" t="s">
        <v>3212</v>
      </c>
      <c r="O981">
        <v>156681</v>
      </c>
      <c r="P981" t="s">
        <v>3213</v>
      </c>
      <c r="Q981">
        <v>35682</v>
      </c>
      <c r="R981" t="s">
        <v>3214</v>
      </c>
      <c r="S981">
        <v>1430</v>
      </c>
      <c r="T981" t="b">
        <v>0</v>
      </c>
      <c r="U981">
        <v>1</v>
      </c>
      <c r="V981">
        <v>0</v>
      </c>
      <c r="W981" t="s">
        <v>35</v>
      </c>
      <c r="X981" t="s">
        <v>29</v>
      </c>
      <c r="Y981" t="s">
        <v>29</v>
      </c>
      <c r="Z981" t="s">
        <v>37</v>
      </c>
    </row>
    <row r="982" spans="1:26">
      <c r="A982">
        <v>1.8683349047962173E+18</v>
      </c>
      <c r="B982" t="s">
        <v>2994</v>
      </c>
      <c r="C982" t="s">
        <v>2995</v>
      </c>
      <c r="D982" t="s">
        <v>5190</v>
      </c>
      <c r="E982" t="s">
        <v>5191</v>
      </c>
      <c r="F982" t="s">
        <v>5192</v>
      </c>
      <c r="G982" t="s">
        <v>5193</v>
      </c>
      <c r="H982" t="s">
        <v>29</v>
      </c>
      <c r="I982">
        <v>15</v>
      </c>
      <c r="J982">
        <v>18</v>
      </c>
      <c r="K982">
        <v>163</v>
      </c>
      <c r="L982">
        <v>53862</v>
      </c>
      <c r="M982" t="s">
        <v>4643</v>
      </c>
      <c r="N982" t="s">
        <v>3376</v>
      </c>
      <c r="O982">
        <v>812163</v>
      </c>
      <c r="P982" t="s">
        <v>3000</v>
      </c>
      <c r="Q982">
        <v>110924</v>
      </c>
      <c r="R982" t="s">
        <v>3001</v>
      </c>
      <c r="S982">
        <v>322</v>
      </c>
      <c r="T982" t="b">
        <v>0</v>
      </c>
      <c r="U982">
        <v>1</v>
      </c>
      <c r="V982">
        <v>1</v>
      </c>
      <c r="W982" t="s">
        <v>35</v>
      </c>
      <c r="X982" t="s">
        <v>29</v>
      </c>
      <c r="Y982" t="s">
        <v>29</v>
      </c>
      <c r="Z982" t="s">
        <v>37</v>
      </c>
    </row>
    <row r="983" spans="1:26">
      <c r="A983">
        <v>1.8681581752681969E+18</v>
      </c>
      <c r="B983" t="s">
        <v>3034</v>
      </c>
      <c r="C983" t="s">
        <v>3035</v>
      </c>
      <c r="D983" t="s">
        <v>5194</v>
      </c>
      <c r="E983" t="s">
        <v>5195</v>
      </c>
      <c r="F983" t="s">
        <v>5196</v>
      </c>
      <c r="G983" t="s">
        <v>5197</v>
      </c>
      <c r="H983" t="s">
        <v>5198</v>
      </c>
      <c r="I983">
        <v>76</v>
      </c>
      <c r="J983">
        <v>127</v>
      </c>
      <c r="K983">
        <v>2816</v>
      </c>
      <c r="L983">
        <v>473759</v>
      </c>
      <c r="M983" t="s">
        <v>52</v>
      </c>
      <c r="N983" t="s">
        <v>3040</v>
      </c>
      <c r="O983">
        <v>12876593</v>
      </c>
      <c r="P983" t="s">
        <v>3041</v>
      </c>
      <c r="Q983">
        <v>141401</v>
      </c>
      <c r="R983" t="s">
        <v>3042</v>
      </c>
      <c r="S983">
        <v>717</v>
      </c>
      <c r="T983" t="b">
        <v>0</v>
      </c>
      <c r="U983">
        <v>52</v>
      </c>
      <c r="V983">
        <v>78</v>
      </c>
      <c r="W983" t="s">
        <v>35</v>
      </c>
      <c r="X983" t="s">
        <v>29</v>
      </c>
      <c r="Y983" t="s">
        <v>29</v>
      </c>
      <c r="Z983" t="s">
        <v>37</v>
      </c>
    </row>
    <row r="984" spans="1:26">
      <c r="A984">
        <v>1.8682800956321754E+18</v>
      </c>
      <c r="B984" t="s">
        <v>4694</v>
      </c>
      <c r="C984" t="s">
        <v>4695</v>
      </c>
      <c r="D984" t="s">
        <v>5199</v>
      </c>
      <c r="E984" t="s">
        <v>5200</v>
      </c>
      <c r="F984" t="s">
        <v>5201</v>
      </c>
      <c r="G984" t="s">
        <v>5202</v>
      </c>
      <c r="H984" t="s">
        <v>5203</v>
      </c>
      <c r="I984">
        <v>2</v>
      </c>
      <c r="J984">
        <v>16</v>
      </c>
      <c r="K984">
        <v>45</v>
      </c>
      <c r="L984">
        <v>8093</v>
      </c>
      <c r="M984" t="s">
        <v>52</v>
      </c>
      <c r="N984" t="s">
        <v>4820</v>
      </c>
      <c r="O984">
        <v>1123807</v>
      </c>
      <c r="P984" t="s">
        <v>4702</v>
      </c>
      <c r="Q984">
        <v>34290</v>
      </c>
      <c r="R984" t="s">
        <v>4703</v>
      </c>
      <c r="S984">
        <v>63</v>
      </c>
      <c r="T984" t="b">
        <v>0</v>
      </c>
      <c r="U984">
        <v>0</v>
      </c>
      <c r="V984">
        <v>1</v>
      </c>
      <c r="W984" t="s">
        <v>35</v>
      </c>
      <c r="X984" t="s">
        <v>29</v>
      </c>
      <c r="Y984" t="s">
        <v>29</v>
      </c>
      <c r="Z984" t="s">
        <v>37</v>
      </c>
    </row>
    <row r="985" spans="1:26">
      <c r="A985">
        <v>1.868330841891328E+18</v>
      </c>
      <c r="B985" t="s">
        <v>3168</v>
      </c>
      <c r="C985" t="s">
        <v>3169</v>
      </c>
      <c r="D985" t="s">
        <v>5204</v>
      </c>
      <c r="E985" t="s">
        <v>5205</v>
      </c>
      <c r="F985" t="s">
        <v>5206</v>
      </c>
      <c r="G985" t="s">
        <v>5207</v>
      </c>
      <c r="H985" t="s">
        <v>3189</v>
      </c>
      <c r="I985">
        <v>7</v>
      </c>
      <c r="J985">
        <v>9</v>
      </c>
      <c r="K985">
        <v>158</v>
      </c>
      <c r="L985">
        <v>17482</v>
      </c>
      <c r="M985" t="s">
        <v>52</v>
      </c>
      <c r="N985" t="s">
        <v>3636</v>
      </c>
      <c r="O985">
        <v>294711</v>
      </c>
      <c r="P985" t="s">
        <v>3175</v>
      </c>
      <c r="Q985">
        <v>66342</v>
      </c>
      <c r="R985" t="s">
        <v>3176</v>
      </c>
      <c r="S985">
        <v>1449</v>
      </c>
      <c r="T985" t="b">
        <v>0</v>
      </c>
      <c r="U985">
        <v>1</v>
      </c>
      <c r="V985">
        <v>0</v>
      </c>
      <c r="W985" t="s">
        <v>35</v>
      </c>
      <c r="X985" t="s">
        <v>29</v>
      </c>
      <c r="Y985" t="s">
        <v>29</v>
      </c>
      <c r="Z985" t="s">
        <v>37</v>
      </c>
    </row>
    <row r="986" spans="1:26">
      <c r="A986">
        <v>1.8681155917454095E+18</v>
      </c>
      <c r="B986" t="s">
        <v>3083</v>
      </c>
      <c r="C986" t="s">
        <v>3083</v>
      </c>
      <c r="D986" t="s">
        <v>5208</v>
      </c>
      <c r="E986" t="s">
        <v>5209</v>
      </c>
      <c r="F986" t="s">
        <v>5210</v>
      </c>
      <c r="G986" t="s">
        <v>5211</v>
      </c>
      <c r="H986" t="s">
        <v>5212</v>
      </c>
      <c r="I986">
        <v>359</v>
      </c>
      <c r="J986">
        <v>1075</v>
      </c>
      <c r="K986">
        <v>7324</v>
      </c>
      <c r="L986">
        <v>349721</v>
      </c>
      <c r="M986" t="s">
        <v>52</v>
      </c>
      <c r="N986" t="s">
        <v>3087</v>
      </c>
      <c r="O986">
        <v>14375935</v>
      </c>
      <c r="P986" t="s">
        <v>3088</v>
      </c>
      <c r="Q986">
        <v>346973</v>
      </c>
      <c r="R986" t="s">
        <v>3089</v>
      </c>
      <c r="S986">
        <v>392</v>
      </c>
      <c r="T986" t="b">
        <v>0</v>
      </c>
      <c r="U986">
        <v>112</v>
      </c>
      <c r="V986">
        <v>107</v>
      </c>
      <c r="W986" t="s">
        <v>35</v>
      </c>
      <c r="X986" t="s">
        <v>29</v>
      </c>
      <c r="Y986" t="s">
        <v>29</v>
      </c>
      <c r="Z986" t="s">
        <v>37</v>
      </c>
    </row>
    <row r="987" spans="1:26">
      <c r="A987">
        <v>1.8681043220781263E+18</v>
      </c>
      <c r="B987" t="s">
        <v>3083</v>
      </c>
      <c r="C987" t="s">
        <v>3083</v>
      </c>
      <c r="D987" t="s">
        <v>5213</v>
      </c>
      <c r="E987" t="s">
        <v>5214</v>
      </c>
      <c r="F987" t="s">
        <v>5215</v>
      </c>
      <c r="G987" t="s">
        <v>5216</v>
      </c>
      <c r="H987" t="s">
        <v>3788</v>
      </c>
      <c r="I987">
        <v>268</v>
      </c>
      <c r="J987">
        <v>1361</v>
      </c>
      <c r="K987">
        <v>13409</v>
      </c>
      <c r="L987">
        <v>524695</v>
      </c>
      <c r="M987" t="s">
        <v>52</v>
      </c>
      <c r="N987" t="s">
        <v>3087</v>
      </c>
      <c r="O987">
        <v>14375935</v>
      </c>
      <c r="P987" t="s">
        <v>3088</v>
      </c>
      <c r="Q987">
        <v>346973</v>
      </c>
      <c r="R987" t="s">
        <v>3089</v>
      </c>
      <c r="S987">
        <v>392</v>
      </c>
      <c r="T987" t="b">
        <v>0</v>
      </c>
      <c r="U987">
        <v>146</v>
      </c>
      <c r="V987">
        <v>202</v>
      </c>
      <c r="W987" t="s">
        <v>35</v>
      </c>
      <c r="X987" t="s">
        <v>29</v>
      </c>
      <c r="Y987" t="s">
        <v>29</v>
      </c>
      <c r="Z987" t="s">
        <v>37</v>
      </c>
    </row>
    <row r="988" spans="1:26">
      <c r="A988">
        <v>1.8682120616266348E+18</v>
      </c>
      <c r="B988" t="s">
        <v>4710</v>
      </c>
      <c r="C988" t="s">
        <v>4711</v>
      </c>
      <c r="D988" t="s">
        <v>5217</v>
      </c>
      <c r="E988" t="s">
        <v>5218</v>
      </c>
      <c r="F988" t="s">
        <v>5219</v>
      </c>
      <c r="G988" t="s">
        <v>5220</v>
      </c>
      <c r="H988" t="s">
        <v>29</v>
      </c>
      <c r="I988">
        <v>4</v>
      </c>
      <c r="J988">
        <v>4</v>
      </c>
      <c r="K988">
        <v>66</v>
      </c>
      <c r="L988">
        <v>9943</v>
      </c>
      <c r="M988" t="s">
        <v>52</v>
      </c>
      <c r="N988" t="s">
        <v>4716</v>
      </c>
      <c r="O988">
        <v>551401</v>
      </c>
      <c r="P988" t="s">
        <v>4717</v>
      </c>
      <c r="Q988">
        <v>40407</v>
      </c>
      <c r="R988" t="s">
        <v>4718</v>
      </c>
      <c r="S988">
        <v>282</v>
      </c>
      <c r="T988" t="b">
        <v>0</v>
      </c>
      <c r="U988">
        <v>3</v>
      </c>
      <c r="V988">
        <v>1</v>
      </c>
      <c r="W988" t="s">
        <v>35</v>
      </c>
      <c r="X988" t="s">
        <v>29</v>
      </c>
      <c r="Y988" t="s">
        <v>29</v>
      </c>
      <c r="Z988" t="s">
        <v>37</v>
      </c>
    </row>
    <row r="989" spans="1:26">
      <c r="A989">
        <v>1.868258857828672E+18</v>
      </c>
      <c r="B989" t="s">
        <v>4710</v>
      </c>
      <c r="C989" t="s">
        <v>4711</v>
      </c>
      <c r="D989" t="s">
        <v>5221</v>
      </c>
      <c r="E989" t="s">
        <v>5222</v>
      </c>
      <c r="F989" t="s">
        <v>5223</v>
      </c>
      <c r="G989" t="s">
        <v>5224</v>
      </c>
      <c r="H989" t="s">
        <v>5225</v>
      </c>
      <c r="I989">
        <v>16</v>
      </c>
      <c r="J989">
        <v>16</v>
      </c>
      <c r="K989">
        <v>216</v>
      </c>
      <c r="L989">
        <v>11085</v>
      </c>
      <c r="M989" t="s">
        <v>52</v>
      </c>
      <c r="N989" t="s">
        <v>4716</v>
      </c>
      <c r="O989">
        <v>551401</v>
      </c>
      <c r="P989" t="s">
        <v>4717</v>
      </c>
      <c r="Q989">
        <v>40407</v>
      </c>
      <c r="R989" t="s">
        <v>4718</v>
      </c>
      <c r="S989">
        <v>282</v>
      </c>
      <c r="T989" t="b">
        <v>0</v>
      </c>
      <c r="U989">
        <v>8</v>
      </c>
      <c r="V989">
        <v>1</v>
      </c>
      <c r="W989" t="s">
        <v>35</v>
      </c>
      <c r="X989" t="s">
        <v>29</v>
      </c>
      <c r="Y989" t="s">
        <v>29</v>
      </c>
      <c r="Z989" t="s">
        <v>37</v>
      </c>
    </row>
    <row r="990" spans="1:26">
      <c r="A990">
        <v>1.868085619307733E+18</v>
      </c>
      <c r="B990" t="s">
        <v>2474</v>
      </c>
      <c r="C990" t="s">
        <v>2475</v>
      </c>
      <c r="D990" t="s">
        <v>5226</v>
      </c>
      <c r="E990" t="s">
        <v>5227</v>
      </c>
      <c r="F990" t="s">
        <v>5228</v>
      </c>
      <c r="G990" t="s">
        <v>5229</v>
      </c>
      <c r="H990" t="s">
        <v>5135</v>
      </c>
      <c r="I990">
        <v>14</v>
      </c>
      <c r="J990">
        <v>17</v>
      </c>
      <c r="K990">
        <v>337</v>
      </c>
      <c r="L990">
        <v>12666</v>
      </c>
      <c r="M990" t="s">
        <v>52</v>
      </c>
      <c r="N990" t="s">
        <v>5022</v>
      </c>
      <c r="O990">
        <v>1511302</v>
      </c>
      <c r="P990" t="s">
        <v>2481</v>
      </c>
      <c r="Q990">
        <v>56647</v>
      </c>
      <c r="R990" t="s">
        <v>2482</v>
      </c>
      <c r="S990">
        <v>80</v>
      </c>
      <c r="T990" t="b">
        <v>0</v>
      </c>
      <c r="U990">
        <v>0</v>
      </c>
      <c r="V990">
        <v>3</v>
      </c>
      <c r="W990" t="s">
        <v>35</v>
      </c>
      <c r="X990" t="s">
        <v>29</v>
      </c>
      <c r="Y990" t="s">
        <v>29</v>
      </c>
      <c r="Z990" t="s">
        <v>37</v>
      </c>
    </row>
    <row r="991" spans="1:26">
      <c r="A991">
        <v>1.8683927878735014E+18</v>
      </c>
      <c r="B991" t="s">
        <v>5230</v>
      </c>
      <c r="C991" t="s">
        <v>5231</v>
      </c>
      <c r="D991" t="s">
        <v>5232</v>
      </c>
      <c r="E991" t="s">
        <v>5233</v>
      </c>
      <c r="F991" t="s">
        <v>5234</v>
      </c>
      <c r="G991" t="s">
        <v>5235</v>
      </c>
      <c r="H991" t="s">
        <v>5236</v>
      </c>
      <c r="I991">
        <v>88</v>
      </c>
      <c r="J991">
        <v>465</v>
      </c>
      <c r="K991">
        <v>4864</v>
      </c>
      <c r="L991">
        <v>53291</v>
      </c>
      <c r="M991" t="s">
        <v>52</v>
      </c>
      <c r="N991" t="s">
        <v>29</v>
      </c>
      <c r="O991">
        <v>274313</v>
      </c>
      <c r="P991" t="s">
        <v>5237</v>
      </c>
      <c r="Q991">
        <v>398</v>
      </c>
      <c r="R991" t="s">
        <v>5238</v>
      </c>
      <c r="S991">
        <v>104</v>
      </c>
      <c r="T991" t="b">
        <v>0</v>
      </c>
      <c r="U991">
        <v>16</v>
      </c>
      <c r="V991">
        <v>11</v>
      </c>
      <c r="W991" t="s">
        <v>35</v>
      </c>
      <c r="X991" t="s">
        <v>29</v>
      </c>
      <c r="Y991" t="s">
        <v>29</v>
      </c>
      <c r="Z991" t="s">
        <v>37</v>
      </c>
    </row>
    <row r="992" spans="1:26">
      <c r="A992">
        <v>1.8683480091526513E+18</v>
      </c>
      <c r="B992" t="s">
        <v>3168</v>
      </c>
      <c r="C992" t="s">
        <v>3169</v>
      </c>
      <c r="D992" t="s">
        <v>5239</v>
      </c>
      <c r="E992" t="s">
        <v>5240</v>
      </c>
      <c r="F992" t="s">
        <v>5241</v>
      </c>
      <c r="G992" t="s">
        <v>5242</v>
      </c>
      <c r="H992" t="s">
        <v>29</v>
      </c>
      <c r="I992">
        <v>11</v>
      </c>
      <c r="J992">
        <v>7</v>
      </c>
      <c r="K992">
        <v>80</v>
      </c>
      <c r="L992">
        <v>55973</v>
      </c>
      <c r="M992" t="s">
        <v>52</v>
      </c>
      <c r="N992" t="s">
        <v>3636</v>
      </c>
      <c r="O992">
        <v>294711</v>
      </c>
      <c r="P992" t="s">
        <v>3175</v>
      </c>
      <c r="Q992">
        <v>66342</v>
      </c>
      <c r="R992" t="s">
        <v>3176</v>
      </c>
      <c r="S992">
        <v>1449</v>
      </c>
      <c r="T992" t="b">
        <v>0</v>
      </c>
      <c r="U992">
        <v>4</v>
      </c>
      <c r="V992">
        <v>2</v>
      </c>
      <c r="W992" t="s">
        <v>35</v>
      </c>
      <c r="X992" t="s">
        <v>29</v>
      </c>
      <c r="Y992" t="s">
        <v>29</v>
      </c>
      <c r="Z992" t="s">
        <v>37</v>
      </c>
    </row>
    <row r="993" spans="1:26">
      <c r="A993">
        <v>1.8682534193095025E+18</v>
      </c>
      <c r="B993" t="s">
        <v>2994</v>
      </c>
      <c r="C993" t="s">
        <v>2995</v>
      </c>
      <c r="D993" t="s">
        <v>5243</v>
      </c>
      <c r="E993" t="s">
        <v>1316</v>
      </c>
      <c r="F993" t="s">
        <v>5244</v>
      </c>
      <c r="G993" t="s">
        <v>5245</v>
      </c>
      <c r="H993" t="s">
        <v>4966</v>
      </c>
      <c r="I993">
        <v>9</v>
      </c>
      <c r="J993">
        <v>22</v>
      </c>
      <c r="K993">
        <v>288</v>
      </c>
      <c r="L993">
        <v>84157</v>
      </c>
      <c r="M993" t="s">
        <v>5246</v>
      </c>
      <c r="N993" t="s">
        <v>29</v>
      </c>
      <c r="O993">
        <v>812163</v>
      </c>
      <c r="P993" t="s">
        <v>3000</v>
      </c>
      <c r="Q993">
        <v>110924</v>
      </c>
      <c r="R993" t="s">
        <v>3001</v>
      </c>
      <c r="S993">
        <v>322</v>
      </c>
      <c r="T993" t="b">
        <v>0</v>
      </c>
      <c r="U993">
        <v>2</v>
      </c>
      <c r="V993">
        <v>3</v>
      </c>
      <c r="W993" t="s">
        <v>35</v>
      </c>
      <c r="X993" t="s">
        <v>29</v>
      </c>
      <c r="Y993" t="s">
        <v>29</v>
      </c>
      <c r="Z993" t="s">
        <v>37</v>
      </c>
    </row>
    <row r="994" spans="1:26">
      <c r="A994">
        <v>1.8684320970748974E+18</v>
      </c>
      <c r="B994" t="s">
        <v>3392</v>
      </c>
      <c r="C994" t="s">
        <v>3393</v>
      </c>
      <c r="D994" t="s">
        <v>5247</v>
      </c>
      <c r="E994" t="s">
        <v>4974</v>
      </c>
      <c r="F994" t="s">
        <v>5248</v>
      </c>
      <c r="G994" t="s">
        <v>5249</v>
      </c>
      <c r="H994" t="s">
        <v>29</v>
      </c>
      <c r="I994">
        <v>7</v>
      </c>
      <c r="J994">
        <v>92</v>
      </c>
      <c r="K994">
        <v>1107</v>
      </c>
      <c r="L994">
        <v>21437</v>
      </c>
      <c r="M994" t="s">
        <v>52</v>
      </c>
      <c r="N994" t="s">
        <v>3398</v>
      </c>
      <c r="O994">
        <v>1480966</v>
      </c>
      <c r="P994" t="s">
        <v>3399</v>
      </c>
      <c r="Q994">
        <v>103753</v>
      </c>
      <c r="R994" t="s">
        <v>3400</v>
      </c>
      <c r="S994">
        <v>552</v>
      </c>
      <c r="T994" t="b">
        <v>0</v>
      </c>
      <c r="U994">
        <v>10</v>
      </c>
      <c r="V994">
        <v>15</v>
      </c>
      <c r="W994" t="s">
        <v>35</v>
      </c>
      <c r="X994" t="s">
        <v>29</v>
      </c>
      <c r="Y994" t="s">
        <v>29</v>
      </c>
      <c r="Z994" t="s">
        <v>37</v>
      </c>
    </row>
    <row r="995" spans="1:26">
      <c r="A995">
        <v>1.8682760685469041E+18</v>
      </c>
      <c r="B995" t="s">
        <v>3392</v>
      </c>
      <c r="C995" t="s">
        <v>3393</v>
      </c>
      <c r="D995" t="s">
        <v>5250</v>
      </c>
      <c r="E995" t="s">
        <v>5251</v>
      </c>
      <c r="F995" t="s">
        <v>29</v>
      </c>
      <c r="G995" t="s">
        <v>5252</v>
      </c>
      <c r="H995" t="s">
        <v>29</v>
      </c>
      <c r="I995">
        <v>58</v>
      </c>
      <c r="J995">
        <v>168</v>
      </c>
      <c r="K995">
        <v>928</v>
      </c>
      <c r="L995">
        <v>187460</v>
      </c>
      <c r="M995" t="s">
        <v>5253</v>
      </c>
      <c r="N995" t="s">
        <v>3405</v>
      </c>
      <c r="O995">
        <v>1480966</v>
      </c>
      <c r="P995" t="s">
        <v>3399</v>
      </c>
      <c r="Q995">
        <v>103753</v>
      </c>
      <c r="R995" t="s">
        <v>3400</v>
      </c>
      <c r="S995">
        <v>552</v>
      </c>
      <c r="T995" t="b">
        <v>0</v>
      </c>
      <c r="U995">
        <v>81</v>
      </c>
      <c r="V995">
        <v>9</v>
      </c>
      <c r="W995" t="s">
        <v>35</v>
      </c>
      <c r="X995" t="s">
        <v>29</v>
      </c>
      <c r="Y995" t="s">
        <v>29</v>
      </c>
      <c r="Z995" t="s">
        <v>37</v>
      </c>
    </row>
    <row r="996" spans="1:26">
      <c r="A996">
        <v>1.8683024103614715E+18</v>
      </c>
      <c r="B996" t="s">
        <v>3392</v>
      </c>
      <c r="C996" t="s">
        <v>3393</v>
      </c>
      <c r="D996" t="s">
        <v>5254</v>
      </c>
      <c r="E996" t="s">
        <v>5255</v>
      </c>
      <c r="F996" t="s">
        <v>5256</v>
      </c>
      <c r="G996" t="s">
        <v>5257</v>
      </c>
      <c r="H996" t="s">
        <v>29</v>
      </c>
      <c r="I996">
        <v>28</v>
      </c>
      <c r="J996">
        <v>74</v>
      </c>
      <c r="K996">
        <v>608</v>
      </c>
      <c r="L996">
        <v>81223</v>
      </c>
      <c r="M996" t="s">
        <v>52</v>
      </c>
      <c r="N996" t="s">
        <v>3405</v>
      </c>
      <c r="O996">
        <v>1480964</v>
      </c>
      <c r="P996" t="s">
        <v>3399</v>
      </c>
      <c r="Q996">
        <v>103753</v>
      </c>
      <c r="R996" t="s">
        <v>3400</v>
      </c>
      <c r="S996">
        <v>552</v>
      </c>
      <c r="T996" t="b">
        <v>0</v>
      </c>
      <c r="U996">
        <v>27</v>
      </c>
      <c r="V996">
        <v>1</v>
      </c>
      <c r="W996" t="s">
        <v>35</v>
      </c>
      <c r="X996" t="s">
        <v>29</v>
      </c>
      <c r="Y996" t="s">
        <v>29</v>
      </c>
      <c r="Z996" t="s">
        <v>37</v>
      </c>
    </row>
    <row r="997" spans="1:26">
      <c r="A997">
        <v>1.8681884150844255E+18</v>
      </c>
      <c r="B997" t="s">
        <v>3034</v>
      </c>
      <c r="C997" t="s">
        <v>3035</v>
      </c>
      <c r="D997" t="s">
        <v>5258</v>
      </c>
      <c r="E997" t="s">
        <v>5259</v>
      </c>
      <c r="F997" t="s">
        <v>5260</v>
      </c>
      <c r="G997" t="s">
        <v>5261</v>
      </c>
      <c r="H997" t="s">
        <v>5262</v>
      </c>
      <c r="I997">
        <v>42</v>
      </c>
      <c r="J997">
        <v>81</v>
      </c>
      <c r="K997">
        <v>1341</v>
      </c>
      <c r="L997">
        <v>156329</v>
      </c>
      <c r="M997" t="s">
        <v>52</v>
      </c>
      <c r="N997" t="s">
        <v>3040</v>
      </c>
      <c r="O997">
        <v>12876593</v>
      </c>
      <c r="P997" t="s">
        <v>3041</v>
      </c>
      <c r="Q997">
        <v>141401</v>
      </c>
      <c r="R997" t="s">
        <v>3042</v>
      </c>
      <c r="S997">
        <v>717</v>
      </c>
      <c r="T997" t="b">
        <v>0</v>
      </c>
      <c r="U997">
        <v>11</v>
      </c>
      <c r="V997">
        <v>16</v>
      </c>
      <c r="W997" t="s">
        <v>35</v>
      </c>
      <c r="X997" t="s">
        <v>29</v>
      </c>
      <c r="Y997" t="s">
        <v>29</v>
      </c>
      <c r="Z997" t="s">
        <v>37</v>
      </c>
    </row>
    <row r="998" spans="1:26">
      <c r="A998">
        <v>1.8680987122764964E+18</v>
      </c>
      <c r="B998" t="s">
        <v>3083</v>
      </c>
      <c r="C998" t="s">
        <v>3083</v>
      </c>
      <c r="D998" t="s">
        <v>5263</v>
      </c>
      <c r="E998" t="s">
        <v>5264</v>
      </c>
      <c r="F998" t="s">
        <v>29</v>
      </c>
      <c r="G998" t="s">
        <v>5265</v>
      </c>
      <c r="H998" t="s">
        <v>5266</v>
      </c>
      <c r="I998">
        <v>122</v>
      </c>
      <c r="J998">
        <v>393</v>
      </c>
      <c r="K998">
        <v>2579</v>
      </c>
      <c r="L998">
        <v>279472</v>
      </c>
      <c r="M998" t="s">
        <v>52</v>
      </c>
      <c r="N998" t="s">
        <v>3087</v>
      </c>
      <c r="O998">
        <v>14375935</v>
      </c>
      <c r="P998" t="s">
        <v>3088</v>
      </c>
      <c r="Q998">
        <v>346973</v>
      </c>
      <c r="R998" t="s">
        <v>3089</v>
      </c>
      <c r="S998">
        <v>392</v>
      </c>
      <c r="T998" t="b">
        <v>0</v>
      </c>
      <c r="U998">
        <v>32</v>
      </c>
      <c r="V998">
        <v>39</v>
      </c>
      <c r="W998" t="s">
        <v>35</v>
      </c>
      <c r="X998" t="s">
        <v>29</v>
      </c>
      <c r="Y998" t="s">
        <v>29</v>
      </c>
      <c r="Z998" t="s">
        <v>37</v>
      </c>
    </row>
    <row r="999" spans="1:26">
      <c r="A999">
        <v>1.8682199820035077E+18</v>
      </c>
      <c r="B999" t="s">
        <v>4710</v>
      </c>
      <c r="C999" t="s">
        <v>4711</v>
      </c>
      <c r="D999" t="s">
        <v>5267</v>
      </c>
      <c r="E999" t="s">
        <v>5268</v>
      </c>
      <c r="F999" t="s">
        <v>5269</v>
      </c>
      <c r="G999" t="s">
        <v>5270</v>
      </c>
      <c r="H999" t="s">
        <v>29</v>
      </c>
      <c r="I999">
        <v>15</v>
      </c>
      <c r="J999">
        <v>21</v>
      </c>
      <c r="K999">
        <v>764</v>
      </c>
      <c r="L999">
        <v>84181</v>
      </c>
      <c r="M999" t="s">
        <v>52</v>
      </c>
      <c r="N999" t="s">
        <v>4716</v>
      </c>
      <c r="O999">
        <v>551402</v>
      </c>
      <c r="P999" t="s">
        <v>4717</v>
      </c>
      <c r="Q999">
        <v>40407</v>
      </c>
      <c r="R999" t="s">
        <v>4718</v>
      </c>
      <c r="S999">
        <v>282</v>
      </c>
      <c r="T999" t="b">
        <v>0</v>
      </c>
      <c r="U999">
        <v>5</v>
      </c>
      <c r="V999">
        <v>13</v>
      </c>
      <c r="W999" t="s">
        <v>35</v>
      </c>
      <c r="X999" t="s">
        <v>29</v>
      </c>
      <c r="Y999" t="s">
        <v>29</v>
      </c>
      <c r="Z999" t="s">
        <v>37</v>
      </c>
    </row>
    <row r="1000" spans="1:26">
      <c r="A1000">
        <v>1.8684006431587988E+18</v>
      </c>
      <c r="B1000" t="s">
        <v>5271</v>
      </c>
      <c r="C1000" t="s">
        <v>5272</v>
      </c>
      <c r="D1000" t="s">
        <v>5273</v>
      </c>
      <c r="E1000" t="s">
        <v>2067</v>
      </c>
      <c r="F1000" t="s">
        <v>5274</v>
      </c>
      <c r="G1000" t="s">
        <v>5275</v>
      </c>
      <c r="H1000" t="s">
        <v>5276</v>
      </c>
      <c r="I1000">
        <v>4</v>
      </c>
      <c r="J1000">
        <v>3</v>
      </c>
      <c r="K1000">
        <v>34</v>
      </c>
      <c r="L1000">
        <v>4471</v>
      </c>
      <c r="M1000" t="s">
        <v>52</v>
      </c>
      <c r="N1000" t="s">
        <v>5277</v>
      </c>
      <c r="O1000">
        <v>305976</v>
      </c>
      <c r="P1000" t="s">
        <v>5278</v>
      </c>
      <c r="Q1000">
        <v>21543</v>
      </c>
      <c r="R1000" t="s">
        <v>5279</v>
      </c>
      <c r="S1000">
        <v>302</v>
      </c>
      <c r="T1000" t="b">
        <v>0</v>
      </c>
      <c r="U1000">
        <v>1</v>
      </c>
      <c r="V1000">
        <v>2</v>
      </c>
      <c r="W1000" t="s">
        <v>35</v>
      </c>
      <c r="X1000" t="s">
        <v>29</v>
      </c>
      <c r="Y1000" t="s">
        <v>29</v>
      </c>
      <c r="Z1000" t="s">
        <v>37</v>
      </c>
    </row>
    <row r="1001" spans="1:26">
      <c r="A1001">
        <v>1.8681265111962337E+18</v>
      </c>
      <c r="B1001" t="s">
        <v>2474</v>
      </c>
      <c r="C1001" t="s">
        <v>2475</v>
      </c>
      <c r="D1001" t="s">
        <v>5280</v>
      </c>
      <c r="E1001" t="s">
        <v>5281</v>
      </c>
      <c r="F1001" t="s">
        <v>5282</v>
      </c>
      <c r="G1001" t="s">
        <v>5283</v>
      </c>
      <c r="H1001" t="s">
        <v>4930</v>
      </c>
      <c r="I1001">
        <v>54</v>
      </c>
      <c r="J1001">
        <v>105</v>
      </c>
      <c r="K1001">
        <v>469</v>
      </c>
      <c r="L1001">
        <v>25972</v>
      </c>
      <c r="M1001" t="s">
        <v>52</v>
      </c>
      <c r="N1001" t="s">
        <v>5284</v>
      </c>
      <c r="O1001">
        <v>1511302</v>
      </c>
      <c r="P1001" t="s">
        <v>2481</v>
      </c>
      <c r="Q1001">
        <v>56647</v>
      </c>
      <c r="R1001" t="s">
        <v>2482</v>
      </c>
      <c r="S1001">
        <v>80</v>
      </c>
      <c r="T1001" t="b">
        <v>0</v>
      </c>
      <c r="U1001">
        <v>8</v>
      </c>
      <c r="V1001">
        <v>2</v>
      </c>
      <c r="W1001" t="s">
        <v>35</v>
      </c>
      <c r="X1001" t="s">
        <v>29</v>
      </c>
      <c r="Y1001" t="s">
        <v>29</v>
      </c>
      <c r="Z1001"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036F0-D0BF-4F09-8CE8-721AD967EECB}">
  <dimension ref="A1:AL1001"/>
  <sheetViews>
    <sheetView workbookViewId="0">
      <selection activeCell="AM11" sqref="A1:AM11"/>
    </sheetView>
  </sheetViews>
  <sheetFormatPr defaultRowHeight="14.4"/>
  <cols>
    <col min="1" max="1" width="12" bestFit="1" customWidth="1"/>
    <col min="2" max="2" width="24" bestFit="1" customWidth="1"/>
    <col min="3" max="3" width="23.44140625" customWidth="1"/>
    <col min="4" max="4" width="34.21875" customWidth="1"/>
    <col min="5" max="5" width="24.44140625" bestFit="1" customWidth="1"/>
    <col min="6" max="6" width="23.21875" customWidth="1"/>
    <col min="7" max="7" width="29" customWidth="1"/>
    <col min="8" max="8" width="24.77734375" customWidth="1"/>
    <col min="9" max="9" width="9" bestFit="1" customWidth="1"/>
    <col min="10" max="10" width="9.44140625" bestFit="1" customWidth="1"/>
    <col min="11" max="11" width="7.21875" bestFit="1" customWidth="1"/>
    <col min="12" max="12" width="9" bestFit="1" customWidth="1"/>
    <col min="13" max="13" width="27.44140625" customWidth="1"/>
    <col min="14" max="14" width="40.5546875" customWidth="1"/>
    <col min="15" max="15" width="10.77734375" bestFit="1" customWidth="1"/>
    <col min="16" max="16" width="36" customWidth="1"/>
    <col min="17" max="17" width="13.21875" bestFit="1" customWidth="1"/>
    <col min="18" max="18" width="25.21875" customWidth="1"/>
    <col min="19" max="19" width="10.6640625" bestFit="1" customWidth="1"/>
    <col min="20" max="20" width="11.77734375" bestFit="1" customWidth="1"/>
    <col min="22" max="22" width="12.5546875" bestFit="1" customWidth="1"/>
    <col min="23" max="23" width="29.21875" customWidth="1"/>
    <col min="24" max="24" width="13.6640625" customWidth="1"/>
    <col min="25" max="25" width="12.44140625" customWidth="1"/>
    <col min="26" max="26" width="21.44140625" customWidth="1"/>
    <col min="28" max="28" width="8.88671875" style="1"/>
    <col min="29" max="29" width="17.5546875" style="3" customWidth="1"/>
    <col min="31" max="31" width="10.33203125" bestFit="1" customWidth="1"/>
  </cols>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5285</v>
      </c>
      <c r="AB1" s="1" t="s">
        <v>5286</v>
      </c>
      <c r="AC1" s="3" t="s">
        <v>5298</v>
      </c>
      <c r="AD1" t="s">
        <v>5299</v>
      </c>
      <c r="AE1" t="s">
        <v>5300</v>
      </c>
      <c r="AF1" t="s">
        <v>5301</v>
      </c>
      <c r="AG1" t="s">
        <v>5313</v>
      </c>
      <c r="AH1" t="s">
        <v>5314</v>
      </c>
      <c r="AI1" t="s">
        <v>5315</v>
      </c>
      <c r="AJ1" t="s">
        <v>5316</v>
      </c>
      <c r="AK1" t="s">
        <v>5321</v>
      </c>
      <c r="AL1" t="s">
        <v>5322</v>
      </c>
    </row>
    <row r="2" spans="1:38">
      <c r="A2">
        <v>1.8682740692058156E+18</v>
      </c>
      <c r="B2" t="s">
        <v>1258</v>
      </c>
      <c r="C2" t="s">
        <v>1259</v>
      </c>
      <c r="D2" t="s">
        <v>1260</v>
      </c>
      <c r="E2" t="s">
        <v>1261</v>
      </c>
      <c r="F2" t="s">
        <v>1262</v>
      </c>
      <c r="G2" t="s">
        <v>1263</v>
      </c>
      <c r="H2" t="s">
        <v>1264</v>
      </c>
      <c r="I2">
        <v>40</v>
      </c>
      <c r="J2">
        <v>257</v>
      </c>
      <c r="K2">
        <v>4743</v>
      </c>
      <c r="L2">
        <v>40436</v>
      </c>
      <c r="M2" t="s">
        <v>52</v>
      </c>
      <c r="N2" t="s">
        <v>29</v>
      </c>
      <c r="O2">
        <v>1033714</v>
      </c>
      <c r="P2" t="s">
        <v>1265</v>
      </c>
      <c r="Q2">
        <v>37993</v>
      </c>
      <c r="R2" t="s">
        <v>1266</v>
      </c>
      <c r="S2">
        <v>127</v>
      </c>
      <c r="T2" t="b">
        <v>0</v>
      </c>
      <c r="U2">
        <v>10</v>
      </c>
      <c r="V2">
        <v>9</v>
      </c>
      <c r="W2" t="s">
        <v>35</v>
      </c>
      <c r="X2" t="s">
        <v>29</v>
      </c>
      <c r="Y2" t="s">
        <v>29</v>
      </c>
      <c r="Z2" t="s">
        <v>37</v>
      </c>
      <c r="AA2">
        <f>TwitterClean[[#This Row],[likes]]+TwitterClean[[#This Row],[replies]]+TwitterClean[[#This Row],[reposts]]+TwitterClean[[#This Row],[quotes]]+TwitterClean[[#This Row],[bookmarks]]</f>
        <v>5059</v>
      </c>
      <c r="AB2" s="1">
        <f>TwitterClean[[#This Row],[Total_Engagements]]/TwitterClean[[#This Row],[views]]</f>
        <v>0.12511128697200513</v>
      </c>
      <c r="AC2" s="3">
        <f>DATEVALUE(MID(TwitterClean[[#This Row],[date_posted]],2,10))</f>
        <v>45641</v>
      </c>
      <c r="AD2">
        <f>TIMEVALUE(MID(TwitterClean[[#This Row],[date_posted]],13,8))</f>
        <v>0.52572916666666669</v>
      </c>
      <c r="AE2" s="3" t="str">
        <f>TEXT(TwitterClean[[#This Row],[Post_Date]],"dddd")</f>
        <v>Sunday</v>
      </c>
      <c r="AF2">
        <f>HOUR(TwitterClean[[#This Row],[Post_Time]])</f>
        <v>12</v>
      </c>
      <c r="AG2" t="str">
        <f>IF(TwitterClean[[#This Row],[videos]]="Null","No","Yes")</f>
        <v>No</v>
      </c>
      <c r="AH2" t="str">
        <f>IF(TwitterClean[[#This Row],[photos]]="null","No","Yes")</f>
        <v>Yes</v>
      </c>
      <c r="AI2" t="str">
        <f>IF(TwitterClean[[#This Row],[hashtags]]="null","No","Yes")</f>
        <v>No</v>
      </c>
      <c r="AJ2" t="str">
        <f>IF(TwitterClean[[#This Row],[external_url]]="null","Yes","No")</f>
        <v>No</v>
      </c>
      <c r="AK2">
        <f>LEN(TwitterClean[[#This Row],[description]])</f>
        <v>58</v>
      </c>
      <c r="AL2" t="str">
        <f>IF(TwitterClean[[#This Row],[followers]]&lt;100000,"&lt;100K",IF(TwitterClean[[#This Row],[followers]]&lt;1000000,"100K-1M",IF(TwitterClean[[#This Row],[followers]]&lt;10000000,"1M-10M","10M+")))</f>
        <v>1M-10M</v>
      </c>
    </row>
    <row r="3" spans="1:38">
      <c r="A3">
        <v>1.8683046570908306E+18</v>
      </c>
      <c r="B3" t="s">
        <v>1258</v>
      </c>
      <c r="C3" t="s">
        <v>1259</v>
      </c>
      <c r="D3" t="s">
        <v>1563</v>
      </c>
      <c r="E3" t="s">
        <v>1564</v>
      </c>
      <c r="F3" t="s">
        <v>1565</v>
      </c>
      <c r="G3" t="s">
        <v>1566</v>
      </c>
      <c r="H3" t="s">
        <v>29</v>
      </c>
      <c r="I3">
        <v>43</v>
      </c>
      <c r="J3">
        <v>326</v>
      </c>
      <c r="K3">
        <v>5101</v>
      </c>
      <c r="L3">
        <v>44602</v>
      </c>
      <c r="M3" t="s">
        <v>52</v>
      </c>
      <c r="N3" t="s">
        <v>1567</v>
      </c>
      <c r="O3">
        <v>1033751</v>
      </c>
      <c r="P3" t="s">
        <v>1265</v>
      </c>
      <c r="Q3">
        <v>37993</v>
      </c>
      <c r="R3" t="s">
        <v>1266</v>
      </c>
      <c r="S3">
        <v>127</v>
      </c>
      <c r="T3" t="b">
        <v>0</v>
      </c>
      <c r="U3">
        <v>16</v>
      </c>
      <c r="V3">
        <v>7</v>
      </c>
      <c r="W3" t="s">
        <v>35</v>
      </c>
      <c r="X3" t="s">
        <v>29</v>
      </c>
      <c r="Y3" t="s">
        <v>29</v>
      </c>
      <c r="Z3" t="s">
        <v>37</v>
      </c>
      <c r="AA3">
        <f>TwitterClean[[#This Row],[likes]]+TwitterClean[[#This Row],[replies]]+TwitterClean[[#This Row],[reposts]]+TwitterClean[[#This Row],[quotes]]+TwitterClean[[#This Row],[bookmarks]]</f>
        <v>5493</v>
      </c>
      <c r="AB3" s="1">
        <f>TwitterClean[[#This Row],[Total_Engagements]]/TwitterClean[[#This Row],[views]]</f>
        <v>0.12315591229092866</v>
      </c>
      <c r="AC3" s="3">
        <f>DATEVALUE(MID(TwitterClean[[#This Row],[date_posted]],2,10))</f>
        <v>45641</v>
      </c>
      <c r="AD3">
        <f>TIMEVALUE(MID(TwitterClean[[#This Row],[date_posted]],13,8))</f>
        <v>0.6101388888888889</v>
      </c>
      <c r="AE3" s="3" t="str">
        <f>TEXT(TwitterClean[[#This Row],[Post_Date]],"dddd")</f>
        <v>Sunday</v>
      </c>
      <c r="AF3">
        <f>HOUR(TwitterClean[[#This Row],[Post_Time]])</f>
        <v>14</v>
      </c>
      <c r="AG3" t="str">
        <f>IF(TwitterClean[[#This Row],[videos]]="Null","No","Yes")</f>
        <v>No</v>
      </c>
      <c r="AH3" t="str">
        <f>IF(TwitterClean[[#This Row],[photos]]="null","No","Yes")</f>
        <v>Yes</v>
      </c>
      <c r="AI3" t="str">
        <f>IF(TwitterClean[[#This Row],[hashtags]]="null","No","Yes")</f>
        <v>Yes</v>
      </c>
      <c r="AJ3" t="str">
        <f>IF(TwitterClean[[#This Row],[external_url]]="null","Yes","No")</f>
        <v>No</v>
      </c>
      <c r="AK3">
        <f>LEN(TwitterClean[[#This Row],[description]])</f>
        <v>49</v>
      </c>
      <c r="AL3" t="str">
        <f>IF(TwitterClean[[#This Row],[followers]]&lt;100000,"&lt;100K",IF(TwitterClean[[#This Row],[followers]]&lt;1000000,"100K-1M",IF(TwitterClean[[#This Row],[followers]]&lt;10000000,"1M-10M","10M+")))</f>
        <v>1M-10M</v>
      </c>
    </row>
    <row r="4" spans="1:38">
      <c r="A4">
        <v>1.868113795878462E+18</v>
      </c>
      <c r="B4" t="s">
        <v>38</v>
      </c>
      <c r="C4" t="s">
        <v>38</v>
      </c>
      <c r="D4" t="s">
        <v>114</v>
      </c>
      <c r="E4" t="s">
        <v>115</v>
      </c>
      <c r="F4" t="s">
        <v>29</v>
      </c>
      <c r="G4" t="s">
        <v>116</v>
      </c>
      <c r="H4" t="s">
        <v>29</v>
      </c>
      <c r="I4">
        <v>12</v>
      </c>
      <c r="J4">
        <v>1219</v>
      </c>
      <c r="K4">
        <v>4997</v>
      </c>
      <c r="L4">
        <v>53724</v>
      </c>
      <c r="M4" t="s">
        <v>117</v>
      </c>
      <c r="N4" t="s">
        <v>29</v>
      </c>
      <c r="O4">
        <v>14257910</v>
      </c>
      <c r="P4" t="s">
        <v>43</v>
      </c>
      <c r="Q4">
        <v>357584</v>
      </c>
      <c r="R4" t="s">
        <v>44</v>
      </c>
      <c r="S4">
        <v>3784</v>
      </c>
      <c r="T4" t="b">
        <v>0</v>
      </c>
      <c r="U4">
        <v>4</v>
      </c>
      <c r="V4">
        <v>88</v>
      </c>
      <c r="W4" t="s">
        <v>35</v>
      </c>
      <c r="X4" t="s">
        <v>118</v>
      </c>
      <c r="Y4" t="s">
        <v>29</v>
      </c>
      <c r="Z4" t="s">
        <v>37</v>
      </c>
      <c r="AA4">
        <f>TwitterClean[[#This Row],[likes]]+TwitterClean[[#This Row],[replies]]+TwitterClean[[#This Row],[reposts]]+TwitterClean[[#This Row],[quotes]]+TwitterClean[[#This Row],[bookmarks]]</f>
        <v>6320</v>
      </c>
      <c r="AB4" s="1">
        <f>TwitterClean[[#This Row],[Total_Engagements]]/TwitterClean[[#This Row],[views]]</f>
        <v>0.11763829945648127</v>
      </c>
      <c r="AC4" s="3">
        <f>DATEVALUE(MID(TwitterClean[[#This Row],[date_posted]],2,10))</f>
        <v>45641</v>
      </c>
      <c r="AD4">
        <f>TIMEVALUE(MID(TwitterClean[[#This Row],[date_posted]],13,8))</f>
        <v>8.3460648148148145E-2</v>
      </c>
      <c r="AE4" s="3" t="str">
        <f>TEXT(TwitterClean[[#This Row],[Post_Date]],"dddd")</f>
        <v>Sunday</v>
      </c>
      <c r="AF4">
        <f>HOUR(TwitterClean[[#This Row],[Post_Time]])</f>
        <v>2</v>
      </c>
      <c r="AG4" t="str">
        <f>IF(TwitterClean[[#This Row],[videos]]="Null","No","Yes")</f>
        <v>No</v>
      </c>
      <c r="AH4" t="str">
        <f>IF(TwitterClean[[#This Row],[photos]]="null","No","Yes")</f>
        <v>No</v>
      </c>
      <c r="AI4" t="str">
        <f>IF(TwitterClean[[#This Row],[hashtags]]="null","No","Yes")</f>
        <v>No</v>
      </c>
      <c r="AJ4" t="str">
        <f>IF(TwitterClean[[#This Row],[external_url]]="null","Yes","No")</f>
        <v>No</v>
      </c>
      <c r="AK4">
        <f>LEN(TwitterClean[[#This Row],[description]])</f>
        <v>76</v>
      </c>
      <c r="AL4" t="str">
        <f>IF(TwitterClean[[#This Row],[followers]]&lt;100000,"&lt;100K",IF(TwitterClean[[#This Row],[followers]]&lt;1000000,"100K-1M",IF(TwitterClean[[#This Row],[followers]]&lt;10000000,"1M-10M","10M+")))</f>
        <v>10M+</v>
      </c>
    </row>
    <row r="5" spans="1:38">
      <c r="A5">
        <v>1.8683927878735014E+18</v>
      </c>
      <c r="B5" t="s">
        <v>5230</v>
      </c>
      <c r="C5" t="s">
        <v>5231</v>
      </c>
      <c r="D5" t="s">
        <v>5232</v>
      </c>
      <c r="E5" t="s">
        <v>5233</v>
      </c>
      <c r="F5" t="s">
        <v>5234</v>
      </c>
      <c r="G5" t="s">
        <v>5235</v>
      </c>
      <c r="H5" t="s">
        <v>5236</v>
      </c>
      <c r="I5">
        <v>88</v>
      </c>
      <c r="J5">
        <v>465</v>
      </c>
      <c r="K5">
        <v>4864</v>
      </c>
      <c r="L5">
        <v>53291</v>
      </c>
      <c r="M5" t="s">
        <v>52</v>
      </c>
      <c r="N5" t="s">
        <v>29</v>
      </c>
      <c r="O5">
        <v>274313</v>
      </c>
      <c r="P5" t="s">
        <v>5237</v>
      </c>
      <c r="Q5">
        <v>398</v>
      </c>
      <c r="R5" t="s">
        <v>5238</v>
      </c>
      <c r="S5">
        <v>104</v>
      </c>
      <c r="T5" t="b">
        <v>0</v>
      </c>
      <c r="U5">
        <v>16</v>
      </c>
      <c r="V5">
        <v>11</v>
      </c>
      <c r="W5" t="s">
        <v>35</v>
      </c>
      <c r="X5" t="s">
        <v>29</v>
      </c>
      <c r="Y5" t="s">
        <v>29</v>
      </c>
      <c r="Z5" t="s">
        <v>37</v>
      </c>
      <c r="AA5">
        <f>TwitterClean[[#This Row],[likes]]+TwitterClean[[#This Row],[replies]]+TwitterClean[[#This Row],[reposts]]+TwitterClean[[#This Row],[quotes]]+TwitterClean[[#This Row],[bookmarks]]</f>
        <v>5444</v>
      </c>
      <c r="AB5" s="1">
        <f>TwitterClean[[#This Row],[Total_Engagements]]/TwitterClean[[#This Row],[views]]</f>
        <v>0.1021560863935749</v>
      </c>
      <c r="AC5" s="3">
        <f>DATEVALUE(MID(TwitterClean[[#This Row],[date_posted]],2,10))</f>
        <v>45641</v>
      </c>
      <c r="AD5">
        <f>TIMEVALUE(MID(TwitterClean[[#This Row],[date_posted]],13,8))</f>
        <v>0.85333333333333339</v>
      </c>
      <c r="AE5" s="3" t="str">
        <f>TEXT(TwitterClean[[#This Row],[Post_Date]],"dddd")</f>
        <v>Sunday</v>
      </c>
      <c r="AF5">
        <f>HOUR(TwitterClean[[#This Row],[Post_Time]])</f>
        <v>20</v>
      </c>
      <c r="AG5" t="str">
        <f>IF(TwitterClean[[#This Row],[videos]]="Null","No","Yes")</f>
        <v>No</v>
      </c>
      <c r="AH5" t="str">
        <f>IF(TwitterClean[[#This Row],[photos]]="null","No","Yes")</f>
        <v>Yes</v>
      </c>
      <c r="AI5" t="str">
        <f>IF(TwitterClean[[#This Row],[hashtags]]="null","No","Yes")</f>
        <v>No</v>
      </c>
      <c r="AJ5" t="str">
        <f>IF(TwitterClean[[#This Row],[external_url]]="null","Yes","No")</f>
        <v>No</v>
      </c>
      <c r="AK5">
        <f>LEN(TwitterClean[[#This Row],[description]])</f>
        <v>148</v>
      </c>
      <c r="AL5" t="str">
        <f>IF(TwitterClean[[#This Row],[followers]]&lt;100000,"&lt;100K",IF(TwitterClean[[#This Row],[followers]]&lt;1000000,"100K-1M",IF(TwitterClean[[#This Row],[followers]]&lt;10000000,"1M-10M","10M+")))</f>
        <v>100K-1M</v>
      </c>
    </row>
    <row r="6" spans="1:38">
      <c r="A6">
        <v>1.868373711880852E+18</v>
      </c>
      <c r="B6" t="s">
        <v>1363</v>
      </c>
      <c r="C6" t="s">
        <v>1364</v>
      </c>
      <c r="D6" t="s">
        <v>1555</v>
      </c>
      <c r="E6" t="s">
        <v>1556</v>
      </c>
      <c r="F6" t="s">
        <v>1557</v>
      </c>
      <c r="G6" t="s">
        <v>1558</v>
      </c>
      <c r="H6" t="s">
        <v>29</v>
      </c>
      <c r="I6">
        <v>14</v>
      </c>
      <c r="J6">
        <v>166</v>
      </c>
      <c r="K6">
        <v>1931</v>
      </c>
      <c r="L6">
        <v>22543</v>
      </c>
      <c r="M6" t="s">
        <v>52</v>
      </c>
      <c r="N6" t="s">
        <v>1369</v>
      </c>
      <c r="O6">
        <v>462263</v>
      </c>
      <c r="P6" t="s">
        <v>1370</v>
      </c>
      <c r="Q6">
        <v>16271</v>
      </c>
      <c r="R6" t="s">
        <v>1371</v>
      </c>
      <c r="S6">
        <v>38</v>
      </c>
      <c r="T6" t="b">
        <v>0</v>
      </c>
      <c r="U6">
        <v>7</v>
      </c>
      <c r="V6">
        <v>4</v>
      </c>
      <c r="W6" t="s">
        <v>35</v>
      </c>
      <c r="X6" t="s">
        <v>29</v>
      </c>
      <c r="Y6" t="s">
        <v>29</v>
      </c>
      <c r="Z6" t="s">
        <v>37</v>
      </c>
      <c r="AA6">
        <f>TwitterClean[[#This Row],[likes]]+TwitterClean[[#This Row],[replies]]+TwitterClean[[#This Row],[reposts]]+TwitterClean[[#This Row],[quotes]]+TwitterClean[[#This Row],[bookmarks]]</f>
        <v>2122</v>
      </c>
      <c r="AB6" s="1">
        <f>TwitterClean[[#This Row],[Total_Engagements]]/TwitterClean[[#This Row],[views]]</f>
        <v>9.413121589850508E-2</v>
      </c>
      <c r="AC6" s="3">
        <f>DATEVALUE(MID(TwitterClean[[#This Row],[date_posted]],2,10))</f>
        <v>45641</v>
      </c>
      <c r="AD6">
        <f>TIMEVALUE(MID(TwitterClean[[#This Row],[date_posted]],13,8))</f>
        <v>0.80069444444444449</v>
      </c>
      <c r="AE6" s="3" t="str">
        <f>TEXT(TwitterClean[[#This Row],[Post_Date]],"dddd")</f>
        <v>Sunday</v>
      </c>
      <c r="AF6">
        <f>HOUR(TwitterClean[[#This Row],[Post_Time]])</f>
        <v>19</v>
      </c>
      <c r="AG6" t="str">
        <f>IF(TwitterClean[[#This Row],[videos]]="Null","No","Yes")</f>
        <v>No</v>
      </c>
      <c r="AH6" t="str">
        <f>IF(TwitterClean[[#This Row],[photos]]="null","No","Yes")</f>
        <v>Yes</v>
      </c>
      <c r="AI6" t="str">
        <f>IF(TwitterClean[[#This Row],[hashtags]]="null","No","Yes")</f>
        <v>Yes</v>
      </c>
      <c r="AJ6" t="str">
        <f>IF(TwitterClean[[#This Row],[external_url]]="null","Yes","No")</f>
        <v>No</v>
      </c>
      <c r="AK6">
        <f>LEN(TwitterClean[[#This Row],[description]])</f>
        <v>102</v>
      </c>
      <c r="AL6" t="str">
        <f>IF(TwitterClean[[#This Row],[followers]]&lt;100000,"&lt;100K",IF(TwitterClean[[#This Row],[followers]]&lt;1000000,"100K-1M",IF(TwitterClean[[#This Row],[followers]]&lt;10000000,"1M-10M","10M+")))</f>
        <v>100K-1M</v>
      </c>
    </row>
    <row r="7" spans="1:38">
      <c r="A7">
        <v>1.8683856993359017E+18</v>
      </c>
      <c r="B7" t="s">
        <v>989</v>
      </c>
      <c r="C7" t="s">
        <v>990</v>
      </c>
      <c r="D7" t="s">
        <v>991</v>
      </c>
      <c r="E7" t="s">
        <v>992</v>
      </c>
      <c r="F7" t="s">
        <v>993</v>
      </c>
      <c r="G7" t="s">
        <v>994</v>
      </c>
      <c r="H7" t="s">
        <v>995</v>
      </c>
      <c r="I7">
        <v>264</v>
      </c>
      <c r="J7">
        <v>889</v>
      </c>
      <c r="K7">
        <v>5859</v>
      </c>
      <c r="L7">
        <v>78899</v>
      </c>
      <c r="M7" t="s">
        <v>52</v>
      </c>
      <c r="N7" t="s">
        <v>29</v>
      </c>
      <c r="O7">
        <v>519659</v>
      </c>
      <c r="P7" t="s">
        <v>996</v>
      </c>
      <c r="Q7">
        <v>7220</v>
      </c>
      <c r="R7" t="s">
        <v>997</v>
      </c>
      <c r="S7">
        <v>1417</v>
      </c>
      <c r="T7" t="b">
        <v>0</v>
      </c>
      <c r="U7">
        <v>58</v>
      </c>
      <c r="V7">
        <v>66</v>
      </c>
      <c r="W7" t="s">
        <v>35</v>
      </c>
      <c r="X7" t="s">
        <v>29</v>
      </c>
      <c r="Y7" t="s">
        <v>29</v>
      </c>
      <c r="Z7" t="s">
        <v>37</v>
      </c>
      <c r="AA7">
        <f>TwitterClean[[#This Row],[likes]]+TwitterClean[[#This Row],[replies]]+TwitterClean[[#This Row],[reposts]]+TwitterClean[[#This Row],[quotes]]+TwitterClean[[#This Row],[bookmarks]]</f>
        <v>7136</v>
      </c>
      <c r="AB7" s="1">
        <f>TwitterClean[[#This Row],[Total_Engagements]]/TwitterClean[[#This Row],[views]]</f>
        <v>9.0444745814268881E-2</v>
      </c>
      <c r="AC7" s="3">
        <f>DATEVALUE(MID(TwitterClean[[#This Row],[date_posted]],2,10))</f>
        <v>45641</v>
      </c>
      <c r="AD7">
        <f>TIMEVALUE(MID(TwitterClean[[#This Row],[date_posted]],13,8))</f>
        <v>0.83377314814814818</v>
      </c>
      <c r="AE7" s="3" t="str">
        <f>TEXT(TwitterClean[[#This Row],[Post_Date]],"dddd")</f>
        <v>Sunday</v>
      </c>
      <c r="AF7">
        <f>HOUR(TwitterClean[[#This Row],[Post_Time]])</f>
        <v>20</v>
      </c>
      <c r="AG7" t="str">
        <f>IF(TwitterClean[[#This Row],[videos]]="Null","No","Yes")</f>
        <v>No</v>
      </c>
      <c r="AH7" t="str">
        <f>IF(TwitterClean[[#This Row],[photos]]="null","No","Yes")</f>
        <v>Yes</v>
      </c>
      <c r="AI7" t="str">
        <f>IF(TwitterClean[[#This Row],[hashtags]]="null","No","Yes")</f>
        <v>No</v>
      </c>
      <c r="AJ7" t="str">
        <f>IF(TwitterClean[[#This Row],[external_url]]="null","Yes","No")</f>
        <v>No</v>
      </c>
      <c r="AK7">
        <f>LEN(TwitterClean[[#This Row],[description]])</f>
        <v>225</v>
      </c>
      <c r="AL7" t="str">
        <f>IF(TwitterClean[[#This Row],[followers]]&lt;100000,"&lt;100K",IF(TwitterClean[[#This Row],[followers]]&lt;1000000,"100K-1M",IF(TwitterClean[[#This Row],[followers]]&lt;10000000,"1M-10M","10M+")))</f>
        <v>100K-1M</v>
      </c>
    </row>
    <row r="8" spans="1:38">
      <c r="A8">
        <v>1.8683056414561405E+18</v>
      </c>
      <c r="B8" t="s">
        <v>1363</v>
      </c>
      <c r="C8" t="s">
        <v>1364</v>
      </c>
      <c r="D8" t="s">
        <v>1430</v>
      </c>
      <c r="E8" t="s">
        <v>1431</v>
      </c>
      <c r="F8" t="s">
        <v>1432</v>
      </c>
      <c r="G8" t="s">
        <v>1433</v>
      </c>
      <c r="H8" t="s">
        <v>1434</v>
      </c>
      <c r="I8">
        <v>14</v>
      </c>
      <c r="J8">
        <v>114</v>
      </c>
      <c r="K8">
        <v>1769</v>
      </c>
      <c r="L8">
        <v>21276</v>
      </c>
      <c r="M8" t="s">
        <v>52</v>
      </c>
      <c r="N8" t="s">
        <v>1369</v>
      </c>
      <c r="O8">
        <v>462263</v>
      </c>
      <c r="P8" t="s">
        <v>1370</v>
      </c>
      <c r="Q8">
        <v>16271</v>
      </c>
      <c r="R8" t="s">
        <v>1371</v>
      </c>
      <c r="S8">
        <v>38</v>
      </c>
      <c r="T8" t="b">
        <v>0</v>
      </c>
      <c r="U8">
        <v>5</v>
      </c>
      <c r="V8">
        <v>7</v>
      </c>
      <c r="W8" t="s">
        <v>35</v>
      </c>
      <c r="X8" t="s">
        <v>29</v>
      </c>
      <c r="Y8" t="s">
        <v>29</v>
      </c>
      <c r="Z8" t="s">
        <v>37</v>
      </c>
      <c r="AA8">
        <f>TwitterClean[[#This Row],[likes]]+TwitterClean[[#This Row],[replies]]+TwitterClean[[#This Row],[reposts]]+TwitterClean[[#This Row],[quotes]]+TwitterClean[[#This Row],[bookmarks]]</f>
        <v>1909</v>
      </c>
      <c r="AB8" s="1">
        <f>TwitterClean[[#This Row],[Total_Engagements]]/TwitterClean[[#This Row],[views]]</f>
        <v>8.9725512314344807E-2</v>
      </c>
      <c r="AC8" s="3">
        <f>DATEVALUE(MID(TwitterClean[[#This Row],[date_posted]],2,10))</f>
        <v>45641</v>
      </c>
      <c r="AD8">
        <f>TIMEVALUE(MID(TwitterClean[[#This Row],[date_posted]],13,8))</f>
        <v>0.61285879629629625</v>
      </c>
      <c r="AE8" s="3" t="str">
        <f>TEXT(TwitterClean[[#This Row],[Post_Date]],"dddd")</f>
        <v>Sunday</v>
      </c>
      <c r="AF8">
        <f>HOUR(TwitterClean[[#This Row],[Post_Time]])</f>
        <v>14</v>
      </c>
      <c r="AG8" t="str">
        <f>IF(TwitterClean[[#This Row],[videos]]="Null","No","Yes")</f>
        <v>No</v>
      </c>
      <c r="AH8" t="str">
        <f>IF(TwitterClean[[#This Row],[photos]]="null","No","Yes")</f>
        <v>Yes</v>
      </c>
      <c r="AI8" t="str">
        <f>IF(TwitterClean[[#This Row],[hashtags]]="null","No","Yes")</f>
        <v>Yes</v>
      </c>
      <c r="AJ8" t="str">
        <f>IF(TwitterClean[[#This Row],[external_url]]="null","Yes","No")</f>
        <v>No</v>
      </c>
      <c r="AK8">
        <f>LEN(TwitterClean[[#This Row],[description]])</f>
        <v>25</v>
      </c>
      <c r="AL8" t="str">
        <f>IF(TwitterClean[[#This Row],[followers]]&lt;100000,"&lt;100K",IF(TwitterClean[[#This Row],[followers]]&lt;1000000,"100K-1M",IF(TwitterClean[[#This Row],[followers]]&lt;10000000,"1M-10M","10M+")))</f>
        <v>100K-1M</v>
      </c>
    </row>
    <row r="9" spans="1:38">
      <c r="A9">
        <v>1.8681213734255168E+18</v>
      </c>
      <c r="B9" t="s">
        <v>38</v>
      </c>
      <c r="C9" t="s">
        <v>38</v>
      </c>
      <c r="D9" t="s">
        <v>97</v>
      </c>
      <c r="E9" t="s">
        <v>98</v>
      </c>
      <c r="F9" t="s">
        <v>29</v>
      </c>
      <c r="G9" t="s">
        <v>99</v>
      </c>
      <c r="H9" t="s">
        <v>29</v>
      </c>
      <c r="I9">
        <v>5</v>
      </c>
      <c r="J9">
        <v>848</v>
      </c>
      <c r="K9">
        <v>2162</v>
      </c>
      <c r="L9">
        <v>36042</v>
      </c>
      <c r="M9" t="s">
        <v>100</v>
      </c>
      <c r="N9" t="s">
        <v>29</v>
      </c>
      <c r="O9">
        <v>14257910</v>
      </c>
      <c r="P9" t="s">
        <v>43</v>
      </c>
      <c r="Q9">
        <v>357584</v>
      </c>
      <c r="R9" t="s">
        <v>44</v>
      </c>
      <c r="S9">
        <v>3784</v>
      </c>
      <c r="T9" t="b">
        <v>0</v>
      </c>
      <c r="U9">
        <v>4</v>
      </c>
      <c r="V9">
        <v>46</v>
      </c>
      <c r="W9" t="s">
        <v>35</v>
      </c>
      <c r="X9" t="s">
        <v>101</v>
      </c>
      <c r="Y9" t="s">
        <v>29</v>
      </c>
      <c r="Z9" t="s">
        <v>37</v>
      </c>
      <c r="AA9">
        <f>TwitterClean[[#This Row],[likes]]+TwitterClean[[#This Row],[replies]]+TwitterClean[[#This Row],[reposts]]+TwitterClean[[#This Row],[quotes]]+TwitterClean[[#This Row],[bookmarks]]</f>
        <v>3065</v>
      </c>
      <c r="AB9" s="1">
        <f>TwitterClean[[#This Row],[Total_Engagements]]/TwitterClean[[#This Row],[views]]</f>
        <v>8.5039675933632985E-2</v>
      </c>
      <c r="AC9" s="3">
        <f>DATEVALUE(MID(TwitterClean[[#This Row],[date_posted]],2,10))</f>
        <v>45641</v>
      </c>
      <c r="AD9">
        <f>TIMEVALUE(MID(TwitterClean[[#This Row],[date_posted]],13,8))</f>
        <v>0.104375</v>
      </c>
      <c r="AE9" s="3" t="str">
        <f>TEXT(TwitterClean[[#This Row],[Post_Date]],"dddd")</f>
        <v>Sunday</v>
      </c>
      <c r="AF9">
        <f>HOUR(TwitterClean[[#This Row],[Post_Time]])</f>
        <v>2</v>
      </c>
      <c r="AG9" t="str">
        <f>IF(TwitterClean[[#This Row],[videos]]="Null","No","Yes")</f>
        <v>No</v>
      </c>
      <c r="AH9" t="str">
        <f>IF(TwitterClean[[#This Row],[photos]]="null","No","Yes")</f>
        <v>No</v>
      </c>
      <c r="AI9" t="str">
        <f>IF(TwitterClean[[#This Row],[hashtags]]="null","No","Yes")</f>
        <v>No</v>
      </c>
      <c r="AJ9" t="str">
        <f>IF(TwitterClean[[#This Row],[external_url]]="null","Yes","No")</f>
        <v>No</v>
      </c>
      <c r="AK9">
        <f>LEN(TwitterClean[[#This Row],[description]])</f>
        <v>122</v>
      </c>
      <c r="AL9" t="str">
        <f>IF(TwitterClean[[#This Row],[followers]]&lt;100000,"&lt;100K",IF(TwitterClean[[#This Row],[followers]]&lt;1000000,"100K-1M",IF(TwitterClean[[#This Row],[followers]]&lt;10000000,"1M-10M","10M+")))</f>
        <v>10M+</v>
      </c>
    </row>
    <row r="10" spans="1:38">
      <c r="A10">
        <v>1.8680837224712358E+18</v>
      </c>
      <c r="B10" t="s">
        <v>38</v>
      </c>
      <c r="C10" t="s">
        <v>38</v>
      </c>
      <c r="D10" t="s">
        <v>92</v>
      </c>
      <c r="E10" t="s">
        <v>93</v>
      </c>
      <c r="F10" t="s">
        <v>29</v>
      </c>
      <c r="G10" t="s">
        <v>94</v>
      </c>
      <c r="H10" t="s">
        <v>29</v>
      </c>
      <c r="I10">
        <v>6</v>
      </c>
      <c r="J10">
        <v>721</v>
      </c>
      <c r="K10">
        <v>1945</v>
      </c>
      <c r="L10">
        <v>32803</v>
      </c>
      <c r="M10" t="s">
        <v>95</v>
      </c>
      <c r="N10" t="s">
        <v>29</v>
      </c>
      <c r="O10">
        <v>14257909</v>
      </c>
      <c r="P10" t="s">
        <v>43</v>
      </c>
      <c r="Q10">
        <v>357584</v>
      </c>
      <c r="R10" t="s">
        <v>44</v>
      </c>
      <c r="S10">
        <v>3784</v>
      </c>
      <c r="T10" t="b">
        <v>0</v>
      </c>
      <c r="U10">
        <v>2</v>
      </c>
      <c r="V10">
        <v>33</v>
      </c>
      <c r="W10" t="s">
        <v>35</v>
      </c>
      <c r="X10" t="s">
        <v>96</v>
      </c>
      <c r="Y10" t="s">
        <v>29</v>
      </c>
      <c r="Z10" t="s">
        <v>37</v>
      </c>
      <c r="AA10">
        <f>TwitterClean[[#This Row],[likes]]+TwitterClean[[#This Row],[replies]]+TwitterClean[[#This Row],[reposts]]+TwitterClean[[#This Row],[quotes]]+TwitterClean[[#This Row],[bookmarks]]</f>
        <v>2707</v>
      </c>
      <c r="AB10" s="1">
        <f>TwitterClean[[#This Row],[Total_Engagements]]/TwitterClean[[#This Row],[views]]</f>
        <v>8.2522939975002291E-2</v>
      </c>
      <c r="AC10" s="3">
        <f>DATEVALUE(MID(TwitterClean[[#This Row],[date_posted]],2,10))</f>
        <v>45641</v>
      </c>
      <c r="AD10">
        <f>TIMEVALUE(MID(TwitterClean[[#This Row],[date_posted]],13,8))</f>
        <v>4.7453703703703704E-4</v>
      </c>
      <c r="AE10" s="3" t="str">
        <f>TEXT(TwitterClean[[#This Row],[Post_Date]],"dddd")</f>
        <v>Sunday</v>
      </c>
      <c r="AF10">
        <f>HOUR(TwitterClean[[#This Row],[Post_Time]])</f>
        <v>0</v>
      </c>
      <c r="AG10" t="str">
        <f>IF(TwitterClean[[#This Row],[videos]]="Null","No","Yes")</f>
        <v>No</v>
      </c>
      <c r="AH10" t="str">
        <f>IF(TwitterClean[[#This Row],[photos]]="null","No","Yes")</f>
        <v>No</v>
      </c>
      <c r="AI10" t="str">
        <f>IF(TwitterClean[[#This Row],[hashtags]]="null","No","Yes")</f>
        <v>No</v>
      </c>
      <c r="AJ10" t="str">
        <f>IF(TwitterClean[[#This Row],[external_url]]="null","Yes","No")</f>
        <v>No</v>
      </c>
      <c r="AK10">
        <f>LEN(TwitterClean[[#This Row],[description]])</f>
        <v>91</v>
      </c>
      <c r="AL10" t="str">
        <f>IF(TwitterClean[[#This Row],[followers]]&lt;100000,"&lt;100K",IF(TwitterClean[[#This Row],[followers]]&lt;1000000,"100K-1M",IF(TwitterClean[[#This Row],[followers]]&lt;10000000,"1M-10M","10M+")))</f>
        <v>10M+</v>
      </c>
    </row>
    <row r="11" spans="1:38">
      <c r="A11">
        <v>1.8683077734250947E+18</v>
      </c>
      <c r="B11" t="s">
        <v>1363</v>
      </c>
      <c r="C11" t="s">
        <v>1364</v>
      </c>
      <c r="D11" t="s">
        <v>1443</v>
      </c>
      <c r="E11" t="s">
        <v>1444</v>
      </c>
      <c r="F11" t="s">
        <v>1445</v>
      </c>
      <c r="G11" t="s">
        <v>1446</v>
      </c>
      <c r="H11" t="s">
        <v>29</v>
      </c>
      <c r="I11">
        <v>33</v>
      </c>
      <c r="J11">
        <v>184</v>
      </c>
      <c r="K11">
        <v>2948</v>
      </c>
      <c r="L11">
        <v>39924</v>
      </c>
      <c r="M11" t="s">
        <v>52</v>
      </c>
      <c r="N11" t="s">
        <v>1369</v>
      </c>
      <c r="O11">
        <v>462263</v>
      </c>
      <c r="P11" t="s">
        <v>1370</v>
      </c>
      <c r="Q11">
        <v>16271</v>
      </c>
      <c r="R11" t="s">
        <v>1371</v>
      </c>
      <c r="S11">
        <v>38</v>
      </c>
      <c r="T11" t="b">
        <v>0</v>
      </c>
      <c r="U11">
        <v>21</v>
      </c>
      <c r="V11">
        <v>5</v>
      </c>
      <c r="W11" t="s">
        <v>35</v>
      </c>
      <c r="X11" t="s">
        <v>29</v>
      </c>
      <c r="Y11" t="s">
        <v>29</v>
      </c>
      <c r="Z11" t="s">
        <v>37</v>
      </c>
      <c r="AA11">
        <f>TwitterClean[[#This Row],[likes]]+TwitterClean[[#This Row],[replies]]+TwitterClean[[#This Row],[reposts]]+TwitterClean[[#This Row],[quotes]]+TwitterClean[[#This Row],[bookmarks]]</f>
        <v>3191</v>
      </c>
      <c r="AB11" s="1">
        <f>TwitterClean[[#This Row],[Total_Engagements]]/TwitterClean[[#This Row],[views]]</f>
        <v>7.9926861035968341E-2</v>
      </c>
      <c r="AC11" s="3">
        <f>DATEVALUE(MID(TwitterClean[[#This Row],[date_posted]],2,10))</f>
        <v>45641</v>
      </c>
      <c r="AD11">
        <f>TIMEVALUE(MID(TwitterClean[[#This Row],[date_posted]],13,8))</f>
        <v>0.61873842592592587</v>
      </c>
      <c r="AE11" s="3" t="str">
        <f>TEXT(TwitterClean[[#This Row],[Post_Date]],"dddd")</f>
        <v>Sunday</v>
      </c>
      <c r="AF11">
        <f>HOUR(TwitterClean[[#This Row],[Post_Time]])</f>
        <v>14</v>
      </c>
      <c r="AG11" t="str">
        <f>IF(TwitterClean[[#This Row],[videos]]="Null","No","Yes")</f>
        <v>No</v>
      </c>
      <c r="AH11" t="str">
        <f>IF(TwitterClean[[#This Row],[photos]]="null","No","Yes")</f>
        <v>Yes</v>
      </c>
      <c r="AI11" t="str">
        <f>IF(TwitterClean[[#This Row],[hashtags]]="null","No","Yes")</f>
        <v>Yes</v>
      </c>
      <c r="AJ11" t="str">
        <f>IF(TwitterClean[[#This Row],[external_url]]="null","Yes","No")</f>
        <v>No</v>
      </c>
      <c r="AK11">
        <f>LEN(TwitterClean[[#This Row],[description]])</f>
        <v>32</v>
      </c>
      <c r="AL11" t="str">
        <f>IF(TwitterClean[[#This Row],[followers]]&lt;100000,"&lt;100K",IF(TwitterClean[[#This Row],[followers]]&lt;1000000,"100K-1M",IF(TwitterClean[[#This Row],[followers]]&lt;10000000,"1M-10M","10M+")))</f>
        <v>100K-1M</v>
      </c>
    </row>
    <row r="12" spans="1:38">
      <c r="A12">
        <v>1.8683876914922373E+18</v>
      </c>
      <c r="B12" t="s">
        <v>356</v>
      </c>
      <c r="C12" t="s">
        <v>357</v>
      </c>
      <c r="D12" t="s">
        <v>365</v>
      </c>
      <c r="E12" t="s">
        <v>366</v>
      </c>
      <c r="F12" t="s">
        <v>29</v>
      </c>
      <c r="G12" t="s">
        <v>367</v>
      </c>
      <c r="H12" t="s">
        <v>29</v>
      </c>
      <c r="I12">
        <v>1</v>
      </c>
      <c r="J12">
        <v>22</v>
      </c>
      <c r="K12">
        <v>424</v>
      </c>
      <c r="L12">
        <v>5837</v>
      </c>
      <c r="M12" t="s">
        <v>368</v>
      </c>
      <c r="N12" t="s">
        <v>29</v>
      </c>
      <c r="O12">
        <v>450865</v>
      </c>
      <c r="P12" t="s">
        <v>362</v>
      </c>
      <c r="Q12">
        <v>647794</v>
      </c>
      <c r="R12" t="s">
        <v>363</v>
      </c>
      <c r="S12">
        <v>131</v>
      </c>
      <c r="T12" t="b">
        <v>0</v>
      </c>
      <c r="U12">
        <v>1</v>
      </c>
      <c r="V12">
        <v>2</v>
      </c>
      <c r="W12" t="s">
        <v>35</v>
      </c>
      <c r="X12" t="s">
        <v>369</v>
      </c>
      <c r="Y12" t="s">
        <v>29</v>
      </c>
      <c r="Z12" t="s">
        <v>37</v>
      </c>
      <c r="AA12">
        <f>TwitterClean[[#This Row],[likes]]+TwitterClean[[#This Row],[replies]]+TwitterClean[[#This Row],[reposts]]+TwitterClean[[#This Row],[quotes]]+TwitterClean[[#This Row],[bookmarks]]</f>
        <v>450</v>
      </c>
      <c r="AB12" s="1">
        <f>TwitterClean[[#This Row],[Total_Engagements]]/TwitterClean[[#This Row],[views]]</f>
        <v>7.7094397807092679E-2</v>
      </c>
      <c r="AC12" s="3">
        <f>DATEVALUE(MID(TwitterClean[[#This Row],[date_posted]],2,10))</f>
        <v>45641</v>
      </c>
      <c r="AD12">
        <f>TIMEVALUE(MID(TwitterClean[[#This Row],[date_posted]],13,8))</f>
        <v>0.8392708333333333</v>
      </c>
      <c r="AE12" s="3" t="str">
        <f>TEXT(TwitterClean[[#This Row],[Post_Date]],"dddd")</f>
        <v>Sunday</v>
      </c>
      <c r="AF12">
        <f>HOUR(TwitterClean[[#This Row],[Post_Time]])</f>
        <v>20</v>
      </c>
      <c r="AG12" t="str">
        <f>IF(TwitterClean[[#This Row],[videos]]="Null","No","Yes")</f>
        <v>No</v>
      </c>
      <c r="AH12" t="str">
        <f>IF(TwitterClean[[#This Row],[photos]]="null","No","Yes")</f>
        <v>No</v>
      </c>
      <c r="AI12" t="str">
        <f>IF(TwitterClean[[#This Row],[hashtags]]="null","No","Yes")</f>
        <v>No</v>
      </c>
      <c r="AJ12" t="str">
        <f>IF(TwitterClean[[#This Row],[external_url]]="null","Yes","No")</f>
        <v>No</v>
      </c>
      <c r="AK12">
        <f>LEN(TwitterClean[[#This Row],[description]])</f>
        <v>156</v>
      </c>
      <c r="AL12" t="str">
        <f>IF(TwitterClean[[#This Row],[followers]]&lt;100000,"&lt;100K",IF(TwitterClean[[#This Row],[followers]]&lt;1000000,"100K-1M",IF(TwitterClean[[#This Row],[followers]]&lt;10000000,"1M-10M","10M+")))</f>
        <v>100K-1M</v>
      </c>
    </row>
    <row r="13" spans="1:38">
      <c r="A13">
        <v>1.8683781676955446E+18</v>
      </c>
      <c r="B13" t="s">
        <v>4496</v>
      </c>
      <c r="C13" t="s">
        <v>4496</v>
      </c>
      <c r="D13" t="s">
        <v>4497</v>
      </c>
      <c r="E13" t="s">
        <v>4498</v>
      </c>
      <c r="F13" t="s">
        <v>4499</v>
      </c>
      <c r="G13" t="s">
        <v>4500</v>
      </c>
      <c r="H13" t="s">
        <v>4501</v>
      </c>
      <c r="I13">
        <v>4</v>
      </c>
      <c r="J13">
        <v>90</v>
      </c>
      <c r="K13">
        <v>956</v>
      </c>
      <c r="L13">
        <v>14291</v>
      </c>
      <c r="M13" t="s">
        <v>52</v>
      </c>
      <c r="N13" t="s">
        <v>29</v>
      </c>
      <c r="O13">
        <v>472709</v>
      </c>
      <c r="P13" t="s">
        <v>4502</v>
      </c>
      <c r="Q13">
        <v>36881</v>
      </c>
      <c r="R13" t="s">
        <v>4503</v>
      </c>
      <c r="S13">
        <v>1078</v>
      </c>
      <c r="T13" t="b">
        <v>0</v>
      </c>
      <c r="U13">
        <v>6</v>
      </c>
      <c r="V13">
        <v>24</v>
      </c>
      <c r="W13" t="s">
        <v>35</v>
      </c>
      <c r="X13" t="s">
        <v>29</v>
      </c>
      <c r="Y13" t="s">
        <v>29</v>
      </c>
      <c r="Z13" t="s">
        <v>37</v>
      </c>
      <c r="AA13">
        <f>TwitterClean[[#This Row],[likes]]+TwitterClean[[#This Row],[replies]]+TwitterClean[[#This Row],[reposts]]+TwitterClean[[#This Row],[quotes]]+TwitterClean[[#This Row],[bookmarks]]</f>
        <v>1080</v>
      </c>
      <c r="AB13" s="1">
        <f>TwitterClean[[#This Row],[Total_Engagements]]/TwitterClean[[#This Row],[views]]</f>
        <v>7.5572038345812054E-2</v>
      </c>
      <c r="AC13" s="3">
        <f>DATEVALUE(MID(TwitterClean[[#This Row],[date_posted]],2,10))</f>
        <v>45641</v>
      </c>
      <c r="AD13">
        <f>TIMEVALUE(MID(TwitterClean[[#This Row],[date_posted]],13,8))</f>
        <v>0.81298611111111108</v>
      </c>
      <c r="AE13" s="3" t="str">
        <f>TEXT(TwitterClean[[#This Row],[Post_Date]],"dddd")</f>
        <v>Sunday</v>
      </c>
      <c r="AF13">
        <f>HOUR(TwitterClean[[#This Row],[Post_Time]])</f>
        <v>19</v>
      </c>
      <c r="AG13" t="str">
        <f>IF(TwitterClean[[#This Row],[videos]]="Null","No","Yes")</f>
        <v>No</v>
      </c>
      <c r="AH13" t="str">
        <f>IF(TwitterClean[[#This Row],[photos]]="null","No","Yes")</f>
        <v>Yes</v>
      </c>
      <c r="AI13" t="str">
        <f>IF(TwitterClean[[#This Row],[hashtags]]="null","No","Yes")</f>
        <v>No</v>
      </c>
      <c r="AJ13" t="str">
        <f>IF(TwitterClean[[#This Row],[external_url]]="null","Yes","No")</f>
        <v>No</v>
      </c>
      <c r="AK13">
        <f>LEN(TwitterClean[[#This Row],[description]])</f>
        <v>154</v>
      </c>
      <c r="AL13" t="str">
        <f>IF(TwitterClean[[#This Row],[followers]]&lt;100000,"&lt;100K",IF(TwitterClean[[#This Row],[followers]]&lt;1000000,"100K-1M",IF(TwitterClean[[#This Row],[followers]]&lt;10000000,"1M-10M","10M+")))</f>
        <v>100K-1M</v>
      </c>
    </row>
    <row r="14" spans="1:38">
      <c r="A14">
        <v>1.8683870453051804E+18</v>
      </c>
      <c r="B14" t="s">
        <v>356</v>
      </c>
      <c r="C14" t="s">
        <v>357</v>
      </c>
      <c r="D14" t="s">
        <v>358</v>
      </c>
      <c r="E14" t="s">
        <v>359</v>
      </c>
      <c r="F14" t="s">
        <v>29</v>
      </c>
      <c r="G14" t="s">
        <v>360</v>
      </c>
      <c r="H14" t="s">
        <v>29</v>
      </c>
      <c r="I14">
        <v>5</v>
      </c>
      <c r="J14">
        <v>49</v>
      </c>
      <c r="K14">
        <v>622</v>
      </c>
      <c r="L14">
        <v>9124</v>
      </c>
      <c r="M14" t="s">
        <v>361</v>
      </c>
      <c r="N14" t="s">
        <v>29</v>
      </c>
      <c r="O14">
        <v>450865</v>
      </c>
      <c r="P14" t="s">
        <v>362</v>
      </c>
      <c r="Q14">
        <v>647794</v>
      </c>
      <c r="R14" t="s">
        <v>363</v>
      </c>
      <c r="S14">
        <v>131</v>
      </c>
      <c r="T14" t="b">
        <v>0</v>
      </c>
      <c r="U14">
        <v>7</v>
      </c>
      <c r="V14">
        <v>2</v>
      </c>
      <c r="W14" t="s">
        <v>35</v>
      </c>
      <c r="X14" t="s">
        <v>364</v>
      </c>
      <c r="Y14" t="s">
        <v>29</v>
      </c>
      <c r="Z14" t="s">
        <v>37</v>
      </c>
      <c r="AA14">
        <f>TwitterClean[[#This Row],[likes]]+TwitterClean[[#This Row],[replies]]+TwitterClean[[#This Row],[reposts]]+TwitterClean[[#This Row],[quotes]]+TwitterClean[[#This Row],[bookmarks]]</f>
        <v>685</v>
      </c>
      <c r="AB14" s="1">
        <f>TwitterClean[[#This Row],[Total_Engagements]]/TwitterClean[[#This Row],[views]]</f>
        <v>7.5076720736519068E-2</v>
      </c>
      <c r="AC14" s="3">
        <f>DATEVALUE(MID(TwitterClean[[#This Row],[date_posted]],2,10))</f>
        <v>45641</v>
      </c>
      <c r="AD14">
        <f>TIMEVALUE(MID(TwitterClean[[#This Row],[date_posted]],13,8))</f>
        <v>0.83748842592592587</v>
      </c>
      <c r="AE14" s="3" t="str">
        <f>TEXT(TwitterClean[[#This Row],[Post_Date]],"dddd")</f>
        <v>Sunday</v>
      </c>
      <c r="AF14">
        <f>HOUR(TwitterClean[[#This Row],[Post_Time]])</f>
        <v>20</v>
      </c>
      <c r="AG14" t="str">
        <f>IF(TwitterClean[[#This Row],[videos]]="Null","No","Yes")</f>
        <v>No</v>
      </c>
      <c r="AH14" t="str">
        <f>IF(TwitterClean[[#This Row],[photos]]="null","No","Yes")</f>
        <v>No</v>
      </c>
      <c r="AI14" t="str">
        <f>IF(TwitterClean[[#This Row],[hashtags]]="null","No","Yes")</f>
        <v>No</v>
      </c>
      <c r="AJ14" t="str">
        <f>IF(TwitterClean[[#This Row],[external_url]]="null","Yes","No")</f>
        <v>No</v>
      </c>
      <c r="AK14">
        <f>LEN(TwitterClean[[#This Row],[description]])</f>
        <v>146</v>
      </c>
      <c r="AL14" t="str">
        <f>IF(TwitterClean[[#This Row],[followers]]&lt;100000,"&lt;100K",IF(TwitterClean[[#This Row],[followers]]&lt;1000000,"100K-1M",IF(TwitterClean[[#This Row],[followers]]&lt;10000000,"1M-10M","10M+")))</f>
        <v>100K-1M</v>
      </c>
    </row>
    <row r="15" spans="1:38">
      <c r="A15">
        <v>1.8676600268419036E+18</v>
      </c>
      <c r="B15" t="s">
        <v>3992</v>
      </c>
      <c r="C15" t="s">
        <v>3993</v>
      </c>
      <c r="D15" t="s">
        <v>3994</v>
      </c>
      <c r="E15" t="s">
        <v>3995</v>
      </c>
      <c r="F15" t="s">
        <v>3996</v>
      </c>
      <c r="G15" t="s">
        <v>3997</v>
      </c>
      <c r="H15" t="s">
        <v>29</v>
      </c>
      <c r="I15">
        <v>2</v>
      </c>
      <c r="J15">
        <v>86</v>
      </c>
      <c r="K15">
        <v>124</v>
      </c>
      <c r="L15">
        <v>3498</v>
      </c>
      <c r="M15" t="s">
        <v>3998</v>
      </c>
      <c r="N15" t="s">
        <v>3999</v>
      </c>
      <c r="O15">
        <v>1723</v>
      </c>
      <c r="P15" t="s">
        <v>4000</v>
      </c>
      <c r="Q15">
        <v>11208</v>
      </c>
      <c r="R15" t="s">
        <v>4001</v>
      </c>
      <c r="S15">
        <v>70</v>
      </c>
      <c r="T15" t="b">
        <v>0</v>
      </c>
      <c r="U15">
        <v>6</v>
      </c>
      <c r="V15">
        <v>42</v>
      </c>
      <c r="W15" t="s">
        <v>35</v>
      </c>
      <c r="X15" t="s">
        <v>29</v>
      </c>
      <c r="Y15" t="s">
        <v>29</v>
      </c>
      <c r="Z15" t="s">
        <v>37</v>
      </c>
      <c r="AA15">
        <f>TwitterClean[[#This Row],[likes]]+TwitterClean[[#This Row],[replies]]+TwitterClean[[#This Row],[reposts]]+TwitterClean[[#This Row],[quotes]]+TwitterClean[[#This Row],[bookmarks]]</f>
        <v>260</v>
      </c>
      <c r="AB15" s="1">
        <f>TwitterClean[[#This Row],[Total_Engagements]]/TwitterClean[[#This Row],[views]]</f>
        <v>7.432818753573471E-2</v>
      </c>
      <c r="AC15" s="3">
        <f>DATEVALUE(MID(TwitterClean[[#This Row],[date_posted]],2,10))</f>
        <v>45639</v>
      </c>
      <c r="AD15">
        <f>TIMEVALUE(MID(TwitterClean[[#This Row],[date_posted]],13,8))</f>
        <v>0.83129629629629631</v>
      </c>
      <c r="AE15" s="3" t="str">
        <f>TEXT(TwitterClean[[#This Row],[Post_Date]],"dddd")</f>
        <v>Friday</v>
      </c>
      <c r="AF15">
        <f>HOUR(TwitterClean[[#This Row],[Post_Time]])</f>
        <v>19</v>
      </c>
      <c r="AG15" t="str">
        <f>IF(TwitterClean[[#This Row],[videos]]="Null","No","Yes")</f>
        <v>No</v>
      </c>
      <c r="AH15" t="str">
        <f>IF(TwitterClean[[#This Row],[photos]]="null","No","Yes")</f>
        <v>Yes</v>
      </c>
      <c r="AI15" t="str">
        <f>IF(TwitterClean[[#This Row],[hashtags]]="null","No","Yes")</f>
        <v>Yes</v>
      </c>
      <c r="AJ15" t="str">
        <f>IF(TwitterClean[[#This Row],[external_url]]="null","Yes","No")</f>
        <v>No</v>
      </c>
      <c r="AK15">
        <f>LEN(TwitterClean[[#This Row],[description]])</f>
        <v>74</v>
      </c>
      <c r="AL15" t="str">
        <f>IF(TwitterClean[[#This Row],[followers]]&lt;100000,"&lt;100K",IF(TwitterClean[[#This Row],[followers]]&lt;1000000,"100K-1M",IF(TwitterClean[[#This Row],[followers]]&lt;10000000,"1M-10M","10M+")))</f>
        <v>&lt;100K</v>
      </c>
    </row>
    <row r="16" spans="1:38">
      <c r="A16">
        <v>1.8682108434456046E+18</v>
      </c>
      <c r="B16" t="s">
        <v>600</v>
      </c>
      <c r="C16" t="s">
        <v>601</v>
      </c>
      <c r="D16" t="s">
        <v>602</v>
      </c>
      <c r="E16" t="s">
        <v>603</v>
      </c>
      <c r="F16" t="s">
        <v>604</v>
      </c>
      <c r="G16" t="s">
        <v>605</v>
      </c>
      <c r="H16" t="s">
        <v>29</v>
      </c>
      <c r="I16">
        <v>1</v>
      </c>
      <c r="J16">
        <v>46</v>
      </c>
      <c r="K16">
        <v>276</v>
      </c>
      <c r="L16">
        <v>4420</v>
      </c>
      <c r="M16" t="s">
        <v>52</v>
      </c>
      <c r="N16" t="s">
        <v>606</v>
      </c>
      <c r="O16">
        <v>12061</v>
      </c>
      <c r="P16" t="s">
        <v>607</v>
      </c>
      <c r="Q16">
        <v>2422</v>
      </c>
      <c r="R16" t="s">
        <v>608</v>
      </c>
      <c r="S16">
        <v>81</v>
      </c>
      <c r="T16" t="b">
        <v>0</v>
      </c>
      <c r="U16">
        <v>1</v>
      </c>
      <c r="V16">
        <v>1</v>
      </c>
      <c r="W16" t="s">
        <v>35</v>
      </c>
      <c r="X16" t="s">
        <v>29</v>
      </c>
      <c r="Y16" t="s">
        <v>29</v>
      </c>
      <c r="Z16" t="s">
        <v>37</v>
      </c>
      <c r="AA16">
        <f>TwitterClean[[#This Row],[likes]]+TwitterClean[[#This Row],[replies]]+TwitterClean[[#This Row],[reposts]]+TwitterClean[[#This Row],[quotes]]+TwitterClean[[#This Row],[bookmarks]]</f>
        <v>325</v>
      </c>
      <c r="AB16" s="1">
        <f>TwitterClean[[#This Row],[Total_Engagements]]/TwitterClean[[#This Row],[views]]</f>
        <v>7.3529411764705885E-2</v>
      </c>
      <c r="AC16" s="3">
        <f>DATEVALUE(MID(TwitterClean[[#This Row],[date_posted]],2,10))</f>
        <v>45641</v>
      </c>
      <c r="AD16">
        <f>TIMEVALUE(MID(TwitterClean[[#This Row],[date_posted]],13,8))</f>
        <v>0.3512615740740741</v>
      </c>
      <c r="AE16" s="3" t="str">
        <f>TEXT(TwitterClean[[#This Row],[Post_Date]],"dddd")</f>
        <v>Sunday</v>
      </c>
      <c r="AF16">
        <f>HOUR(TwitterClean[[#This Row],[Post_Time]])</f>
        <v>8</v>
      </c>
      <c r="AG16" t="str">
        <f>IF(TwitterClean[[#This Row],[videos]]="Null","No","Yes")</f>
        <v>No</v>
      </c>
      <c r="AH16" t="str">
        <f>IF(TwitterClean[[#This Row],[photos]]="null","No","Yes")</f>
        <v>Yes</v>
      </c>
      <c r="AI16" t="str">
        <f>IF(TwitterClean[[#This Row],[hashtags]]="null","No","Yes")</f>
        <v>Yes</v>
      </c>
      <c r="AJ16" t="str">
        <f>IF(TwitterClean[[#This Row],[external_url]]="null","Yes","No")</f>
        <v>No</v>
      </c>
      <c r="AK16">
        <f>LEN(TwitterClean[[#This Row],[description]])</f>
        <v>132</v>
      </c>
      <c r="AL16" t="str">
        <f>IF(TwitterClean[[#This Row],[followers]]&lt;100000,"&lt;100K",IF(TwitterClean[[#This Row],[followers]]&lt;1000000,"100K-1M",IF(TwitterClean[[#This Row],[followers]]&lt;10000000,"1M-10M","10M+")))</f>
        <v>&lt;100K</v>
      </c>
    </row>
    <row r="17" spans="1:38">
      <c r="A17">
        <v>1.8684310908448771E+18</v>
      </c>
      <c r="B17" t="s">
        <v>1280</v>
      </c>
      <c r="C17" t="s">
        <v>1281</v>
      </c>
      <c r="D17" t="s">
        <v>1342</v>
      </c>
      <c r="E17" t="s">
        <v>1343</v>
      </c>
      <c r="F17" t="s">
        <v>1344</v>
      </c>
      <c r="G17" t="s">
        <v>1345</v>
      </c>
      <c r="H17" t="s">
        <v>29</v>
      </c>
      <c r="I17">
        <v>218</v>
      </c>
      <c r="J17">
        <v>1981</v>
      </c>
      <c r="K17">
        <v>18668</v>
      </c>
      <c r="L17">
        <v>292571</v>
      </c>
      <c r="M17" t="s">
        <v>52</v>
      </c>
      <c r="N17" t="s">
        <v>1286</v>
      </c>
      <c r="O17">
        <v>38439078</v>
      </c>
      <c r="P17" t="s">
        <v>1287</v>
      </c>
      <c r="Q17">
        <v>92455</v>
      </c>
      <c r="R17" t="s">
        <v>1288</v>
      </c>
      <c r="S17">
        <v>145</v>
      </c>
      <c r="T17" t="b">
        <v>0</v>
      </c>
      <c r="U17">
        <v>46</v>
      </c>
      <c r="V17">
        <v>92</v>
      </c>
      <c r="W17" t="s">
        <v>35</v>
      </c>
      <c r="X17" t="s">
        <v>29</v>
      </c>
      <c r="Y17" t="s">
        <v>29</v>
      </c>
      <c r="Z17" t="s">
        <v>37</v>
      </c>
      <c r="AA17">
        <f>TwitterClean[[#This Row],[likes]]+TwitterClean[[#This Row],[replies]]+TwitterClean[[#This Row],[reposts]]+TwitterClean[[#This Row],[quotes]]+TwitterClean[[#This Row],[bookmarks]]</f>
        <v>21005</v>
      </c>
      <c r="AB17" s="1">
        <f>TwitterClean[[#This Row],[Total_Engagements]]/TwitterClean[[#This Row],[views]]</f>
        <v>7.1794538761531385E-2</v>
      </c>
      <c r="AC17" s="3">
        <f>DATEVALUE(MID(TwitterClean[[#This Row],[date_posted]],2,10))</f>
        <v>45641</v>
      </c>
      <c r="AD17">
        <f>TIMEVALUE(MID(TwitterClean[[#This Row],[date_posted]],13,8))</f>
        <v>0.95902777777777781</v>
      </c>
      <c r="AE17" s="3" t="str">
        <f>TEXT(TwitterClean[[#This Row],[Post_Date]],"dddd")</f>
        <v>Sunday</v>
      </c>
      <c r="AF17">
        <f>HOUR(TwitterClean[[#This Row],[Post_Time]])</f>
        <v>23</v>
      </c>
      <c r="AG17" t="str">
        <f>IF(TwitterClean[[#This Row],[videos]]="Null","No","Yes")</f>
        <v>No</v>
      </c>
      <c r="AH17" t="str">
        <f>IF(TwitterClean[[#This Row],[photos]]="null","No","Yes")</f>
        <v>Yes</v>
      </c>
      <c r="AI17" t="str">
        <f>IF(TwitterClean[[#This Row],[hashtags]]="null","No","Yes")</f>
        <v>Yes</v>
      </c>
      <c r="AJ17" t="str">
        <f>IF(TwitterClean[[#This Row],[external_url]]="null","Yes","No")</f>
        <v>No</v>
      </c>
      <c r="AK17">
        <f>LEN(TwitterClean[[#This Row],[description]])</f>
        <v>36</v>
      </c>
      <c r="AL17" t="str">
        <f>IF(TwitterClean[[#This Row],[followers]]&lt;100000,"&lt;100K",IF(TwitterClean[[#This Row],[followers]]&lt;1000000,"100K-1M",IF(TwitterClean[[#This Row],[followers]]&lt;10000000,"1M-10M","10M+")))</f>
        <v>10M+</v>
      </c>
    </row>
    <row r="18" spans="1:38">
      <c r="A18">
        <v>1.868380774279328E+18</v>
      </c>
      <c r="B18" t="s">
        <v>3837</v>
      </c>
      <c r="C18" t="s">
        <v>3838</v>
      </c>
      <c r="D18" t="s">
        <v>4876</v>
      </c>
      <c r="E18" t="s">
        <v>4877</v>
      </c>
      <c r="F18" t="s">
        <v>4878</v>
      </c>
      <c r="G18" t="s">
        <v>4879</v>
      </c>
      <c r="H18" t="s">
        <v>29</v>
      </c>
      <c r="I18">
        <v>25</v>
      </c>
      <c r="J18">
        <v>478</v>
      </c>
      <c r="K18">
        <v>6067</v>
      </c>
      <c r="L18">
        <v>93848</v>
      </c>
      <c r="M18" t="s">
        <v>52</v>
      </c>
      <c r="N18" t="s">
        <v>3843</v>
      </c>
      <c r="O18">
        <v>984263</v>
      </c>
      <c r="P18" t="s">
        <v>3844</v>
      </c>
      <c r="Q18">
        <v>136135</v>
      </c>
      <c r="R18" t="s">
        <v>3845</v>
      </c>
      <c r="S18">
        <v>438</v>
      </c>
      <c r="T18" t="b">
        <v>0</v>
      </c>
      <c r="U18">
        <v>19</v>
      </c>
      <c r="V18">
        <v>28</v>
      </c>
      <c r="W18" t="s">
        <v>35</v>
      </c>
      <c r="X18" t="s">
        <v>29</v>
      </c>
      <c r="Y18" t="s">
        <v>29</v>
      </c>
      <c r="Z18" t="s">
        <v>37</v>
      </c>
      <c r="AA18">
        <f>TwitterClean[[#This Row],[likes]]+TwitterClean[[#This Row],[replies]]+TwitterClean[[#This Row],[reposts]]+TwitterClean[[#This Row],[quotes]]+TwitterClean[[#This Row],[bookmarks]]</f>
        <v>6617</v>
      </c>
      <c r="AB18" s="1">
        <f>TwitterClean[[#This Row],[Total_Engagements]]/TwitterClean[[#This Row],[views]]</f>
        <v>7.0507629358110988E-2</v>
      </c>
      <c r="AC18" s="3">
        <f>DATEVALUE(MID(TwitterClean[[#This Row],[date_posted]],2,10))</f>
        <v>45641</v>
      </c>
      <c r="AD18">
        <f>TIMEVALUE(MID(TwitterClean[[#This Row],[date_posted]],13,8))</f>
        <v>0.82018518518518524</v>
      </c>
      <c r="AE18" s="3" t="str">
        <f>TEXT(TwitterClean[[#This Row],[Post_Date]],"dddd")</f>
        <v>Sunday</v>
      </c>
      <c r="AF18">
        <f>HOUR(TwitterClean[[#This Row],[Post_Time]])</f>
        <v>19</v>
      </c>
      <c r="AG18" t="str">
        <f>IF(TwitterClean[[#This Row],[videos]]="Null","No","Yes")</f>
        <v>No</v>
      </c>
      <c r="AH18" t="str">
        <f>IF(TwitterClean[[#This Row],[photos]]="null","No","Yes")</f>
        <v>Yes</v>
      </c>
      <c r="AI18" t="str">
        <f>IF(TwitterClean[[#This Row],[hashtags]]="null","No","Yes")</f>
        <v>Yes</v>
      </c>
      <c r="AJ18" t="str">
        <f>IF(TwitterClean[[#This Row],[external_url]]="null","Yes","No")</f>
        <v>No</v>
      </c>
      <c r="AK18">
        <f>LEN(TwitterClean[[#This Row],[description]])</f>
        <v>62</v>
      </c>
      <c r="AL18" t="str">
        <f>IF(TwitterClean[[#This Row],[followers]]&lt;100000,"&lt;100K",IF(TwitterClean[[#This Row],[followers]]&lt;1000000,"100K-1M",IF(TwitterClean[[#This Row],[followers]]&lt;10000000,"1M-10M","10M+")))</f>
        <v>100K-1M</v>
      </c>
    </row>
    <row r="19" spans="1:38">
      <c r="A19">
        <v>1.8683812629998963E+18</v>
      </c>
      <c r="B19" t="s">
        <v>717</v>
      </c>
      <c r="C19" t="s">
        <v>718</v>
      </c>
      <c r="D19" t="s">
        <v>870</v>
      </c>
      <c r="E19" t="s">
        <v>871</v>
      </c>
      <c r="F19" t="s">
        <v>872</v>
      </c>
      <c r="G19" t="s">
        <v>873</v>
      </c>
      <c r="H19" t="s">
        <v>874</v>
      </c>
      <c r="I19">
        <v>12</v>
      </c>
      <c r="J19">
        <v>130</v>
      </c>
      <c r="K19">
        <v>1904</v>
      </c>
      <c r="L19">
        <v>29340</v>
      </c>
      <c r="M19" t="s">
        <v>52</v>
      </c>
      <c r="N19" t="s">
        <v>29</v>
      </c>
      <c r="O19">
        <v>756191</v>
      </c>
      <c r="P19" t="s">
        <v>724</v>
      </c>
      <c r="Q19">
        <v>32997</v>
      </c>
      <c r="R19" t="s">
        <v>725</v>
      </c>
      <c r="S19">
        <v>303</v>
      </c>
      <c r="T19" t="b">
        <v>0</v>
      </c>
      <c r="U19">
        <v>9</v>
      </c>
      <c r="V19">
        <v>11</v>
      </c>
      <c r="W19" t="s">
        <v>35</v>
      </c>
      <c r="X19" t="s">
        <v>29</v>
      </c>
      <c r="Y19" t="s">
        <v>29</v>
      </c>
      <c r="Z19" t="s">
        <v>37</v>
      </c>
      <c r="AA19">
        <f>TwitterClean[[#This Row],[likes]]+TwitterClean[[#This Row],[replies]]+TwitterClean[[#This Row],[reposts]]+TwitterClean[[#This Row],[quotes]]+TwitterClean[[#This Row],[bookmarks]]</f>
        <v>2066</v>
      </c>
      <c r="AB19" s="1">
        <f>TwitterClean[[#This Row],[Total_Engagements]]/TwitterClean[[#This Row],[views]]</f>
        <v>7.0415814587593731E-2</v>
      </c>
      <c r="AC19" s="3">
        <f>DATEVALUE(MID(TwitterClean[[#This Row],[date_posted]],2,10))</f>
        <v>45641</v>
      </c>
      <c r="AD19">
        <f>TIMEVALUE(MID(TwitterClean[[#This Row],[date_posted]],13,8))</f>
        <v>0.82152777777777775</v>
      </c>
      <c r="AE19" s="3" t="str">
        <f>TEXT(TwitterClean[[#This Row],[Post_Date]],"dddd")</f>
        <v>Sunday</v>
      </c>
      <c r="AF19">
        <f>HOUR(TwitterClean[[#This Row],[Post_Time]])</f>
        <v>19</v>
      </c>
      <c r="AG19" t="str">
        <f>IF(TwitterClean[[#This Row],[videos]]="Null","No","Yes")</f>
        <v>No</v>
      </c>
      <c r="AH19" t="str">
        <f>IF(TwitterClean[[#This Row],[photos]]="null","No","Yes")</f>
        <v>Yes</v>
      </c>
      <c r="AI19" t="str">
        <f>IF(TwitterClean[[#This Row],[hashtags]]="null","No","Yes")</f>
        <v>No</v>
      </c>
      <c r="AJ19" t="str">
        <f>IF(TwitterClean[[#This Row],[external_url]]="null","Yes","No")</f>
        <v>No</v>
      </c>
      <c r="AK19">
        <f>LEN(TwitterClean[[#This Row],[description]])</f>
        <v>76</v>
      </c>
      <c r="AL19" t="str">
        <f>IF(TwitterClean[[#This Row],[followers]]&lt;100000,"&lt;100K",IF(TwitterClean[[#This Row],[followers]]&lt;1000000,"100K-1M",IF(TwitterClean[[#This Row],[followers]]&lt;10000000,"1M-10M","10M+")))</f>
        <v>100K-1M</v>
      </c>
    </row>
    <row r="20" spans="1:38">
      <c r="A20">
        <v>1.8683683284165105E+18</v>
      </c>
      <c r="B20" t="s">
        <v>1280</v>
      </c>
      <c r="C20" t="s">
        <v>1281</v>
      </c>
      <c r="D20" t="s">
        <v>1412</v>
      </c>
      <c r="E20" t="s">
        <v>1413</v>
      </c>
      <c r="F20" t="s">
        <v>1414</v>
      </c>
      <c r="G20" t="s">
        <v>1415</v>
      </c>
      <c r="H20" t="s">
        <v>29</v>
      </c>
      <c r="I20">
        <v>499</v>
      </c>
      <c r="J20">
        <v>5812</v>
      </c>
      <c r="K20">
        <v>48615</v>
      </c>
      <c r="L20">
        <v>788950</v>
      </c>
      <c r="M20" t="s">
        <v>52</v>
      </c>
      <c r="N20" t="s">
        <v>1286</v>
      </c>
      <c r="O20">
        <v>38438997</v>
      </c>
      <c r="P20" t="s">
        <v>1287</v>
      </c>
      <c r="Q20">
        <v>92455</v>
      </c>
      <c r="R20" t="s">
        <v>1288</v>
      </c>
      <c r="S20">
        <v>145</v>
      </c>
      <c r="T20" t="b">
        <v>0</v>
      </c>
      <c r="U20">
        <v>227</v>
      </c>
      <c r="V20">
        <v>325</v>
      </c>
      <c r="W20" t="s">
        <v>35</v>
      </c>
      <c r="X20" t="s">
        <v>29</v>
      </c>
      <c r="Y20" t="s">
        <v>29</v>
      </c>
      <c r="Z20" t="s">
        <v>37</v>
      </c>
      <c r="AA20">
        <f>TwitterClean[[#This Row],[likes]]+TwitterClean[[#This Row],[replies]]+TwitterClean[[#This Row],[reposts]]+TwitterClean[[#This Row],[quotes]]+TwitterClean[[#This Row],[bookmarks]]</f>
        <v>55478</v>
      </c>
      <c r="AB20" s="1">
        <f>TwitterClean[[#This Row],[Total_Engagements]]/TwitterClean[[#This Row],[views]]</f>
        <v>7.0318778122821474E-2</v>
      </c>
      <c r="AC20" s="3">
        <f>DATEVALUE(MID(TwitterClean[[#This Row],[date_posted]],2,10))</f>
        <v>45641</v>
      </c>
      <c r="AD20">
        <f>TIMEVALUE(MID(TwitterClean[[#This Row],[date_posted]],13,8))</f>
        <v>0.78583333333333338</v>
      </c>
      <c r="AE20" s="3" t="str">
        <f>TEXT(TwitterClean[[#This Row],[Post_Date]],"dddd")</f>
        <v>Sunday</v>
      </c>
      <c r="AF20">
        <f>HOUR(TwitterClean[[#This Row],[Post_Time]])</f>
        <v>18</v>
      </c>
      <c r="AG20" t="str">
        <f>IF(TwitterClean[[#This Row],[videos]]="Null","No","Yes")</f>
        <v>No</v>
      </c>
      <c r="AH20" t="str">
        <f>IF(TwitterClean[[#This Row],[photos]]="null","No","Yes")</f>
        <v>Yes</v>
      </c>
      <c r="AI20" t="str">
        <f>IF(TwitterClean[[#This Row],[hashtags]]="null","No","Yes")</f>
        <v>Yes</v>
      </c>
      <c r="AJ20" t="str">
        <f>IF(TwitterClean[[#This Row],[external_url]]="null","Yes","No")</f>
        <v>No</v>
      </c>
      <c r="AK20">
        <f>LEN(TwitterClean[[#This Row],[description]])</f>
        <v>40</v>
      </c>
      <c r="AL20" t="str">
        <f>IF(TwitterClean[[#This Row],[followers]]&lt;100000,"&lt;100K",IF(TwitterClean[[#This Row],[followers]]&lt;1000000,"100K-1M",IF(TwitterClean[[#This Row],[followers]]&lt;10000000,"1M-10M","10M+")))</f>
        <v>10M+</v>
      </c>
    </row>
    <row r="21" spans="1:38">
      <c r="A21">
        <v>1.868151532622955E+18</v>
      </c>
      <c r="B21" t="s">
        <v>38</v>
      </c>
      <c r="C21" t="s">
        <v>38</v>
      </c>
      <c r="D21" t="s">
        <v>173</v>
      </c>
      <c r="E21" t="s">
        <v>174</v>
      </c>
      <c r="F21" t="s">
        <v>29</v>
      </c>
      <c r="G21" t="s">
        <v>175</v>
      </c>
      <c r="H21" t="s">
        <v>29</v>
      </c>
      <c r="I21">
        <v>9</v>
      </c>
      <c r="J21">
        <v>463</v>
      </c>
      <c r="K21">
        <v>1977</v>
      </c>
      <c r="L21">
        <v>35672</v>
      </c>
      <c r="M21" t="s">
        <v>176</v>
      </c>
      <c r="N21" t="s">
        <v>29</v>
      </c>
      <c r="O21">
        <v>14257909</v>
      </c>
      <c r="P21" t="s">
        <v>43</v>
      </c>
      <c r="Q21">
        <v>357584</v>
      </c>
      <c r="R21" t="s">
        <v>44</v>
      </c>
      <c r="S21">
        <v>3784</v>
      </c>
      <c r="T21" t="b">
        <v>0</v>
      </c>
      <c r="U21">
        <v>2</v>
      </c>
      <c r="V21">
        <v>26</v>
      </c>
      <c r="W21" t="s">
        <v>35</v>
      </c>
      <c r="X21" t="s">
        <v>177</v>
      </c>
      <c r="Y21" t="s">
        <v>29</v>
      </c>
      <c r="Z21" t="s">
        <v>37</v>
      </c>
      <c r="AA21">
        <f>TwitterClean[[#This Row],[likes]]+TwitterClean[[#This Row],[replies]]+TwitterClean[[#This Row],[reposts]]+TwitterClean[[#This Row],[quotes]]+TwitterClean[[#This Row],[bookmarks]]</f>
        <v>2477</v>
      </c>
      <c r="AB21" s="1">
        <f>TwitterClean[[#This Row],[Total_Engagements]]/TwitterClean[[#This Row],[views]]</f>
        <v>6.9438214846378118E-2</v>
      </c>
      <c r="AC21" s="3">
        <f>DATEVALUE(MID(TwitterClean[[#This Row],[date_posted]],2,10))</f>
        <v>45641</v>
      </c>
      <c r="AD21">
        <f>TIMEVALUE(MID(TwitterClean[[#This Row],[date_posted]],13,8))</f>
        <v>0.18759259259259259</v>
      </c>
      <c r="AE21" s="3" t="str">
        <f>TEXT(TwitterClean[[#This Row],[Post_Date]],"dddd")</f>
        <v>Sunday</v>
      </c>
      <c r="AF21">
        <f>HOUR(TwitterClean[[#This Row],[Post_Time]])</f>
        <v>4</v>
      </c>
      <c r="AG21" t="str">
        <f>IF(TwitterClean[[#This Row],[videos]]="Null","No","Yes")</f>
        <v>No</v>
      </c>
      <c r="AH21" t="str">
        <f>IF(TwitterClean[[#This Row],[photos]]="null","No","Yes")</f>
        <v>No</v>
      </c>
      <c r="AI21" t="str">
        <f>IF(TwitterClean[[#This Row],[hashtags]]="null","No","Yes")</f>
        <v>No</v>
      </c>
      <c r="AJ21" t="str">
        <f>IF(TwitterClean[[#This Row],[external_url]]="null","Yes","No")</f>
        <v>No</v>
      </c>
      <c r="AK21">
        <f>LEN(TwitterClean[[#This Row],[description]])</f>
        <v>82</v>
      </c>
      <c r="AL21" t="str">
        <f>IF(TwitterClean[[#This Row],[followers]]&lt;100000,"&lt;100K",IF(TwitterClean[[#This Row],[followers]]&lt;1000000,"100K-1M",IF(TwitterClean[[#This Row],[followers]]&lt;10000000,"1M-10M","10M+")))</f>
        <v>10M+</v>
      </c>
    </row>
    <row r="22" spans="1:38">
      <c r="A22">
        <v>1.8684150508446356E+18</v>
      </c>
      <c r="B22" t="s">
        <v>3837</v>
      </c>
      <c r="C22" t="s">
        <v>3838</v>
      </c>
      <c r="D22" t="s">
        <v>4773</v>
      </c>
      <c r="E22" t="s">
        <v>4774</v>
      </c>
      <c r="F22" t="s">
        <v>4775</v>
      </c>
      <c r="G22" t="s">
        <v>4776</v>
      </c>
      <c r="H22" t="s">
        <v>29</v>
      </c>
      <c r="I22">
        <v>49</v>
      </c>
      <c r="J22">
        <v>555</v>
      </c>
      <c r="K22">
        <v>5544</v>
      </c>
      <c r="L22">
        <v>89574</v>
      </c>
      <c r="M22" t="s">
        <v>52</v>
      </c>
      <c r="N22" t="s">
        <v>4356</v>
      </c>
      <c r="O22">
        <v>984256</v>
      </c>
      <c r="P22" t="s">
        <v>3844</v>
      </c>
      <c r="Q22">
        <v>136135</v>
      </c>
      <c r="R22" t="s">
        <v>3845</v>
      </c>
      <c r="S22">
        <v>438</v>
      </c>
      <c r="T22" t="b">
        <v>0</v>
      </c>
      <c r="U22">
        <v>21</v>
      </c>
      <c r="V22">
        <v>27</v>
      </c>
      <c r="W22" t="s">
        <v>35</v>
      </c>
      <c r="X22" t="s">
        <v>29</v>
      </c>
      <c r="Y22" t="s">
        <v>29</v>
      </c>
      <c r="Z22" t="s">
        <v>37</v>
      </c>
      <c r="AA22">
        <f>TwitterClean[[#This Row],[likes]]+TwitterClean[[#This Row],[replies]]+TwitterClean[[#This Row],[reposts]]+TwitterClean[[#This Row],[quotes]]+TwitterClean[[#This Row],[bookmarks]]</f>
        <v>6196</v>
      </c>
      <c r="AB22" s="1">
        <f>TwitterClean[[#This Row],[Total_Engagements]]/TwitterClean[[#This Row],[views]]</f>
        <v>6.9171857905195699E-2</v>
      </c>
      <c r="AC22" s="3">
        <f>DATEVALUE(MID(TwitterClean[[#This Row],[date_posted]],2,10))</f>
        <v>45641</v>
      </c>
      <c r="AD22">
        <f>TIMEVALUE(MID(TwitterClean[[#This Row],[date_posted]],13,8))</f>
        <v>0.91476851851851848</v>
      </c>
      <c r="AE22" s="3" t="str">
        <f>TEXT(TwitterClean[[#This Row],[Post_Date]],"dddd")</f>
        <v>Sunday</v>
      </c>
      <c r="AF22">
        <f>HOUR(TwitterClean[[#This Row],[Post_Time]])</f>
        <v>21</v>
      </c>
      <c r="AG22" t="str">
        <f>IF(TwitterClean[[#This Row],[videos]]="Null","No","Yes")</f>
        <v>No</v>
      </c>
      <c r="AH22" t="str">
        <f>IF(TwitterClean[[#This Row],[photos]]="null","No","Yes")</f>
        <v>Yes</v>
      </c>
      <c r="AI22" t="str">
        <f>IF(TwitterClean[[#This Row],[hashtags]]="null","No","Yes")</f>
        <v>Yes</v>
      </c>
      <c r="AJ22" t="str">
        <f>IF(TwitterClean[[#This Row],[external_url]]="null","Yes","No")</f>
        <v>No</v>
      </c>
      <c r="AK22">
        <f>LEN(TwitterClean[[#This Row],[description]])</f>
        <v>44</v>
      </c>
      <c r="AL22" t="str">
        <f>IF(TwitterClean[[#This Row],[followers]]&lt;100000,"&lt;100K",IF(TwitterClean[[#This Row],[followers]]&lt;1000000,"100K-1M",IF(TwitterClean[[#This Row],[followers]]&lt;10000000,"1M-10M","10M+")))</f>
        <v>100K-1M</v>
      </c>
    </row>
    <row r="23" spans="1:38">
      <c r="A23">
        <v>1.8683708020953459E+18</v>
      </c>
      <c r="B23" t="s">
        <v>1280</v>
      </c>
      <c r="C23" t="s">
        <v>1281</v>
      </c>
      <c r="D23" t="s">
        <v>4479</v>
      </c>
      <c r="E23" t="s">
        <v>4480</v>
      </c>
      <c r="F23" t="s">
        <v>29</v>
      </c>
      <c r="G23" t="s">
        <v>4481</v>
      </c>
      <c r="H23" t="s">
        <v>1293</v>
      </c>
      <c r="I23">
        <v>336</v>
      </c>
      <c r="J23">
        <v>4231</v>
      </c>
      <c r="K23">
        <v>28303</v>
      </c>
      <c r="L23">
        <v>505731</v>
      </c>
      <c r="M23" t="s">
        <v>52</v>
      </c>
      <c r="N23" t="s">
        <v>1294</v>
      </c>
      <c r="O23">
        <v>38439064</v>
      </c>
      <c r="P23" t="s">
        <v>1287</v>
      </c>
      <c r="Q23">
        <v>92455</v>
      </c>
      <c r="R23" t="s">
        <v>1288</v>
      </c>
      <c r="S23">
        <v>145</v>
      </c>
      <c r="T23" t="b">
        <v>0</v>
      </c>
      <c r="U23">
        <v>174</v>
      </c>
      <c r="V23">
        <v>589</v>
      </c>
      <c r="W23" t="s">
        <v>35</v>
      </c>
      <c r="X23" t="s">
        <v>29</v>
      </c>
      <c r="Y23" t="s">
        <v>4482</v>
      </c>
      <c r="Z23" t="s">
        <v>37</v>
      </c>
      <c r="AA23">
        <f>TwitterClean[[#This Row],[likes]]+TwitterClean[[#This Row],[replies]]+TwitterClean[[#This Row],[reposts]]+TwitterClean[[#This Row],[quotes]]+TwitterClean[[#This Row],[bookmarks]]</f>
        <v>33633</v>
      </c>
      <c r="AB23" s="1">
        <f>TwitterClean[[#This Row],[Total_Engagements]]/TwitterClean[[#This Row],[views]]</f>
        <v>6.6503734198615466E-2</v>
      </c>
      <c r="AC23" s="3">
        <f>DATEVALUE(MID(TwitterClean[[#This Row],[date_posted]],2,10))</f>
        <v>45641</v>
      </c>
      <c r="AD23">
        <f>TIMEVALUE(MID(TwitterClean[[#This Row],[date_posted]],13,8))</f>
        <v>0.79266203703703708</v>
      </c>
      <c r="AE23" s="3" t="str">
        <f>TEXT(TwitterClean[[#This Row],[Post_Date]],"dddd")</f>
        <v>Sunday</v>
      </c>
      <c r="AF23">
        <f>HOUR(TwitterClean[[#This Row],[Post_Time]])</f>
        <v>19</v>
      </c>
      <c r="AG23" t="str">
        <f>IF(TwitterClean[[#This Row],[videos]]="Null","No","Yes")</f>
        <v>Yes</v>
      </c>
      <c r="AH23" t="str">
        <f>IF(TwitterClean[[#This Row],[photos]]="null","No","Yes")</f>
        <v>No</v>
      </c>
      <c r="AI23" t="str">
        <f>IF(TwitterClean[[#This Row],[hashtags]]="null","No","Yes")</f>
        <v>Yes</v>
      </c>
      <c r="AJ23" t="str">
        <f>IF(TwitterClean[[#This Row],[external_url]]="null","Yes","No")</f>
        <v>No</v>
      </c>
      <c r="AK23">
        <f>LEN(TwitterClean[[#This Row],[description]])</f>
        <v>69</v>
      </c>
      <c r="AL23" t="str">
        <f>IF(TwitterClean[[#This Row],[followers]]&lt;100000,"&lt;100K",IF(TwitterClean[[#This Row],[followers]]&lt;1000000,"100K-1M",IF(TwitterClean[[#This Row],[followers]]&lt;10000000,"1M-10M","10M+")))</f>
        <v>10M+</v>
      </c>
    </row>
    <row r="24" spans="1:38">
      <c r="A24">
        <v>1.8683616507615398E+18</v>
      </c>
      <c r="B24" t="s">
        <v>717</v>
      </c>
      <c r="C24" t="s">
        <v>718</v>
      </c>
      <c r="D24" t="s">
        <v>4460</v>
      </c>
      <c r="E24" t="s">
        <v>4461</v>
      </c>
      <c r="F24" t="s">
        <v>29</v>
      </c>
      <c r="G24" t="s">
        <v>4462</v>
      </c>
      <c r="H24" t="s">
        <v>4463</v>
      </c>
      <c r="I24">
        <v>12</v>
      </c>
      <c r="J24">
        <v>207</v>
      </c>
      <c r="K24">
        <v>2316</v>
      </c>
      <c r="L24">
        <v>40548</v>
      </c>
      <c r="M24" t="s">
        <v>52</v>
      </c>
      <c r="N24" t="s">
        <v>29</v>
      </c>
      <c r="O24">
        <v>756191</v>
      </c>
      <c r="P24" t="s">
        <v>724</v>
      </c>
      <c r="Q24">
        <v>32997</v>
      </c>
      <c r="R24" t="s">
        <v>725</v>
      </c>
      <c r="S24">
        <v>303</v>
      </c>
      <c r="T24" t="b">
        <v>0</v>
      </c>
      <c r="U24">
        <v>27</v>
      </c>
      <c r="V24">
        <v>96</v>
      </c>
      <c r="W24" t="s">
        <v>35</v>
      </c>
      <c r="X24" t="s">
        <v>29</v>
      </c>
      <c r="Y24" t="s">
        <v>4464</v>
      </c>
      <c r="Z24" t="s">
        <v>37</v>
      </c>
      <c r="AA24">
        <f>TwitterClean[[#This Row],[likes]]+TwitterClean[[#This Row],[replies]]+TwitterClean[[#This Row],[reposts]]+TwitterClean[[#This Row],[quotes]]+TwitterClean[[#This Row],[bookmarks]]</f>
        <v>2658</v>
      </c>
      <c r="AB24" s="1">
        <f>TwitterClean[[#This Row],[Total_Engagements]]/TwitterClean[[#This Row],[views]]</f>
        <v>6.5551938443326421E-2</v>
      </c>
      <c r="AC24" s="3">
        <f>DATEVALUE(MID(TwitterClean[[#This Row],[date_posted]],2,10))</f>
        <v>45641</v>
      </c>
      <c r="AD24">
        <f>TIMEVALUE(MID(TwitterClean[[#This Row],[date_posted]],13,8))</f>
        <v>0.76740740740740743</v>
      </c>
      <c r="AE24" s="3" t="str">
        <f>TEXT(TwitterClean[[#This Row],[Post_Date]],"dddd")</f>
        <v>Sunday</v>
      </c>
      <c r="AF24">
        <f>HOUR(TwitterClean[[#This Row],[Post_Time]])</f>
        <v>18</v>
      </c>
      <c r="AG24" t="str">
        <f>IF(TwitterClean[[#This Row],[videos]]="Null","No","Yes")</f>
        <v>Yes</v>
      </c>
      <c r="AH24" t="str">
        <f>IF(TwitterClean[[#This Row],[photos]]="null","No","Yes")</f>
        <v>No</v>
      </c>
      <c r="AI24" t="str">
        <f>IF(TwitterClean[[#This Row],[hashtags]]="null","No","Yes")</f>
        <v>No</v>
      </c>
      <c r="AJ24" t="str">
        <f>IF(TwitterClean[[#This Row],[external_url]]="null","Yes","No")</f>
        <v>No</v>
      </c>
      <c r="AK24">
        <f>LEN(TwitterClean[[#This Row],[description]])</f>
        <v>103</v>
      </c>
      <c r="AL24" t="str">
        <f>IF(TwitterClean[[#This Row],[followers]]&lt;100000,"&lt;100K",IF(TwitterClean[[#This Row],[followers]]&lt;1000000,"100K-1M",IF(TwitterClean[[#This Row],[followers]]&lt;10000000,"1M-10M","10M+")))</f>
        <v>100K-1M</v>
      </c>
    </row>
    <row r="25" spans="1:38">
      <c r="A25">
        <v>1.8683655577347566E+18</v>
      </c>
      <c r="B25" t="s">
        <v>1280</v>
      </c>
      <c r="C25" t="s">
        <v>1281</v>
      </c>
      <c r="D25" t="s">
        <v>4372</v>
      </c>
      <c r="E25" t="s">
        <v>4373</v>
      </c>
      <c r="F25" t="s">
        <v>29</v>
      </c>
      <c r="G25" t="s">
        <v>4374</v>
      </c>
      <c r="H25" t="s">
        <v>29</v>
      </c>
      <c r="I25">
        <v>346</v>
      </c>
      <c r="J25">
        <v>4113</v>
      </c>
      <c r="K25">
        <v>24850</v>
      </c>
      <c r="L25">
        <v>464062</v>
      </c>
      <c r="M25" t="s">
        <v>52</v>
      </c>
      <c r="N25" t="s">
        <v>1286</v>
      </c>
      <c r="O25">
        <v>38439066</v>
      </c>
      <c r="P25" t="s">
        <v>1287</v>
      </c>
      <c r="Q25">
        <v>92455</v>
      </c>
      <c r="R25" t="s">
        <v>1288</v>
      </c>
      <c r="S25">
        <v>145</v>
      </c>
      <c r="T25" t="b">
        <v>0</v>
      </c>
      <c r="U25">
        <v>206</v>
      </c>
      <c r="V25">
        <v>556</v>
      </c>
      <c r="W25" t="s">
        <v>35</v>
      </c>
      <c r="X25" t="s">
        <v>29</v>
      </c>
      <c r="Y25" t="s">
        <v>4375</v>
      </c>
      <c r="Z25" t="s">
        <v>37</v>
      </c>
      <c r="AA25">
        <f>TwitterClean[[#This Row],[likes]]+TwitterClean[[#This Row],[replies]]+TwitterClean[[#This Row],[reposts]]+TwitterClean[[#This Row],[quotes]]+TwitterClean[[#This Row],[bookmarks]]</f>
        <v>30071</v>
      </c>
      <c r="AB25" s="1">
        <f>TwitterClean[[#This Row],[Total_Engagements]]/TwitterClean[[#This Row],[views]]</f>
        <v>6.4799531097137889E-2</v>
      </c>
      <c r="AC25" s="3">
        <f>DATEVALUE(MID(TwitterClean[[#This Row],[date_posted]],2,10))</f>
        <v>45641</v>
      </c>
      <c r="AD25">
        <f>TIMEVALUE(MID(TwitterClean[[#This Row],[date_posted]],13,8))</f>
        <v>0.77819444444444441</v>
      </c>
      <c r="AE25" s="3" t="str">
        <f>TEXT(TwitterClean[[#This Row],[Post_Date]],"dddd")</f>
        <v>Sunday</v>
      </c>
      <c r="AF25">
        <f>HOUR(TwitterClean[[#This Row],[Post_Time]])</f>
        <v>18</v>
      </c>
      <c r="AG25" t="str">
        <f>IF(TwitterClean[[#This Row],[videos]]="Null","No","Yes")</f>
        <v>Yes</v>
      </c>
      <c r="AH25" t="str">
        <f>IF(TwitterClean[[#This Row],[photos]]="null","No","Yes")</f>
        <v>No</v>
      </c>
      <c r="AI25" t="str">
        <f>IF(TwitterClean[[#This Row],[hashtags]]="null","No","Yes")</f>
        <v>Yes</v>
      </c>
      <c r="AJ25" t="str">
        <f>IF(TwitterClean[[#This Row],[external_url]]="null","Yes","No")</f>
        <v>No</v>
      </c>
      <c r="AK25">
        <f>LEN(TwitterClean[[#This Row],[description]])</f>
        <v>21</v>
      </c>
      <c r="AL25" t="str">
        <f>IF(TwitterClean[[#This Row],[followers]]&lt;100000,"&lt;100K",IF(TwitterClean[[#This Row],[followers]]&lt;1000000,"100K-1M",IF(TwitterClean[[#This Row],[followers]]&lt;10000000,"1M-10M","10M+")))</f>
        <v>10M+</v>
      </c>
    </row>
    <row r="26" spans="1:38">
      <c r="A26">
        <v>1.8683625168011512E+18</v>
      </c>
      <c r="B26" t="s">
        <v>600</v>
      </c>
      <c r="C26" t="s">
        <v>601</v>
      </c>
      <c r="D26" t="s">
        <v>1068</v>
      </c>
      <c r="E26" t="s">
        <v>1069</v>
      </c>
      <c r="F26" t="s">
        <v>1070</v>
      </c>
      <c r="G26" t="s">
        <v>1071</v>
      </c>
      <c r="H26" t="s">
        <v>29</v>
      </c>
      <c r="I26">
        <v>1</v>
      </c>
      <c r="J26">
        <v>17</v>
      </c>
      <c r="K26">
        <v>116</v>
      </c>
      <c r="L26">
        <v>2101</v>
      </c>
      <c r="M26" t="s">
        <v>52</v>
      </c>
      <c r="N26" t="s">
        <v>1072</v>
      </c>
      <c r="O26">
        <v>12060</v>
      </c>
      <c r="P26" t="s">
        <v>607</v>
      </c>
      <c r="Q26">
        <v>2422</v>
      </c>
      <c r="R26" t="s">
        <v>608</v>
      </c>
      <c r="S26">
        <v>81</v>
      </c>
      <c r="T26" t="b">
        <v>0</v>
      </c>
      <c r="U26">
        <v>1</v>
      </c>
      <c r="V26">
        <v>1</v>
      </c>
      <c r="W26" t="s">
        <v>35</v>
      </c>
      <c r="X26" t="s">
        <v>29</v>
      </c>
      <c r="Y26" t="s">
        <v>29</v>
      </c>
      <c r="Z26" t="s">
        <v>37</v>
      </c>
      <c r="AA26">
        <f>TwitterClean[[#This Row],[likes]]+TwitterClean[[#This Row],[replies]]+TwitterClean[[#This Row],[reposts]]+TwitterClean[[#This Row],[quotes]]+TwitterClean[[#This Row],[bookmarks]]</f>
        <v>136</v>
      </c>
      <c r="AB26" s="1">
        <f>TwitterClean[[#This Row],[Total_Engagements]]/TwitterClean[[#This Row],[views]]</f>
        <v>6.4731080437886723E-2</v>
      </c>
      <c r="AC26" s="3">
        <f>DATEVALUE(MID(TwitterClean[[#This Row],[date_posted]],2,10))</f>
        <v>45641</v>
      </c>
      <c r="AD26">
        <f>TIMEVALUE(MID(TwitterClean[[#This Row],[date_posted]],13,8))</f>
        <v>0.76980324074074069</v>
      </c>
      <c r="AE26" s="3" t="str">
        <f>TEXT(TwitterClean[[#This Row],[Post_Date]],"dddd")</f>
        <v>Sunday</v>
      </c>
      <c r="AF26">
        <f>HOUR(TwitterClean[[#This Row],[Post_Time]])</f>
        <v>18</v>
      </c>
      <c r="AG26" t="str">
        <f>IF(TwitterClean[[#This Row],[videos]]="Null","No","Yes")</f>
        <v>No</v>
      </c>
      <c r="AH26" t="str">
        <f>IF(TwitterClean[[#This Row],[photos]]="null","No","Yes")</f>
        <v>Yes</v>
      </c>
      <c r="AI26" t="str">
        <f>IF(TwitterClean[[#This Row],[hashtags]]="null","No","Yes")</f>
        <v>Yes</v>
      </c>
      <c r="AJ26" t="str">
        <f>IF(TwitterClean[[#This Row],[external_url]]="null","Yes","No")</f>
        <v>No</v>
      </c>
      <c r="AK26">
        <f>LEN(TwitterClean[[#This Row],[description]])</f>
        <v>294</v>
      </c>
      <c r="AL26" t="str">
        <f>IF(TwitterClean[[#This Row],[followers]]&lt;100000,"&lt;100K",IF(TwitterClean[[#This Row],[followers]]&lt;1000000,"100K-1M",IF(TwitterClean[[#This Row],[followers]]&lt;10000000,"1M-10M","10M+")))</f>
        <v>&lt;100K</v>
      </c>
    </row>
    <row r="27" spans="1:38">
      <c r="A27">
        <v>1.8683638081435077E+18</v>
      </c>
      <c r="B27" t="s">
        <v>1280</v>
      </c>
      <c r="C27" t="s">
        <v>1281</v>
      </c>
      <c r="D27" t="s">
        <v>1481</v>
      </c>
      <c r="E27" t="s">
        <v>1482</v>
      </c>
      <c r="F27" t="s">
        <v>1483</v>
      </c>
      <c r="G27" t="s">
        <v>1484</v>
      </c>
      <c r="H27" t="s">
        <v>29</v>
      </c>
      <c r="I27">
        <v>915</v>
      </c>
      <c r="J27">
        <v>10869</v>
      </c>
      <c r="K27">
        <v>65288</v>
      </c>
      <c r="L27">
        <v>1268628</v>
      </c>
      <c r="M27" t="s">
        <v>52</v>
      </c>
      <c r="N27" t="s">
        <v>1286</v>
      </c>
      <c r="O27">
        <v>38439077</v>
      </c>
      <c r="P27" t="s">
        <v>1287</v>
      </c>
      <c r="Q27">
        <v>92455</v>
      </c>
      <c r="R27" t="s">
        <v>1288</v>
      </c>
      <c r="S27">
        <v>145</v>
      </c>
      <c r="T27" t="b">
        <v>0</v>
      </c>
      <c r="U27">
        <v>720</v>
      </c>
      <c r="V27">
        <v>465</v>
      </c>
      <c r="W27" t="s">
        <v>35</v>
      </c>
      <c r="X27" t="s">
        <v>29</v>
      </c>
      <c r="Y27" t="s">
        <v>29</v>
      </c>
      <c r="Z27" t="s">
        <v>37</v>
      </c>
      <c r="AA27">
        <f>TwitterClean[[#This Row],[likes]]+TwitterClean[[#This Row],[replies]]+TwitterClean[[#This Row],[reposts]]+TwitterClean[[#This Row],[quotes]]+TwitterClean[[#This Row],[bookmarks]]</f>
        <v>78257</v>
      </c>
      <c r="AB27" s="1">
        <f>TwitterClean[[#This Row],[Total_Engagements]]/TwitterClean[[#This Row],[views]]</f>
        <v>6.1686325699889959E-2</v>
      </c>
      <c r="AC27" s="3">
        <f>DATEVALUE(MID(TwitterClean[[#This Row],[date_posted]],2,10))</f>
        <v>45641</v>
      </c>
      <c r="AD27">
        <f>TIMEVALUE(MID(TwitterClean[[#This Row],[date_posted]],13,8))</f>
        <v>0.77336805555555554</v>
      </c>
      <c r="AE27" s="3" t="str">
        <f>TEXT(TwitterClean[[#This Row],[Post_Date]],"dddd")</f>
        <v>Sunday</v>
      </c>
      <c r="AF27">
        <f>HOUR(TwitterClean[[#This Row],[Post_Time]])</f>
        <v>18</v>
      </c>
      <c r="AG27" t="str">
        <f>IF(TwitterClean[[#This Row],[videos]]="Null","No","Yes")</f>
        <v>No</v>
      </c>
      <c r="AH27" t="str">
        <f>IF(TwitterClean[[#This Row],[photos]]="null","No","Yes")</f>
        <v>Yes</v>
      </c>
      <c r="AI27" t="str">
        <f>IF(TwitterClean[[#This Row],[hashtags]]="null","No","Yes")</f>
        <v>Yes</v>
      </c>
      <c r="AJ27" t="str">
        <f>IF(TwitterClean[[#This Row],[external_url]]="null","Yes","No")</f>
        <v>No</v>
      </c>
      <c r="AK27">
        <f>LEN(TwitterClean[[#This Row],[description]])</f>
        <v>35</v>
      </c>
      <c r="AL27" t="str">
        <f>IF(TwitterClean[[#This Row],[followers]]&lt;100000,"&lt;100K",IF(TwitterClean[[#This Row],[followers]]&lt;1000000,"100K-1M",IF(TwitterClean[[#This Row],[followers]]&lt;10000000,"1M-10M","10M+")))</f>
        <v>10M+</v>
      </c>
    </row>
    <row r="28" spans="1:38">
      <c r="A28">
        <v>1.868421338333078E+18</v>
      </c>
      <c r="B28" t="s">
        <v>46</v>
      </c>
      <c r="C28" t="s">
        <v>47</v>
      </c>
      <c r="D28" t="s">
        <v>125</v>
      </c>
      <c r="E28" t="s">
        <v>126</v>
      </c>
      <c r="F28" t="s">
        <v>127</v>
      </c>
      <c r="G28" t="s">
        <v>128</v>
      </c>
      <c r="H28" t="s">
        <v>29</v>
      </c>
      <c r="I28">
        <v>21</v>
      </c>
      <c r="J28">
        <v>189</v>
      </c>
      <c r="K28">
        <v>2737</v>
      </c>
      <c r="L28">
        <v>48418</v>
      </c>
      <c r="M28" t="s">
        <v>52</v>
      </c>
      <c r="N28" t="s">
        <v>129</v>
      </c>
      <c r="O28">
        <v>8293192</v>
      </c>
      <c r="P28" t="s">
        <v>54</v>
      </c>
      <c r="Q28">
        <v>456734</v>
      </c>
      <c r="R28" t="s">
        <v>55</v>
      </c>
      <c r="S28">
        <v>859</v>
      </c>
      <c r="T28" t="b">
        <v>0</v>
      </c>
      <c r="U28">
        <v>10</v>
      </c>
      <c r="V28">
        <v>21</v>
      </c>
      <c r="W28" t="s">
        <v>35</v>
      </c>
      <c r="X28" t="s">
        <v>29</v>
      </c>
      <c r="Y28" t="s">
        <v>29</v>
      </c>
      <c r="Z28" t="s">
        <v>37</v>
      </c>
      <c r="AA28">
        <f>TwitterClean[[#This Row],[likes]]+TwitterClean[[#This Row],[replies]]+TwitterClean[[#This Row],[reposts]]+TwitterClean[[#This Row],[quotes]]+TwitterClean[[#This Row],[bookmarks]]</f>
        <v>2978</v>
      </c>
      <c r="AB28" s="1">
        <f>TwitterClean[[#This Row],[Total_Engagements]]/TwitterClean[[#This Row],[views]]</f>
        <v>6.1506051468462143E-2</v>
      </c>
      <c r="AC28" s="3">
        <f>DATEVALUE(MID(TwitterClean[[#This Row],[date_posted]],2,10))</f>
        <v>45641</v>
      </c>
      <c r="AD28">
        <f>TIMEVALUE(MID(TwitterClean[[#This Row],[date_posted]],13,8))</f>
        <v>0.9321180555555556</v>
      </c>
      <c r="AE28" s="3" t="str">
        <f>TEXT(TwitterClean[[#This Row],[Post_Date]],"dddd")</f>
        <v>Sunday</v>
      </c>
      <c r="AF28">
        <f>HOUR(TwitterClean[[#This Row],[Post_Time]])</f>
        <v>22</v>
      </c>
      <c r="AG28" t="str">
        <f>IF(TwitterClean[[#This Row],[videos]]="Null","No","Yes")</f>
        <v>No</v>
      </c>
      <c r="AH28" t="str">
        <f>IF(TwitterClean[[#This Row],[photos]]="null","No","Yes")</f>
        <v>Yes</v>
      </c>
      <c r="AI28" t="str">
        <f>IF(TwitterClean[[#This Row],[hashtags]]="null","No","Yes")</f>
        <v>Yes</v>
      </c>
      <c r="AJ28" t="str">
        <f>IF(TwitterClean[[#This Row],[external_url]]="null","Yes","No")</f>
        <v>No</v>
      </c>
      <c r="AK28">
        <f>LEN(TwitterClean[[#This Row],[description]])</f>
        <v>237</v>
      </c>
      <c r="AL28" t="str">
        <f>IF(TwitterClean[[#This Row],[followers]]&lt;100000,"&lt;100K",IF(TwitterClean[[#This Row],[followers]]&lt;1000000,"100K-1M",IF(TwitterClean[[#This Row],[followers]]&lt;10000000,"1M-10M","10M+")))</f>
        <v>1M-10M</v>
      </c>
    </row>
    <row r="29" spans="1:38">
      <c r="A29">
        <v>1.8684006319179986E+18</v>
      </c>
      <c r="B29" t="s">
        <v>275</v>
      </c>
      <c r="C29" t="s">
        <v>276</v>
      </c>
      <c r="D29" t="s">
        <v>459</v>
      </c>
      <c r="E29" t="s">
        <v>460</v>
      </c>
      <c r="F29" t="s">
        <v>461</v>
      </c>
      <c r="G29" t="s">
        <v>462</v>
      </c>
      <c r="H29" t="s">
        <v>463</v>
      </c>
      <c r="I29">
        <v>48</v>
      </c>
      <c r="J29">
        <v>238</v>
      </c>
      <c r="K29">
        <v>4148</v>
      </c>
      <c r="L29">
        <v>74303</v>
      </c>
      <c r="M29" t="s">
        <v>52</v>
      </c>
      <c r="N29" t="s">
        <v>29</v>
      </c>
      <c r="O29">
        <v>8539601</v>
      </c>
      <c r="P29" t="s">
        <v>282</v>
      </c>
      <c r="Q29">
        <v>75535</v>
      </c>
      <c r="R29" t="s">
        <v>283</v>
      </c>
      <c r="S29">
        <v>117</v>
      </c>
      <c r="T29" t="b">
        <v>0</v>
      </c>
      <c r="U29">
        <v>28</v>
      </c>
      <c r="V29">
        <v>54</v>
      </c>
      <c r="W29" t="s">
        <v>35</v>
      </c>
      <c r="X29" t="s">
        <v>29</v>
      </c>
      <c r="Y29" t="s">
        <v>29</v>
      </c>
      <c r="Z29" t="s">
        <v>37</v>
      </c>
      <c r="AA29">
        <f>TwitterClean[[#This Row],[likes]]+TwitterClean[[#This Row],[replies]]+TwitterClean[[#This Row],[reposts]]+TwitterClean[[#This Row],[quotes]]+TwitterClean[[#This Row],[bookmarks]]</f>
        <v>4516</v>
      </c>
      <c r="AB29" s="1">
        <f>TwitterClean[[#This Row],[Total_Engagements]]/TwitterClean[[#This Row],[views]]</f>
        <v>6.077816508081773E-2</v>
      </c>
      <c r="AC29" s="3">
        <f>DATEVALUE(MID(TwitterClean[[#This Row],[date_posted]],2,10))</f>
        <v>45641</v>
      </c>
      <c r="AD29">
        <f>TIMEVALUE(MID(TwitterClean[[#This Row],[date_posted]],13,8))</f>
        <v>0.87497685185185181</v>
      </c>
      <c r="AE29" s="3" t="str">
        <f>TEXT(TwitterClean[[#This Row],[Post_Date]],"dddd")</f>
        <v>Sunday</v>
      </c>
      <c r="AF29">
        <f>HOUR(TwitterClean[[#This Row],[Post_Time]])</f>
        <v>20</v>
      </c>
      <c r="AG29" t="str">
        <f>IF(TwitterClean[[#This Row],[videos]]="Null","No","Yes")</f>
        <v>No</v>
      </c>
      <c r="AH29" t="str">
        <f>IF(TwitterClean[[#This Row],[photos]]="null","No","Yes")</f>
        <v>Yes</v>
      </c>
      <c r="AI29" t="str">
        <f>IF(TwitterClean[[#This Row],[hashtags]]="null","No","Yes")</f>
        <v>No</v>
      </c>
      <c r="AJ29" t="str">
        <f>IF(TwitterClean[[#This Row],[external_url]]="null","Yes","No")</f>
        <v>No</v>
      </c>
      <c r="AK29">
        <f>LEN(TwitterClean[[#This Row],[description]])</f>
        <v>14</v>
      </c>
      <c r="AL29" t="str">
        <f>IF(TwitterClean[[#This Row],[followers]]&lt;100000,"&lt;100K",IF(TwitterClean[[#This Row],[followers]]&lt;1000000,"100K-1M",IF(TwitterClean[[#This Row],[followers]]&lt;10000000,"1M-10M","10M+")))</f>
        <v>1M-10M</v>
      </c>
    </row>
    <row r="30" spans="1:38">
      <c r="A30">
        <v>1.8683409971486193E+18</v>
      </c>
      <c r="B30" t="s">
        <v>1363</v>
      </c>
      <c r="C30" t="s">
        <v>1364</v>
      </c>
      <c r="D30" t="s">
        <v>1439</v>
      </c>
      <c r="E30" t="s">
        <v>1440</v>
      </c>
      <c r="F30" t="s">
        <v>29</v>
      </c>
      <c r="G30" t="s">
        <v>1441</v>
      </c>
      <c r="H30" t="s">
        <v>29</v>
      </c>
      <c r="I30">
        <v>9</v>
      </c>
      <c r="J30">
        <v>84</v>
      </c>
      <c r="K30">
        <v>987</v>
      </c>
      <c r="L30">
        <v>18011</v>
      </c>
      <c r="M30" t="s">
        <v>1442</v>
      </c>
      <c r="N30" t="s">
        <v>1369</v>
      </c>
      <c r="O30">
        <v>462263</v>
      </c>
      <c r="P30" t="s">
        <v>1370</v>
      </c>
      <c r="Q30">
        <v>16271</v>
      </c>
      <c r="R30" t="s">
        <v>1371</v>
      </c>
      <c r="S30">
        <v>38</v>
      </c>
      <c r="T30" t="b">
        <v>0</v>
      </c>
      <c r="U30">
        <v>8</v>
      </c>
      <c r="V30">
        <v>2</v>
      </c>
      <c r="W30" t="s">
        <v>35</v>
      </c>
      <c r="X30" t="s">
        <v>29</v>
      </c>
      <c r="Y30" t="s">
        <v>29</v>
      </c>
      <c r="Z30" t="s">
        <v>37</v>
      </c>
      <c r="AA30">
        <f>TwitterClean[[#This Row],[likes]]+TwitterClean[[#This Row],[replies]]+TwitterClean[[#This Row],[reposts]]+TwitterClean[[#This Row],[quotes]]+TwitterClean[[#This Row],[bookmarks]]</f>
        <v>1090</v>
      </c>
      <c r="AB30" s="1">
        <f>TwitterClean[[#This Row],[Total_Engagements]]/TwitterClean[[#This Row],[views]]</f>
        <v>6.0518571983787683E-2</v>
      </c>
      <c r="AC30" s="3">
        <f>DATEVALUE(MID(TwitterClean[[#This Row],[date_posted]],2,10))</f>
        <v>45641</v>
      </c>
      <c r="AD30">
        <f>TIMEVALUE(MID(TwitterClean[[#This Row],[date_posted]],13,8))</f>
        <v>0.7104166666666667</v>
      </c>
      <c r="AE30" s="3" t="str">
        <f>TEXT(TwitterClean[[#This Row],[Post_Date]],"dddd")</f>
        <v>Sunday</v>
      </c>
      <c r="AF30">
        <f>HOUR(TwitterClean[[#This Row],[Post_Time]])</f>
        <v>17</v>
      </c>
      <c r="AG30" t="str">
        <f>IF(TwitterClean[[#This Row],[videos]]="Null","No","Yes")</f>
        <v>No</v>
      </c>
      <c r="AH30" t="str">
        <f>IF(TwitterClean[[#This Row],[photos]]="null","No","Yes")</f>
        <v>No</v>
      </c>
      <c r="AI30" t="str">
        <f>IF(TwitterClean[[#This Row],[hashtags]]="null","No","Yes")</f>
        <v>Yes</v>
      </c>
      <c r="AJ30" t="str">
        <f>IF(TwitterClean[[#This Row],[external_url]]="null","Yes","No")</f>
        <v>No</v>
      </c>
      <c r="AK30">
        <f>LEN(TwitterClean[[#This Row],[description]])</f>
        <v>38</v>
      </c>
      <c r="AL30" t="str">
        <f>IF(TwitterClean[[#This Row],[followers]]&lt;100000,"&lt;100K",IF(TwitterClean[[#This Row],[followers]]&lt;1000000,"100K-1M",IF(TwitterClean[[#This Row],[followers]]&lt;10000000,"1M-10M","10M+")))</f>
        <v>100K-1M</v>
      </c>
    </row>
    <row r="31" spans="1:38">
      <c r="A31">
        <v>1.8683179074130371E+18</v>
      </c>
      <c r="B31" t="s">
        <v>1646</v>
      </c>
      <c r="C31" t="s">
        <v>1647</v>
      </c>
      <c r="D31" t="s">
        <v>1819</v>
      </c>
      <c r="E31" t="s">
        <v>1820</v>
      </c>
      <c r="F31" t="s">
        <v>1821</v>
      </c>
      <c r="G31" t="s">
        <v>1822</v>
      </c>
      <c r="H31" t="s">
        <v>29</v>
      </c>
      <c r="I31">
        <v>9</v>
      </c>
      <c r="J31">
        <v>39</v>
      </c>
      <c r="K31">
        <v>914</v>
      </c>
      <c r="L31">
        <v>16048</v>
      </c>
      <c r="M31" t="s">
        <v>52</v>
      </c>
      <c r="N31" t="s">
        <v>1823</v>
      </c>
      <c r="O31">
        <v>3768924</v>
      </c>
      <c r="P31" t="s">
        <v>1653</v>
      </c>
      <c r="Q31">
        <v>897934</v>
      </c>
      <c r="R31" t="s">
        <v>1654</v>
      </c>
      <c r="S31">
        <v>28</v>
      </c>
      <c r="T31" t="b">
        <v>0</v>
      </c>
      <c r="U31">
        <v>1</v>
      </c>
      <c r="V31">
        <v>2</v>
      </c>
      <c r="W31" t="s">
        <v>35</v>
      </c>
      <c r="X31" t="s">
        <v>29</v>
      </c>
      <c r="Y31" t="s">
        <v>29</v>
      </c>
      <c r="Z31" t="s">
        <v>37</v>
      </c>
      <c r="AA31">
        <f>TwitterClean[[#This Row],[likes]]+TwitterClean[[#This Row],[replies]]+TwitterClean[[#This Row],[reposts]]+TwitterClean[[#This Row],[quotes]]+TwitterClean[[#This Row],[bookmarks]]</f>
        <v>965</v>
      </c>
      <c r="AB31" s="1">
        <f>TwitterClean[[#This Row],[Total_Engagements]]/TwitterClean[[#This Row],[views]]</f>
        <v>6.0132103688933201E-2</v>
      </c>
      <c r="AC31" s="3">
        <f>DATEVALUE(MID(TwitterClean[[#This Row],[date_posted]],2,10))</f>
        <v>45641</v>
      </c>
      <c r="AD31">
        <f>TIMEVALUE(MID(TwitterClean[[#This Row],[date_posted]],13,8))</f>
        <v>0.64670138888888884</v>
      </c>
      <c r="AE31" s="3" t="str">
        <f>TEXT(TwitterClean[[#This Row],[Post_Date]],"dddd")</f>
        <v>Sunday</v>
      </c>
      <c r="AF31">
        <f>HOUR(TwitterClean[[#This Row],[Post_Time]])</f>
        <v>15</v>
      </c>
      <c r="AG31" t="str">
        <f>IF(TwitterClean[[#This Row],[videos]]="Null","No","Yes")</f>
        <v>No</v>
      </c>
      <c r="AH31" t="str">
        <f>IF(TwitterClean[[#This Row],[photos]]="null","No","Yes")</f>
        <v>Yes</v>
      </c>
      <c r="AI31" t="str">
        <f>IF(TwitterClean[[#This Row],[hashtags]]="null","No","Yes")</f>
        <v>Yes</v>
      </c>
      <c r="AJ31" t="str">
        <f>IF(TwitterClean[[#This Row],[external_url]]="null","Yes","No")</f>
        <v>No</v>
      </c>
      <c r="AK31">
        <f>LEN(TwitterClean[[#This Row],[description]])</f>
        <v>86</v>
      </c>
      <c r="AL31" t="str">
        <f>IF(TwitterClean[[#This Row],[followers]]&lt;100000,"&lt;100K",IF(TwitterClean[[#This Row],[followers]]&lt;1000000,"100K-1M",IF(TwitterClean[[#This Row],[followers]]&lt;10000000,"1M-10M","10M+")))</f>
        <v>1M-10M</v>
      </c>
    </row>
    <row r="32" spans="1:38">
      <c r="A32">
        <v>1.868451827131298E+18</v>
      </c>
      <c r="B32" t="s">
        <v>1862</v>
      </c>
      <c r="C32" t="s">
        <v>1863</v>
      </c>
      <c r="D32" t="s">
        <v>1941</v>
      </c>
      <c r="E32" t="s">
        <v>1942</v>
      </c>
      <c r="F32" t="s">
        <v>1943</v>
      </c>
      <c r="G32" t="s">
        <v>1944</v>
      </c>
      <c r="H32" t="s">
        <v>1874</v>
      </c>
      <c r="I32">
        <v>30</v>
      </c>
      <c r="J32">
        <v>261</v>
      </c>
      <c r="K32">
        <v>5324</v>
      </c>
      <c r="L32">
        <v>95358</v>
      </c>
      <c r="M32" t="s">
        <v>52</v>
      </c>
      <c r="N32" t="s">
        <v>1867</v>
      </c>
      <c r="O32">
        <v>13492372</v>
      </c>
      <c r="P32" t="s">
        <v>1868</v>
      </c>
      <c r="Q32">
        <v>314515</v>
      </c>
      <c r="R32" t="s">
        <v>1869</v>
      </c>
      <c r="S32">
        <v>708</v>
      </c>
      <c r="T32" t="b">
        <v>0</v>
      </c>
      <c r="U32">
        <v>15</v>
      </c>
      <c r="V32">
        <v>66</v>
      </c>
      <c r="W32" t="s">
        <v>35</v>
      </c>
      <c r="X32" t="s">
        <v>29</v>
      </c>
      <c r="Y32" t="s">
        <v>29</v>
      </c>
      <c r="Z32" t="s">
        <v>1945</v>
      </c>
      <c r="AA32">
        <f>TwitterClean[[#This Row],[likes]]+TwitterClean[[#This Row],[replies]]+TwitterClean[[#This Row],[reposts]]+TwitterClean[[#This Row],[quotes]]+TwitterClean[[#This Row],[bookmarks]]</f>
        <v>5696</v>
      </c>
      <c r="AB32" s="1">
        <f>TwitterClean[[#This Row],[Total_Engagements]]/TwitterClean[[#This Row],[views]]</f>
        <v>5.9732796409320665E-2</v>
      </c>
      <c r="AC32" s="3">
        <f>DATEVALUE(MID(TwitterClean[[#This Row],[date_posted]],2,10))</f>
        <v>45642</v>
      </c>
      <c r="AD32">
        <f>TIMEVALUE(MID(TwitterClean[[#This Row],[date_posted]],13,8))</f>
        <v>1.6250000000000001E-2</v>
      </c>
      <c r="AE32" s="3" t="str">
        <f>TEXT(TwitterClean[[#This Row],[Post_Date]],"dddd")</f>
        <v>Monday</v>
      </c>
      <c r="AF32">
        <f>HOUR(TwitterClean[[#This Row],[Post_Time]])</f>
        <v>0</v>
      </c>
      <c r="AG32" t="str">
        <f>IF(TwitterClean[[#This Row],[videos]]="Null","No","Yes")</f>
        <v>No</v>
      </c>
      <c r="AH32" t="str">
        <f>IF(TwitterClean[[#This Row],[photos]]="null","No","Yes")</f>
        <v>Yes</v>
      </c>
      <c r="AI32" t="str">
        <f>IF(TwitterClean[[#This Row],[hashtags]]="null","No","Yes")</f>
        <v>Yes</v>
      </c>
      <c r="AJ32" t="str">
        <f>IF(TwitterClean[[#This Row],[external_url]]="null","Yes","No")</f>
        <v>No</v>
      </c>
      <c r="AK32">
        <f>LEN(TwitterClean[[#This Row],[description]])</f>
        <v>85</v>
      </c>
      <c r="AL32" t="str">
        <f>IF(TwitterClean[[#This Row],[followers]]&lt;100000,"&lt;100K",IF(TwitterClean[[#This Row],[followers]]&lt;1000000,"100K-1M",IF(TwitterClean[[#This Row],[followers]]&lt;10000000,"1M-10M","10M+")))</f>
        <v>10M+</v>
      </c>
    </row>
    <row r="33" spans="1:38">
      <c r="A33">
        <v>1.8682841949857674E+18</v>
      </c>
      <c r="B33" t="s">
        <v>1363</v>
      </c>
      <c r="C33" t="s">
        <v>1364</v>
      </c>
      <c r="D33" t="s">
        <v>1594</v>
      </c>
      <c r="E33" t="s">
        <v>1595</v>
      </c>
      <c r="F33" t="s">
        <v>1596</v>
      </c>
      <c r="G33" t="s">
        <v>1597</v>
      </c>
      <c r="H33" t="s">
        <v>29</v>
      </c>
      <c r="I33">
        <v>16</v>
      </c>
      <c r="J33">
        <v>148</v>
      </c>
      <c r="K33">
        <v>2046</v>
      </c>
      <c r="L33">
        <v>38686</v>
      </c>
      <c r="M33" t="s">
        <v>52</v>
      </c>
      <c r="N33" t="s">
        <v>1369</v>
      </c>
      <c r="O33">
        <v>462263</v>
      </c>
      <c r="P33" t="s">
        <v>1370</v>
      </c>
      <c r="Q33">
        <v>16271</v>
      </c>
      <c r="R33" t="s">
        <v>1371</v>
      </c>
      <c r="S33">
        <v>38</v>
      </c>
      <c r="T33" t="b">
        <v>0</v>
      </c>
      <c r="U33">
        <v>35</v>
      </c>
      <c r="V33">
        <v>33</v>
      </c>
      <c r="W33" t="s">
        <v>35</v>
      </c>
      <c r="X33" t="s">
        <v>29</v>
      </c>
      <c r="Y33" t="s">
        <v>29</v>
      </c>
      <c r="Z33" t="s">
        <v>37</v>
      </c>
      <c r="AA33">
        <f>TwitterClean[[#This Row],[likes]]+TwitterClean[[#This Row],[replies]]+TwitterClean[[#This Row],[reposts]]+TwitterClean[[#This Row],[quotes]]+TwitterClean[[#This Row],[bookmarks]]</f>
        <v>2278</v>
      </c>
      <c r="AB33" s="1">
        <f>TwitterClean[[#This Row],[Total_Engagements]]/TwitterClean[[#This Row],[views]]</f>
        <v>5.8884350927984282E-2</v>
      </c>
      <c r="AC33" s="3">
        <f>DATEVALUE(MID(TwitterClean[[#This Row],[date_posted]],2,10))</f>
        <v>45641</v>
      </c>
      <c r="AD33">
        <f>TIMEVALUE(MID(TwitterClean[[#This Row],[date_posted]],13,8))</f>
        <v>0.55366898148148147</v>
      </c>
      <c r="AE33" s="3" t="str">
        <f>TEXT(TwitterClean[[#This Row],[Post_Date]],"dddd")</f>
        <v>Sunday</v>
      </c>
      <c r="AF33">
        <f>HOUR(TwitterClean[[#This Row],[Post_Time]])</f>
        <v>13</v>
      </c>
      <c r="AG33" t="str">
        <f>IF(TwitterClean[[#This Row],[videos]]="Null","No","Yes")</f>
        <v>No</v>
      </c>
      <c r="AH33" t="str">
        <f>IF(TwitterClean[[#This Row],[photos]]="null","No","Yes")</f>
        <v>Yes</v>
      </c>
      <c r="AI33" t="str">
        <f>IF(TwitterClean[[#This Row],[hashtags]]="null","No","Yes")</f>
        <v>Yes</v>
      </c>
      <c r="AJ33" t="str">
        <f>IF(TwitterClean[[#This Row],[external_url]]="null","Yes","No")</f>
        <v>No</v>
      </c>
      <c r="AK33">
        <f>LEN(TwitterClean[[#This Row],[description]])</f>
        <v>21</v>
      </c>
      <c r="AL33" t="str">
        <f>IF(TwitterClean[[#This Row],[followers]]&lt;100000,"&lt;100K",IF(TwitterClean[[#This Row],[followers]]&lt;1000000,"100K-1M",IF(TwitterClean[[#This Row],[followers]]&lt;10000000,"1M-10M","10M+")))</f>
        <v>100K-1M</v>
      </c>
    </row>
    <row r="34" spans="1:38">
      <c r="A34">
        <v>1.8683763677435412E+18</v>
      </c>
      <c r="B34" t="s">
        <v>5032</v>
      </c>
      <c r="C34" t="s">
        <v>5033</v>
      </c>
      <c r="D34" t="s">
        <v>5034</v>
      </c>
      <c r="E34" t="s">
        <v>5035</v>
      </c>
      <c r="F34" t="s">
        <v>5036</v>
      </c>
      <c r="G34" t="s">
        <v>5037</v>
      </c>
      <c r="H34" t="s">
        <v>5038</v>
      </c>
      <c r="I34">
        <v>5</v>
      </c>
      <c r="J34">
        <v>32</v>
      </c>
      <c r="K34">
        <v>426</v>
      </c>
      <c r="L34">
        <v>7928</v>
      </c>
      <c r="M34" t="s">
        <v>52</v>
      </c>
      <c r="N34" t="s">
        <v>5039</v>
      </c>
      <c r="O34">
        <v>247129</v>
      </c>
      <c r="P34" t="s">
        <v>5040</v>
      </c>
      <c r="Q34">
        <v>78213</v>
      </c>
      <c r="R34" t="s">
        <v>5041</v>
      </c>
      <c r="S34">
        <v>1031</v>
      </c>
      <c r="T34" t="b">
        <v>0</v>
      </c>
      <c r="U34">
        <v>1</v>
      </c>
      <c r="V34">
        <v>0</v>
      </c>
      <c r="W34" t="s">
        <v>35</v>
      </c>
      <c r="X34" t="s">
        <v>29</v>
      </c>
      <c r="Y34" t="s">
        <v>29</v>
      </c>
      <c r="Z34" t="s">
        <v>37</v>
      </c>
      <c r="AA34">
        <f>TwitterClean[[#This Row],[likes]]+TwitterClean[[#This Row],[replies]]+TwitterClean[[#This Row],[reposts]]+TwitterClean[[#This Row],[quotes]]+TwitterClean[[#This Row],[bookmarks]]</f>
        <v>464</v>
      </c>
      <c r="AB34" s="1">
        <f>TwitterClean[[#This Row],[Total_Engagements]]/TwitterClean[[#This Row],[views]]</f>
        <v>5.8526740665993948E-2</v>
      </c>
      <c r="AC34" s="3">
        <f>DATEVALUE(MID(TwitterClean[[#This Row],[date_posted]],2,10))</f>
        <v>45641</v>
      </c>
      <c r="AD34">
        <f>TIMEVALUE(MID(TwitterClean[[#This Row],[date_posted]],13,8))</f>
        <v>0.8080208333333333</v>
      </c>
      <c r="AE34" s="3" t="str">
        <f>TEXT(TwitterClean[[#This Row],[Post_Date]],"dddd")</f>
        <v>Sunday</v>
      </c>
      <c r="AF34">
        <f>HOUR(TwitterClean[[#This Row],[Post_Time]])</f>
        <v>19</v>
      </c>
      <c r="AG34" t="str">
        <f>IF(TwitterClean[[#This Row],[videos]]="Null","No","Yes")</f>
        <v>No</v>
      </c>
      <c r="AH34" t="str">
        <f>IF(TwitterClean[[#This Row],[photos]]="null","No","Yes")</f>
        <v>Yes</v>
      </c>
      <c r="AI34" t="str">
        <f>IF(TwitterClean[[#This Row],[hashtags]]="null","No","Yes")</f>
        <v>Yes</v>
      </c>
      <c r="AJ34" t="str">
        <f>IF(TwitterClean[[#This Row],[external_url]]="null","Yes","No")</f>
        <v>No</v>
      </c>
      <c r="AK34">
        <f>LEN(TwitterClean[[#This Row],[description]])</f>
        <v>155</v>
      </c>
      <c r="AL34" t="str">
        <f>IF(TwitterClean[[#This Row],[followers]]&lt;100000,"&lt;100K",IF(TwitterClean[[#This Row],[followers]]&lt;1000000,"100K-1M",IF(TwitterClean[[#This Row],[followers]]&lt;10000000,"1M-10M","10M+")))</f>
        <v>100K-1M</v>
      </c>
    </row>
    <row r="35" spans="1:38">
      <c r="A35">
        <v>1.8683759412418483E+18</v>
      </c>
      <c r="B35" t="s">
        <v>1280</v>
      </c>
      <c r="C35" t="s">
        <v>1281</v>
      </c>
      <c r="D35" t="s">
        <v>1534</v>
      </c>
      <c r="E35" t="s">
        <v>1535</v>
      </c>
      <c r="F35" t="s">
        <v>1536</v>
      </c>
      <c r="G35" t="s">
        <v>1537</v>
      </c>
      <c r="H35" t="s">
        <v>29</v>
      </c>
      <c r="I35">
        <v>274</v>
      </c>
      <c r="J35">
        <v>2496</v>
      </c>
      <c r="K35">
        <v>17768</v>
      </c>
      <c r="L35">
        <v>354623</v>
      </c>
      <c r="M35" t="s">
        <v>52</v>
      </c>
      <c r="N35" t="s">
        <v>1286</v>
      </c>
      <c r="O35">
        <v>38439079</v>
      </c>
      <c r="P35" t="s">
        <v>1287</v>
      </c>
      <c r="Q35">
        <v>92455</v>
      </c>
      <c r="R35" t="s">
        <v>1288</v>
      </c>
      <c r="S35">
        <v>145</v>
      </c>
      <c r="T35" t="b">
        <v>0</v>
      </c>
      <c r="U35">
        <v>60</v>
      </c>
      <c r="V35">
        <v>120</v>
      </c>
      <c r="W35" t="s">
        <v>35</v>
      </c>
      <c r="X35" t="s">
        <v>29</v>
      </c>
      <c r="Y35" t="s">
        <v>29</v>
      </c>
      <c r="Z35" t="s">
        <v>37</v>
      </c>
      <c r="AA35">
        <f>TwitterClean[[#This Row],[likes]]+TwitterClean[[#This Row],[replies]]+TwitterClean[[#This Row],[reposts]]+TwitterClean[[#This Row],[quotes]]+TwitterClean[[#This Row],[bookmarks]]</f>
        <v>20718</v>
      </c>
      <c r="AB35" s="1">
        <f>TwitterClean[[#This Row],[Total_Engagements]]/TwitterClean[[#This Row],[views]]</f>
        <v>5.8422606542722834E-2</v>
      </c>
      <c r="AC35" s="3">
        <f>DATEVALUE(MID(TwitterClean[[#This Row],[date_posted]],2,10))</f>
        <v>45641</v>
      </c>
      <c r="AD35">
        <f>TIMEVALUE(MID(TwitterClean[[#This Row],[date_posted]],13,8))</f>
        <v>0.80684027777777778</v>
      </c>
      <c r="AE35" s="3" t="str">
        <f>TEXT(TwitterClean[[#This Row],[Post_Date]],"dddd")</f>
        <v>Sunday</v>
      </c>
      <c r="AF35">
        <f>HOUR(TwitterClean[[#This Row],[Post_Time]])</f>
        <v>19</v>
      </c>
      <c r="AG35" t="str">
        <f>IF(TwitterClean[[#This Row],[videos]]="Null","No","Yes")</f>
        <v>No</v>
      </c>
      <c r="AH35" t="str">
        <f>IF(TwitterClean[[#This Row],[photos]]="null","No","Yes")</f>
        <v>Yes</v>
      </c>
      <c r="AI35" t="str">
        <f>IF(TwitterClean[[#This Row],[hashtags]]="null","No","Yes")</f>
        <v>Yes</v>
      </c>
      <c r="AJ35" t="str">
        <f>IF(TwitterClean[[#This Row],[external_url]]="null","Yes","No")</f>
        <v>No</v>
      </c>
      <c r="AK35">
        <f>LEN(TwitterClean[[#This Row],[description]])</f>
        <v>28</v>
      </c>
      <c r="AL35" t="str">
        <f>IF(TwitterClean[[#This Row],[followers]]&lt;100000,"&lt;100K",IF(TwitterClean[[#This Row],[followers]]&lt;1000000,"100K-1M",IF(TwitterClean[[#This Row],[followers]]&lt;10000000,"1M-10M","10M+")))</f>
        <v>10M+</v>
      </c>
    </row>
    <row r="36" spans="1:38">
      <c r="A36">
        <v>1.8683009382237719E+18</v>
      </c>
      <c r="B36" t="s">
        <v>333</v>
      </c>
      <c r="C36" t="s">
        <v>334</v>
      </c>
      <c r="D36" t="s">
        <v>636</v>
      </c>
      <c r="E36" t="s">
        <v>637</v>
      </c>
      <c r="F36" t="s">
        <v>638</v>
      </c>
      <c r="G36" t="s">
        <v>639</v>
      </c>
      <c r="H36" t="s">
        <v>489</v>
      </c>
      <c r="I36">
        <v>6</v>
      </c>
      <c r="J36">
        <v>57</v>
      </c>
      <c r="K36">
        <v>1008</v>
      </c>
      <c r="L36">
        <v>18464</v>
      </c>
      <c r="M36" t="s">
        <v>52</v>
      </c>
      <c r="N36" t="s">
        <v>340</v>
      </c>
      <c r="O36">
        <v>337839</v>
      </c>
      <c r="P36" t="s">
        <v>341</v>
      </c>
      <c r="Q36">
        <v>57638</v>
      </c>
      <c r="R36" t="s">
        <v>342</v>
      </c>
      <c r="S36">
        <v>587</v>
      </c>
      <c r="T36" t="b">
        <v>0</v>
      </c>
      <c r="U36">
        <v>0</v>
      </c>
      <c r="V36">
        <v>6</v>
      </c>
      <c r="W36" t="s">
        <v>35</v>
      </c>
      <c r="X36" t="s">
        <v>29</v>
      </c>
      <c r="Y36" t="s">
        <v>29</v>
      </c>
      <c r="Z36" t="s">
        <v>37</v>
      </c>
      <c r="AA36">
        <f>TwitterClean[[#This Row],[likes]]+TwitterClean[[#This Row],[replies]]+TwitterClean[[#This Row],[reposts]]+TwitterClean[[#This Row],[quotes]]+TwitterClean[[#This Row],[bookmarks]]</f>
        <v>1077</v>
      </c>
      <c r="AB36" s="1">
        <f>TwitterClean[[#This Row],[Total_Engagements]]/TwitterClean[[#This Row],[views]]</f>
        <v>5.8329722703639515E-2</v>
      </c>
      <c r="AC36" s="3">
        <f>DATEVALUE(MID(TwitterClean[[#This Row],[date_posted]],2,10))</f>
        <v>45641</v>
      </c>
      <c r="AD36">
        <f>TIMEVALUE(MID(TwitterClean[[#This Row],[date_posted]],13,8))</f>
        <v>0.59987268518518522</v>
      </c>
      <c r="AE36" s="3" t="str">
        <f>TEXT(TwitterClean[[#This Row],[Post_Date]],"dddd")</f>
        <v>Sunday</v>
      </c>
      <c r="AF36">
        <f>HOUR(TwitterClean[[#This Row],[Post_Time]])</f>
        <v>14</v>
      </c>
      <c r="AG36" t="str">
        <f>IF(TwitterClean[[#This Row],[videos]]="Null","No","Yes")</f>
        <v>No</v>
      </c>
      <c r="AH36" t="str">
        <f>IF(TwitterClean[[#This Row],[photos]]="null","No","Yes")</f>
        <v>Yes</v>
      </c>
      <c r="AI36" t="str">
        <f>IF(TwitterClean[[#This Row],[hashtags]]="null","No","Yes")</f>
        <v>Yes</v>
      </c>
      <c r="AJ36" t="str">
        <f>IF(TwitterClean[[#This Row],[external_url]]="null","Yes","No")</f>
        <v>No</v>
      </c>
      <c r="AK36">
        <f>LEN(TwitterClean[[#This Row],[description]])</f>
        <v>61</v>
      </c>
      <c r="AL36" t="str">
        <f>IF(TwitterClean[[#This Row],[followers]]&lt;100000,"&lt;100K",IF(TwitterClean[[#This Row],[followers]]&lt;1000000,"100K-1M",IF(TwitterClean[[#This Row],[followers]]&lt;10000000,"1M-10M","10M+")))</f>
        <v>100K-1M</v>
      </c>
    </row>
    <row r="37" spans="1:38">
      <c r="A37">
        <v>1.8683350325129385E+18</v>
      </c>
      <c r="B37" t="s">
        <v>1363</v>
      </c>
      <c r="C37" t="s">
        <v>1364</v>
      </c>
      <c r="D37" t="s">
        <v>4237</v>
      </c>
      <c r="E37" t="s">
        <v>4238</v>
      </c>
      <c r="F37" t="s">
        <v>29</v>
      </c>
      <c r="G37" t="s">
        <v>4239</v>
      </c>
      <c r="H37" t="s">
        <v>4240</v>
      </c>
      <c r="I37">
        <v>10</v>
      </c>
      <c r="J37">
        <v>62</v>
      </c>
      <c r="K37">
        <v>684</v>
      </c>
      <c r="L37">
        <v>13214</v>
      </c>
      <c r="M37" t="s">
        <v>52</v>
      </c>
      <c r="N37" t="s">
        <v>1369</v>
      </c>
      <c r="O37">
        <v>462262</v>
      </c>
      <c r="P37" t="s">
        <v>1370</v>
      </c>
      <c r="Q37">
        <v>16271</v>
      </c>
      <c r="R37" t="s">
        <v>1371</v>
      </c>
      <c r="S37">
        <v>38</v>
      </c>
      <c r="T37" t="b">
        <v>0</v>
      </c>
      <c r="U37">
        <v>3</v>
      </c>
      <c r="V37">
        <v>10</v>
      </c>
      <c r="W37" t="s">
        <v>35</v>
      </c>
      <c r="X37" t="s">
        <v>29</v>
      </c>
      <c r="Y37" t="s">
        <v>4241</v>
      </c>
      <c r="Z37" t="s">
        <v>37</v>
      </c>
      <c r="AA37">
        <f>TwitterClean[[#This Row],[likes]]+TwitterClean[[#This Row],[replies]]+TwitterClean[[#This Row],[reposts]]+TwitterClean[[#This Row],[quotes]]+TwitterClean[[#This Row],[bookmarks]]</f>
        <v>769</v>
      </c>
      <c r="AB37" s="1">
        <f>TwitterClean[[#This Row],[Total_Engagements]]/TwitterClean[[#This Row],[views]]</f>
        <v>5.8195852883305588E-2</v>
      </c>
      <c r="AC37" s="3">
        <f>DATEVALUE(MID(TwitterClean[[#This Row],[date_posted]],2,10))</f>
        <v>45641</v>
      </c>
      <c r="AD37">
        <f>TIMEVALUE(MID(TwitterClean[[#This Row],[date_posted]],13,8))</f>
        <v>0.69395833333333334</v>
      </c>
      <c r="AE37" s="3" t="str">
        <f>TEXT(TwitterClean[[#This Row],[Post_Date]],"dddd")</f>
        <v>Sunday</v>
      </c>
      <c r="AF37">
        <f>HOUR(TwitterClean[[#This Row],[Post_Time]])</f>
        <v>16</v>
      </c>
      <c r="AG37" t="str">
        <f>IF(TwitterClean[[#This Row],[videos]]="Null","No","Yes")</f>
        <v>Yes</v>
      </c>
      <c r="AH37" t="str">
        <f>IF(TwitterClean[[#This Row],[photos]]="null","No","Yes")</f>
        <v>No</v>
      </c>
      <c r="AI37" t="str">
        <f>IF(TwitterClean[[#This Row],[hashtags]]="null","No","Yes")</f>
        <v>Yes</v>
      </c>
      <c r="AJ37" t="str">
        <f>IF(TwitterClean[[#This Row],[external_url]]="null","Yes","No")</f>
        <v>No</v>
      </c>
      <c r="AK37">
        <f>LEN(TwitterClean[[#This Row],[description]])</f>
        <v>61</v>
      </c>
      <c r="AL37" t="str">
        <f>IF(TwitterClean[[#This Row],[followers]]&lt;100000,"&lt;100K",IF(TwitterClean[[#This Row],[followers]]&lt;1000000,"100K-1M",IF(TwitterClean[[#This Row],[followers]]&lt;10000000,"1M-10M","10M+")))</f>
        <v>100K-1M</v>
      </c>
    </row>
    <row r="38" spans="1:38">
      <c r="A38">
        <v>1.8684320970748974E+18</v>
      </c>
      <c r="B38" t="s">
        <v>3392</v>
      </c>
      <c r="C38" t="s">
        <v>3393</v>
      </c>
      <c r="D38" t="s">
        <v>5247</v>
      </c>
      <c r="E38" t="s">
        <v>4974</v>
      </c>
      <c r="F38" t="s">
        <v>5248</v>
      </c>
      <c r="G38" t="s">
        <v>5249</v>
      </c>
      <c r="H38" t="s">
        <v>29</v>
      </c>
      <c r="I38">
        <v>7</v>
      </c>
      <c r="J38">
        <v>92</v>
      </c>
      <c r="K38">
        <v>1107</v>
      </c>
      <c r="L38">
        <v>21437</v>
      </c>
      <c r="M38" t="s">
        <v>52</v>
      </c>
      <c r="N38" t="s">
        <v>3398</v>
      </c>
      <c r="O38">
        <v>1480966</v>
      </c>
      <c r="P38" t="s">
        <v>3399</v>
      </c>
      <c r="Q38">
        <v>103753</v>
      </c>
      <c r="R38" t="s">
        <v>3400</v>
      </c>
      <c r="S38">
        <v>552</v>
      </c>
      <c r="T38" t="b">
        <v>0</v>
      </c>
      <c r="U38">
        <v>10</v>
      </c>
      <c r="V38">
        <v>15</v>
      </c>
      <c r="W38" t="s">
        <v>35</v>
      </c>
      <c r="X38" t="s">
        <v>29</v>
      </c>
      <c r="Y38" t="s">
        <v>29</v>
      </c>
      <c r="Z38" t="s">
        <v>37</v>
      </c>
      <c r="AA38">
        <f>TwitterClean[[#This Row],[likes]]+TwitterClean[[#This Row],[replies]]+TwitterClean[[#This Row],[reposts]]+TwitterClean[[#This Row],[quotes]]+TwitterClean[[#This Row],[bookmarks]]</f>
        <v>1231</v>
      </c>
      <c r="AB38" s="1">
        <f>TwitterClean[[#This Row],[Total_Engagements]]/TwitterClean[[#This Row],[views]]</f>
        <v>5.7424079861920975E-2</v>
      </c>
      <c r="AC38" s="3">
        <f>DATEVALUE(MID(TwitterClean[[#This Row],[date_posted]],2,10))</f>
        <v>45641</v>
      </c>
      <c r="AD38">
        <f>TIMEVALUE(MID(TwitterClean[[#This Row],[date_posted]],13,8))</f>
        <v>0.96180555555555558</v>
      </c>
      <c r="AE38" s="3" t="str">
        <f>TEXT(TwitterClean[[#This Row],[Post_Date]],"dddd")</f>
        <v>Sunday</v>
      </c>
      <c r="AF38">
        <f>HOUR(TwitterClean[[#This Row],[Post_Time]])</f>
        <v>23</v>
      </c>
      <c r="AG38" t="str">
        <f>IF(TwitterClean[[#This Row],[videos]]="Null","No","Yes")</f>
        <v>No</v>
      </c>
      <c r="AH38" t="str">
        <f>IF(TwitterClean[[#This Row],[photos]]="null","No","Yes")</f>
        <v>Yes</v>
      </c>
      <c r="AI38" t="str">
        <f>IF(TwitterClean[[#This Row],[hashtags]]="null","No","Yes")</f>
        <v>Yes</v>
      </c>
      <c r="AJ38" t="str">
        <f>IF(TwitterClean[[#This Row],[external_url]]="null","Yes","No")</f>
        <v>No</v>
      </c>
      <c r="AK38">
        <f>LEN(TwitterClean[[#This Row],[description]])</f>
        <v>27</v>
      </c>
      <c r="AL38" t="str">
        <f>IF(TwitterClean[[#This Row],[followers]]&lt;100000,"&lt;100K",IF(TwitterClean[[#This Row],[followers]]&lt;1000000,"100K-1M",IF(TwitterClean[[#This Row],[followers]]&lt;10000000,"1M-10M","10M+")))</f>
        <v>1M-10M</v>
      </c>
    </row>
    <row r="39" spans="1:38">
      <c r="A39">
        <v>1.8684296182960005E+18</v>
      </c>
      <c r="B39" t="s">
        <v>1862</v>
      </c>
      <c r="C39" t="s">
        <v>1863</v>
      </c>
      <c r="D39" t="s">
        <v>1876</v>
      </c>
      <c r="E39" t="s">
        <v>1877</v>
      </c>
      <c r="F39" t="s">
        <v>29</v>
      </c>
      <c r="G39" t="s">
        <v>1878</v>
      </c>
      <c r="H39" t="s">
        <v>1874</v>
      </c>
      <c r="I39">
        <v>18</v>
      </c>
      <c r="J39">
        <v>89</v>
      </c>
      <c r="K39">
        <v>1049</v>
      </c>
      <c r="L39">
        <v>21052</v>
      </c>
      <c r="M39" t="s">
        <v>52</v>
      </c>
      <c r="N39" t="s">
        <v>1867</v>
      </c>
      <c r="O39">
        <v>13492430</v>
      </c>
      <c r="P39" t="s">
        <v>1868</v>
      </c>
      <c r="Q39">
        <v>314515</v>
      </c>
      <c r="R39" t="s">
        <v>1869</v>
      </c>
      <c r="S39">
        <v>708</v>
      </c>
      <c r="T39" t="b">
        <v>0</v>
      </c>
      <c r="U39">
        <v>3</v>
      </c>
      <c r="V39">
        <v>37</v>
      </c>
      <c r="W39" t="s">
        <v>35</v>
      </c>
      <c r="X39" t="s">
        <v>29</v>
      </c>
      <c r="Y39" t="s">
        <v>1879</v>
      </c>
      <c r="Z39" t="s">
        <v>37</v>
      </c>
      <c r="AA39">
        <f>TwitterClean[[#This Row],[likes]]+TwitterClean[[#This Row],[replies]]+TwitterClean[[#This Row],[reposts]]+TwitterClean[[#This Row],[quotes]]+TwitterClean[[#This Row],[bookmarks]]</f>
        <v>1196</v>
      </c>
      <c r="AB39" s="1">
        <f>TwitterClean[[#This Row],[Total_Engagements]]/TwitterClean[[#This Row],[views]]</f>
        <v>5.6811704351130532E-2</v>
      </c>
      <c r="AC39" s="3">
        <f>DATEVALUE(MID(TwitterClean[[#This Row],[date_posted]],2,10))</f>
        <v>45641</v>
      </c>
      <c r="AD39">
        <f>TIMEVALUE(MID(TwitterClean[[#This Row],[date_posted]],13,8))</f>
        <v>0.95496527777777773</v>
      </c>
      <c r="AE39" s="3" t="str">
        <f>TEXT(TwitterClean[[#This Row],[Post_Date]],"dddd")</f>
        <v>Sunday</v>
      </c>
      <c r="AF39">
        <f>HOUR(TwitterClean[[#This Row],[Post_Time]])</f>
        <v>22</v>
      </c>
      <c r="AG39" t="str">
        <f>IF(TwitterClean[[#This Row],[videos]]="Null","No","Yes")</f>
        <v>Yes</v>
      </c>
      <c r="AH39" t="str">
        <f>IF(TwitterClean[[#This Row],[photos]]="null","No","Yes")</f>
        <v>No</v>
      </c>
      <c r="AI39" t="str">
        <f>IF(TwitterClean[[#This Row],[hashtags]]="null","No","Yes")</f>
        <v>Yes</v>
      </c>
      <c r="AJ39" t="str">
        <f>IF(TwitterClean[[#This Row],[external_url]]="null","Yes","No")</f>
        <v>No</v>
      </c>
      <c r="AK39">
        <f>LEN(TwitterClean[[#This Row],[description]])</f>
        <v>77</v>
      </c>
      <c r="AL39" t="str">
        <f>IF(TwitterClean[[#This Row],[followers]]&lt;100000,"&lt;100K",IF(TwitterClean[[#This Row],[followers]]&lt;1000000,"100K-1M",IF(TwitterClean[[#This Row],[followers]]&lt;10000000,"1M-10M","10M+")))</f>
        <v>10M+</v>
      </c>
    </row>
    <row r="40" spans="1:38">
      <c r="A40">
        <v>1.8684286700852349E+18</v>
      </c>
      <c r="B40" t="s">
        <v>1862</v>
      </c>
      <c r="C40" t="s">
        <v>1863</v>
      </c>
      <c r="D40" t="s">
        <v>1950</v>
      </c>
      <c r="E40" t="s">
        <v>1951</v>
      </c>
      <c r="F40" t="s">
        <v>1952</v>
      </c>
      <c r="G40" t="s">
        <v>1953</v>
      </c>
      <c r="H40" t="s">
        <v>1874</v>
      </c>
      <c r="I40">
        <v>100</v>
      </c>
      <c r="J40">
        <v>492</v>
      </c>
      <c r="K40">
        <v>6129</v>
      </c>
      <c r="L40">
        <v>121959</v>
      </c>
      <c r="M40" t="s">
        <v>52</v>
      </c>
      <c r="N40" t="s">
        <v>1867</v>
      </c>
      <c r="O40">
        <v>13492430</v>
      </c>
      <c r="P40" t="s">
        <v>1868</v>
      </c>
      <c r="Q40">
        <v>314515</v>
      </c>
      <c r="R40" t="s">
        <v>1869</v>
      </c>
      <c r="S40">
        <v>708</v>
      </c>
      <c r="T40" t="b">
        <v>0</v>
      </c>
      <c r="U40">
        <v>47</v>
      </c>
      <c r="V40">
        <v>79</v>
      </c>
      <c r="W40" t="s">
        <v>35</v>
      </c>
      <c r="X40" t="s">
        <v>29</v>
      </c>
      <c r="Y40" t="s">
        <v>29</v>
      </c>
      <c r="Z40" t="s">
        <v>37</v>
      </c>
      <c r="AA40">
        <f>TwitterClean[[#This Row],[likes]]+TwitterClean[[#This Row],[replies]]+TwitterClean[[#This Row],[reposts]]+TwitterClean[[#This Row],[quotes]]+TwitterClean[[#This Row],[bookmarks]]</f>
        <v>6847</v>
      </c>
      <c r="AB40" s="1">
        <f>TwitterClean[[#This Row],[Total_Engagements]]/TwitterClean[[#This Row],[views]]</f>
        <v>5.61418181520019E-2</v>
      </c>
      <c r="AC40" s="3">
        <f>DATEVALUE(MID(TwitterClean[[#This Row],[date_posted]],2,10))</f>
        <v>45641</v>
      </c>
      <c r="AD40">
        <f>TIMEVALUE(MID(TwitterClean[[#This Row],[date_posted]],13,8))</f>
        <v>0.95234953703703706</v>
      </c>
      <c r="AE40" s="3" t="str">
        <f>TEXT(TwitterClean[[#This Row],[Post_Date]],"dddd")</f>
        <v>Sunday</v>
      </c>
      <c r="AF40">
        <f>HOUR(TwitterClean[[#This Row],[Post_Time]])</f>
        <v>22</v>
      </c>
      <c r="AG40" t="str">
        <f>IF(TwitterClean[[#This Row],[videos]]="Null","No","Yes")</f>
        <v>No</v>
      </c>
      <c r="AH40" t="str">
        <f>IF(TwitterClean[[#This Row],[photos]]="null","No","Yes")</f>
        <v>Yes</v>
      </c>
      <c r="AI40" t="str">
        <f>IF(TwitterClean[[#This Row],[hashtags]]="null","No","Yes")</f>
        <v>Yes</v>
      </c>
      <c r="AJ40" t="str">
        <f>IF(TwitterClean[[#This Row],[external_url]]="null","Yes","No")</f>
        <v>No</v>
      </c>
      <c r="AK40">
        <f>LEN(TwitterClean[[#This Row],[description]])</f>
        <v>58</v>
      </c>
      <c r="AL40" t="str">
        <f>IF(TwitterClean[[#This Row],[followers]]&lt;100000,"&lt;100K",IF(TwitterClean[[#This Row],[followers]]&lt;1000000,"100K-1M",IF(TwitterClean[[#This Row],[followers]]&lt;10000000,"1M-10M","10M+")))</f>
        <v>10M+</v>
      </c>
    </row>
    <row r="41" spans="1:38">
      <c r="A41">
        <v>1.8682497052741102E+18</v>
      </c>
      <c r="B41" t="s">
        <v>2872</v>
      </c>
      <c r="C41" t="s">
        <v>2873</v>
      </c>
      <c r="D41" t="s">
        <v>2874</v>
      </c>
      <c r="E41" t="s">
        <v>2875</v>
      </c>
      <c r="F41" t="s">
        <v>2876</v>
      </c>
      <c r="G41" t="s">
        <v>2877</v>
      </c>
      <c r="H41" t="s">
        <v>29</v>
      </c>
      <c r="I41">
        <v>10</v>
      </c>
      <c r="J41">
        <v>41</v>
      </c>
      <c r="K41">
        <v>188</v>
      </c>
      <c r="L41">
        <v>4441</v>
      </c>
      <c r="M41" t="s">
        <v>52</v>
      </c>
      <c r="N41" t="s">
        <v>2878</v>
      </c>
      <c r="O41">
        <v>200100</v>
      </c>
      <c r="P41" t="s">
        <v>2879</v>
      </c>
      <c r="Q41">
        <v>6797</v>
      </c>
      <c r="R41" t="s">
        <v>2880</v>
      </c>
      <c r="S41">
        <v>126</v>
      </c>
      <c r="T41" t="b">
        <v>0</v>
      </c>
      <c r="U41">
        <v>3</v>
      </c>
      <c r="V41">
        <v>7</v>
      </c>
      <c r="W41" t="s">
        <v>35</v>
      </c>
      <c r="X41" t="s">
        <v>29</v>
      </c>
      <c r="Y41" t="s">
        <v>29</v>
      </c>
      <c r="Z41" t="s">
        <v>37</v>
      </c>
      <c r="AA41">
        <f>TwitterClean[[#This Row],[likes]]+TwitterClean[[#This Row],[replies]]+TwitterClean[[#This Row],[reposts]]+TwitterClean[[#This Row],[quotes]]+TwitterClean[[#This Row],[bookmarks]]</f>
        <v>249</v>
      </c>
      <c r="AB41" s="1">
        <f>TwitterClean[[#This Row],[Total_Engagements]]/TwitterClean[[#This Row],[views]]</f>
        <v>5.6068453051114617E-2</v>
      </c>
      <c r="AC41" s="3">
        <f>DATEVALUE(MID(TwitterClean[[#This Row],[date_posted]],2,10))</f>
        <v>45641</v>
      </c>
      <c r="AD41">
        <f>TIMEVALUE(MID(TwitterClean[[#This Row],[date_posted]],13,8))</f>
        <v>0.45849537037037036</v>
      </c>
      <c r="AE41" s="3" t="str">
        <f>TEXT(TwitterClean[[#This Row],[Post_Date]],"dddd")</f>
        <v>Sunday</v>
      </c>
      <c r="AF41">
        <f>HOUR(TwitterClean[[#This Row],[Post_Time]])</f>
        <v>11</v>
      </c>
      <c r="AG41" t="str">
        <f>IF(TwitterClean[[#This Row],[videos]]="Null","No","Yes")</f>
        <v>No</v>
      </c>
      <c r="AH41" t="str">
        <f>IF(TwitterClean[[#This Row],[photos]]="null","No","Yes")</f>
        <v>Yes</v>
      </c>
      <c r="AI41" t="str">
        <f>IF(TwitterClean[[#This Row],[hashtags]]="null","No","Yes")</f>
        <v>Yes</v>
      </c>
      <c r="AJ41" t="str">
        <f>IF(TwitterClean[[#This Row],[external_url]]="null","Yes","No")</f>
        <v>No</v>
      </c>
      <c r="AK41">
        <f>LEN(TwitterClean[[#This Row],[description]])</f>
        <v>233</v>
      </c>
      <c r="AL41" t="str">
        <f>IF(TwitterClean[[#This Row],[followers]]&lt;100000,"&lt;100K",IF(TwitterClean[[#This Row],[followers]]&lt;1000000,"100K-1M",IF(TwitterClean[[#This Row],[followers]]&lt;10000000,"1M-10M","10M+")))</f>
        <v>100K-1M</v>
      </c>
    </row>
    <row r="42" spans="1:38">
      <c r="A42">
        <v>1.8683434068687299E+18</v>
      </c>
      <c r="B42" t="s">
        <v>3973</v>
      </c>
      <c r="C42" t="s">
        <v>3974</v>
      </c>
      <c r="D42" t="s">
        <v>4067</v>
      </c>
      <c r="E42" t="s">
        <v>4068</v>
      </c>
      <c r="F42" t="s">
        <v>4069</v>
      </c>
      <c r="G42" t="s">
        <v>4070</v>
      </c>
      <c r="H42" t="s">
        <v>4065</v>
      </c>
      <c r="I42">
        <v>60</v>
      </c>
      <c r="J42">
        <v>285</v>
      </c>
      <c r="K42">
        <v>4504</v>
      </c>
      <c r="L42">
        <v>88375</v>
      </c>
      <c r="M42" t="s">
        <v>52</v>
      </c>
      <c r="N42" t="s">
        <v>29</v>
      </c>
      <c r="O42">
        <v>2035097</v>
      </c>
      <c r="P42" t="s">
        <v>3979</v>
      </c>
      <c r="Q42">
        <v>106867</v>
      </c>
      <c r="R42" t="s">
        <v>3980</v>
      </c>
      <c r="S42">
        <v>411</v>
      </c>
      <c r="T42" t="b">
        <v>0</v>
      </c>
      <c r="U42">
        <v>53</v>
      </c>
      <c r="V42">
        <v>35</v>
      </c>
      <c r="W42" t="s">
        <v>35</v>
      </c>
      <c r="X42" t="s">
        <v>29</v>
      </c>
      <c r="Y42" t="s">
        <v>29</v>
      </c>
      <c r="Z42" t="s">
        <v>37</v>
      </c>
      <c r="AA42">
        <f>TwitterClean[[#This Row],[likes]]+TwitterClean[[#This Row],[replies]]+TwitterClean[[#This Row],[reposts]]+TwitterClean[[#This Row],[quotes]]+TwitterClean[[#This Row],[bookmarks]]</f>
        <v>4937</v>
      </c>
      <c r="AB42" s="1">
        <f>TwitterClean[[#This Row],[Total_Engagements]]/TwitterClean[[#This Row],[views]]</f>
        <v>5.5864214992927867E-2</v>
      </c>
      <c r="AC42" s="3">
        <f>DATEVALUE(MID(TwitterClean[[#This Row],[date_posted]],2,10))</f>
        <v>45641</v>
      </c>
      <c r="AD42">
        <f>TIMEVALUE(MID(TwitterClean[[#This Row],[date_posted]],13,8))</f>
        <v>0.71706018518518522</v>
      </c>
      <c r="AE42" s="3" t="str">
        <f>TEXT(TwitterClean[[#This Row],[Post_Date]],"dddd")</f>
        <v>Sunday</v>
      </c>
      <c r="AF42">
        <f>HOUR(TwitterClean[[#This Row],[Post_Time]])</f>
        <v>17</v>
      </c>
      <c r="AG42" t="str">
        <f>IF(TwitterClean[[#This Row],[videos]]="Null","No","Yes")</f>
        <v>No</v>
      </c>
      <c r="AH42" t="str">
        <f>IF(TwitterClean[[#This Row],[photos]]="null","No","Yes")</f>
        <v>Yes</v>
      </c>
      <c r="AI42" t="str">
        <f>IF(TwitterClean[[#This Row],[hashtags]]="null","No","Yes")</f>
        <v>No</v>
      </c>
      <c r="AJ42" t="str">
        <f>IF(TwitterClean[[#This Row],[external_url]]="null","Yes","No")</f>
        <v>No</v>
      </c>
      <c r="AK42">
        <f>LEN(TwitterClean[[#This Row],[description]])</f>
        <v>19</v>
      </c>
      <c r="AL42" t="str">
        <f>IF(TwitterClean[[#This Row],[followers]]&lt;100000,"&lt;100K",IF(TwitterClean[[#This Row],[followers]]&lt;1000000,"100K-1M",IF(TwitterClean[[#This Row],[followers]]&lt;10000000,"1M-10M","10M+")))</f>
        <v>1M-10M</v>
      </c>
    </row>
    <row r="43" spans="1:38">
      <c r="A43">
        <v>1.8683668948831155E+18</v>
      </c>
      <c r="B43" t="s">
        <v>1280</v>
      </c>
      <c r="C43" t="s">
        <v>1281</v>
      </c>
      <c r="D43" t="s">
        <v>1504</v>
      </c>
      <c r="E43" t="s">
        <v>1505</v>
      </c>
      <c r="F43" t="s">
        <v>1506</v>
      </c>
      <c r="G43" t="s">
        <v>1507</v>
      </c>
      <c r="H43" t="s">
        <v>29</v>
      </c>
      <c r="I43">
        <v>288</v>
      </c>
      <c r="J43">
        <v>3484</v>
      </c>
      <c r="K43">
        <v>28062</v>
      </c>
      <c r="L43">
        <v>577299</v>
      </c>
      <c r="M43" t="s">
        <v>52</v>
      </c>
      <c r="N43" t="s">
        <v>1286</v>
      </c>
      <c r="O43">
        <v>38439072</v>
      </c>
      <c r="P43" t="s">
        <v>1287</v>
      </c>
      <c r="Q43">
        <v>92455</v>
      </c>
      <c r="R43" t="s">
        <v>1288</v>
      </c>
      <c r="S43">
        <v>145</v>
      </c>
      <c r="T43" t="b">
        <v>0</v>
      </c>
      <c r="U43">
        <v>114</v>
      </c>
      <c r="V43">
        <v>186</v>
      </c>
      <c r="W43" t="s">
        <v>35</v>
      </c>
      <c r="X43" t="s">
        <v>29</v>
      </c>
      <c r="Y43" t="s">
        <v>29</v>
      </c>
      <c r="Z43" t="s">
        <v>37</v>
      </c>
      <c r="AA43">
        <f>TwitterClean[[#This Row],[likes]]+TwitterClean[[#This Row],[replies]]+TwitterClean[[#This Row],[reposts]]+TwitterClean[[#This Row],[quotes]]+TwitterClean[[#This Row],[bookmarks]]</f>
        <v>32134</v>
      </c>
      <c r="AB43" s="1">
        <f>TwitterClean[[#This Row],[Total_Engagements]]/TwitterClean[[#This Row],[views]]</f>
        <v>5.5662663541769519E-2</v>
      </c>
      <c r="AC43" s="3">
        <f>DATEVALUE(MID(TwitterClean[[#This Row],[date_posted]],2,10))</f>
        <v>45641</v>
      </c>
      <c r="AD43">
        <f>TIMEVALUE(MID(TwitterClean[[#This Row],[date_posted]],13,8))</f>
        <v>0.78187499999999999</v>
      </c>
      <c r="AE43" s="3" t="str">
        <f>TEXT(TwitterClean[[#This Row],[Post_Date]],"dddd")</f>
        <v>Sunday</v>
      </c>
      <c r="AF43">
        <f>HOUR(TwitterClean[[#This Row],[Post_Time]])</f>
        <v>18</v>
      </c>
      <c r="AG43" t="str">
        <f>IF(TwitterClean[[#This Row],[videos]]="Null","No","Yes")</f>
        <v>No</v>
      </c>
      <c r="AH43" t="str">
        <f>IF(TwitterClean[[#This Row],[photos]]="null","No","Yes")</f>
        <v>Yes</v>
      </c>
      <c r="AI43" t="str">
        <f>IF(TwitterClean[[#This Row],[hashtags]]="null","No","Yes")</f>
        <v>Yes</v>
      </c>
      <c r="AJ43" t="str">
        <f>IF(TwitterClean[[#This Row],[external_url]]="null","Yes","No")</f>
        <v>No</v>
      </c>
      <c r="AK43">
        <f>LEN(TwitterClean[[#This Row],[description]])</f>
        <v>37</v>
      </c>
      <c r="AL43" t="str">
        <f>IF(TwitterClean[[#This Row],[followers]]&lt;100000,"&lt;100K",IF(TwitterClean[[#This Row],[followers]]&lt;1000000,"100K-1M",IF(TwitterClean[[#This Row],[followers]]&lt;10000000,"1M-10M","10M+")))</f>
        <v>10M+</v>
      </c>
    </row>
    <row r="44" spans="1:38">
      <c r="A44">
        <v>1.8683631258018081E+18</v>
      </c>
      <c r="B44" t="s">
        <v>46</v>
      </c>
      <c r="C44" t="s">
        <v>47</v>
      </c>
      <c r="D44" t="s">
        <v>490</v>
      </c>
      <c r="E44" t="s">
        <v>491</v>
      </c>
      <c r="F44" t="s">
        <v>492</v>
      </c>
      <c r="G44" t="s">
        <v>493</v>
      </c>
      <c r="H44" t="s">
        <v>29</v>
      </c>
      <c r="I44">
        <v>70</v>
      </c>
      <c r="J44">
        <v>83</v>
      </c>
      <c r="K44">
        <v>2528</v>
      </c>
      <c r="L44">
        <v>50653</v>
      </c>
      <c r="M44" t="s">
        <v>52</v>
      </c>
      <c r="N44" t="s">
        <v>182</v>
      </c>
      <c r="O44">
        <v>8293201</v>
      </c>
      <c r="P44" t="s">
        <v>54</v>
      </c>
      <c r="Q44">
        <v>456734</v>
      </c>
      <c r="R44" t="s">
        <v>55</v>
      </c>
      <c r="S44">
        <v>859</v>
      </c>
      <c r="T44" t="b">
        <v>0</v>
      </c>
      <c r="U44">
        <v>42</v>
      </c>
      <c r="V44">
        <v>14</v>
      </c>
      <c r="W44" t="s">
        <v>35</v>
      </c>
      <c r="X44" t="s">
        <v>29</v>
      </c>
      <c r="Y44" t="s">
        <v>29</v>
      </c>
      <c r="Z44" t="s">
        <v>37</v>
      </c>
      <c r="AA44">
        <f>TwitterClean[[#This Row],[likes]]+TwitterClean[[#This Row],[replies]]+TwitterClean[[#This Row],[reposts]]+TwitterClean[[#This Row],[quotes]]+TwitterClean[[#This Row],[bookmarks]]</f>
        <v>2737</v>
      </c>
      <c r="AB44" s="1">
        <f>TwitterClean[[#This Row],[Total_Engagements]]/TwitterClean[[#This Row],[views]]</f>
        <v>5.4034311886758932E-2</v>
      </c>
      <c r="AC44" s="3">
        <f>DATEVALUE(MID(TwitterClean[[#This Row],[date_posted]],2,10))</f>
        <v>45641</v>
      </c>
      <c r="AD44">
        <f>TIMEVALUE(MID(TwitterClean[[#This Row],[date_posted]],13,8))</f>
        <v>0.77148148148148143</v>
      </c>
      <c r="AE44" s="3" t="str">
        <f>TEXT(TwitterClean[[#This Row],[Post_Date]],"dddd")</f>
        <v>Sunday</v>
      </c>
      <c r="AF44">
        <f>HOUR(TwitterClean[[#This Row],[Post_Time]])</f>
        <v>18</v>
      </c>
      <c r="AG44" t="str">
        <f>IF(TwitterClean[[#This Row],[videos]]="Null","No","Yes")</f>
        <v>No</v>
      </c>
      <c r="AH44" t="str">
        <f>IF(TwitterClean[[#This Row],[photos]]="null","No","Yes")</f>
        <v>Yes</v>
      </c>
      <c r="AI44" t="str">
        <f>IF(TwitterClean[[#This Row],[hashtags]]="null","No","Yes")</f>
        <v>Yes</v>
      </c>
      <c r="AJ44" t="str">
        <f>IF(TwitterClean[[#This Row],[external_url]]="null","Yes","No")</f>
        <v>No</v>
      </c>
      <c r="AK44">
        <f>LEN(TwitterClean[[#This Row],[description]])</f>
        <v>135</v>
      </c>
      <c r="AL44" t="str">
        <f>IF(TwitterClean[[#This Row],[followers]]&lt;100000,"&lt;100K",IF(TwitterClean[[#This Row],[followers]]&lt;1000000,"100K-1M",IF(TwitterClean[[#This Row],[followers]]&lt;10000000,"1M-10M","10M+")))</f>
        <v>1M-10M</v>
      </c>
    </row>
    <row r="45" spans="1:38">
      <c r="A45">
        <v>1.8683922781440164E+18</v>
      </c>
      <c r="B45" t="s">
        <v>275</v>
      </c>
      <c r="C45" t="s">
        <v>276</v>
      </c>
      <c r="D45" t="s">
        <v>900</v>
      </c>
      <c r="E45" t="s">
        <v>901</v>
      </c>
      <c r="F45" t="s">
        <v>902</v>
      </c>
      <c r="G45" t="s">
        <v>903</v>
      </c>
      <c r="H45" t="s">
        <v>29</v>
      </c>
      <c r="I45">
        <v>25</v>
      </c>
      <c r="J45">
        <v>322</v>
      </c>
      <c r="K45">
        <v>5077</v>
      </c>
      <c r="L45">
        <v>102362</v>
      </c>
      <c r="M45" t="s">
        <v>52</v>
      </c>
      <c r="N45" t="s">
        <v>281</v>
      </c>
      <c r="O45">
        <v>8539604</v>
      </c>
      <c r="P45" t="s">
        <v>282</v>
      </c>
      <c r="Q45">
        <v>75535</v>
      </c>
      <c r="R45" t="s">
        <v>283</v>
      </c>
      <c r="S45">
        <v>117</v>
      </c>
      <c r="T45" t="b">
        <v>0</v>
      </c>
      <c r="U45">
        <v>31</v>
      </c>
      <c r="V45">
        <v>63</v>
      </c>
      <c r="W45" t="s">
        <v>35</v>
      </c>
      <c r="X45" t="s">
        <v>29</v>
      </c>
      <c r="Y45" t="s">
        <v>29</v>
      </c>
      <c r="Z45" t="s">
        <v>37</v>
      </c>
      <c r="AA45">
        <f>TwitterClean[[#This Row],[likes]]+TwitterClean[[#This Row],[replies]]+TwitterClean[[#This Row],[reposts]]+TwitterClean[[#This Row],[quotes]]+TwitterClean[[#This Row],[bookmarks]]</f>
        <v>5518</v>
      </c>
      <c r="AB45" s="1">
        <f>TwitterClean[[#This Row],[Total_Engagements]]/TwitterClean[[#This Row],[views]]</f>
        <v>5.3906723198061779E-2</v>
      </c>
      <c r="AC45" s="3">
        <f>DATEVALUE(MID(TwitterClean[[#This Row],[date_posted]],2,10))</f>
        <v>45641</v>
      </c>
      <c r="AD45">
        <f>TIMEVALUE(MID(TwitterClean[[#This Row],[date_posted]],13,8))</f>
        <v>0.85192129629629632</v>
      </c>
      <c r="AE45" s="3" t="str">
        <f>TEXT(TwitterClean[[#This Row],[Post_Date]],"dddd")</f>
        <v>Sunday</v>
      </c>
      <c r="AF45">
        <f>HOUR(TwitterClean[[#This Row],[Post_Time]])</f>
        <v>20</v>
      </c>
      <c r="AG45" t="str">
        <f>IF(TwitterClean[[#This Row],[videos]]="Null","No","Yes")</f>
        <v>No</v>
      </c>
      <c r="AH45" t="str">
        <f>IF(TwitterClean[[#This Row],[photos]]="null","No","Yes")</f>
        <v>Yes</v>
      </c>
      <c r="AI45" t="str">
        <f>IF(TwitterClean[[#This Row],[hashtags]]="null","No","Yes")</f>
        <v>Yes</v>
      </c>
      <c r="AJ45" t="str">
        <f>IF(TwitterClean[[#This Row],[external_url]]="null","Yes","No")</f>
        <v>No</v>
      </c>
      <c r="AK45">
        <f>LEN(TwitterClean[[#This Row],[description]])</f>
        <v>95</v>
      </c>
      <c r="AL45" t="str">
        <f>IF(TwitterClean[[#This Row],[followers]]&lt;100000,"&lt;100K",IF(TwitterClean[[#This Row],[followers]]&lt;1000000,"100K-1M",IF(TwitterClean[[#This Row],[followers]]&lt;10000000,"1M-10M","10M+")))</f>
        <v>1M-10M</v>
      </c>
    </row>
    <row r="46" spans="1:38">
      <c r="A46">
        <v>1.8683024939453033E+18</v>
      </c>
      <c r="B46" t="s">
        <v>1447</v>
      </c>
      <c r="C46" t="s">
        <v>1448</v>
      </c>
      <c r="D46" t="s">
        <v>4364</v>
      </c>
      <c r="E46" t="s">
        <v>4365</v>
      </c>
      <c r="F46" t="s">
        <v>29</v>
      </c>
      <c r="G46" t="s">
        <v>4366</v>
      </c>
      <c r="H46" t="s">
        <v>29</v>
      </c>
      <c r="I46">
        <v>41</v>
      </c>
      <c r="J46">
        <v>316</v>
      </c>
      <c r="K46">
        <v>3423</v>
      </c>
      <c r="L46">
        <v>74207</v>
      </c>
      <c r="M46" t="s">
        <v>52</v>
      </c>
      <c r="N46" t="s">
        <v>4367</v>
      </c>
      <c r="O46">
        <v>4240900</v>
      </c>
      <c r="P46" t="s">
        <v>1453</v>
      </c>
      <c r="Q46">
        <v>60308</v>
      </c>
      <c r="R46" t="s">
        <v>1454</v>
      </c>
      <c r="S46">
        <v>26587</v>
      </c>
      <c r="T46" t="b">
        <v>0</v>
      </c>
      <c r="U46">
        <v>10</v>
      </c>
      <c r="V46">
        <v>116</v>
      </c>
      <c r="W46" t="s">
        <v>35</v>
      </c>
      <c r="X46" t="s">
        <v>29</v>
      </c>
      <c r="Y46" t="s">
        <v>4368</v>
      </c>
      <c r="Z46" t="s">
        <v>37</v>
      </c>
      <c r="AA46">
        <f>TwitterClean[[#This Row],[likes]]+TwitterClean[[#This Row],[replies]]+TwitterClean[[#This Row],[reposts]]+TwitterClean[[#This Row],[quotes]]+TwitterClean[[#This Row],[bookmarks]]</f>
        <v>3906</v>
      </c>
      <c r="AB46" s="1">
        <f>TwitterClean[[#This Row],[Total_Engagements]]/TwitterClean[[#This Row],[views]]</f>
        <v>5.2636543722290347E-2</v>
      </c>
      <c r="AC46" s="3">
        <f>DATEVALUE(MID(TwitterClean[[#This Row],[date_posted]],2,10))</f>
        <v>45641</v>
      </c>
      <c r="AD46">
        <f>TIMEVALUE(MID(TwitterClean[[#This Row],[date_posted]],13,8))</f>
        <v>0.60416666666666663</v>
      </c>
      <c r="AE46" s="3" t="str">
        <f>TEXT(TwitterClean[[#This Row],[Post_Date]],"dddd")</f>
        <v>Sunday</v>
      </c>
      <c r="AF46">
        <f>HOUR(TwitterClean[[#This Row],[Post_Time]])</f>
        <v>14</v>
      </c>
      <c r="AG46" t="str">
        <f>IF(TwitterClean[[#This Row],[videos]]="Null","No","Yes")</f>
        <v>Yes</v>
      </c>
      <c r="AH46" t="str">
        <f>IF(TwitterClean[[#This Row],[photos]]="null","No","Yes")</f>
        <v>No</v>
      </c>
      <c r="AI46" t="str">
        <f>IF(TwitterClean[[#This Row],[hashtags]]="null","No","Yes")</f>
        <v>Yes</v>
      </c>
      <c r="AJ46" t="str">
        <f>IF(TwitterClean[[#This Row],[external_url]]="null","Yes","No")</f>
        <v>No</v>
      </c>
      <c r="AK46">
        <f>LEN(TwitterClean[[#This Row],[description]])</f>
        <v>45</v>
      </c>
      <c r="AL46" t="str">
        <f>IF(TwitterClean[[#This Row],[followers]]&lt;100000,"&lt;100K",IF(TwitterClean[[#This Row],[followers]]&lt;1000000,"100K-1M",IF(TwitterClean[[#This Row],[followers]]&lt;10000000,"1M-10M","10M+")))</f>
        <v>1M-10M</v>
      </c>
    </row>
    <row r="47" spans="1:38">
      <c r="A47">
        <v>1.8684275852075584E+18</v>
      </c>
      <c r="B47" t="s">
        <v>1862</v>
      </c>
      <c r="C47" t="s">
        <v>1863</v>
      </c>
      <c r="D47" t="s">
        <v>2137</v>
      </c>
      <c r="E47" t="s">
        <v>2138</v>
      </c>
      <c r="F47" t="s">
        <v>29</v>
      </c>
      <c r="G47" t="s">
        <v>2139</v>
      </c>
      <c r="H47" t="s">
        <v>1874</v>
      </c>
      <c r="I47">
        <v>29</v>
      </c>
      <c r="J47">
        <v>225</v>
      </c>
      <c r="K47">
        <v>1891</v>
      </c>
      <c r="L47">
        <v>42884</v>
      </c>
      <c r="M47" t="s">
        <v>52</v>
      </c>
      <c r="N47" t="s">
        <v>1867</v>
      </c>
      <c r="O47">
        <v>13492430</v>
      </c>
      <c r="P47" t="s">
        <v>1868</v>
      </c>
      <c r="Q47">
        <v>314515</v>
      </c>
      <c r="R47" t="s">
        <v>1869</v>
      </c>
      <c r="S47">
        <v>708</v>
      </c>
      <c r="T47" t="b">
        <v>0</v>
      </c>
      <c r="U47">
        <v>15</v>
      </c>
      <c r="V47">
        <v>84</v>
      </c>
      <c r="W47" t="s">
        <v>35</v>
      </c>
      <c r="X47" t="s">
        <v>29</v>
      </c>
      <c r="Y47" t="s">
        <v>2140</v>
      </c>
      <c r="Z47" t="s">
        <v>37</v>
      </c>
      <c r="AA47">
        <f>TwitterClean[[#This Row],[likes]]+TwitterClean[[#This Row],[replies]]+TwitterClean[[#This Row],[reposts]]+TwitterClean[[#This Row],[quotes]]+TwitterClean[[#This Row],[bookmarks]]</f>
        <v>2244</v>
      </c>
      <c r="AB47" s="1">
        <f>TwitterClean[[#This Row],[Total_Engagements]]/TwitterClean[[#This Row],[views]]</f>
        <v>5.2327208282809443E-2</v>
      </c>
      <c r="AC47" s="3">
        <f>DATEVALUE(MID(TwitterClean[[#This Row],[date_posted]],2,10))</f>
        <v>45641</v>
      </c>
      <c r="AD47">
        <f>TIMEVALUE(MID(TwitterClean[[#This Row],[date_posted]],13,8))</f>
        <v>0.94935185185185189</v>
      </c>
      <c r="AE47" s="3" t="str">
        <f>TEXT(TwitterClean[[#This Row],[Post_Date]],"dddd")</f>
        <v>Sunday</v>
      </c>
      <c r="AF47">
        <f>HOUR(TwitterClean[[#This Row],[Post_Time]])</f>
        <v>22</v>
      </c>
      <c r="AG47" t="str">
        <f>IF(TwitterClean[[#This Row],[videos]]="Null","No","Yes")</f>
        <v>Yes</v>
      </c>
      <c r="AH47" t="str">
        <f>IF(TwitterClean[[#This Row],[photos]]="null","No","Yes")</f>
        <v>No</v>
      </c>
      <c r="AI47" t="str">
        <f>IF(TwitterClean[[#This Row],[hashtags]]="null","No","Yes")</f>
        <v>Yes</v>
      </c>
      <c r="AJ47" t="str">
        <f>IF(TwitterClean[[#This Row],[external_url]]="null","Yes","No")</f>
        <v>No</v>
      </c>
      <c r="AK47">
        <f>LEN(TwitterClean[[#This Row],[description]])</f>
        <v>200</v>
      </c>
      <c r="AL47" t="str">
        <f>IF(TwitterClean[[#This Row],[followers]]&lt;100000,"&lt;100K",IF(TwitterClean[[#This Row],[followers]]&lt;1000000,"100K-1M",IF(TwitterClean[[#This Row],[followers]]&lt;10000000,"1M-10M","10M+")))</f>
        <v>10M+</v>
      </c>
    </row>
    <row r="48" spans="1:38">
      <c r="A48">
        <v>1.8682858177239578E+18</v>
      </c>
      <c r="B48" t="s">
        <v>1363</v>
      </c>
      <c r="C48" t="s">
        <v>1364</v>
      </c>
      <c r="D48" t="s">
        <v>4429</v>
      </c>
      <c r="E48" t="s">
        <v>4430</v>
      </c>
      <c r="F48" t="s">
        <v>29</v>
      </c>
      <c r="G48" t="s">
        <v>4431</v>
      </c>
      <c r="H48" t="s">
        <v>29</v>
      </c>
      <c r="I48">
        <v>14</v>
      </c>
      <c r="J48">
        <v>73</v>
      </c>
      <c r="K48">
        <v>919</v>
      </c>
      <c r="L48">
        <v>19752</v>
      </c>
      <c r="M48" t="s">
        <v>52</v>
      </c>
      <c r="N48" t="s">
        <v>1369</v>
      </c>
      <c r="O48">
        <v>462262</v>
      </c>
      <c r="P48" t="s">
        <v>1370</v>
      </c>
      <c r="Q48">
        <v>16271</v>
      </c>
      <c r="R48" t="s">
        <v>1371</v>
      </c>
      <c r="S48">
        <v>38</v>
      </c>
      <c r="T48" t="b">
        <v>0</v>
      </c>
      <c r="U48">
        <v>14</v>
      </c>
      <c r="V48">
        <v>8</v>
      </c>
      <c r="W48" t="s">
        <v>35</v>
      </c>
      <c r="X48" t="s">
        <v>29</v>
      </c>
      <c r="Y48" t="s">
        <v>4432</v>
      </c>
      <c r="Z48" t="s">
        <v>37</v>
      </c>
      <c r="AA48">
        <f>TwitterClean[[#This Row],[likes]]+TwitterClean[[#This Row],[replies]]+TwitterClean[[#This Row],[reposts]]+TwitterClean[[#This Row],[quotes]]+TwitterClean[[#This Row],[bookmarks]]</f>
        <v>1028</v>
      </c>
      <c r="AB48" s="1">
        <f>TwitterClean[[#This Row],[Total_Engagements]]/TwitterClean[[#This Row],[views]]</f>
        <v>5.2045362494937221E-2</v>
      </c>
      <c r="AC48" s="3">
        <f>DATEVALUE(MID(TwitterClean[[#This Row],[date_posted]],2,10))</f>
        <v>45641</v>
      </c>
      <c r="AD48">
        <f>TIMEVALUE(MID(TwitterClean[[#This Row],[date_posted]],13,8))</f>
        <v>0.55814814814814817</v>
      </c>
      <c r="AE48" s="3" t="str">
        <f>TEXT(TwitterClean[[#This Row],[Post_Date]],"dddd")</f>
        <v>Sunday</v>
      </c>
      <c r="AF48">
        <f>HOUR(TwitterClean[[#This Row],[Post_Time]])</f>
        <v>13</v>
      </c>
      <c r="AG48" t="str">
        <f>IF(TwitterClean[[#This Row],[videos]]="Null","No","Yes")</f>
        <v>Yes</v>
      </c>
      <c r="AH48" t="str">
        <f>IF(TwitterClean[[#This Row],[photos]]="null","No","Yes")</f>
        <v>No</v>
      </c>
      <c r="AI48" t="str">
        <f>IF(TwitterClean[[#This Row],[hashtags]]="null","No","Yes")</f>
        <v>Yes</v>
      </c>
      <c r="AJ48" t="str">
        <f>IF(TwitterClean[[#This Row],[external_url]]="null","Yes","No")</f>
        <v>No</v>
      </c>
      <c r="AK48">
        <f>LEN(TwitterClean[[#This Row],[description]])</f>
        <v>54</v>
      </c>
      <c r="AL48" t="str">
        <f>IF(TwitterClean[[#This Row],[followers]]&lt;100000,"&lt;100K",IF(TwitterClean[[#This Row],[followers]]&lt;1000000,"100K-1M",IF(TwitterClean[[#This Row],[followers]]&lt;10000000,"1M-10M","10M+")))</f>
        <v>100K-1M</v>
      </c>
    </row>
    <row r="49" spans="1:38">
      <c r="A49">
        <v>1.8682420948691108E+18</v>
      </c>
      <c r="B49" t="s">
        <v>1058</v>
      </c>
      <c r="C49" t="s">
        <v>1059</v>
      </c>
      <c r="D49" t="s">
        <v>1060</v>
      </c>
      <c r="E49" t="s">
        <v>1061</v>
      </c>
      <c r="F49" t="s">
        <v>1062</v>
      </c>
      <c r="G49" t="s">
        <v>1063</v>
      </c>
      <c r="H49" t="s">
        <v>1064</v>
      </c>
      <c r="I49">
        <v>21</v>
      </c>
      <c r="J49">
        <v>195</v>
      </c>
      <c r="K49">
        <v>2978</v>
      </c>
      <c r="L49">
        <v>63300</v>
      </c>
      <c r="M49" t="s">
        <v>52</v>
      </c>
      <c r="N49" t="s">
        <v>1065</v>
      </c>
      <c r="O49">
        <v>1754361</v>
      </c>
      <c r="P49" t="s">
        <v>1066</v>
      </c>
      <c r="Q49">
        <v>35513</v>
      </c>
      <c r="R49" t="s">
        <v>1067</v>
      </c>
      <c r="S49">
        <v>313</v>
      </c>
      <c r="T49" t="b">
        <v>0</v>
      </c>
      <c r="U49">
        <v>17</v>
      </c>
      <c r="V49">
        <v>28</v>
      </c>
      <c r="W49" t="s">
        <v>35</v>
      </c>
      <c r="X49" t="s">
        <v>29</v>
      </c>
      <c r="Y49" t="s">
        <v>29</v>
      </c>
      <c r="Z49" t="s">
        <v>37</v>
      </c>
      <c r="AA49">
        <f>TwitterClean[[#This Row],[likes]]+TwitterClean[[#This Row],[replies]]+TwitterClean[[#This Row],[reposts]]+TwitterClean[[#This Row],[quotes]]+TwitterClean[[#This Row],[bookmarks]]</f>
        <v>3239</v>
      </c>
      <c r="AB49" s="1">
        <f>TwitterClean[[#This Row],[Total_Engagements]]/TwitterClean[[#This Row],[views]]</f>
        <v>5.1169036334913112E-2</v>
      </c>
      <c r="AC49" s="3">
        <f>DATEVALUE(MID(TwitterClean[[#This Row],[date_posted]],2,10))</f>
        <v>45641</v>
      </c>
      <c r="AD49">
        <f>TIMEVALUE(MID(TwitterClean[[#This Row],[date_posted]],13,8))</f>
        <v>0.4375</v>
      </c>
      <c r="AE49" s="3" t="str">
        <f>TEXT(TwitterClean[[#This Row],[Post_Date]],"dddd")</f>
        <v>Sunday</v>
      </c>
      <c r="AF49">
        <f>HOUR(TwitterClean[[#This Row],[Post_Time]])</f>
        <v>10</v>
      </c>
      <c r="AG49" t="str">
        <f>IF(TwitterClean[[#This Row],[videos]]="Null","No","Yes")</f>
        <v>No</v>
      </c>
      <c r="AH49" t="str">
        <f>IF(TwitterClean[[#This Row],[photos]]="null","No","Yes")</f>
        <v>Yes</v>
      </c>
      <c r="AI49" t="str">
        <f>IF(TwitterClean[[#This Row],[hashtags]]="null","No","Yes")</f>
        <v>Yes</v>
      </c>
      <c r="AJ49" t="str">
        <f>IF(TwitterClean[[#This Row],[external_url]]="null","Yes","No")</f>
        <v>No</v>
      </c>
      <c r="AK49">
        <f>LEN(TwitterClean[[#This Row],[description]])</f>
        <v>73</v>
      </c>
      <c r="AL49" t="str">
        <f>IF(TwitterClean[[#This Row],[followers]]&lt;100000,"&lt;100K",IF(TwitterClean[[#This Row],[followers]]&lt;1000000,"100K-1M",IF(TwitterClean[[#This Row],[followers]]&lt;10000000,"1M-10M","10M+")))</f>
        <v>1M-10M</v>
      </c>
    </row>
    <row r="50" spans="1:38">
      <c r="A50">
        <v>1.7795603888597609E+18</v>
      </c>
      <c r="B50" t="s">
        <v>450</v>
      </c>
      <c r="C50" t="s">
        <v>451</v>
      </c>
      <c r="D50" t="s">
        <v>452</v>
      </c>
      <c r="E50" t="s">
        <v>453</v>
      </c>
      <c r="F50" t="s">
        <v>454</v>
      </c>
      <c r="G50" t="s">
        <v>455</v>
      </c>
      <c r="H50" t="s">
        <v>456</v>
      </c>
      <c r="I50">
        <v>2645</v>
      </c>
      <c r="J50">
        <v>48199</v>
      </c>
      <c r="K50">
        <v>375518</v>
      </c>
      <c r="L50">
        <v>8521649</v>
      </c>
      <c r="M50" t="s">
        <v>52</v>
      </c>
      <c r="N50" t="s">
        <v>29</v>
      </c>
      <c r="O50">
        <v>22924916</v>
      </c>
      <c r="P50" t="s">
        <v>457</v>
      </c>
      <c r="Q50">
        <v>52582</v>
      </c>
      <c r="R50" t="s">
        <v>458</v>
      </c>
      <c r="S50">
        <v>2602</v>
      </c>
      <c r="T50" t="b">
        <v>0</v>
      </c>
      <c r="U50">
        <v>4977</v>
      </c>
      <c r="V50">
        <v>2337</v>
      </c>
      <c r="W50" t="s">
        <v>35</v>
      </c>
      <c r="X50" t="s">
        <v>29</v>
      </c>
      <c r="Y50" t="s">
        <v>29</v>
      </c>
      <c r="Z50" t="s">
        <v>37</v>
      </c>
      <c r="AA50">
        <f>TwitterClean[[#This Row],[likes]]+TwitterClean[[#This Row],[replies]]+TwitterClean[[#This Row],[reposts]]+TwitterClean[[#This Row],[quotes]]+TwitterClean[[#This Row],[bookmarks]]</f>
        <v>433676</v>
      </c>
      <c r="AB50" s="1">
        <f>TwitterClean[[#This Row],[Total_Engagements]]/TwitterClean[[#This Row],[views]]</f>
        <v>5.0891089271571738E-2</v>
      </c>
      <c r="AC50" s="3">
        <f>DATEVALUE(MID(TwitterClean[[#This Row],[date_posted]],2,10))</f>
        <v>45396</v>
      </c>
      <c r="AD50">
        <f>TIMEVALUE(MID(TwitterClean[[#This Row],[date_posted]],13,8))</f>
        <v>0.72260416666666671</v>
      </c>
      <c r="AE50" s="3" t="str">
        <f>TEXT(TwitterClean[[#This Row],[Post_Date]],"dddd")</f>
        <v>Sunday</v>
      </c>
      <c r="AF50">
        <f>HOUR(TwitterClean[[#This Row],[Post_Time]])</f>
        <v>17</v>
      </c>
      <c r="AG50" t="str">
        <f>IF(TwitterClean[[#This Row],[videos]]="Null","No","Yes")</f>
        <v>No</v>
      </c>
      <c r="AH50" t="str">
        <f>IF(TwitterClean[[#This Row],[photos]]="null","No","Yes")</f>
        <v>Yes</v>
      </c>
      <c r="AI50" t="str">
        <f>IF(TwitterClean[[#This Row],[hashtags]]="null","No","Yes")</f>
        <v>No</v>
      </c>
      <c r="AJ50" t="str">
        <f>IF(TwitterClean[[#This Row],[external_url]]="null","Yes","No")</f>
        <v>No</v>
      </c>
      <c r="AK50">
        <f>LEN(TwitterClean[[#This Row],[description]])</f>
        <v>236</v>
      </c>
      <c r="AL50" t="str">
        <f>IF(TwitterClean[[#This Row],[followers]]&lt;100000,"&lt;100K",IF(TwitterClean[[#This Row],[followers]]&lt;1000000,"100K-1M",IF(TwitterClean[[#This Row],[followers]]&lt;10000000,"1M-10M","10M+")))</f>
        <v>10M+</v>
      </c>
    </row>
    <row r="51" spans="1:38">
      <c r="A51">
        <v>1.8683637911693972E+18</v>
      </c>
      <c r="B51" t="s">
        <v>290</v>
      </c>
      <c r="C51" t="s">
        <v>291</v>
      </c>
      <c r="D51" t="s">
        <v>1026</v>
      </c>
      <c r="E51" t="s">
        <v>1027</v>
      </c>
      <c r="F51" t="s">
        <v>1028</v>
      </c>
      <c r="G51" t="s">
        <v>1029</v>
      </c>
      <c r="H51" t="s">
        <v>29</v>
      </c>
      <c r="I51">
        <v>5</v>
      </c>
      <c r="J51">
        <v>119</v>
      </c>
      <c r="K51">
        <v>1484</v>
      </c>
      <c r="L51">
        <v>32990</v>
      </c>
      <c r="M51" t="s">
        <v>52</v>
      </c>
      <c r="N51" t="s">
        <v>305</v>
      </c>
      <c r="O51">
        <v>1906482</v>
      </c>
      <c r="P51" t="s">
        <v>298</v>
      </c>
      <c r="Q51">
        <v>124666</v>
      </c>
      <c r="R51" t="s">
        <v>299</v>
      </c>
      <c r="S51">
        <v>432</v>
      </c>
      <c r="T51" t="b">
        <v>0</v>
      </c>
      <c r="U51">
        <v>4</v>
      </c>
      <c r="V51">
        <v>5</v>
      </c>
      <c r="W51" t="s">
        <v>35</v>
      </c>
      <c r="X51" t="s">
        <v>29</v>
      </c>
      <c r="Y51" t="s">
        <v>29</v>
      </c>
      <c r="Z51" t="s">
        <v>37</v>
      </c>
      <c r="AA51">
        <f>TwitterClean[[#This Row],[likes]]+TwitterClean[[#This Row],[replies]]+TwitterClean[[#This Row],[reposts]]+TwitterClean[[#This Row],[quotes]]+TwitterClean[[#This Row],[bookmarks]]</f>
        <v>1617</v>
      </c>
      <c r="AB51" s="1">
        <f>TwitterClean[[#This Row],[Total_Engagements]]/TwitterClean[[#This Row],[views]]</f>
        <v>4.9014852985753261E-2</v>
      </c>
      <c r="AC51" s="3">
        <f>DATEVALUE(MID(TwitterClean[[#This Row],[date_posted]],2,10))</f>
        <v>45641</v>
      </c>
      <c r="AD51">
        <f>TIMEVALUE(MID(TwitterClean[[#This Row],[date_posted]],13,8))</f>
        <v>0.77331018518518524</v>
      </c>
      <c r="AE51" s="3" t="str">
        <f>TEXT(TwitterClean[[#This Row],[Post_Date]],"dddd")</f>
        <v>Sunday</v>
      </c>
      <c r="AF51">
        <f>HOUR(TwitterClean[[#This Row],[Post_Time]])</f>
        <v>18</v>
      </c>
      <c r="AG51" t="str">
        <f>IF(TwitterClean[[#This Row],[videos]]="Null","No","Yes")</f>
        <v>No</v>
      </c>
      <c r="AH51" t="str">
        <f>IF(TwitterClean[[#This Row],[photos]]="null","No","Yes")</f>
        <v>Yes</v>
      </c>
      <c r="AI51" t="str">
        <f>IF(TwitterClean[[#This Row],[hashtags]]="null","No","Yes")</f>
        <v>Yes</v>
      </c>
      <c r="AJ51" t="str">
        <f>IF(TwitterClean[[#This Row],[external_url]]="null","Yes","No")</f>
        <v>No</v>
      </c>
      <c r="AK51">
        <f>LEN(TwitterClean[[#This Row],[description]])</f>
        <v>33</v>
      </c>
      <c r="AL51" t="str">
        <f>IF(TwitterClean[[#This Row],[followers]]&lt;100000,"&lt;100K",IF(TwitterClean[[#This Row],[followers]]&lt;1000000,"100K-1M",IF(TwitterClean[[#This Row],[followers]]&lt;10000000,"1M-10M","10M+")))</f>
        <v>1M-10M</v>
      </c>
    </row>
    <row r="52" spans="1:38">
      <c r="A52">
        <v>1.8682993587827999E+18</v>
      </c>
      <c r="B52" t="s">
        <v>1656</v>
      </c>
      <c r="C52" t="s">
        <v>1657</v>
      </c>
      <c r="D52" t="s">
        <v>2041</v>
      </c>
      <c r="E52" t="s">
        <v>2042</v>
      </c>
      <c r="F52" t="s">
        <v>29</v>
      </c>
      <c r="G52" t="s">
        <v>2043</v>
      </c>
      <c r="H52" t="s">
        <v>29</v>
      </c>
      <c r="I52">
        <v>193</v>
      </c>
      <c r="J52">
        <v>71</v>
      </c>
      <c r="K52">
        <v>847</v>
      </c>
      <c r="L52">
        <v>23155</v>
      </c>
      <c r="M52" t="s">
        <v>2044</v>
      </c>
      <c r="N52" t="s">
        <v>29</v>
      </c>
      <c r="O52">
        <v>2819409</v>
      </c>
      <c r="P52" t="s">
        <v>1662</v>
      </c>
      <c r="Q52">
        <v>286269</v>
      </c>
      <c r="R52" t="s">
        <v>1663</v>
      </c>
      <c r="S52">
        <v>4</v>
      </c>
      <c r="T52" t="b">
        <v>0</v>
      </c>
      <c r="U52">
        <v>19</v>
      </c>
      <c r="V52">
        <v>3</v>
      </c>
      <c r="W52" t="s">
        <v>35</v>
      </c>
      <c r="X52" t="s">
        <v>2045</v>
      </c>
      <c r="Y52" t="s">
        <v>29</v>
      </c>
      <c r="Z52" t="s">
        <v>37</v>
      </c>
      <c r="AA52">
        <f>TwitterClean[[#This Row],[likes]]+TwitterClean[[#This Row],[replies]]+TwitterClean[[#This Row],[reposts]]+TwitterClean[[#This Row],[quotes]]+TwitterClean[[#This Row],[bookmarks]]</f>
        <v>1133</v>
      </c>
      <c r="AB52" s="1">
        <f>TwitterClean[[#This Row],[Total_Engagements]]/TwitterClean[[#This Row],[views]]</f>
        <v>4.8931116389548696E-2</v>
      </c>
      <c r="AC52" s="3">
        <f>DATEVALUE(MID(TwitterClean[[#This Row],[date_posted]],2,10))</f>
        <v>45641</v>
      </c>
      <c r="AD52">
        <f>TIMEVALUE(MID(TwitterClean[[#This Row],[date_posted]],13,8))</f>
        <v>0.59552083333333339</v>
      </c>
      <c r="AE52" s="3" t="str">
        <f>TEXT(TwitterClean[[#This Row],[Post_Date]],"dddd")</f>
        <v>Sunday</v>
      </c>
      <c r="AF52">
        <f>HOUR(TwitterClean[[#This Row],[Post_Time]])</f>
        <v>14</v>
      </c>
      <c r="AG52" t="str">
        <f>IF(TwitterClean[[#This Row],[videos]]="Null","No","Yes")</f>
        <v>No</v>
      </c>
      <c r="AH52" t="str">
        <f>IF(TwitterClean[[#This Row],[photos]]="null","No","Yes")</f>
        <v>No</v>
      </c>
      <c r="AI52" t="str">
        <f>IF(TwitterClean[[#This Row],[hashtags]]="null","No","Yes")</f>
        <v>No</v>
      </c>
      <c r="AJ52" t="str">
        <f>IF(TwitterClean[[#This Row],[external_url]]="null","Yes","No")</f>
        <v>No</v>
      </c>
      <c r="AK52">
        <f>LEN(TwitterClean[[#This Row],[description]])</f>
        <v>43</v>
      </c>
      <c r="AL52" t="str">
        <f>IF(TwitterClean[[#This Row],[followers]]&lt;100000,"&lt;100K",IF(TwitterClean[[#This Row],[followers]]&lt;1000000,"100K-1M",IF(TwitterClean[[#This Row],[followers]]&lt;10000000,"1M-10M","10M+")))</f>
        <v>1M-10M</v>
      </c>
    </row>
    <row r="53" spans="1:38">
      <c r="A53">
        <v>1.868309777727554E+18</v>
      </c>
      <c r="B53" t="s">
        <v>1656</v>
      </c>
      <c r="C53" t="s">
        <v>1657</v>
      </c>
      <c r="D53" t="s">
        <v>1858</v>
      </c>
      <c r="E53" t="s">
        <v>1859</v>
      </c>
      <c r="F53" t="s">
        <v>29</v>
      </c>
      <c r="G53" t="s">
        <v>1860</v>
      </c>
      <c r="H53" t="s">
        <v>29</v>
      </c>
      <c r="I53">
        <v>327</v>
      </c>
      <c r="J53">
        <v>236</v>
      </c>
      <c r="K53">
        <v>1026</v>
      </c>
      <c r="L53">
        <v>33354</v>
      </c>
      <c r="M53" t="s">
        <v>52</v>
      </c>
      <c r="N53" t="s">
        <v>1765</v>
      </c>
      <c r="O53">
        <v>2819409</v>
      </c>
      <c r="P53" t="s">
        <v>1662</v>
      </c>
      <c r="Q53">
        <v>286269</v>
      </c>
      <c r="R53" t="s">
        <v>1663</v>
      </c>
      <c r="S53">
        <v>4</v>
      </c>
      <c r="T53" t="b">
        <v>0</v>
      </c>
      <c r="U53">
        <v>22</v>
      </c>
      <c r="V53">
        <v>16</v>
      </c>
      <c r="W53" t="s">
        <v>35</v>
      </c>
      <c r="X53" t="s">
        <v>29</v>
      </c>
      <c r="Y53" t="s">
        <v>1861</v>
      </c>
      <c r="Z53" t="s">
        <v>37</v>
      </c>
      <c r="AA53">
        <f>TwitterClean[[#This Row],[likes]]+TwitterClean[[#This Row],[replies]]+TwitterClean[[#This Row],[reposts]]+TwitterClean[[#This Row],[quotes]]+TwitterClean[[#This Row],[bookmarks]]</f>
        <v>1627</v>
      </c>
      <c r="AB53" s="1">
        <f>TwitterClean[[#This Row],[Total_Engagements]]/TwitterClean[[#This Row],[views]]</f>
        <v>4.877975655093842E-2</v>
      </c>
      <c r="AC53" s="3">
        <f>DATEVALUE(MID(TwitterClean[[#This Row],[date_posted]],2,10))</f>
        <v>45641</v>
      </c>
      <c r="AD53">
        <f>TIMEVALUE(MID(TwitterClean[[#This Row],[date_posted]],13,8))</f>
        <v>0.62427083333333333</v>
      </c>
      <c r="AE53" s="3" t="str">
        <f>TEXT(TwitterClean[[#This Row],[Post_Date]],"dddd")</f>
        <v>Sunday</v>
      </c>
      <c r="AF53">
        <f>HOUR(TwitterClean[[#This Row],[Post_Time]])</f>
        <v>14</v>
      </c>
      <c r="AG53" t="str">
        <f>IF(TwitterClean[[#This Row],[videos]]="Null","No","Yes")</f>
        <v>Yes</v>
      </c>
      <c r="AH53" t="str">
        <f>IF(TwitterClean[[#This Row],[photos]]="null","No","Yes")</f>
        <v>No</v>
      </c>
      <c r="AI53" t="str">
        <f>IF(TwitterClean[[#This Row],[hashtags]]="null","No","Yes")</f>
        <v>Yes</v>
      </c>
      <c r="AJ53" t="str">
        <f>IF(TwitterClean[[#This Row],[external_url]]="null","Yes","No")</f>
        <v>No</v>
      </c>
      <c r="AK53">
        <f>LEN(TwitterClean[[#This Row],[description]])</f>
        <v>254</v>
      </c>
      <c r="AL53" t="str">
        <f>IF(TwitterClean[[#This Row],[followers]]&lt;100000,"&lt;100K",IF(TwitterClean[[#This Row],[followers]]&lt;1000000,"100K-1M",IF(TwitterClean[[#This Row],[followers]]&lt;10000000,"1M-10M","10M+")))</f>
        <v>1M-10M</v>
      </c>
    </row>
    <row r="54" spans="1:38">
      <c r="A54">
        <v>1.8684232901566221E+18</v>
      </c>
      <c r="B54" t="s">
        <v>1794</v>
      </c>
      <c r="C54" t="s">
        <v>1795</v>
      </c>
      <c r="D54" t="s">
        <v>1796</v>
      </c>
      <c r="E54" t="s">
        <v>1797</v>
      </c>
      <c r="F54" t="s">
        <v>29</v>
      </c>
      <c r="G54" t="s">
        <v>1798</v>
      </c>
      <c r="H54" t="s">
        <v>29</v>
      </c>
      <c r="I54">
        <v>50</v>
      </c>
      <c r="J54">
        <v>34</v>
      </c>
      <c r="K54">
        <v>388</v>
      </c>
      <c r="L54">
        <v>10053</v>
      </c>
      <c r="M54" t="s">
        <v>1799</v>
      </c>
      <c r="N54" t="s">
        <v>29</v>
      </c>
      <c r="O54">
        <v>509204</v>
      </c>
      <c r="P54" t="s">
        <v>1800</v>
      </c>
      <c r="Q54">
        <v>147136</v>
      </c>
      <c r="R54" t="s">
        <v>1801</v>
      </c>
      <c r="S54">
        <v>2446</v>
      </c>
      <c r="T54" t="b">
        <v>0</v>
      </c>
      <c r="U54">
        <v>12</v>
      </c>
      <c r="V54">
        <v>5</v>
      </c>
      <c r="W54" t="s">
        <v>35</v>
      </c>
      <c r="X54" t="s">
        <v>1802</v>
      </c>
      <c r="Y54" t="s">
        <v>29</v>
      </c>
      <c r="Z54" t="s">
        <v>37</v>
      </c>
      <c r="AA54">
        <f>TwitterClean[[#This Row],[likes]]+TwitterClean[[#This Row],[replies]]+TwitterClean[[#This Row],[reposts]]+TwitterClean[[#This Row],[quotes]]+TwitterClean[[#This Row],[bookmarks]]</f>
        <v>489</v>
      </c>
      <c r="AB54" s="1">
        <f>TwitterClean[[#This Row],[Total_Engagements]]/TwitterClean[[#This Row],[views]]</f>
        <v>4.8642196359295731E-2</v>
      </c>
      <c r="AC54" s="3">
        <f>DATEVALUE(MID(TwitterClean[[#This Row],[date_posted]],2,10))</f>
        <v>45641</v>
      </c>
      <c r="AD54">
        <f>TIMEVALUE(MID(TwitterClean[[#This Row],[date_posted]],13,8))</f>
        <v>0.9375</v>
      </c>
      <c r="AE54" s="3" t="str">
        <f>TEXT(TwitterClean[[#This Row],[Post_Date]],"dddd")</f>
        <v>Sunday</v>
      </c>
      <c r="AF54">
        <f>HOUR(TwitterClean[[#This Row],[Post_Time]])</f>
        <v>22</v>
      </c>
      <c r="AG54" t="str">
        <f>IF(TwitterClean[[#This Row],[videos]]="Null","No","Yes")</f>
        <v>No</v>
      </c>
      <c r="AH54" t="str">
        <f>IF(TwitterClean[[#This Row],[photos]]="null","No","Yes")</f>
        <v>No</v>
      </c>
      <c r="AI54" t="str">
        <f>IF(TwitterClean[[#This Row],[hashtags]]="null","No","Yes")</f>
        <v>No</v>
      </c>
      <c r="AJ54" t="str">
        <f>IF(TwitterClean[[#This Row],[external_url]]="null","Yes","No")</f>
        <v>No</v>
      </c>
      <c r="AK54">
        <f>LEN(TwitterClean[[#This Row],[description]])</f>
        <v>78</v>
      </c>
      <c r="AL54" t="str">
        <f>IF(TwitterClean[[#This Row],[followers]]&lt;100000,"&lt;100K",IF(TwitterClean[[#This Row],[followers]]&lt;1000000,"100K-1M",IF(TwitterClean[[#This Row],[followers]]&lt;10000000,"1M-10M","10M+")))</f>
        <v>100K-1M</v>
      </c>
    </row>
    <row r="55" spans="1:38">
      <c r="A55">
        <v>1.868347287845409E+18</v>
      </c>
      <c r="B55" t="s">
        <v>1363</v>
      </c>
      <c r="C55" t="s">
        <v>1364</v>
      </c>
      <c r="D55" t="s">
        <v>1637</v>
      </c>
      <c r="E55" t="s">
        <v>1638</v>
      </c>
      <c r="F55" t="s">
        <v>1639</v>
      </c>
      <c r="G55" t="s">
        <v>1640</v>
      </c>
      <c r="H55" t="s">
        <v>29</v>
      </c>
      <c r="I55">
        <v>10</v>
      </c>
      <c r="J55">
        <v>54</v>
      </c>
      <c r="K55">
        <v>842</v>
      </c>
      <c r="L55">
        <v>18769</v>
      </c>
      <c r="M55" t="s">
        <v>52</v>
      </c>
      <c r="N55" t="s">
        <v>1369</v>
      </c>
      <c r="O55">
        <v>462263</v>
      </c>
      <c r="P55" t="s">
        <v>1370</v>
      </c>
      <c r="Q55">
        <v>16271</v>
      </c>
      <c r="R55" t="s">
        <v>1371</v>
      </c>
      <c r="S55">
        <v>38</v>
      </c>
      <c r="T55" t="b">
        <v>0</v>
      </c>
      <c r="U55">
        <v>3</v>
      </c>
      <c r="V55">
        <v>2</v>
      </c>
      <c r="W55" t="s">
        <v>35</v>
      </c>
      <c r="X55" t="s">
        <v>29</v>
      </c>
      <c r="Y55" t="s">
        <v>29</v>
      </c>
      <c r="Z55" t="s">
        <v>37</v>
      </c>
      <c r="AA55">
        <f>TwitterClean[[#This Row],[likes]]+TwitterClean[[#This Row],[replies]]+TwitterClean[[#This Row],[reposts]]+TwitterClean[[#This Row],[quotes]]+TwitterClean[[#This Row],[bookmarks]]</f>
        <v>911</v>
      </c>
      <c r="AB55" s="1">
        <f>TwitterClean[[#This Row],[Total_Engagements]]/TwitterClean[[#This Row],[views]]</f>
        <v>4.8537482018221535E-2</v>
      </c>
      <c r="AC55" s="3">
        <f>DATEVALUE(MID(TwitterClean[[#This Row],[date_posted]],2,10))</f>
        <v>45641</v>
      </c>
      <c r="AD55">
        <f>TIMEVALUE(MID(TwitterClean[[#This Row],[date_posted]],13,8))</f>
        <v>0.72777777777777775</v>
      </c>
      <c r="AE55" s="3" t="str">
        <f>TEXT(TwitterClean[[#This Row],[Post_Date]],"dddd")</f>
        <v>Sunday</v>
      </c>
      <c r="AF55">
        <f>HOUR(TwitterClean[[#This Row],[Post_Time]])</f>
        <v>17</v>
      </c>
      <c r="AG55" t="str">
        <f>IF(TwitterClean[[#This Row],[videos]]="Null","No","Yes")</f>
        <v>No</v>
      </c>
      <c r="AH55" t="str">
        <f>IF(TwitterClean[[#This Row],[photos]]="null","No","Yes")</f>
        <v>Yes</v>
      </c>
      <c r="AI55" t="str">
        <f>IF(TwitterClean[[#This Row],[hashtags]]="null","No","Yes")</f>
        <v>Yes</v>
      </c>
      <c r="AJ55" t="str">
        <f>IF(TwitterClean[[#This Row],[external_url]]="null","Yes","No")</f>
        <v>No</v>
      </c>
      <c r="AK55">
        <f>LEN(TwitterClean[[#This Row],[description]])</f>
        <v>41</v>
      </c>
      <c r="AL55" t="str">
        <f>IF(TwitterClean[[#This Row],[followers]]&lt;100000,"&lt;100K",IF(TwitterClean[[#This Row],[followers]]&lt;1000000,"100K-1M",IF(TwitterClean[[#This Row],[followers]]&lt;10000000,"1M-10M","10M+")))</f>
        <v>100K-1M</v>
      </c>
    </row>
    <row r="56" spans="1:38">
      <c r="A56">
        <v>1.8684061759154668E+18</v>
      </c>
      <c r="B56" t="s">
        <v>1280</v>
      </c>
      <c r="C56" t="s">
        <v>1281</v>
      </c>
      <c r="D56" t="s">
        <v>1346</v>
      </c>
      <c r="E56" t="s">
        <v>1347</v>
      </c>
      <c r="F56" t="s">
        <v>1348</v>
      </c>
      <c r="G56" t="s">
        <v>1349</v>
      </c>
      <c r="H56" t="s">
        <v>29</v>
      </c>
      <c r="I56">
        <v>116</v>
      </c>
      <c r="J56">
        <v>1046</v>
      </c>
      <c r="K56">
        <v>12098</v>
      </c>
      <c r="L56">
        <v>277577</v>
      </c>
      <c r="M56" t="s">
        <v>52</v>
      </c>
      <c r="N56" t="s">
        <v>1286</v>
      </c>
      <c r="O56">
        <v>38439077</v>
      </c>
      <c r="P56" t="s">
        <v>1287</v>
      </c>
      <c r="Q56">
        <v>92455</v>
      </c>
      <c r="R56" t="s">
        <v>1288</v>
      </c>
      <c r="S56">
        <v>145</v>
      </c>
      <c r="T56" t="b">
        <v>0</v>
      </c>
      <c r="U56">
        <v>37</v>
      </c>
      <c r="V56">
        <v>68</v>
      </c>
      <c r="W56" t="s">
        <v>35</v>
      </c>
      <c r="X56" t="s">
        <v>29</v>
      </c>
      <c r="Y56" t="s">
        <v>29</v>
      </c>
      <c r="Z56" t="s">
        <v>37</v>
      </c>
      <c r="AA56">
        <f>TwitterClean[[#This Row],[likes]]+TwitterClean[[#This Row],[replies]]+TwitterClean[[#This Row],[reposts]]+TwitterClean[[#This Row],[quotes]]+TwitterClean[[#This Row],[bookmarks]]</f>
        <v>13365</v>
      </c>
      <c r="AB56" s="1">
        <f>TwitterClean[[#This Row],[Total_Engagements]]/TwitterClean[[#This Row],[views]]</f>
        <v>4.8148801954052391E-2</v>
      </c>
      <c r="AC56" s="3">
        <f>DATEVALUE(MID(TwitterClean[[#This Row],[date_posted]],2,10))</f>
        <v>45641</v>
      </c>
      <c r="AD56">
        <f>TIMEVALUE(MID(TwitterClean[[#This Row],[date_posted]],13,8))</f>
        <v>0.89027777777777772</v>
      </c>
      <c r="AE56" s="3" t="str">
        <f>TEXT(TwitterClean[[#This Row],[Post_Date]],"dddd")</f>
        <v>Sunday</v>
      </c>
      <c r="AF56">
        <f>HOUR(TwitterClean[[#This Row],[Post_Time]])</f>
        <v>21</v>
      </c>
      <c r="AG56" t="str">
        <f>IF(TwitterClean[[#This Row],[videos]]="Null","No","Yes")</f>
        <v>No</v>
      </c>
      <c r="AH56" t="str">
        <f>IF(TwitterClean[[#This Row],[photos]]="null","No","Yes")</f>
        <v>Yes</v>
      </c>
      <c r="AI56" t="str">
        <f>IF(TwitterClean[[#This Row],[hashtags]]="null","No","Yes")</f>
        <v>Yes</v>
      </c>
      <c r="AJ56" t="str">
        <f>IF(TwitterClean[[#This Row],[external_url]]="null","Yes","No")</f>
        <v>No</v>
      </c>
      <c r="AK56">
        <f>LEN(TwitterClean[[#This Row],[description]])</f>
        <v>65</v>
      </c>
      <c r="AL56" t="str">
        <f>IF(TwitterClean[[#This Row],[followers]]&lt;100000,"&lt;100K",IF(TwitterClean[[#This Row],[followers]]&lt;1000000,"100K-1M",IF(TwitterClean[[#This Row],[followers]]&lt;10000000,"1M-10M","10M+")))</f>
        <v>10M+</v>
      </c>
    </row>
    <row r="57" spans="1:38">
      <c r="A57">
        <v>1.8683812616955087E+18</v>
      </c>
      <c r="B57" t="s">
        <v>333</v>
      </c>
      <c r="C57" t="s">
        <v>334</v>
      </c>
      <c r="D57" t="s">
        <v>1160</v>
      </c>
      <c r="E57" t="s">
        <v>871</v>
      </c>
      <c r="F57" t="s">
        <v>1161</v>
      </c>
      <c r="G57" t="s">
        <v>1162</v>
      </c>
      <c r="H57" t="s">
        <v>1163</v>
      </c>
      <c r="I57">
        <v>3</v>
      </c>
      <c r="J57">
        <v>37</v>
      </c>
      <c r="K57">
        <v>455</v>
      </c>
      <c r="L57">
        <v>10513</v>
      </c>
      <c r="M57" t="s">
        <v>52</v>
      </c>
      <c r="N57" t="s">
        <v>340</v>
      </c>
      <c r="O57">
        <v>337839</v>
      </c>
      <c r="P57" t="s">
        <v>341</v>
      </c>
      <c r="Q57">
        <v>57638</v>
      </c>
      <c r="R57" t="s">
        <v>342</v>
      </c>
      <c r="S57">
        <v>587</v>
      </c>
      <c r="T57" t="b">
        <v>0</v>
      </c>
      <c r="U57">
        <v>1</v>
      </c>
      <c r="V57">
        <v>1</v>
      </c>
      <c r="W57" t="s">
        <v>35</v>
      </c>
      <c r="X57" t="s">
        <v>29</v>
      </c>
      <c r="Y57" t="s">
        <v>29</v>
      </c>
      <c r="Z57" t="s">
        <v>37</v>
      </c>
      <c r="AA57">
        <f>TwitterClean[[#This Row],[likes]]+TwitterClean[[#This Row],[replies]]+TwitterClean[[#This Row],[reposts]]+TwitterClean[[#This Row],[quotes]]+TwitterClean[[#This Row],[bookmarks]]</f>
        <v>497</v>
      </c>
      <c r="AB57" s="1">
        <f>TwitterClean[[#This Row],[Total_Engagements]]/TwitterClean[[#This Row],[views]]</f>
        <v>4.7274802625321029E-2</v>
      </c>
      <c r="AC57" s="3">
        <f>DATEVALUE(MID(TwitterClean[[#This Row],[date_posted]],2,10))</f>
        <v>45641</v>
      </c>
      <c r="AD57">
        <f>TIMEVALUE(MID(TwitterClean[[#This Row],[date_posted]],13,8))</f>
        <v>0.82152777777777775</v>
      </c>
      <c r="AE57" s="3" t="str">
        <f>TEXT(TwitterClean[[#This Row],[Post_Date]],"dddd")</f>
        <v>Sunday</v>
      </c>
      <c r="AF57">
        <f>HOUR(TwitterClean[[#This Row],[Post_Time]])</f>
        <v>19</v>
      </c>
      <c r="AG57" t="str">
        <f>IF(TwitterClean[[#This Row],[videos]]="Null","No","Yes")</f>
        <v>No</v>
      </c>
      <c r="AH57" t="str">
        <f>IF(TwitterClean[[#This Row],[photos]]="null","No","Yes")</f>
        <v>Yes</v>
      </c>
      <c r="AI57" t="str">
        <f>IF(TwitterClean[[#This Row],[hashtags]]="null","No","Yes")</f>
        <v>Yes</v>
      </c>
      <c r="AJ57" t="str">
        <f>IF(TwitterClean[[#This Row],[external_url]]="null","Yes","No")</f>
        <v>No</v>
      </c>
      <c r="AK57">
        <f>LEN(TwitterClean[[#This Row],[description]])</f>
        <v>62</v>
      </c>
      <c r="AL57" t="str">
        <f>IF(TwitterClean[[#This Row],[followers]]&lt;100000,"&lt;100K",IF(TwitterClean[[#This Row],[followers]]&lt;1000000,"100K-1M",IF(TwitterClean[[#This Row],[followers]]&lt;10000000,"1M-10M","10M+")))</f>
        <v>100K-1M</v>
      </c>
    </row>
    <row r="58" spans="1:38">
      <c r="A58">
        <v>1.8683611116802586E+18</v>
      </c>
      <c r="B58" t="s">
        <v>3837</v>
      </c>
      <c r="C58" t="s">
        <v>3838</v>
      </c>
      <c r="D58" t="s">
        <v>4635</v>
      </c>
      <c r="E58" t="s">
        <v>4636</v>
      </c>
      <c r="F58" t="s">
        <v>4637</v>
      </c>
      <c r="G58" t="s">
        <v>4638</v>
      </c>
      <c r="H58" t="s">
        <v>29</v>
      </c>
      <c r="I58">
        <v>212</v>
      </c>
      <c r="J58">
        <v>1588</v>
      </c>
      <c r="K58">
        <v>10144</v>
      </c>
      <c r="L58">
        <v>260021</v>
      </c>
      <c r="M58" t="s">
        <v>52</v>
      </c>
      <c r="N58" t="s">
        <v>3843</v>
      </c>
      <c r="O58">
        <v>984256</v>
      </c>
      <c r="P58" t="s">
        <v>3844</v>
      </c>
      <c r="Q58">
        <v>136135</v>
      </c>
      <c r="R58" t="s">
        <v>3845</v>
      </c>
      <c r="S58">
        <v>438</v>
      </c>
      <c r="T58" t="b">
        <v>0</v>
      </c>
      <c r="U58">
        <v>246</v>
      </c>
      <c r="V58">
        <v>41</v>
      </c>
      <c r="W58" t="s">
        <v>35</v>
      </c>
      <c r="X58" t="s">
        <v>29</v>
      </c>
      <c r="Y58" t="s">
        <v>29</v>
      </c>
      <c r="Z58" t="s">
        <v>37</v>
      </c>
      <c r="AA58">
        <f>TwitterClean[[#This Row],[likes]]+TwitterClean[[#This Row],[replies]]+TwitterClean[[#This Row],[reposts]]+TwitterClean[[#This Row],[quotes]]+TwitterClean[[#This Row],[bookmarks]]</f>
        <v>12231</v>
      </c>
      <c r="AB58" s="1">
        <f>TwitterClean[[#This Row],[Total_Engagements]]/TwitterClean[[#This Row],[views]]</f>
        <v>4.7038508428165419E-2</v>
      </c>
      <c r="AC58" s="3">
        <f>DATEVALUE(MID(TwitterClean[[#This Row],[date_posted]],2,10))</f>
        <v>45641</v>
      </c>
      <c r="AD58">
        <f>TIMEVALUE(MID(TwitterClean[[#This Row],[date_posted]],13,8))</f>
        <v>0.7659259259259259</v>
      </c>
      <c r="AE58" s="3" t="str">
        <f>TEXT(TwitterClean[[#This Row],[Post_Date]],"dddd")</f>
        <v>Sunday</v>
      </c>
      <c r="AF58">
        <f>HOUR(TwitterClean[[#This Row],[Post_Time]])</f>
        <v>18</v>
      </c>
      <c r="AG58" t="str">
        <f>IF(TwitterClean[[#This Row],[videos]]="Null","No","Yes")</f>
        <v>No</v>
      </c>
      <c r="AH58" t="str">
        <f>IF(TwitterClean[[#This Row],[photos]]="null","No","Yes")</f>
        <v>Yes</v>
      </c>
      <c r="AI58" t="str">
        <f>IF(TwitterClean[[#This Row],[hashtags]]="null","No","Yes")</f>
        <v>Yes</v>
      </c>
      <c r="AJ58" t="str">
        <f>IF(TwitterClean[[#This Row],[external_url]]="null","Yes","No")</f>
        <v>No</v>
      </c>
      <c r="AK58">
        <f>LEN(TwitterClean[[#This Row],[description]])</f>
        <v>73</v>
      </c>
      <c r="AL58" t="str">
        <f>IF(TwitterClean[[#This Row],[followers]]&lt;100000,"&lt;100K",IF(TwitterClean[[#This Row],[followers]]&lt;1000000,"100K-1M",IF(TwitterClean[[#This Row],[followers]]&lt;10000000,"1M-10M","10M+")))</f>
        <v>100K-1M</v>
      </c>
    </row>
    <row r="59" spans="1:38">
      <c r="A59">
        <v>1.8683857919252687E+18</v>
      </c>
      <c r="B59" t="s">
        <v>1280</v>
      </c>
      <c r="C59" t="s">
        <v>1281</v>
      </c>
      <c r="D59" t="s">
        <v>1538</v>
      </c>
      <c r="E59" t="s">
        <v>1539</v>
      </c>
      <c r="F59" t="s">
        <v>1540</v>
      </c>
      <c r="G59" t="s">
        <v>1541</v>
      </c>
      <c r="H59" t="s">
        <v>29</v>
      </c>
      <c r="I59">
        <v>148</v>
      </c>
      <c r="J59">
        <v>980</v>
      </c>
      <c r="K59">
        <v>10007</v>
      </c>
      <c r="L59">
        <v>238145</v>
      </c>
      <c r="M59" t="s">
        <v>52</v>
      </c>
      <c r="N59" t="s">
        <v>1286</v>
      </c>
      <c r="O59">
        <v>38439078</v>
      </c>
      <c r="P59" t="s">
        <v>1287</v>
      </c>
      <c r="Q59">
        <v>92455</v>
      </c>
      <c r="R59" t="s">
        <v>1288</v>
      </c>
      <c r="S59">
        <v>145</v>
      </c>
      <c r="T59" t="b">
        <v>0</v>
      </c>
      <c r="U59">
        <v>13</v>
      </c>
      <c r="V59">
        <v>47</v>
      </c>
      <c r="W59" t="s">
        <v>35</v>
      </c>
      <c r="X59" t="s">
        <v>29</v>
      </c>
      <c r="Y59" t="s">
        <v>29</v>
      </c>
      <c r="Z59" t="s">
        <v>37</v>
      </c>
      <c r="AA59">
        <f>TwitterClean[[#This Row],[likes]]+TwitterClean[[#This Row],[replies]]+TwitterClean[[#This Row],[reposts]]+TwitterClean[[#This Row],[quotes]]+TwitterClean[[#This Row],[bookmarks]]</f>
        <v>11195</v>
      </c>
      <c r="AB59" s="1">
        <f>TwitterClean[[#This Row],[Total_Engagements]]/TwitterClean[[#This Row],[views]]</f>
        <v>4.7009175082407775E-2</v>
      </c>
      <c r="AC59" s="3">
        <f>DATEVALUE(MID(TwitterClean[[#This Row],[date_posted]],2,10))</f>
        <v>45641</v>
      </c>
      <c r="AD59">
        <f>TIMEVALUE(MID(TwitterClean[[#This Row],[date_posted]],13,8))</f>
        <v>0.83402777777777781</v>
      </c>
      <c r="AE59" s="3" t="str">
        <f>TEXT(TwitterClean[[#This Row],[Post_Date]],"dddd")</f>
        <v>Sunday</v>
      </c>
      <c r="AF59">
        <f>HOUR(TwitterClean[[#This Row],[Post_Time]])</f>
        <v>20</v>
      </c>
      <c r="AG59" t="str">
        <f>IF(TwitterClean[[#This Row],[videos]]="Null","No","Yes")</f>
        <v>No</v>
      </c>
      <c r="AH59" t="str">
        <f>IF(TwitterClean[[#This Row],[photos]]="null","No","Yes")</f>
        <v>Yes</v>
      </c>
      <c r="AI59" t="str">
        <f>IF(TwitterClean[[#This Row],[hashtags]]="null","No","Yes")</f>
        <v>Yes</v>
      </c>
      <c r="AJ59" t="str">
        <f>IF(TwitterClean[[#This Row],[external_url]]="null","Yes","No")</f>
        <v>No</v>
      </c>
      <c r="AK59">
        <f>LEN(TwitterClean[[#This Row],[description]])</f>
        <v>65</v>
      </c>
      <c r="AL59" t="str">
        <f>IF(TwitterClean[[#This Row],[followers]]&lt;100000,"&lt;100K",IF(TwitterClean[[#This Row],[followers]]&lt;1000000,"100K-1M",IF(TwitterClean[[#This Row],[followers]]&lt;10000000,"1M-10M","10M+")))</f>
        <v>10M+</v>
      </c>
    </row>
    <row r="60" spans="1:38">
      <c r="A60">
        <v>1.8684291252007777E+18</v>
      </c>
      <c r="B60" t="s">
        <v>1862</v>
      </c>
      <c r="C60" t="s">
        <v>1863</v>
      </c>
      <c r="D60" t="s">
        <v>2070</v>
      </c>
      <c r="E60" t="s">
        <v>2071</v>
      </c>
      <c r="F60" t="s">
        <v>29</v>
      </c>
      <c r="G60" t="s">
        <v>2072</v>
      </c>
      <c r="H60" t="s">
        <v>1874</v>
      </c>
      <c r="I60">
        <v>19</v>
      </c>
      <c r="J60">
        <v>188</v>
      </c>
      <c r="K60">
        <v>2072</v>
      </c>
      <c r="L60">
        <v>50637</v>
      </c>
      <c r="M60" t="s">
        <v>52</v>
      </c>
      <c r="N60" t="s">
        <v>2073</v>
      </c>
      <c r="O60">
        <v>13492430</v>
      </c>
      <c r="P60" t="s">
        <v>1868</v>
      </c>
      <c r="Q60">
        <v>314515</v>
      </c>
      <c r="R60" t="s">
        <v>1869</v>
      </c>
      <c r="S60">
        <v>708</v>
      </c>
      <c r="T60" t="b">
        <v>0</v>
      </c>
      <c r="U60">
        <v>16</v>
      </c>
      <c r="V60">
        <v>82</v>
      </c>
      <c r="W60" t="s">
        <v>35</v>
      </c>
      <c r="X60" t="s">
        <v>29</v>
      </c>
      <c r="Y60" t="s">
        <v>2074</v>
      </c>
      <c r="Z60" t="s">
        <v>37</v>
      </c>
      <c r="AA60">
        <f>TwitterClean[[#This Row],[likes]]+TwitterClean[[#This Row],[replies]]+TwitterClean[[#This Row],[reposts]]+TwitterClean[[#This Row],[quotes]]+TwitterClean[[#This Row],[bookmarks]]</f>
        <v>2377</v>
      </c>
      <c r="AB60" s="1">
        <f>TwitterClean[[#This Row],[Total_Engagements]]/TwitterClean[[#This Row],[views]]</f>
        <v>4.6941959436775482E-2</v>
      </c>
      <c r="AC60" s="3">
        <f>DATEVALUE(MID(TwitterClean[[#This Row],[date_posted]],2,10))</f>
        <v>45641</v>
      </c>
      <c r="AD60">
        <f>TIMEVALUE(MID(TwitterClean[[#This Row],[date_posted]],13,8))</f>
        <v>0.95359953703703704</v>
      </c>
      <c r="AE60" s="3" t="str">
        <f>TEXT(TwitterClean[[#This Row],[Post_Date]],"dddd")</f>
        <v>Sunday</v>
      </c>
      <c r="AF60">
        <f>HOUR(TwitterClean[[#This Row],[Post_Time]])</f>
        <v>22</v>
      </c>
      <c r="AG60" t="str">
        <f>IF(TwitterClean[[#This Row],[videos]]="Null","No","Yes")</f>
        <v>Yes</v>
      </c>
      <c r="AH60" t="str">
        <f>IF(TwitterClean[[#This Row],[photos]]="null","No","Yes")</f>
        <v>No</v>
      </c>
      <c r="AI60" t="str">
        <f>IF(TwitterClean[[#This Row],[hashtags]]="null","No","Yes")</f>
        <v>Yes</v>
      </c>
      <c r="AJ60" t="str">
        <f>IF(TwitterClean[[#This Row],[external_url]]="null","Yes","No")</f>
        <v>No</v>
      </c>
      <c r="AK60">
        <f>LEN(TwitterClean[[#This Row],[description]])</f>
        <v>120</v>
      </c>
      <c r="AL60" t="str">
        <f>IF(TwitterClean[[#This Row],[followers]]&lt;100000,"&lt;100K",IF(TwitterClean[[#This Row],[followers]]&lt;1000000,"100K-1M",IF(TwitterClean[[#This Row],[followers]]&lt;10000000,"1M-10M","10M+")))</f>
        <v>10M+</v>
      </c>
    </row>
    <row r="61" spans="1:38">
      <c r="A61">
        <v>1.8683083442318254E+18</v>
      </c>
      <c r="B61" t="s">
        <v>333</v>
      </c>
      <c r="C61" t="s">
        <v>334</v>
      </c>
      <c r="D61" t="s">
        <v>4469</v>
      </c>
      <c r="E61" t="s">
        <v>4470</v>
      </c>
      <c r="F61" t="s">
        <v>29</v>
      </c>
      <c r="G61" t="s">
        <v>4471</v>
      </c>
      <c r="H61" t="s">
        <v>4472</v>
      </c>
      <c r="I61">
        <v>7</v>
      </c>
      <c r="J61">
        <v>137</v>
      </c>
      <c r="K61">
        <v>956</v>
      </c>
      <c r="L61">
        <v>24555</v>
      </c>
      <c r="M61" t="s">
        <v>52</v>
      </c>
      <c r="N61" t="s">
        <v>340</v>
      </c>
      <c r="O61">
        <v>337839</v>
      </c>
      <c r="P61" t="s">
        <v>341</v>
      </c>
      <c r="Q61">
        <v>57638</v>
      </c>
      <c r="R61" t="s">
        <v>342</v>
      </c>
      <c r="S61">
        <v>587</v>
      </c>
      <c r="T61" t="b">
        <v>0</v>
      </c>
      <c r="U61">
        <v>19</v>
      </c>
      <c r="V61">
        <v>27</v>
      </c>
      <c r="W61" t="s">
        <v>35</v>
      </c>
      <c r="X61" t="s">
        <v>29</v>
      </c>
      <c r="Y61" t="s">
        <v>4473</v>
      </c>
      <c r="Z61" t="s">
        <v>37</v>
      </c>
      <c r="AA61">
        <f>TwitterClean[[#This Row],[likes]]+TwitterClean[[#This Row],[replies]]+TwitterClean[[#This Row],[reposts]]+TwitterClean[[#This Row],[quotes]]+TwitterClean[[#This Row],[bookmarks]]</f>
        <v>1146</v>
      </c>
      <c r="AB61" s="1">
        <f>TwitterClean[[#This Row],[Total_Engagements]]/TwitterClean[[#This Row],[views]]</f>
        <v>4.6670739156994503E-2</v>
      </c>
      <c r="AC61" s="3">
        <f>DATEVALUE(MID(TwitterClean[[#This Row],[date_posted]],2,10))</f>
        <v>45641</v>
      </c>
      <c r="AD61">
        <f>TIMEVALUE(MID(TwitterClean[[#This Row],[date_posted]],13,8))</f>
        <v>0.62031250000000004</v>
      </c>
      <c r="AE61" s="3" t="str">
        <f>TEXT(TwitterClean[[#This Row],[Post_Date]],"dddd")</f>
        <v>Sunday</v>
      </c>
      <c r="AF61">
        <f>HOUR(TwitterClean[[#This Row],[Post_Time]])</f>
        <v>14</v>
      </c>
      <c r="AG61" t="str">
        <f>IF(TwitterClean[[#This Row],[videos]]="Null","No","Yes")</f>
        <v>Yes</v>
      </c>
      <c r="AH61" t="str">
        <f>IF(TwitterClean[[#This Row],[photos]]="null","No","Yes")</f>
        <v>No</v>
      </c>
      <c r="AI61" t="str">
        <f>IF(TwitterClean[[#This Row],[hashtags]]="null","No","Yes")</f>
        <v>Yes</v>
      </c>
      <c r="AJ61" t="str">
        <f>IF(TwitterClean[[#This Row],[external_url]]="null","Yes","No")</f>
        <v>No</v>
      </c>
      <c r="AK61">
        <f>LEN(TwitterClean[[#This Row],[description]])</f>
        <v>97</v>
      </c>
      <c r="AL61" t="str">
        <f>IF(TwitterClean[[#This Row],[followers]]&lt;100000,"&lt;100K",IF(TwitterClean[[#This Row],[followers]]&lt;1000000,"100K-1M",IF(TwitterClean[[#This Row],[followers]]&lt;10000000,"1M-10M","10M+")))</f>
        <v>100K-1M</v>
      </c>
    </row>
    <row r="62" spans="1:38">
      <c r="A62">
        <v>1.8684157445951247E+18</v>
      </c>
      <c r="B62" t="s">
        <v>1280</v>
      </c>
      <c r="C62" t="s">
        <v>1281</v>
      </c>
      <c r="D62" t="s">
        <v>4551</v>
      </c>
      <c r="E62" t="s">
        <v>954</v>
      </c>
      <c r="F62" t="s">
        <v>29</v>
      </c>
      <c r="G62" t="s">
        <v>4552</v>
      </c>
      <c r="H62" t="s">
        <v>1293</v>
      </c>
      <c r="I62">
        <v>126</v>
      </c>
      <c r="J62">
        <v>1919</v>
      </c>
      <c r="K62">
        <v>14258</v>
      </c>
      <c r="L62">
        <v>361236</v>
      </c>
      <c r="M62" t="s">
        <v>52</v>
      </c>
      <c r="N62" t="s">
        <v>1294</v>
      </c>
      <c r="O62">
        <v>38439065</v>
      </c>
      <c r="P62" t="s">
        <v>1287</v>
      </c>
      <c r="Q62">
        <v>92455</v>
      </c>
      <c r="R62" t="s">
        <v>1288</v>
      </c>
      <c r="S62">
        <v>145</v>
      </c>
      <c r="T62" t="b">
        <v>0</v>
      </c>
      <c r="U62">
        <v>67</v>
      </c>
      <c r="V62">
        <v>464</v>
      </c>
      <c r="W62" t="s">
        <v>35</v>
      </c>
      <c r="X62" t="s">
        <v>29</v>
      </c>
      <c r="Y62" t="s">
        <v>4553</v>
      </c>
      <c r="Z62" t="s">
        <v>37</v>
      </c>
      <c r="AA62">
        <f>TwitterClean[[#This Row],[likes]]+TwitterClean[[#This Row],[replies]]+TwitterClean[[#This Row],[reposts]]+TwitterClean[[#This Row],[quotes]]+TwitterClean[[#This Row],[bookmarks]]</f>
        <v>16834</v>
      </c>
      <c r="AB62" s="1">
        <f>TwitterClean[[#This Row],[Total_Engagements]]/TwitterClean[[#This Row],[views]]</f>
        <v>4.6601113953205105E-2</v>
      </c>
      <c r="AC62" s="3">
        <f>DATEVALUE(MID(TwitterClean[[#This Row],[date_posted]],2,10))</f>
        <v>45641</v>
      </c>
      <c r="AD62">
        <f>TIMEVALUE(MID(TwitterClean[[#This Row],[date_posted]],13,8))</f>
        <v>0.91667824074074078</v>
      </c>
      <c r="AE62" s="3" t="str">
        <f>TEXT(TwitterClean[[#This Row],[Post_Date]],"dddd")</f>
        <v>Sunday</v>
      </c>
      <c r="AF62">
        <f>HOUR(TwitterClean[[#This Row],[Post_Time]])</f>
        <v>22</v>
      </c>
      <c r="AG62" t="str">
        <f>IF(TwitterClean[[#This Row],[videos]]="Null","No","Yes")</f>
        <v>Yes</v>
      </c>
      <c r="AH62" t="str">
        <f>IF(TwitterClean[[#This Row],[photos]]="null","No","Yes")</f>
        <v>No</v>
      </c>
      <c r="AI62" t="str">
        <f>IF(TwitterClean[[#This Row],[hashtags]]="null","No","Yes")</f>
        <v>Yes</v>
      </c>
      <c r="AJ62" t="str">
        <f>IF(TwitterClean[[#This Row],[external_url]]="null","Yes","No")</f>
        <v>No</v>
      </c>
      <c r="AK62">
        <f>LEN(TwitterClean[[#This Row],[description]])</f>
        <v>62</v>
      </c>
      <c r="AL62" t="str">
        <f>IF(TwitterClean[[#This Row],[followers]]&lt;100000,"&lt;100K",IF(TwitterClean[[#This Row],[followers]]&lt;1000000,"100K-1M",IF(TwitterClean[[#This Row],[followers]]&lt;10000000,"1M-10M","10M+")))</f>
        <v>10M+</v>
      </c>
    </row>
    <row r="63" spans="1:38">
      <c r="A63">
        <v>1.8684141459739405E+18</v>
      </c>
      <c r="B63" t="s">
        <v>26</v>
      </c>
      <c r="C63" t="s">
        <v>26</v>
      </c>
      <c r="D63" t="s">
        <v>165</v>
      </c>
      <c r="E63" t="s">
        <v>166</v>
      </c>
      <c r="F63" t="s">
        <v>29</v>
      </c>
      <c r="G63" t="s">
        <v>167</v>
      </c>
      <c r="H63" t="s">
        <v>159</v>
      </c>
      <c r="I63">
        <v>136</v>
      </c>
      <c r="J63">
        <v>142</v>
      </c>
      <c r="K63">
        <v>922</v>
      </c>
      <c r="L63">
        <v>26775</v>
      </c>
      <c r="M63" t="s">
        <v>31</v>
      </c>
      <c r="N63" t="s">
        <v>29</v>
      </c>
      <c r="O63">
        <v>5771757</v>
      </c>
      <c r="P63" t="s">
        <v>33</v>
      </c>
      <c r="Q63">
        <v>222223</v>
      </c>
      <c r="R63" t="s">
        <v>34</v>
      </c>
      <c r="S63">
        <v>122</v>
      </c>
      <c r="T63" t="b">
        <v>0</v>
      </c>
      <c r="U63">
        <v>4</v>
      </c>
      <c r="V63">
        <v>20</v>
      </c>
      <c r="W63" t="s">
        <v>35</v>
      </c>
      <c r="X63" t="s">
        <v>29</v>
      </c>
      <c r="Y63" t="s">
        <v>168</v>
      </c>
      <c r="Z63" t="s">
        <v>37</v>
      </c>
      <c r="AA63">
        <f>TwitterClean[[#This Row],[likes]]+TwitterClean[[#This Row],[replies]]+TwitterClean[[#This Row],[reposts]]+TwitterClean[[#This Row],[quotes]]+TwitterClean[[#This Row],[bookmarks]]</f>
        <v>1224</v>
      </c>
      <c r="AB63" s="1">
        <f>TwitterClean[[#This Row],[Total_Engagements]]/TwitterClean[[#This Row],[views]]</f>
        <v>4.5714285714285714E-2</v>
      </c>
      <c r="AC63" s="3">
        <f>DATEVALUE(MID(TwitterClean[[#This Row],[date_posted]],2,10))</f>
        <v>45641</v>
      </c>
      <c r="AD63">
        <f>TIMEVALUE(MID(TwitterClean[[#This Row],[date_posted]],13,8))</f>
        <v>0.91226851851851853</v>
      </c>
      <c r="AE63" s="3" t="str">
        <f>TEXT(TwitterClean[[#This Row],[Post_Date]],"dddd")</f>
        <v>Sunday</v>
      </c>
      <c r="AF63">
        <f>HOUR(TwitterClean[[#This Row],[Post_Time]])</f>
        <v>21</v>
      </c>
      <c r="AG63" t="str">
        <f>IF(TwitterClean[[#This Row],[videos]]="Null","No","Yes")</f>
        <v>Yes</v>
      </c>
      <c r="AH63" t="str">
        <f>IF(TwitterClean[[#This Row],[photos]]="null","No","Yes")</f>
        <v>No</v>
      </c>
      <c r="AI63" t="str">
        <f>IF(TwitterClean[[#This Row],[hashtags]]="null","No","Yes")</f>
        <v>No</v>
      </c>
      <c r="AJ63" t="str">
        <f>IF(TwitterClean[[#This Row],[external_url]]="null","Yes","No")</f>
        <v>No</v>
      </c>
      <c r="AK63">
        <f>LEN(TwitterClean[[#This Row],[description]])</f>
        <v>297</v>
      </c>
      <c r="AL63" t="str">
        <f>IF(TwitterClean[[#This Row],[followers]]&lt;100000,"&lt;100K",IF(TwitterClean[[#This Row],[followers]]&lt;1000000,"100K-1M",IF(TwitterClean[[#This Row],[followers]]&lt;10000000,"1M-10M","10M+")))</f>
        <v>1M-10M</v>
      </c>
    </row>
    <row r="64" spans="1:38">
      <c r="A64">
        <v>1.8683248828467612E+18</v>
      </c>
      <c r="B64" t="s">
        <v>1120</v>
      </c>
      <c r="C64" t="s">
        <v>1121</v>
      </c>
      <c r="D64" t="s">
        <v>1122</v>
      </c>
      <c r="E64" t="s">
        <v>1123</v>
      </c>
      <c r="F64" t="s">
        <v>29</v>
      </c>
      <c r="G64" t="s">
        <v>1124</v>
      </c>
      <c r="H64" t="s">
        <v>29</v>
      </c>
      <c r="I64">
        <v>1074</v>
      </c>
      <c r="J64">
        <v>67</v>
      </c>
      <c r="K64">
        <v>184</v>
      </c>
      <c r="L64">
        <v>30147</v>
      </c>
      <c r="M64" t="s">
        <v>1125</v>
      </c>
      <c r="N64" t="s">
        <v>29</v>
      </c>
      <c r="O64">
        <v>562371</v>
      </c>
      <c r="P64" t="s">
        <v>1126</v>
      </c>
      <c r="Q64">
        <v>33258</v>
      </c>
      <c r="R64" t="s">
        <v>1127</v>
      </c>
      <c r="S64">
        <v>2464</v>
      </c>
      <c r="T64" t="b">
        <v>0</v>
      </c>
      <c r="U64">
        <v>41</v>
      </c>
      <c r="V64">
        <v>11</v>
      </c>
      <c r="W64" t="s">
        <v>35</v>
      </c>
      <c r="X64" t="s">
        <v>1128</v>
      </c>
      <c r="Y64" t="s">
        <v>29</v>
      </c>
      <c r="Z64" t="s">
        <v>37</v>
      </c>
      <c r="AA64">
        <f>TwitterClean[[#This Row],[likes]]+TwitterClean[[#This Row],[replies]]+TwitterClean[[#This Row],[reposts]]+TwitterClean[[#This Row],[quotes]]+TwitterClean[[#This Row],[bookmarks]]</f>
        <v>1377</v>
      </c>
      <c r="AB64" s="1">
        <f>TwitterClean[[#This Row],[Total_Engagements]]/TwitterClean[[#This Row],[views]]</f>
        <v>4.5676186685242315E-2</v>
      </c>
      <c r="AC64" s="3">
        <f>DATEVALUE(MID(TwitterClean[[#This Row],[date_posted]],2,10))</f>
        <v>45641</v>
      </c>
      <c r="AD64">
        <f>TIMEVALUE(MID(TwitterClean[[#This Row],[date_posted]],13,8))</f>
        <v>0.66594907407407411</v>
      </c>
      <c r="AE64" s="3" t="str">
        <f>TEXT(TwitterClean[[#This Row],[Post_Date]],"dddd")</f>
        <v>Sunday</v>
      </c>
      <c r="AF64">
        <f>HOUR(TwitterClean[[#This Row],[Post_Time]])</f>
        <v>15</v>
      </c>
      <c r="AG64" t="str">
        <f>IF(TwitterClean[[#This Row],[videos]]="Null","No","Yes")</f>
        <v>No</v>
      </c>
      <c r="AH64" t="str">
        <f>IF(TwitterClean[[#This Row],[photos]]="null","No","Yes")</f>
        <v>No</v>
      </c>
      <c r="AI64" t="str">
        <f>IF(TwitterClean[[#This Row],[hashtags]]="null","No","Yes")</f>
        <v>No</v>
      </c>
      <c r="AJ64" t="str">
        <f>IF(TwitterClean[[#This Row],[external_url]]="null","Yes","No")</f>
        <v>No</v>
      </c>
      <c r="AK64">
        <f>LEN(TwitterClean[[#This Row],[description]])</f>
        <v>205</v>
      </c>
      <c r="AL64" t="str">
        <f>IF(TwitterClean[[#This Row],[followers]]&lt;100000,"&lt;100K",IF(TwitterClean[[#This Row],[followers]]&lt;1000000,"100K-1M",IF(TwitterClean[[#This Row],[followers]]&lt;10000000,"1M-10M","10M+")))</f>
        <v>100K-1M</v>
      </c>
    </row>
    <row r="65" spans="1:38">
      <c r="A65">
        <v>1.868430586404086E+18</v>
      </c>
      <c r="B65" t="s">
        <v>1862</v>
      </c>
      <c r="C65" t="s">
        <v>1863</v>
      </c>
      <c r="D65" t="s">
        <v>2020</v>
      </c>
      <c r="E65" t="s">
        <v>2021</v>
      </c>
      <c r="F65" t="s">
        <v>29</v>
      </c>
      <c r="G65" t="s">
        <v>2022</v>
      </c>
      <c r="H65" t="s">
        <v>1874</v>
      </c>
      <c r="I65">
        <v>18</v>
      </c>
      <c r="J65">
        <v>150</v>
      </c>
      <c r="K65">
        <v>1740</v>
      </c>
      <c r="L65">
        <v>43252</v>
      </c>
      <c r="M65" t="s">
        <v>52</v>
      </c>
      <c r="N65" t="s">
        <v>1867</v>
      </c>
      <c r="O65">
        <v>13492372</v>
      </c>
      <c r="P65" t="s">
        <v>1868</v>
      </c>
      <c r="Q65">
        <v>314515</v>
      </c>
      <c r="R65" t="s">
        <v>1869</v>
      </c>
      <c r="S65">
        <v>708</v>
      </c>
      <c r="T65" t="b">
        <v>0</v>
      </c>
      <c r="U65">
        <v>17</v>
      </c>
      <c r="V65">
        <v>45</v>
      </c>
      <c r="W65" t="s">
        <v>35</v>
      </c>
      <c r="X65" t="s">
        <v>29</v>
      </c>
      <c r="Y65" t="s">
        <v>2023</v>
      </c>
      <c r="Z65" t="s">
        <v>37</v>
      </c>
      <c r="AA65">
        <f>TwitterClean[[#This Row],[likes]]+TwitterClean[[#This Row],[replies]]+TwitterClean[[#This Row],[reposts]]+TwitterClean[[#This Row],[quotes]]+TwitterClean[[#This Row],[bookmarks]]</f>
        <v>1970</v>
      </c>
      <c r="AB65" s="1">
        <f>TwitterClean[[#This Row],[Total_Engagements]]/TwitterClean[[#This Row],[views]]</f>
        <v>4.5547026727087762E-2</v>
      </c>
      <c r="AC65" s="3">
        <f>DATEVALUE(MID(TwitterClean[[#This Row],[date_posted]],2,10))</f>
        <v>45641</v>
      </c>
      <c r="AD65">
        <f>TIMEVALUE(MID(TwitterClean[[#This Row],[date_posted]],13,8))</f>
        <v>0.95763888888888893</v>
      </c>
      <c r="AE65" s="3" t="str">
        <f>TEXT(TwitterClean[[#This Row],[Post_Date]],"dddd")</f>
        <v>Sunday</v>
      </c>
      <c r="AF65">
        <f>HOUR(TwitterClean[[#This Row],[Post_Time]])</f>
        <v>22</v>
      </c>
      <c r="AG65" t="str">
        <f>IF(TwitterClean[[#This Row],[videos]]="Null","No","Yes")</f>
        <v>Yes</v>
      </c>
      <c r="AH65" t="str">
        <f>IF(TwitterClean[[#This Row],[photos]]="null","No","Yes")</f>
        <v>No</v>
      </c>
      <c r="AI65" t="str">
        <f>IF(TwitterClean[[#This Row],[hashtags]]="null","No","Yes")</f>
        <v>Yes</v>
      </c>
      <c r="AJ65" t="str">
        <f>IF(TwitterClean[[#This Row],[external_url]]="null","Yes","No")</f>
        <v>No</v>
      </c>
      <c r="AK65">
        <f>LEN(TwitterClean[[#This Row],[description]])</f>
        <v>106</v>
      </c>
      <c r="AL65" t="str">
        <f>IF(TwitterClean[[#This Row],[followers]]&lt;100000,"&lt;100K",IF(TwitterClean[[#This Row],[followers]]&lt;1000000,"100K-1M",IF(TwitterClean[[#This Row],[followers]]&lt;10000000,"1M-10M","10M+")))</f>
        <v>10M+</v>
      </c>
    </row>
    <row r="66" spans="1:38">
      <c r="A66">
        <v>1.868366799961727E+18</v>
      </c>
      <c r="B66" t="s">
        <v>3837</v>
      </c>
      <c r="C66" t="s">
        <v>3838</v>
      </c>
      <c r="D66" t="s">
        <v>4357</v>
      </c>
      <c r="E66" t="s">
        <v>4358</v>
      </c>
      <c r="F66" t="s">
        <v>4359</v>
      </c>
      <c r="G66" t="s">
        <v>4360</v>
      </c>
      <c r="H66" t="s">
        <v>29</v>
      </c>
      <c r="I66">
        <v>80</v>
      </c>
      <c r="J66">
        <v>1373</v>
      </c>
      <c r="K66">
        <v>7968</v>
      </c>
      <c r="L66">
        <v>213748</v>
      </c>
      <c r="M66" t="s">
        <v>52</v>
      </c>
      <c r="N66" t="s">
        <v>3843</v>
      </c>
      <c r="O66">
        <v>984263</v>
      </c>
      <c r="P66" t="s">
        <v>3844</v>
      </c>
      <c r="Q66">
        <v>136135</v>
      </c>
      <c r="R66" t="s">
        <v>3845</v>
      </c>
      <c r="S66">
        <v>438</v>
      </c>
      <c r="T66" t="b">
        <v>0</v>
      </c>
      <c r="U66">
        <v>87</v>
      </c>
      <c r="V66">
        <v>44</v>
      </c>
      <c r="W66" t="s">
        <v>35</v>
      </c>
      <c r="X66" t="s">
        <v>29</v>
      </c>
      <c r="Y66" t="s">
        <v>29</v>
      </c>
      <c r="Z66" t="s">
        <v>37</v>
      </c>
      <c r="AA66">
        <f>TwitterClean[[#This Row],[likes]]+TwitterClean[[#This Row],[replies]]+TwitterClean[[#This Row],[reposts]]+TwitterClean[[#This Row],[quotes]]+TwitterClean[[#This Row],[bookmarks]]</f>
        <v>9552</v>
      </c>
      <c r="AB66" s="1">
        <f>TwitterClean[[#This Row],[Total_Engagements]]/TwitterClean[[#This Row],[views]]</f>
        <v>4.4688137432864872E-2</v>
      </c>
      <c r="AC66" s="3">
        <f>DATEVALUE(MID(TwitterClean[[#This Row],[date_posted]],2,10))</f>
        <v>45641</v>
      </c>
      <c r="AD66">
        <f>TIMEVALUE(MID(TwitterClean[[#This Row],[date_posted]],13,8))</f>
        <v>0.78162037037037035</v>
      </c>
      <c r="AE66" s="3" t="str">
        <f>TEXT(TwitterClean[[#This Row],[Post_Date]],"dddd")</f>
        <v>Sunday</v>
      </c>
      <c r="AF66">
        <f>HOUR(TwitterClean[[#This Row],[Post_Time]])</f>
        <v>18</v>
      </c>
      <c r="AG66" t="str">
        <f>IF(TwitterClean[[#This Row],[videos]]="Null","No","Yes")</f>
        <v>No</v>
      </c>
      <c r="AH66" t="str">
        <f>IF(TwitterClean[[#This Row],[photos]]="null","No","Yes")</f>
        <v>Yes</v>
      </c>
      <c r="AI66" t="str">
        <f>IF(TwitterClean[[#This Row],[hashtags]]="null","No","Yes")</f>
        <v>Yes</v>
      </c>
      <c r="AJ66" t="str">
        <f>IF(TwitterClean[[#This Row],[external_url]]="null","Yes","No")</f>
        <v>No</v>
      </c>
      <c r="AK66">
        <f>LEN(TwitterClean[[#This Row],[description]])</f>
        <v>61</v>
      </c>
      <c r="AL66" t="str">
        <f>IF(TwitterClean[[#This Row],[followers]]&lt;100000,"&lt;100K",IF(TwitterClean[[#This Row],[followers]]&lt;1000000,"100K-1M",IF(TwitterClean[[#This Row],[followers]]&lt;10000000,"1M-10M","10M+")))</f>
        <v>100K-1M</v>
      </c>
    </row>
    <row r="67" spans="1:38">
      <c r="A67">
        <v>1.8683305576981752E+18</v>
      </c>
      <c r="B67" t="s">
        <v>1363</v>
      </c>
      <c r="C67" t="s">
        <v>1364</v>
      </c>
      <c r="D67" t="s">
        <v>4433</v>
      </c>
      <c r="E67" t="s">
        <v>4434</v>
      </c>
      <c r="F67" t="s">
        <v>29</v>
      </c>
      <c r="G67" t="s">
        <v>4435</v>
      </c>
      <c r="H67" t="s">
        <v>29</v>
      </c>
      <c r="I67">
        <v>18</v>
      </c>
      <c r="J67">
        <v>71</v>
      </c>
      <c r="K67">
        <v>733</v>
      </c>
      <c r="L67">
        <v>18748</v>
      </c>
      <c r="M67" t="s">
        <v>52</v>
      </c>
      <c r="N67" t="s">
        <v>1369</v>
      </c>
      <c r="O67">
        <v>462261</v>
      </c>
      <c r="P67" t="s">
        <v>1370</v>
      </c>
      <c r="Q67">
        <v>16271</v>
      </c>
      <c r="R67" t="s">
        <v>1371</v>
      </c>
      <c r="S67">
        <v>38</v>
      </c>
      <c r="T67" t="b">
        <v>0</v>
      </c>
      <c r="U67">
        <v>5</v>
      </c>
      <c r="V67">
        <v>5</v>
      </c>
      <c r="W67" t="s">
        <v>35</v>
      </c>
      <c r="X67" t="s">
        <v>29</v>
      </c>
      <c r="Y67" t="s">
        <v>4436</v>
      </c>
      <c r="Z67" t="s">
        <v>37</v>
      </c>
      <c r="AA67">
        <f>TwitterClean[[#This Row],[likes]]+TwitterClean[[#This Row],[replies]]+TwitterClean[[#This Row],[reposts]]+TwitterClean[[#This Row],[quotes]]+TwitterClean[[#This Row],[bookmarks]]</f>
        <v>832</v>
      </c>
      <c r="AB67" s="1">
        <f>TwitterClean[[#This Row],[Total_Engagements]]/TwitterClean[[#This Row],[views]]</f>
        <v>4.4378066993812672E-2</v>
      </c>
      <c r="AC67" s="3">
        <f>DATEVALUE(MID(TwitterClean[[#This Row],[date_posted]],2,10))</f>
        <v>45641</v>
      </c>
      <c r="AD67">
        <f>TIMEVALUE(MID(TwitterClean[[#This Row],[date_posted]],13,8))</f>
        <v>0.68160879629629634</v>
      </c>
      <c r="AE67" s="3" t="str">
        <f>TEXT(TwitterClean[[#This Row],[Post_Date]],"dddd")</f>
        <v>Sunday</v>
      </c>
      <c r="AF67">
        <f>HOUR(TwitterClean[[#This Row],[Post_Time]])</f>
        <v>16</v>
      </c>
      <c r="AG67" t="str">
        <f>IF(TwitterClean[[#This Row],[videos]]="Null","No","Yes")</f>
        <v>Yes</v>
      </c>
      <c r="AH67" t="str">
        <f>IF(TwitterClean[[#This Row],[photos]]="null","No","Yes")</f>
        <v>No</v>
      </c>
      <c r="AI67" t="str">
        <f>IF(TwitterClean[[#This Row],[hashtags]]="null","No","Yes")</f>
        <v>Yes</v>
      </c>
      <c r="AJ67" t="str">
        <f>IF(TwitterClean[[#This Row],[external_url]]="null","Yes","No")</f>
        <v>No</v>
      </c>
      <c r="AK67">
        <f>LEN(TwitterClean[[#This Row],[description]])</f>
        <v>97</v>
      </c>
      <c r="AL67" t="str">
        <f>IF(TwitterClean[[#This Row],[followers]]&lt;100000,"&lt;100K",IF(TwitterClean[[#This Row],[followers]]&lt;1000000,"100K-1M",IF(TwitterClean[[#This Row],[followers]]&lt;10000000,"1M-10M","10M+")))</f>
        <v>100K-1M</v>
      </c>
    </row>
    <row r="68" spans="1:38">
      <c r="A68">
        <v>1.8682954866265134E+18</v>
      </c>
      <c r="B68" t="s">
        <v>333</v>
      </c>
      <c r="C68" t="s">
        <v>334</v>
      </c>
      <c r="D68" t="s">
        <v>477</v>
      </c>
      <c r="E68" t="s">
        <v>478</v>
      </c>
      <c r="F68" t="s">
        <v>479</v>
      </c>
      <c r="G68" t="s">
        <v>480</v>
      </c>
      <c r="H68" t="s">
        <v>29</v>
      </c>
      <c r="I68">
        <v>12</v>
      </c>
      <c r="J68">
        <v>175</v>
      </c>
      <c r="K68">
        <v>2094</v>
      </c>
      <c r="L68">
        <v>52433</v>
      </c>
      <c r="M68" t="s">
        <v>52</v>
      </c>
      <c r="N68" t="s">
        <v>340</v>
      </c>
      <c r="O68">
        <v>337839</v>
      </c>
      <c r="P68" t="s">
        <v>341</v>
      </c>
      <c r="Q68">
        <v>57638</v>
      </c>
      <c r="R68" t="s">
        <v>342</v>
      </c>
      <c r="S68">
        <v>587</v>
      </c>
      <c r="T68" t="b">
        <v>0</v>
      </c>
      <c r="U68">
        <v>17</v>
      </c>
      <c r="V68">
        <v>21</v>
      </c>
      <c r="W68" t="s">
        <v>35</v>
      </c>
      <c r="X68" t="s">
        <v>29</v>
      </c>
      <c r="Y68" t="s">
        <v>29</v>
      </c>
      <c r="Z68" t="s">
        <v>37</v>
      </c>
      <c r="AA68">
        <f>TwitterClean[[#This Row],[likes]]+TwitterClean[[#This Row],[replies]]+TwitterClean[[#This Row],[reposts]]+TwitterClean[[#This Row],[quotes]]+TwitterClean[[#This Row],[bookmarks]]</f>
        <v>2319</v>
      </c>
      <c r="AB68" s="1">
        <f>TwitterClean[[#This Row],[Total_Engagements]]/TwitterClean[[#This Row],[views]]</f>
        <v>4.4227871760151048E-2</v>
      </c>
      <c r="AC68" s="3">
        <f>DATEVALUE(MID(TwitterClean[[#This Row],[date_posted]],2,10))</f>
        <v>45641</v>
      </c>
      <c r="AD68">
        <f>TIMEVALUE(MID(TwitterClean[[#This Row],[date_posted]],13,8))</f>
        <v>0.58482638888888894</v>
      </c>
      <c r="AE68" s="3" t="str">
        <f>TEXT(TwitterClean[[#This Row],[Post_Date]],"dddd")</f>
        <v>Sunday</v>
      </c>
      <c r="AF68">
        <f>HOUR(TwitterClean[[#This Row],[Post_Time]])</f>
        <v>14</v>
      </c>
      <c r="AG68" t="str">
        <f>IF(TwitterClean[[#This Row],[videos]]="Null","No","Yes")</f>
        <v>No</v>
      </c>
      <c r="AH68" t="str">
        <f>IF(TwitterClean[[#This Row],[photos]]="null","No","Yes")</f>
        <v>Yes</v>
      </c>
      <c r="AI68" t="str">
        <f>IF(TwitterClean[[#This Row],[hashtags]]="null","No","Yes")</f>
        <v>Yes</v>
      </c>
      <c r="AJ68" t="str">
        <f>IF(TwitterClean[[#This Row],[external_url]]="null","Yes","No")</f>
        <v>No</v>
      </c>
      <c r="AK68">
        <f>LEN(TwitterClean[[#This Row],[description]])</f>
        <v>65</v>
      </c>
      <c r="AL68" t="str">
        <f>IF(TwitterClean[[#This Row],[followers]]&lt;100000,"&lt;100K",IF(TwitterClean[[#This Row],[followers]]&lt;1000000,"100K-1M",IF(TwitterClean[[#This Row],[followers]]&lt;10000000,"1M-10M","10M+")))</f>
        <v>100K-1M</v>
      </c>
    </row>
    <row r="69" spans="1:38">
      <c r="A69">
        <v>1.8683169056874127E+18</v>
      </c>
      <c r="B69" t="s">
        <v>1363</v>
      </c>
      <c r="C69" t="s">
        <v>1364</v>
      </c>
      <c r="D69" t="s">
        <v>1388</v>
      </c>
      <c r="E69" t="s">
        <v>1389</v>
      </c>
      <c r="F69" t="s">
        <v>1390</v>
      </c>
      <c r="G69" t="s">
        <v>1391</v>
      </c>
      <c r="H69" t="s">
        <v>1392</v>
      </c>
      <c r="I69">
        <v>3</v>
      </c>
      <c r="J69">
        <v>43</v>
      </c>
      <c r="K69">
        <v>627</v>
      </c>
      <c r="L69">
        <v>15318</v>
      </c>
      <c r="M69" t="s">
        <v>52</v>
      </c>
      <c r="N69" t="s">
        <v>1369</v>
      </c>
      <c r="O69">
        <v>462263</v>
      </c>
      <c r="P69" t="s">
        <v>1370</v>
      </c>
      <c r="Q69">
        <v>16271</v>
      </c>
      <c r="R69" t="s">
        <v>1371</v>
      </c>
      <c r="S69">
        <v>38</v>
      </c>
      <c r="T69" t="b">
        <v>0</v>
      </c>
      <c r="U69">
        <v>0</v>
      </c>
      <c r="V69">
        <v>3</v>
      </c>
      <c r="W69" t="s">
        <v>35</v>
      </c>
      <c r="X69" t="s">
        <v>29</v>
      </c>
      <c r="Y69" t="s">
        <v>29</v>
      </c>
      <c r="Z69" t="s">
        <v>37</v>
      </c>
      <c r="AA69">
        <f>TwitterClean[[#This Row],[likes]]+TwitterClean[[#This Row],[replies]]+TwitterClean[[#This Row],[reposts]]+TwitterClean[[#This Row],[quotes]]+TwitterClean[[#This Row],[bookmarks]]</f>
        <v>676</v>
      </c>
      <c r="AB69" s="1">
        <f>TwitterClean[[#This Row],[Total_Engagements]]/TwitterClean[[#This Row],[views]]</f>
        <v>4.4131087609348481E-2</v>
      </c>
      <c r="AC69" s="3">
        <f>DATEVALUE(MID(TwitterClean[[#This Row],[date_posted]],2,10))</f>
        <v>45641</v>
      </c>
      <c r="AD69">
        <f>TIMEVALUE(MID(TwitterClean[[#This Row],[date_posted]],13,8))</f>
        <v>0.64393518518518522</v>
      </c>
      <c r="AE69" s="3" t="str">
        <f>TEXT(TwitterClean[[#This Row],[Post_Date]],"dddd")</f>
        <v>Sunday</v>
      </c>
      <c r="AF69">
        <f>HOUR(TwitterClean[[#This Row],[Post_Time]])</f>
        <v>15</v>
      </c>
      <c r="AG69" t="str">
        <f>IF(TwitterClean[[#This Row],[videos]]="Null","No","Yes")</f>
        <v>No</v>
      </c>
      <c r="AH69" t="str">
        <f>IF(TwitterClean[[#This Row],[photos]]="null","No","Yes")</f>
        <v>Yes</v>
      </c>
      <c r="AI69" t="str">
        <f>IF(TwitterClean[[#This Row],[hashtags]]="null","No","Yes")</f>
        <v>Yes</v>
      </c>
      <c r="AJ69" t="str">
        <f>IF(TwitterClean[[#This Row],[external_url]]="null","Yes","No")</f>
        <v>No</v>
      </c>
      <c r="AK69">
        <f>LEN(TwitterClean[[#This Row],[description]])</f>
        <v>38</v>
      </c>
      <c r="AL69" t="str">
        <f>IF(TwitterClean[[#This Row],[followers]]&lt;100000,"&lt;100K",IF(TwitterClean[[#This Row],[followers]]&lt;1000000,"100K-1M",IF(TwitterClean[[#This Row],[followers]]&lt;10000000,"1M-10M","10M+")))</f>
        <v>100K-1M</v>
      </c>
    </row>
    <row r="70" spans="1:38">
      <c r="A70">
        <v>1.8683616299578209E+18</v>
      </c>
      <c r="B70" t="s">
        <v>3837</v>
      </c>
      <c r="C70" t="s">
        <v>3838</v>
      </c>
      <c r="D70" t="s">
        <v>4352</v>
      </c>
      <c r="E70" t="s">
        <v>4353</v>
      </c>
      <c r="F70" t="s">
        <v>4354</v>
      </c>
      <c r="G70" t="s">
        <v>4355</v>
      </c>
      <c r="H70" t="s">
        <v>29</v>
      </c>
      <c r="I70">
        <v>4</v>
      </c>
      <c r="J70">
        <v>79</v>
      </c>
      <c r="K70">
        <v>367</v>
      </c>
      <c r="L70">
        <v>10495</v>
      </c>
      <c r="M70" t="s">
        <v>52</v>
      </c>
      <c r="N70" t="s">
        <v>4356</v>
      </c>
      <c r="O70">
        <v>984256</v>
      </c>
      <c r="P70" t="s">
        <v>3844</v>
      </c>
      <c r="Q70">
        <v>136135</v>
      </c>
      <c r="R70" t="s">
        <v>3845</v>
      </c>
      <c r="S70">
        <v>438</v>
      </c>
      <c r="T70" t="b">
        <v>0</v>
      </c>
      <c r="U70">
        <v>4</v>
      </c>
      <c r="V70">
        <v>2</v>
      </c>
      <c r="W70" t="s">
        <v>35</v>
      </c>
      <c r="X70" t="s">
        <v>29</v>
      </c>
      <c r="Y70" t="s">
        <v>29</v>
      </c>
      <c r="Z70" t="s">
        <v>37</v>
      </c>
      <c r="AA70">
        <f>TwitterClean[[#This Row],[likes]]+TwitterClean[[#This Row],[replies]]+TwitterClean[[#This Row],[reposts]]+TwitterClean[[#This Row],[quotes]]+TwitterClean[[#This Row],[bookmarks]]</f>
        <v>456</v>
      </c>
      <c r="AB70" s="1">
        <f>TwitterClean[[#This Row],[Total_Engagements]]/TwitterClean[[#This Row],[views]]</f>
        <v>4.3449261553120531E-2</v>
      </c>
      <c r="AC70" s="3">
        <f>DATEVALUE(MID(TwitterClean[[#This Row],[date_posted]],2,10))</f>
        <v>45641</v>
      </c>
      <c r="AD70">
        <f>TIMEVALUE(MID(TwitterClean[[#This Row],[date_posted]],13,8))</f>
        <v>0.76734953703703701</v>
      </c>
      <c r="AE70" s="3" t="str">
        <f>TEXT(TwitterClean[[#This Row],[Post_Date]],"dddd")</f>
        <v>Sunday</v>
      </c>
      <c r="AF70">
        <f>HOUR(TwitterClean[[#This Row],[Post_Time]])</f>
        <v>18</v>
      </c>
      <c r="AG70" t="str">
        <f>IF(TwitterClean[[#This Row],[videos]]="Null","No","Yes")</f>
        <v>No</v>
      </c>
      <c r="AH70" t="str">
        <f>IF(TwitterClean[[#This Row],[photos]]="null","No","Yes")</f>
        <v>Yes</v>
      </c>
      <c r="AI70" t="str">
        <f>IF(TwitterClean[[#This Row],[hashtags]]="null","No","Yes")</f>
        <v>Yes</v>
      </c>
      <c r="AJ70" t="str">
        <f>IF(TwitterClean[[#This Row],[external_url]]="null","Yes","No")</f>
        <v>No</v>
      </c>
      <c r="AK70">
        <f>LEN(TwitterClean[[#This Row],[description]])</f>
        <v>124</v>
      </c>
      <c r="AL70" t="str">
        <f>IF(TwitterClean[[#This Row],[followers]]&lt;100000,"&lt;100K",IF(TwitterClean[[#This Row],[followers]]&lt;1000000,"100K-1M",IF(TwitterClean[[#This Row],[followers]]&lt;10000000,"1M-10M","10M+")))</f>
        <v>100K-1M</v>
      </c>
    </row>
    <row r="71" spans="1:38">
      <c r="A71">
        <v>1.8683249273690527E+18</v>
      </c>
      <c r="B71" t="s">
        <v>1656</v>
      </c>
      <c r="C71" t="s">
        <v>1657</v>
      </c>
      <c r="D71" t="s">
        <v>1808</v>
      </c>
      <c r="E71" t="s">
        <v>1809</v>
      </c>
      <c r="F71" t="s">
        <v>29</v>
      </c>
      <c r="G71" t="s">
        <v>1810</v>
      </c>
      <c r="H71" t="s">
        <v>29</v>
      </c>
      <c r="I71">
        <v>209</v>
      </c>
      <c r="J71">
        <v>51</v>
      </c>
      <c r="K71">
        <v>643</v>
      </c>
      <c r="L71">
        <v>21326</v>
      </c>
      <c r="M71" t="s">
        <v>1811</v>
      </c>
      <c r="N71" t="s">
        <v>29</v>
      </c>
      <c r="O71">
        <v>2819405</v>
      </c>
      <c r="P71" t="s">
        <v>1662</v>
      </c>
      <c r="Q71">
        <v>286269</v>
      </c>
      <c r="R71" t="s">
        <v>1663</v>
      </c>
      <c r="S71">
        <v>4</v>
      </c>
      <c r="T71" t="b">
        <v>0</v>
      </c>
      <c r="U71">
        <v>8</v>
      </c>
      <c r="V71">
        <v>3</v>
      </c>
      <c r="W71" t="s">
        <v>35</v>
      </c>
      <c r="X71" t="s">
        <v>1812</v>
      </c>
      <c r="Y71" t="s">
        <v>29</v>
      </c>
      <c r="Z71" t="s">
        <v>37</v>
      </c>
      <c r="AA71">
        <f>TwitterClean[[#This Row],[likes]]+TwitterClean[[#This Row],[replies]]+TwitterClean[[#This Row],[reposts]]+TwitterClean[[#This Row],[quotes]]+TwitterClean[[#This Row],[bookmarks]]</f>
        <v>914</v>
      </c>
      <c r="AB71" s="1">
        <f>TwitterClean[[#This Row],[Total_Engagements]]/TwitterClean[[#This Row],[views]]</f>
        <v>4.2858482603394914E-2</v>
      </c>
      <c r="AC71" s="3">
        <f>DATEVALUE(MID(TwitterClean[[#This Row],[date_posted]],2,10))</f>
        <v>45641</v>
      </c>
      <c r="AD71">
        <f>TIMEVALUE(MID(TwitterClean[[#This Row],[date_posted]],13,8))</f>
        <v>0.66607638888888887</v>
      </c>
      <c r="AE71" s="3" t="str">
        <f>TEXT(TwitterClean[[#This Row],[Post_Date]],"dddd")</f>
        <v>Sunday</v>
      </c>
      <c r="AF71">
        <f>HOUR(TwitterClean[[#This Row],[Post_Time]])</f>
        <v>15</v>
      </c>
      <c r="AG71" t="str">
        <f>IF(TwitterClean[[#This Row],[videos]]="Null","No","Yes")</f>
        <v>No</v>
      </c>
      <c r="AH71" t="str">
        <f>IF(TwitterClean[[#This Row],[photos]]="null","No","Yes")</f>
        <v>No</v>
      </c>
      <c r="AI71" t="str">
        <f>IF(TwitterClean[[#This Row],[hashtags]]="null","No","Yes")</f>
        <v>No</v>
      </c>
      <c r="AJ71" t="str">
        <f>IF(TwitterClean[[#This Row],[external_url]]="null","Yes","No")</f>
        <v>No</v>
      </c>
      <c r="AK71">
        <f>LEN(TwitterClean[[#This Row],[description]])</f>
        <v>37</v>
      </c>
      <c r="AL71" t="str">
        <f>IF(TwitterClean[[#This Row],[followers]]&lt;100000,"&lt;100K",IF(TwitterClean[[#This Row],[followers]]&lt;1000000,"100K-1M",IF(TwitterClean[[#This Row],[followers]]&lt;10000000,"1M-10M","10M+")))</f>
        <v>1M-10M</v>
      </c>
    </row>
    <row r="72" spans="1:38">
      <c r="A72">
        <v>1.868390573041685E+18</v>
      </c>
      <c r="B72" t="s">
        <v>1393</v>
      </c>
      <c r="C72" t="s">
        <v>1394</v>
      </c>
      <c r="D72" t="s">
        <v>1508</v>
      </c>
      <c r="E72" t="s">
        <v>1509</v>
      </c>
      <c r="F72" t="s">
        <v>1510</v>
      </c>
      <c r="G72" t="s">
        <v>1511</v>
      </c>
      <c r="H72" t="s">
        <v>1512</v>
      </c>
      <c r="I72">
        <v>106</v>
      </c>
      <c r="J72">
        <v>588</v>
      </c>
      <c r="K72">
        <v>8035</v>
      </c>
      <c r="L72">
        <v>208486</v>
      </c>
      <c r="M72" t="s">
        <v>52</v>
      </c>
      <c r="N72" t="s">
        <v>29</v>
      </c>
      <c r="O72">
        <v>24644781</v>
      </c>
      <c r="P72" t="s">
        <v>1400</v>
      </c>
      <c r="Q72">
        <v>122426</v>
      </c>
      <c r="R72" t="s">
        <v>1401</v>
      </c>
      <c r="S72">
        <v>339854</v>
      </c>
      <c r="T72" t="b">
        <v>0</v>
      </c>
      <c r="U72">
        <v>43</v>
      </c>
      <c r="V72">
        <v>26</v>
      </c>
      <c r="W72" t="s">
        <v>35</v>
      </c>
      <c r="X72" t="s">
        <v>29</v>
      </c>
      <c r="Y72" t="s">
        <v>29</v>
      </c>
      <c r="Z72" t="s">
        <v>37</v>
      </c>
      <c r="AA72">
        <f>TwitterClean[[#This Row],[likes]]+TwitterClean[[#This Row],[replies]]+TwitterClean[[#This Row],[reposts]]+TwitterClean[[#This Row],[quotes]]+TwitterClean[[#This Row],[bookmarks]]</f>
        <v>8798</v>
      </c>
      <c r="AB72" s="1">
        <f>TwitterClean[[#This Row],[Total_Engagements]]/TwitterClean[[#This Row],[views]]</f>
        <v>4.2199476223823182E-2</v>
      </c>
      <c r="AC72" s="3">
        <f>DATEVALUE(MID(TwitterClean[[#This Row],[date_posted]],2,10))</f>
        <v>45641</v>
      </c>
      <c r="AD72">
        <f>TIMEVALUE(MID(TwitterClean[[#This Row],[date_posted]],13,8))</f>
        <v>0.84722222222222221</v>
      </c>
      <c r="AE72" s="3" t="str">
        <f>TEXT(TwitterClean[[#This Row],[Post_Date]],"dddd")</f>
        <v>Sunday</v>
      </c>
      <c r="AF72">
        <f>HOUR(TwitterClean[[#This Row],[Post_Time]])</f>
        <v>20</v>
      </c>
      <c r="AG72" t="str">
        <f>IF(TwitterClean[[#This Row],[videos]]="Null","No","Yes")</f>
        <v>No</v>
      </c>
      <c r="AH72" t="str">
        <f>IF(TwitterClean[[#This Row],[photos]]="null","No","Yes")</f>
        <v>Yes</v>
      </c>
      <c r="AI72" t="str">
        <f>IF(TwitterClean[[#This Row],[hashtags]]="null","No","Yes")</f>
        <v>No</v>
      </c>
      <c r="AJ72" t="str">
        <f>IF(TwitterClean[[#This Row],[external_url]]="null","Yes","No")</f>
        <v>No</v>
      </c>
      <c r="AK72">
        <f>LEN(TwitterClean[[#This Row],[description]])</f>
        <v>58</v>
      </c>
      <c r="AL72" t="str">
        <f>IF(TwitterClean[[#This Row],[followers]]&lt;100000,"&lt;100K",IF(TwitterClean[[#This Row],[followers]]&lt;1000000,"100K-1M",IF(TwitterClean[[#This Row],[followers]]&lt;10000000,"1M-10M","10M+")))</f>
        <v>10M+</v>
      </c>
    </row>
    <row r="73" spans="1:38">
      <c r="A73">
        <v>1.868362781205889E+18</v>
      </c>
      <c r="B73" t="s">
        <v>1280</v>
      </c>
      <c r="C73" t="s">
        <v>1281</v>
      </c>
      <c r="D73" t="s">
        <v>1575</v>
      </c>
      <c r="E73" t="s">
        <v>1576</v>
      </c>
      <c r="F73" t="s">
        <v>29</v>
      </c>
      <c r="G73" t="s">
        <v>1577</v>
      </c>
      <c r="H73" t="s">
        <v>29</v>
      </c>
      <c r="I73">
        <v>2729</v>
      </c>
      <c r="J73">
        <v>26332</v>
      </c>
      <c r="K73">
        <v>100329</v>
      </c>
      <c r="L73">
        <v>3189307</v>
      </c>
      <c r="M73" t="s">
        <v>1302</v>
      </c>
      <c r="N73" t="s">
        <v>1286</v>
      </c>
      <c r="O73">
        <v>38439078</v>
      </c>
      <c r="P73" t="s">
        <v>1287</v>
      </c>
      <c r="Q73">
        <v>92455</v>
      </c>
      <c r="R73" t="s">
        <v>1288</v>
      </c>
      <c r="S73">
        <v>145</v>
      </c>
      <c r="T73" t="b">
        <v>0</v>
      </c>
      <c r="U73">
        <v>4251</v>
      </c>
      <c r="V73">
        <v>671</v>
      </c>
      <c r="W73" t="s">
        <v>35</v>
      </c>
      <c r="X73" t="s">
        <v>29</v>
      </c>
      <c r="Y73" t="s">
        <v>29</v>
      </c>
      <c r="Z73" t="s">
        <v>37</v>
      </c>
      <c r="AA73">
        <f>TwitterClean[[#This Row],[likes]]+TwitterClean[[#This Row],[replies]]+TwitterClean[[#This Row],[reposts]]+TwitterClean[[#This Row],[quotes]]+TwitterClean[[#This Row],[bookmarks]]</f>
        <v>134312</v>
      </c>
      <c r="AB73" s="1">
        <f>TwitterClean[[#This Row],[Total_Engagements]]/TwitterClean[[#This Row],[views]]</f>
        <v>4.2113223969972163E-2</v>
      </c>
      <c r="AC73" s="3">
        <f>DATEVALUE(MID(TwitterClean[[#This Row],[date_posted]],2,10))</f>
        <v>45641</v>
      </c>
      <c r="AD73">
        <f>TIMEVALUE(MID(TwitterClean[[#This Row],[date_posted]],13,8))</f>
        <v>0.77053240740740736</v>
      </c>
      <c r="AE73" s="3" t="str">
        <f>TEXT(TwitterClean[[#This Row],[Post_Date]],"dddd")</f>
        <v>Sunday</v>
      </c>
      <c r="AF73">
        <f>HOUR(TwitterClean[[#This Row],[Post_Time]])</f>
        <v>18</v>
      </c>
      <c r="AG73" t="str">
        <f>IF(TwitterClean[[#This Row],[videos]]="Null","No","Yes")</f>
        <v>No</v>
      </c>
      <c r="AH73" t="str">
        <f>IF(TwitterClean[[#This Row],[photos]]="null","No","Yes")</f>
        <v>No</v>
      </c>
      <c r="AI73" t="str">
        <f>IF(TwitterClean[[#This Row],[hashtags]]="null","No","Yes")</f>
        <v>Yes</v>
      </c>
      <c r="AJ73" t="str">
        <f>IF(TwitterClean[[#This Row],[external_url]]="null","Yes","No")</f>
        <v>No</v>
      </c>
      <c r="AK73">
        <f>LEN(TwitterClean[[#This Row],[description]])</f>
        <v>40</v>
      </c>
      <c r="AL73" t="str">
        <f>IF(TwitterClean[[#This Row],[followers]]&lt;100000,"&lt;100K",IF(TwitterClean[[#This Row],[followers]]&lt;1000000,"100K-1M",IF(TwitterClean[[#This Row],[followers]]&lt;10000000,"1M-10M","10M+")))</f>
        <v>10M+</v>
      </c>
    </row>
    <row r="74" spans="1:38">
      <c r="A74">
        <v>1.8682194457363049E+18</v>
      </c>
      <c r="B74" t="s">
        <v>275</v>
      </c>
      <c r="C74" t="s">
        <v>276</v>
      </c>
      <c r="D74" t="s">
        <v>1598</v>
      </c>
      <c r="E74" t="s">
        <v>720</v>
      </c>
      <c r="F74" t="s">
        <v>1599</v>
      </c>
      <c r="G74" t="s">
        <v>1600</v>
      </c>
      <c r="H74" t="s">
        <v>29</v>
      </c>
      <c r="I74">
        <v>27</v>
      </c>
      <c r="J74">
        <v>159</v>
      </c>
      <c r="K74">
        <v>1859</v>
      </c>
      <c r="L74">
        <v>49212</v>
      </c>
      <c r="M74" t="s">
        <v>52</v>
      </c>
      <c r="N74" t="s">
        <v>1601</v>
      </c>
      <c r="O74">
        <v>8539604</v>
      </c>
      <c r="P74" t="s">
        <v>282</v>
      </c>
      <c r="Q74">
        <v>75535</v>
      </c>
      <c r="R74" t="s">
        <v>283</v>
      </c>
      <c r="S74">
        <v>117</v>
      </c>
      <c r="T74" t="b">
        <v>0</v>
      </c>
      <c r="U74">
        <v>17</v>
      </c>
      <c r="V74">
        <v>6</v>
      </c>
      <c r="W74" t="s">
        <v>35</v>
      </c>
      <c r="X74" t="s">
        <v>29</v>
      </c>
      <c r="Y74" t="s">
        <v>29</v>
      </c>
      <c r="Z74" t="s">
        <v>37</v>
      </c>
      <c r="AA74">
        <f>TwitterClean[[#This Row],[likes]]+TwitterClean[[#This Row],[replies]]+TwitterClean[[#This Row],[reposts]]+TwitterClean[[#This Row],[quotes]]+TwitterClean[[#This Row],[bookmarks]]</f>
        <v>2068</v>
      </c>
      <c r="AB74" s="1">
        <f>TwitterClean[[#This Row],[Total_Engagements]]/TwitterClean[[#This Row],[views]]</f>
        <v>4.202227099081525E-2</v>
      </c>
      <c r="AC74" s="3">
        <f>DATEVALUE(MID(TwitterClean[[#This Row],[date_posted]],2,10))</f>
        <v>45641</v>
      </c>
      <c r="AD74">
        <f>TIMEVALUE(MID(TwitterClean[[#This Row],[date_posted]],13,8))</f>
        <v>0.375</v>
      </c>
      <c r="AE74" s="3" t="str">
        <f>TEXT(TwitterClean[[#This Row],[Post_Date]],"dddd")</f>
        <v>Sunday</v>
      </c>
      <c r="AF74">
        <f>HOUR(TwitterClean[[#This Row],[Post_Time]])</f>
        <v>9</v>
      </c>
      <c r="AG74" t="str">
        <f>IF(TwitterClean[[#This Row],[videos]]="Null","No","Yes")</f>
        <v>No</v>
      </c>
      <c r="AH74" t="str">
        <f>IF(TwitterClean[[#This Row],[photos]]="null","No","Yes")</f>
        <v>Yes</v>
      </c>
      <c r="AI74" t="str">
        <f>IF(TwitterClean[[#This Row],[hashtags]]="null","No","Yes")</f>
        <v>Yes</v>
      </c>
      <c r="AJ74" t="str">
        <f>IF(TwitterClean[[#This Row],[external_url]]="null","Yes","No")</f>
        <v>No</v>
      </c>
      <c r="AK74">
        <f>LEN(TwitterClean[[#This Row],[description]])</f>
        <v>82</v>
      </c>
      <c r="AL74" t="str">
        <f>IF(TwitterClean[[#This Row],[followers]]&lt;100000,"&lt;100K",IF(TwitterClean[[#This Row],[followers]]&lt;1000000,"100K-1M",IF(TwitterClean[[#This Row],[followers]]&lt;10000000,"1M-10M","10M+")))</f>
        <v>1M-10M</v>
      </c>
    </row>
    <row r="75" spans="1:38">
      <c r="A75">
        <v>1.8680968796212884E+18</v>
      </c>
      <c r="B75" t="s">
        <v>2230</v>
      </c>
      <c r="C75" t="s">
        <v>2231</v>
      </c>
      <c r="D75" t="s">
        <v>2469</v>
      </c>
      <c r="E75" t="s">
        <v>2470</v>
      </c>
      <c r="F75" t="s">
        <v>2471</v>
      </c>
      <c r="G75" t="s">
        <v>2472</v>
      </c>
      <c r="H75" t="s">
        <v>29</v>
      </c>
      <c r="I75">
        <v>311</v>
      </c>
      <c r="J75">
        <v>769</v>
      </c>
      <c r="K75">
        <v>5599</v>
      </c>
      <c r="L75">
        <v>162174</v>
      </c>
      <c r="M75" t="s">
        <v>2473</v>
      </c>
      <c r="N75" t="s">
        <v>29</v>
      </c>
      <c r="O75">
        <v>3313897</v>
      </c>
      <c r="P75" t="s">
        <v>2237</v>
      </c>
      <c r="Q75">
        <v>706459</v>
      </c>
      <c r="R75" t="s">
        <v>2238</v>
      </c>
      <c r="S75">
        <v>10308</v>
      </c>
      <c r="T75" t="b">
        <v>0</v>
      </c>
      <c r="U75">
        <v>64</v>
      </c>
      <c r="V75">
        <v>65</v>
      </c>
      <c r="W75" t="s">
        <v>35</v>
      </c>
      <c r="X75" t="s">
        <v>29</v>
      </c>
      <c r="Y75" t="s">
        <v>29</v>
      </c>
      <c r="Z75" t="s">
        <v>37</v>
      </c>
      <c r="AA75">
        <f>TwitterClean[[#This Row],[likes]]+TwitterClean[[#This Row],[replies]]+TwitterClean[[#This Row],[reposts]]+TwitterClean[[#This Row],[quotes]]+TwitterClean[[#This Row],[bookmarks]]</f>
        <v>6808</v>
      </c>
      <c r="AB75" s="1">
        <f>TwitterClean[[#This Row],[Total_Engagements]]/TwitterClean[[#This Row],[views]]</f>
        <v>4.1979602155709297E-2</v>
      </c>
      <c r="AC75" s="3">
        <f>DATEVALUE(MID(TwitterClean[[#This Row],[date_posted]],2,10))</f>
        <v>45641</v>
      </c>
      <c r="AD75">
        <f>TIMEVALUE(MID(TwitterClean[[#This Row],[date_posted]],13,8))</f>
        <v>3.6782407407407409E-2</v>
      </c>
      <c r="AE75" s="3" t="str">
        <f>TEXT(TwitterClean[[#This Row],[Post_Date]],"dddd")</f>
        <v>Sunday</v>
      </c>
      <c r="AF75">
        <f>HOUR(TwitterClean[[#This Row],[Post_Time]])</f>
        <v>0</v>
      </c>
      <c r="AG75" t="str">
        <f>IF(TwitterClean[[#This Row],[videos]]="Null","No","Yes")</f>
        <v>No</v>
      </c>
      <c r="AH75" t="str">
        <f>IF(TwitterClean[[#This Row],[photos]]="null","No","Yes")</f>
        <v>Yes</v>
      </c>
      <c r="AI75" t="str">
        <f>IF(TwitterClean[[#This Row],[hashtags]]="null","No","Yes")</f>
        <v>No</v>
      </c>
      <c r="AJ75" t="str">
        <f>IF(TwitterClean[[#This Row],[external_url]]="null","Yes","No")</f>
        <v>No</v>
      </c>
      <c r="AK75">
        <f>LEN(TwitterClean[[#This Row],[description]])</f>
        <v>74</v>
      </c>
      <c r="AL75" t="str">
        <f>IF(TwitterClean[[#This Row],[followers]]&lt;100000,"&lt;100K",IF(TwitterClean[[#This Row],[followers]]&lt;1000000,"100K-1M",IF(TwitterClean[[#This Row],[followers]]&lt;10000000,"1M-10M","10M+")))</f>
        <v>1M-10M</v>
      </c>
    </row>
    <row r="76" spans="1:38">
      <c r="A76">
        <v>1.8681207117113677E+18</v>
      </c>
      <c r="B76" t="s">
        <v>3083</v>
      </c>
      <c r="C76" t="s">
        <v>3083</v>
      </c>
      <c r="D76" t="s">
        <v>4987</v>
      </c>
      <c r="E76" t="s">
        <v>4988</v>
      </c>
      <c r="F76" t="s">
        <v>4989</v>
      </c>
      <c r="G76" t="s">
        <v>4990</v>
      </c>
      <c r="H76" t="s">
        <v>4991</v>
      </c>
      <c r="I76">
        <v>888</v>
      </c>
      <c r="J76">
        <v>5108</v>
      </c>
      <c r="K76">
        <v>35883</v>
      </c>
      <c r="L76">
        <v>1036071</v>
      </c>
      <c r="M76" t="s">
        <v>52</v>
      </c>
      <c r="N76" t="s">
        <v>3087</v>
      </c>
      <c r="O76">
        <v>14375935</v>
      </c>
      <c r="P76" t="s">
        <v>3088</v>
      </c>
      <c r="Q76">
        <v>346973</v>
      </c>
      <c r="R76" t="s">
        <v>3089</v>
      </c>
      <c r="S76">
        <v>392</v>
      </c>
      <c r="T76" t="b">
        <v>0</v>
      </c>
      <c r="U76">
        <v>632</v>
      </c>
      <c r="V76">
        <v>581</v>
      </c>
      <c r="W76" t="s">
        <v>35</v>
      </c>
      <c r="X76" t="s">
        <v>29</v>
      </c>
      <c r="Y76" t="s">
        <v>29</v>
      </c>
      <c r="Z76" t="s">
        <v>37</v>
      </c>
      <c r="AA76">
        <f>TwitterClean[[#This Row],[likes]]+TwitterClean[[#This Row],[replies]]+TwitterClean[[#This Row],[reposts]]+TwitterClean[[#This Row],[quotes]]+TwitterClean[[#This Row],[bookmarks]]</f>
        <v>43092</v>
      </c>
      <c r="AB76" s="1">
        <f>TwitterClean[[#This Row],[Total_Engagements]]/TwitterClean[[#This Row],[views]]</f>
        <v>4.1591744195137205E-2</v>
      </c>
      <c r="AC76" s="3">
        <f>DATEVALUE(MID(TwitterClean[[#This Row],[date_posted]],2,10))</f>
        <v>45641</v>
      </c>
      <c r="AD76">
        <f>TIMEVALUE(MID(TwitterClean[[#This Row],[date_posted]],13,8))</f>
        <v>0.1025462962962963</v>
      </c>
      <c r="AE76" s="3" t="str">
        <f>TEXT(TwitterClean[[#This Row],[Post_Date]],"dddd")</f>
        <v>Sunday</v>
      </c>
      <c r="AF76">
        <f>HOUR(TwitterClean[[#This Row],[Post_Time]])</f>
        <v>2</v>
      </c>
      <c r="AG76" t="str">
        <f>IF(TwitterClean[[#This Row],[videos]]="Null","No","Yes")</f>
        <v>No</v>
      </c>
      <c r="AH76" t="str">
        <f>IF(TwitterClean[[#This Row],[photos]]="null","No","Yes")</f>
        <v>Yes</v>
      </c>
      <c r="AI76" t="str">
        <f>IF(TwitterClean[[#This Row],[hashtags]]="null","No","Yes")</f>
        <v>Yes</v>
      </c>
      <c r="AJ76" t="str">
        <f>IF(TwitterClean[[#This Row],[external_url]]="null","Yes","No")</f>
        <v>No</v>
      </c>
      <c r="AK76">
        <f>LEN(TwitterClean[[#This Row],[description]])</f>
        <v>86</v>
      </c>
      <c r="AL76" t="str">
        <f>IF(TwitterClean[[#This Row],[followers]]&lt;100000,"&lt;100K",IF(TwitterClean[[#This Row],[followers]]&lt;1000000,"100K-1M",IF(TwitterClean[[#This Row],[followers]]&lt;10000000,"1M-10M","10M+")))</f>
        <v>10M+</v>
      </c>
    </row>
    <row r="77" spans="1:38">
      <c r="A77">
        <v>1.8684032740614144E+18</v>
      </c>
      <c r="B77" t="s">
        <v>1129</v>
      </c>
      <c r="C77" t="s">
        <v>1130</v>
      </c>
      <c r="D77" t="s">
        <v>1131</v>
      </c>
      <c r="E77" t="s">
        <v>1132</v>
      </c>
      <c r="F77" t="s">
        <v>1133</v>
      </c>
      <c r="G77" t="s">
        <v>1134</v>
      </c>
      <c r="H77" t="s">
        <v>1135</v>
      </c>
      <c r="I77">
        <v>4</v>
      </c>
      <c r="J77">
        <v>21</v>
      </c>
      <c r="K77">
        <v>80</v>
      </c>
      <c r="L77">
        <v>2568</v>
      </c>
      <c r="M77" t="s">
        <v>52</v>
      </c>
      <c r="N77" t="s">
        <v>1136</v>
      </c>
      <c r="O77">
        <v>83499</v>
      </c>
      <c r="P77" t="s">
        <v>1137</v>
      </c>
      <c r="Q77">
        <v>2027</v>
      </c>
      <c r="R77" t="s">
        <v>1138</v>
      </c>
      <c r="S77">
        <v>413</v>
      </c>
      <c r="T77" t="b">
        <v>0</v>
      </c>
      <c r="U77">
        <v>0</v>
      </c>
      <c r="V77">
        <v>1</v>
      </c>
      <c r="W77" t="s">
        <v>35</v>
      </c>
      <c r="X77" t="s">
        <v>29</v>
      </c>
      <c r="Y77" t="s">
        <v>29</v>
      </c>
      <c r="Z77" t="s">
        <v>37</v>
      </c>
      <c r="AA77">
        <f>TwitterClean[[#This Row],[likes]]+TwitterClean[[#This Row],[replies]]+TwitterClean[[#This Row],[reposts]]+TwitterClean[[#This Row],[quotes]]+TwitterClean[[#This Row],[bookmarks]]</f>
        <v>106</v>
      </c>
      <c r="AB77" s="1">
        <f>TwitterClean[[#This Row],[Total_Engagements]]/TwitterClean[[#This Row],[views]]</f>
        <v>4.1277258566978191E-2</v>
      </c>
      <c r="AC77" s="3">
        <f>DATEVALUE(MID(TwitterClean[[#This Row],[date_posted]],2,10))</f>
        <v>45641</v>
      </c>
      <c r="AD77">
        <f>TIMEVALUE(MID(TwitterClean[[#This Row],[date_posted]],13,8))</f>
        <v>0.88226851851851851</v>
      </c>
      <c r="AE77" s="3" t="str">
        <f>TEXT(TwitterClean[[#This Row],[Post_Date]],"dddd")</f>
        <v>Sunday</v>
      </c>
      <c r="AF77">
        <f>HOUR(TwitterClean[[#This Row],[Post_Time]])</f>
        <v>21</v>
      </c>
      <c r="AG77" t="str">
        <f>IF(TwitterClean[[#This Row],[videos]]="Null","No","Yes")</f>
        <v>No</v>
      </c>
      <c r="AH77" t="str">
        <f>IF(TwitterClean[[#This Row],[photos]]="null","No","Yes")</f>
        <v>Yes</v>
      </c>
      <c r="AI77" t="str">
        <f>IF(TwitterClean[[#This Row],[hashtags]]="null","No","Yes")</f>
        <v>Yes</v>
      </c>
      <c r="AJ77" t="str">
        <f>IF(TwitterClean[[#This Row],[external_url]]="null","Yes","No")</f>
        <v>No</v>
      </c>
      <c r="AK77">
        <f>LEN(TwitterClean[[#This Row],[description]])</f>
        <v>238</v>
      </c>
      <c r="AL77" t="str">
        <f>IF(TwitterClean[[#This Row],[followers]]&lt;100000,"&lt;100K",IF(TwitterClean[[#This Row],[followers]]&lt;1000000,"100K-1M",IF(TwitterClean[[#This Row],[followers]]&lt;10000000,"1M-10M","10M+")))</f>
        <v>&lt;100K</v>
      </c>
    </row>
    <row r="78" spans="1:38">
      <c r="A78">
        <v>1.8683270099000074E+18</v>
      </c>
      <c r="B78" t="s">
        <v>3392</v>
      </c>
      <c r="C78" t="s">
        <v>3393</v>
      </c>
      <c r="D78" t="s">
        <v>4932</v>
      </c>
      <c r="E78" t="s">
        <v>4933</v>
      </c>
      <c r="F78" t="s">
        <v>4934</v>
      </c>
      <c r="G78" t="s">
        <v>4935</v>
      </c>
      <c r="H78" t="s">
        <v>29</v>
      </c>
      <c r="I78">
        <v>46</v>
      </c>
      <c r="J78">
        <v>399</v>
      </c>
      <c r="K78">
        <v>5555</v>
      </c>
      <c r="L78">
        <v>148528</v>
      </c>
      <c r="M78" t="s">
        <v>52</v>
      </c>
      <c r="N78" t="s">
        <v>3398</v>
      </c>
      <c r="O78">
        <v>1480964</v>
      </c>
      <c r="P78" t="s">
        <v>3399</v>
      </c>
      <c r="Q78">
        <v>103753</v>
      </c>
      <c r="R78" t="s">
        <v>3400</v>
      </c>
      <c r="S78">
        <v>552</v>
      </c>
      <c r="T78" t="b">
        <v>0</v>
      </c>
      <c r="U78">
        <v>44</v>
      </c>
      <c r="V78">
        <v>59</v>
      </c>
      <c r="W78" t="s">
        <v>35</v>
      </c>
      <c r="X78" t="s">
        <v>29</v>
      </c>
      <c r="Y78" t="s">
        <v>29</v>
      </c>
      <c r="Z78" t="s">
        <v>37</v>
      </c>
      <c r="AA78">
        <f>TwitterClean[[#This Row],[likes]]+TwitterClean[[#This Row],[replies]]+TwitterClean[[#This Row],[reposts]]+TwitterClean[[#This Row],[quotes]]+TwitterClean[[#This Row],[bookmarks]]</f>
        <v>6103</v>
      </c>
      <c r="AB78" s="1">
        <f>TwitterClean[[#This Row],[Total_Engagements]]/TwitterClean[[#This Row],[views]]</f>
        <v>4.1089895507917702E-2</v>
      </c>
      <c r="AC78" s="3">
        <f>DATEVALUE(MID(TwitterClean[[#This Row],[date_posted]],2,10))</f>
        <v>45641</v>
      </c>
      <c r="AD78">
        <f>TIMEVALUE(MID(TwitterClean[[#This Row],[date_posted]],13,8))</f>
        <v>0.67181712962962958</v>
      </c>
      <c r="AE78" s="3" t="str">
        <f>TEXT(TwitterClean[[#This Row],[Post_Date]],"dddd")</f>
        <v>Sunday</v>
      </c>
      <c r="AF78">
        <f>HOUR(TwitterClean[[#This Row],[Post_Time]])</f>
        <v>16</v>
      </c>
      <c r="AG78" t="str">
        <f>IF(TwitterClean[[#This Row],[videos]]="Null","No","Yes")</f>
        <v>No</v>
      </c>
      <c r="AH78" t="str">
        <f>IF(TwitterClean[[#This Row],[photos]]="null","No","Yes")</f>
        <v>Yes</v>
      </c>
      <c r="AI78" t="str">
        <f>IF(TwitterClean[[#This Row],[hashtags]]="null","No","Yes")</f>
        <v>Yes</v>
      </c>
      <c r="AJ78" t="str">
        <f>IF(TwitterClean[[#This Row],[external_url]]="null","Yes","No")</f>
        <v>No</v>
      </c>
      <c r="AK78">
        <f>LEN(TwitterClean[[#This Row],[description]])</f>
        <v>20</v>
      </c>
      <c r="AL78" t="str">
        <f>IF(TwitterClean[[#This Row],[followers]]&lt;100000,"&lt;100K",IF(TwitterClean[[#This Row],[followers]]&lt;1000000,"100K-1M",IF(TwitterClean[[#This Row],[followers]]&lt;10000000,"1M-10M","10M+")))</f>
        <v>1M-10M</v>
      </c>
    </row>
    <row r="79" spans="1:38">
      <c r="A79">
        <v>1.8683763603029156E+18</v>
      </c>
      <c r="B79" t="s">
        <v>275</v>
      </c>
      <c r="C79" t="s">
        <v>276</v>
      </c>
      <c r="D79" t="s">
        <v>4607</v>
      </c>
      <c r="E79" t="s">
        <v>4608</v>
      </c>
      <c r="F79" t="s">
        <v>29</v>
      </c>
      <c r="G79" t="s">
        <v>4609</v>
      </c>
      <c r="H79" t="s">
        <v>29</v>
      </c>
      <c r="I79">
        <v>32</v>
      </c>
      <c r="J79">
        <v>433</v>
      </c>
      <c r="K79">
        <v>3199</v>
      </c>
      <c r="L79">
        <v>93379</v>
      </c>
      <c r="M79" t="s">
        <v>52</v>
      </c>
      <c r="N79" t="s">
        <v>281</v>
      </c>
      <c r="O79">
        <v>8539601</v>
      </c>
      <c r="P79" t="s">
        <v>282</v>
      </c>
      <c r="Q79">
        <v>75535</v>
      </c>
      <c r="R79" t="s">
        <v>283</v>
      </c>
      <c r="S79">
        <v>117</v>
      </c>
      <c r="T79" t="b">
        <v>0</v>
      </c>
      <c r="U79">
        <v>46</v>
      </c>
      <c r="V79">
        <v>87</v>
      </c>
      <c r="W79" t="s">
        <v>35</v>
      </c>
      <c r="X79" t="s">
        <v>29</v>
      </c>
      <c r="Y79" t="s">
        <v>4610</v>
      </c>
      <c r="Z79" t="s">
        <v>37</v>
      </c>
      <c r="AA79">
        <f>TwitterClean[[#This Row],[likes]]+TwitterClean[[#This Row],[replies]]+TwitterClean[[#This Row],[reposts]]+TwitterClean[[#This Row],[quotes]]+TwitterClean[[#This Row],[bookmarks]]</f>
        <v>3797</v>
      </c>
      <c r="AB79" s="1">
        <f>TwitterClean[[#This Row],[Total_Engagements]]/TwitterClean[[#This Row],[views]]</f>
        <v>4.0662247400379103E-2</v>
      </c>
      <c r="AC79" s="3">
        <f>DATEVALUE(MID(TwitterClean[[#This Row],[date_posted]],2,10))</f>
        <v>45641</v>
      </c>
      <c r="AD79">
        <f>TIMEVALUE(MID(TwitterClean[[#This Row],[date_posted]],13,8))</f>
        <v>0.80799768518518522</v>
      </c>
      <c r="AE79" s="3" t="str">
        <f>TEXT(TwitterClean[[#This Row],[Post_Date]],"dddd")</f>
        <v>Sunday</v>
      </c>
      <c r="AF79">
        <f>HOUR(TwitterClean[[#This Row],[Post_Time]])</f>
        <v>19</v>
      </c>
      <c r="AG79" t="str">
        <f>IF(TwitterClean[[#This Row],[videos]]="Null","No","Yes")</f>
        <v>Yes</v>
      </c>
      <c r="AH79" t="str">
        <f>IF(TwitterClean[[#This Row],[photos]]="null","No","Yes")</f>
        <v>No</v>
      </c>
      <c r="AI79" t="str">
        <f>IF(TwitterClean[[#This Row],[hashtags]]="null","No","Yes")</f>
        <v>Yes</v>
      </c>
      <c r="AJ79" t="str">
        <f>IF(TwitterClean[[#This Row],[external_url]]="null","Yes","No")</f>
        <v>No</v>
      </c>
      <c r="AK79">
        <f>LEN(TwitterClean[[#This Row],[description]])</f>
        <v>93</v>
      </c>
      <c r="AL79" t="str">
        <f>IF(TwitterClean[[#This Row],[followers]]&lt;100000,"&lt;100K",IF(TwitterClean[[#This Row],[followers]]&lt;1000000,"100K-1M",IF(TwitterClean[[#This Row],[followers]]&lt;10000000,"1M-10M","10M+")))</f>
        <v>1M-10M</v>
      </c>
    </row>
    <row r="80" spans="1:38">
      <c r="A80">
        <v>1.8683098897828009E+18</v>
      </c>
      <c r="B80" t="s">
        <v>1363</v>
      </c>
      <c r="C80" t="s">
        <v>1364</v>
      </c>
      <c r="D80" t="s">
        <v>4323</v>
      </c>
      <c r="E80" t="s">
        <v>4324</v>
      </c>
      <c r="F80" t="s">
        <v>29</v>
      </c>
      <c r="G80" t="s">
        <v>4325</v>
      </c>
      <c r="H80" t="s">
        <v>723</v>
      </c>
      <c r="I80">
        <v>7</v>
      </c>
      <c r="J80">
        <v>91</v>
      </c>
      <c r="K80">
        <v>825</v>
      </c>
      <c r="L80">
        <v>23647</v>
      </c>
      <c r="M80" t="s">
        <v>52</v>
      </c>
      <c r="N80" t="s">
        <v>1369</v>
      </c>
      <c r="O80">
        <v>462262</v>
      </c>
      <c r="P80" t="s">
        <v>1370</v>
      </c>
      <c r="Q80">
        <v>16271</v>
      </c>
      <c r="R80" t="s">
        <v>1371</v>
      </c>
      <c r="S80">
        <v>38</v>
      </c>
      <c r="T80" t="b">
        <v>0</v>
      </c>
      <c r="U80">
        <v>8</v>
      </c>
      <c r="V80">
        <v>8</v>
      </c>
      <c r="W80" t="s">
        <v>35</v>
      </c>
      <c r="X80" t="s">
        <v>29</v>
      </c>
      <c r="Y80" t="s">
        <v>4317</v>
      </c>
      <c r="Z80" t="s">
        <v>37</v>
      </c>
      <c r="AA80">
        <f>TwitterClean[[#This Row],[likes]]+TwitterClean[[#This Row],[replies]]+TwitterClean[[#This Row],[reposts]]+TwitterClean[[#This Row],[quotes]]+TwitterClean[[#This Row],[bookmarks]]</f>
        <v>939</v>
      </c>
      <c r="AB80" s="1">
        <f>TwitterClean[[#This Row],[Total_Engagements]]/TwitterClean[[#This Row],[views]]</f>
        <v>3.9709054002621896E-2</v>
      </c>
      <c r="AC80" s="3">
        <f>DATEVALUE(MID(TwitterClean[[#This Row],[date_posted]],2,10))</f>
        <v>45641</v>
      </c>
      <c r="AD80">
        <f>TIMEVALUE(MID(TwitterClean[[#This Row],[date_posted]],13,8))</f>
        <v>0.62457175925925923</v>
      </c>
      <c r="AE80" s="3" t="str">
        <f>TEXT(TwitterClean[[#This Row],[Post_Date]],"dddd")</f>
        <v>Sunday</v>
      </c>
      <c r="AF80">
        <f>HOUR(TwitterClean[[#This Row],[Post_Time]])</f>
        <v>14</v>
      </c>
      <c r="AG80" t="str">
        <f>IF(TwitterClean[[#This Row],[videos]]="Null","No","Yes")</f>
        <v>Yes</v>
      </c>
      <c r="AH80" t="str">
        <f>IF(TwitterClean[[#This Row],[photos]]="null","No","Yes")</f>
        <v>No</v>
      </c>
      <c r="AI80" t="str">
        <f>IF(TwitterClean[[#This Row],[hashtags]]="null","No","Yes")</f>
        <v>Yes</v>
      </c>
      <c r="AJ80" t="str">
        <f>IF(TwitterClean[[#This Row],[external_url]]="null","Yes","No")</f>
        <v>No</v>
      </c>
      <c r="AK80">
        <f>LEN(TwitterClean[[#This Row],[description]])</f>
        <v>58</v>
      </c>
      <c r="AL80" t="str">
        <f>IF(TwitterClean[[#This Row],[followers]]&lt;100000,"&lt;100K",IF(TwitterClean[[#This Row],[followers]]&lt;1000000,"100K-1M",IF(TwitterClean[[#This Row],[followers]]&lt;10000000,"1M-10M","10M+")))</f>
        <v>100K-1M</v>
      </c>
    </row>
    <row r="81" spans="1:38">
      <c r="A81">
        <v>1.8684155362391532E+18</v>
      </c>
      <c r="B81" t="s">
        <v>290</v>
      </c>
      <c r="C81" t="s">
        <v>291</v>
      </c>
      <c r="D81" t="s">
        <v>644</v>
      </c>
      <c r="E81" t="s">
        <v>645</v>
      </c>
      <c r="F81" t="s">
        <v>646</v>
      </c>
      <c r="G81" t="s">
        <v>647</v>
      </c>
      <c r="H81" t="s">
        <v>29</v>
      </c>
      <c r="I81">
        <v>10</v>
      </c>
      <c r="J81">
        <v>22</v>
      </c>
      <c r="K81">
        <v>520</v>
      </c>
      <c r="L81">
        <v>14234</v>
      </c>
      <c r="M81" t="s">
        <v>52</v>
      </c>
      <c r="N81" t="s">
        <v>305</v>
      </c>
      <c r="O81">
        <v>1906482</v>
      </c>
      <c r="P81" t="s">
        <v>298</v>
      </c>
      <c r="Q81">
        <v>124666</v>
      </c>
      <c r="R81" t="s">
        <v>299</v>
      </c>
      <c r="S81">
        <v>432</v>
      </c>
      <c r="T81" t="b">
        <v>0</v>
      </c>
      <c r="U81">
        <v>4</v>
      </c>
      <c r="V81">
        <v>7</v>
      </c>
      <c r="W81" t="s">
        <v>35</v>
      </c>
      <c r="X81" t="s">
        <v>29</v>
      </c>
      <c r="Y81" t="s">
        <v>29</v>
      </c>
      <c r="Z81" t="s">
        <v>37</v>
      </c>
      <c r="AA81">
        <f>TwitterClean[[#This Row],[likes]]+TwitterClean[[#This Row],[replies]]+TwitterClean[[#This Row],[reposts]]+TwitterClean[[#This Row],[quotes]]+TwitterClean[[#This Row],[bookmarks]]</f>
        <v>563</v>
      </c>
      <c r="AB81" s="1">
        <f>TwitterClean[[#This Row],[Total_Engagements]]/TwitterClean[[#This Row],[views]]</f>
        <v>3.9553182520725025E-2</v>
      </c>
      <c r="AC81" s="3">
        <f>DATEVALUE(MID(TwitterClean[[#This Row],[date_posted]],2,10))</f>
        <v>45641</v>
      </c>
      <c r="AD81">
        <f>TIMEVALUE(MID(TwitterClean[[#This Row],[date_posted]],13,8))</f>
        <v>0.91609953703703706</v>
      </c>
      <c r="AE81" s="3" t="str">
        <f>TEXT(TwitterClean[[#This Row],[Post_Date]],"dddd")</f>
        <v>Sunday</v>
      </c>
      <c r="AF81">
        <f>HOUR(TwitterClean[[#This Row],[Post_Time]])</f>
        <v>21</v>
      </c>
      <c r="AG81" t="str">
        <f>IF(TwitterClean[[#This Row],[videos]]="Null","No","Yes")</f>
        <v>No</v>
      </c>
      <c r="AH81" t="str">
        <f>IF(TwitterClean[[#This Row],[photos]]="null","No","Yes")</f>
        <v>Yes</v>
      </c>
      <c r="AI81" t="str">
        <f>IF(TwitterClean[[#This Row],[hashtags]]="null","No","Yes")</f>
        <v>Yes</v>
      </c>
      <c r="AJ81" t="str">
        <f>IF(TwitterClean[[#This Row],[external_url]]="null","Yes","No")</f>
        <v>No</v>
      </c>
      <c r="AK81">
        <f>LEN(TwitterClean[[#This Row],[description]])</f>
        <v>35</v>
      </c>
      <c r="AL81" t="str">
        <f>IF(TwitterClean[[#This Row],[followers]]&lt;100000,"&lt;100K",IF(TwitterClean[[#This Row],[followers]]&lt;1000000,"100K-1M",IF(TwitterClean[[#This Row],[followers]]&lt;10000000,"1M-10M","10M+")))</f>
        <v>1M-10M</v>
      </c>
    </row>
    <row r="82" spans="1:38">
      <c r="A82">
        <v>1.8683359633001062E+18</v>
      </c>
      <c r="B82" t="s">
        <v>333</v>
      </c>
      <c r="C82" t="s">
        <v>334</v>
      </c>
      <c r="D82" t="s">
        <v>1164</v>
      </c>
      <c r="E82" t="s">
        <v>1165</v>
      </c>
      <c r="F82" t="s">
        <v>1166</v>
      </c>
      <c r="G82" t="s">
        <v>1167</v>
      </c>
      <c r="H82" t="s">
        <v>29</v>
      </c>
      <c r="I82">
        <v>27</v>
      </c>
      <c r="J82">
        <v>218</v>
      </c>
      <c r="K82">
        <v>1699</v>
      </c>
      <c r="L82">
        <v>50876</v>
      </c>
      <c r="M82" t="s">
        <v>52</v>
      </c>
      <c r="N82" t="s">
        <v>340</v>
      </c>
      <c r="O82">
        <v>337839</v>
      </c>
      <c r="P82" t="s">
        <v>341</v>
      </c>
      <c r="Q82">
        <v>57638</v>
      </c>
      <c r="R82" t="s">
        <v>342</v>
      </c>
      <c r="S82">
        <v>587</v>
      </c>
      <c r="T82" t="b">
        <v>0</v>
      </c>
      <c r="U82">
        <v>41</v>
      </c>
      <c r="V82">
        <v>24</v>
      </c>
      <c r="W82" t="s">
        <v>35</v>
      </c>
      <c r="X82" t="s">
        <v>29</v>
      </c>
      <c r="Y82" t="s">
        <v>29</v>
      </c>
      <c r="Z82" t="s">
        <v>37</v>
      </c>
      <c r="AA82">
        <f>TwitterClean[[#This Row],[likes]]+TwitterClean[[#This Row],[replies]]+TwitterClean[[#This Row],[reposts]]+TwitterClean[[#This Row],[quotes]]+TwitterClean[[#This Row],[bookmarks]]</f>
        <v>2009</v>
      </c>
      <c r="AB82" s="1">
        <f>TwitterClean[[#This Row],[Total_Engagements]]/TwitterClean[[#This Row],[views]]</f>
        <v>3.9488167308750689E-2</v>
      </c>
      <c r="AC82" s="3">
        <f>DATEVALUE(MID(TwitterClean[[#This Row],[date_posted]],2,10))</f>
        <v>45641</v>
      </c>
      <c r="AD82">
        <f>TIMEVALUE(MID(TwitterClean[[#This Row],[date_posted]],13,8))</f>
        <v>0.69652777777777775</v>
      </c>
      <c r="AE82" s="3" t="str">
        <f>TEXT(TwitterClean[[#This Row],[Post_Date]],"dddd")</f>
        <v>Sunday</v>
      </c>
      <c r="AF82">
        <f>HOUR(TwitterClean[[#This Row],[Post_Time]])</f>
        <v>16</v>
      </c>
      <c r="AG82" t="str">
        <f>IF(TwitterClean[[#This Row],[videos]]="Null","No","Yes")</f>
        <v>No</v>
      </c>
      <c r="AH82" t="str">
        <f>IF(TwitterClean[[#This Row],[photos]]="null","No","Yes")</f>
        <v>Yes</v>
      </c>
      <c r="AI82" t="str">
        <f>IF(TwitterClean[[#This Row],[hashtags]]="null","No","Yes")</f>
        <v>Yes</v>
      </c>
      <c r="AJ82" t="str">
        <f>IF(TwitterClean[[#This Row],[external_url]]="null","Yes","No")</f>
        <v>No</v>
      </c>
      <c r="AK82">
        <f>LEN(TwitterClean[[#This Row],[description]])</f>
        <v>39</v>
      </c>
      <c r="AL82" t="str">
        <f>IF(TwitterClean[[#This Row],[followers]]&lt;100000,"&lt;100K",IF(TwitterClean[[#This Row],[followers]]&lt;1000000,"100K-1M",IF(TwitterClean[[#This Row],[followers]]&lt;10000000,"1M-10M","10M+")))</f>
        <v>100K-1M</v>
      </c>
    </row>
    <row r="83" spans="1:38">
      <c r="A83">
        <v>1.8684080609531087E+18</v>
      </c>
      <c r="B83" t="s">
        <v>1862</v>
      </c>
      <c r="C83" t="s">
        <v>1863</v>
      </c>
      <c r="D83" t="s">
        <v>2197</v>
      </c>
      <c r="E83" t="s">
        <v>2198</v>
      </c>
      <c r="F83" t="s">
        <v>29</v>
      </c>
      <c r="G83" t="s">
        <v>2199</v>
      </c>
      <c r="H83" t="s">
        <v>29</v>
      </c>
      <c r="I83">
        <v>3</v>
      </c>
      <c r="J83">
        <v>75</v>
      </c>
      <c r="K83">
        <v>517</v>
      </c>
      <c r="L83">
        <v>15980</v>
      </c>
      <c r="M83" t="s">
        <v>52</v>
      </c>
      <c r="N83" t="s">
        <v>1867</v>
      </c>
      <c r="O83">
        <v>13492430</v>
      </c>
      <c r="P83" t="s">
        <v>1868</v>
      </c>
      <c r="Q83">
        <v>314515</v>
      </c>
      <c r="R83" t="s">
        <v>1869</v>
      </c>
      <c r="S83">
        <v>708</v>
      </c>
      <c r="T83" t="b">
        <v>0</v>
      </c>
      <c r="U83">
        <v>18</v>
      </c>
      <c r="V83">
        <v>18</v>
      </c>
      <c r="W83" t="s">
        <v>35</v>
      </c>
      <c r="X83" t="s">
        <v>29</v>
      </c>
      <c r="Y83" t="s">
        <v>2200</v>
      </c>
      <c r="Z83" t="s">
        <v>37</v>
      </c>
      <c r="AA83">
        <f>TwitterClean[[#This Row],[likes]]+TwitterClean[[#This Row],[replies]]+TwitterClean[[#This Row],[reposts]]+TwitterClean[[#This Row],[quotes]]+TwitterClean[[#This Row],[bookmarks]]</f>
        <v>631</v>
      </c>
      <c r="AB83" s="1">
        <f>TwitterClean[[#This Row],[Total_Engagements]]/TwitterClean[[#This Row],[views]]</f>
        <v>3.9486858573216523E-2</v>
      </c>
      <c r="AC83" s="3">
        <f>DATEVALUE(MID(TwitterClean[[#This Row],[date_posted]],2,10))</f>
        <v>45641</v>
      </c>
      <c r="AD83">
        <f>TIMEVALUE(MID(TwitterClean[[#This Row],[date_posted]],13,8))</f>
        <v>0.89547453703703705</v>
      </c>
      <c r="AE83" s="3" t="str">
        <f>TEXT(TwitterClean[[#This Row],[Post_Date]],"dddd")</f>
        <v>Sunday</v>
      </c>
      <c r="AF83">
        <f>HOUR(TwitterClean[[#This Row],[Post_Time]])</f>
        <v>21</v>
      </c>
      <c r="AG83" t="str">
        <f>IF(TwitterClean[[#This Row],[videos]]="Null","No","Yes")</f>
        <v>Yes</v>
      </c>
      <c r="AH83" t="str">
        <f>IF(TwitterClean[[#This Row],[photos]]="null","No","Yes")</f>
        <v>No</v>
      </c>
      <c r="AI83" t="str">
        <f>IF(TwitterClean[[#This Row],[hashtags]]="null","No","Yes")</f>
        <v>Yes</v>
      </c>
      <c r="AJ83" t="str">
        <f>IF(TwitterClean[[#This Row],[external_url]]="null","Yes","No")</f>
        <v>No</v>
      </c>
      <c r="AK83">
        <f>LEN(TwitterClean[[#This Row],[description]])</f>
        <v>73</v>
      </c>
      <c r="AL83" t="str">
        <f>IF(TwitterClean[[#This Row],[followers]]&lt;100000,"&lt;100K",IF(TwitterClean[[#This Row],[followers]]&lt;1000000,"100K-1M",IF(TwitterClean[[#This Row],[followers]]&lt;10000000,"1M-10M","10M+")))</f>
        <v>10M+</v>
      </c>
    </row>
    <row r="84" spans="1:38">
      <c r="A84">
        <v>1.8682798679656696E+18</v>
      </c>
      <c r="B84" t="s">
        <v>1363</v>
      </c>
      <c r="C84" t="s">
        <v>1364</v>
      </c>
      <c r="D84" t="s">
        <v>1590</v>
      </c>
      <c r="E84" t="s">
        <v>1591</v>
      </c>
      <c r="F84" t="s">
        <v>29</v>
      </c>
      <c r="G84" t="s">
        <v>1592</v>
      </c>
      <c r="H84" t="s">
        <v>29</v>
      </c>
      <c r="I84">
        <v>31</v>
      </c>
      <c r="J84">
        <v>182</v>
      </c>
      <c r="K84">
        <v>1513</v>
      </c>
      <c r="L84">
        <v>45300</v>
      </c>
      <c r="M84" t="s">
        <v>1438</v>
      </c>
      <c r="N84" t="s">
        <v>1593</v>
      </c>
      <c r="O84">
        <v>462263</v>
      </c>
      <c r="P84" t="s">
        <v>1370</v>
      </c>
      <c r="Q84">
        <v>16271</v>
      </c>
      <c r="R84" t="s">
        <v>1371</v>
      </c>
      <c r="S84">
        <v>38</v>
      </c>
      <c r="T84" t="b">
        <v>0</v>
      </c>
      <c r="U84">
        <v>53</v>
      </c>
      <c r="V84">
        <v>6</v>
      </c>
      <c r="W84" t="s">
        <v>35</v>
      </c>
      <c r="X84" t="s">
        <v>29</v>
      </c>
      <c r="Y84" t="s">
        <v>29</v>
      </c>
      <c r="Z84" t="s">
        <v>37</v>
      </c>
      <c r="AA84">
        <f>TwitterClean[[#This Row],[likes]]+TwitterClean[[#This Row],[replies]]+TwitterClean[[#This Row],[reposts]]+TwitterClean[[#This Row],[quotes]]+TwitterClean[[#This Row],[bookmarks]]</f>
        <v>1785</v>
      </c>
      <c r="AB84" s="1">
        <f>TwitterClean[[#This Row],[Total_Engagements]]/TwitterClean[[#This Row],[views]]</f>
        <v>3.9403973509933778E-2</v>
      </c>
      <c r="AC84" s="3">
        <f>DATEVALUE(MID(TwitterClean[[#This Row],[date_posted]],2,10))</f>
        <v>45641</v>
      </c>
      <c r="AD84">
        <f>TIMEVALUE(MID(TwitterClean[[#This Row],[date_posted]],13,8))</f>
        <v>0.54173611111111108</v>
      </c>
      <c r="AE84" s="3" t="str">
        <f>TEXT(TwitterClean[[#This Row],[Post_Date]],"dddd")</f>
        <v>Sunday</v>
      </c>
      <c r="AF84">
        <f>HOUR(TwitterClean[[#This Row],[Post_Time]])</f>
        <v>13</v>
      </c>
      <c r="AG84" t="str">
        <f>IF(TwitterClean[[#This Row],[videos]]="Null","No","Yes")</f>
        <v>No</v>
      </c>
      <c r="AH84" t="str">
        <f>IF(TwitterClean[[#This Row],[photos]]="null","No","Yes")</f>
        <v>No</v>
      </c>
      <c r="AI84" t="str">
        <f>IF(TwitterClean[[#This Row],[hashtags]]="null","No","Yes")</f>
        <v>Yes</v>
      </c>
      <c r="AJ84" t="str">
        <f>IF(TwitterClean[[#This Row],[external_url]]="null","Yes","No")</f>
        <v>No</v>
      </c>
      <c r="AK84">
        <f>LEN(TwitterClean[[#This Row],[description]])</f>
        <v>91</v>
      </c>
      <c r="AL84" t="str">
        <f>IF(TwitterClean[[#This Row],[followers]]&lt;100000,"&lt;100K",IF(TwitterClean[[#This Row],[followers]]&lt;1000000,"100K-1M",IF(TwitterClean[[#This Row],[followers]]&lt;10000000,"1M-10M","10M+")))</f>
        <v>100K-1M</v>
      </c>
    </row>
    <row r="85" spans="1:38">
      <c r="A85">
        <v>1.8683565993305172E+18</v>
      </c>
      <c r="B85" t="s">
        <v>1363</v>
      </c>
      <c r="C85" t="s">
        <v>1364</v>
      </c>
      <c r="D85" t="s">
        <v>1641</v>
      </c>
      <c r="E85" t="s">
        <v>1642</v>
      </c>
      <c r="F85" t="s">
        <v>1643</v>
      </c>
      <c r="G85" t="s">
        <v>1644</v>
      </c>
      <c r="H85" t="s">
        <v>29</v>
      </c>
      <c r="I85">
        <v>9</v>
      </c>
      <c r="J85">
        <v>104</v>
      </c>
      <c r="K85">
        <v>871</v>
      </c>
      <c r="L85">
        <v>25400</v>
      </c>
      <c r="M85" t="s">
        <v>52</v>
      </c>
      <c r="N85" t="s">
        <v>1645</v>
      </c>
      <c r="O85">
        <v>462263</v>
      </c>
      <c r="P85" t="s">
        <v>1370</v>
      </c>
      <c r="Q85">
        <v>16271</v>
      </c>
      <c r="R85" t="s">
        <v>1371</v>
      </c>
      <c r="S85">
        <v>38</v>
      </c>
      <c r="T85" t="b">
        <v>0</v>
      </c>
      <c r="U85">
        <v>7</v>
      </c>
      <c r="V85">
        <v>7</v>
      </c>
      <c r="W85" t="s">
        <v>35</v>
      </c>
      <c r="X85" t="s">
        <v>29</v>
      </c>
      <c r="Y85" t="s">
        <v>29</v>
      </c>
      <c r="Z85" t="s">
        <v>37</v>
      </c>
      <c r="AA85">
        <f>TwitterClean[[#This Row],[likes]]+TwitterClean[[#This Row],[replies]]+TwitterClean[[#This Row],[reposts]]+TwitterClean[[#This Row],[quotes]]+TwitterClean[[#This Row],[bookmarks]]</f>
        <v>998</v>
      </c>
      <c r="AB85" s="1">
        <f>TwitterClean[[#This Row],[Total_Engagements]]/TwitterClean[[#This Row],[views]]</f>
        <v>3.9291338582677166E-2</v>
      </c>
      <c r="AC85" s="3">
        <f>DATEVALUE(MID(TwitterClean[[#This Row],[date_posted]],2,10))</f>
        <v>45641</v>
      </c>
      <c r="AD85">
        <f>TIMEVALUE(MID(TwitterClean[[#This Row],[date_posted]],13,8))</f>
        <v>0.75347222222222221</v>
      </c>
      <c r="AE85" s="3" t="str">
        <f>TEXT(TwitterClean[[#This Row],[Post_Date]],"dddd")</f>
        <v>Sunday</v>
      </c>
      <c r="AF85">
        <f>HOUR(TwitterClean[[#This Row],[Post_Time]])</f>
        <v>18</v>
      </c>
      <c r="AG85" t="str">
        <f>IF(TwitterClean[[#This Row],[videos]]="Null","No","Yes")</f>
        <v>No</v>
      </c>
      <c r="AH85" t="str">
        <f>IF(TwitterClean[[#This Row],[photos]]="null","No","Yes")</f>
        <v>Yes</v>
      </c>
      <c r="AI85" t="str">
        <f>IF(TwitterClean[[#This Row],[hashtags]]="null","No","Yes")</f>
        <v>Yes</v>
      </c>
      <c r="AJ85" t="str">
        <f>IF(TwitterClean[[#This Row],[external_url]]="null","Yes","No")</f>
        <v>No</v>
      </c>
      <c r="AK85">
        <f>LEN(TwitterClean[[#This Row],[description]])</f>
        <v>145</v>
      </c>
      <c r="AL85" t="str">
        <f>IF(TwitterClean[[#This Row],[followers]]&lt;100000,"&lt;100K",IF(TwitterClean[[#This Row],[followers]]&lt;1000000,"100K-1M",IF(TwitterClean[[#This Row],[followers]]&lt;10000000,"1M-10M","10M+")))</f>
        <v>100K-1M</v>
      </c>
    </row>
    <row r="86" spans="1:38">
      <c r="A86">
        <v>1.8683766562909844E+18</v>
      </c>
      <c r="B86" t="s">
        <v>3638</v>
      </c>
      <c r="C86" t="s">
        <v>3639</v>
      </c>
      <c r="D86" t="s">
        <v>4386</v>
      </c>
      <c r="E86" t="s">
        <v>4387</v>
      </c>
      <c r="F86" t="s">
        <v>4388</v>
      </c>
      <c r="G86" t="s">
        <v>4389</v>
      </c>
      <c r="H86" t="s">
        <v>3383</v>
      </c>
      <c r="I86">
        <v>23</v>
      </c>
      <c r="J86">
        <v>282</v>
      </c>
      <c r="K86">
        <v>4679</v>
      </c>
      <c r="L86">
        <v>128216</v>
      </c>
      <c r="M86" t="s">
        <v>52</v>
      </c>
      <c r="N86" t="s">
        <v>29</v>
      </c>
      <c r="O86">
        <v>8885747</v>
      </c>
      <c r="P86" t="s">
        <v>3643</v>
      </c>
      <c r="Q86">
        <v>115852</v>
      </c>
      <c r="R86" t="s">
        <v>3644</v>
      </c>
      <c r="S86">
        <v>469</v>
      </c>
      <c r="T86" t="b">
        <v>0</v>
      </c>
      <c r="U86">
        <v>17</v>
      </c>
      <c r="V86">
        <v>22</v>
      </c>
      <c r="W86" t="s">
        <v>35</v>
      </c>
      <c r="X86" t="s">
        <v>29</v>
      </c>
      <c r="Y86" t="s">
        <v>29</v>
      </c>
      <c r="Z86" t="s">
        <v>37</v>
      </c>
      <c r="AA86">
        <f>TwitterClean[[#This Row],[likes]]+TwitterClean[[#This Row],[replies]]+TwitterClean[[#This Row],[reposts]]+TwitterClean[[#This Row],[quotes]]+TwitterClean[[#This Row],[bookmarks]]</f>
        <v>5023</v>
      </c>
      <c r="AB86" s="1">
        <f>TwitterClean[[#This Row],[Total_Engagements]]/TwitterClean[[#This Row],[views]]</f>
        <v>3.917607786859674E-2</v>
      </c>
      <c r="AC86" s="3">
        <f>DATEVALUE(MID(TwitterClean[[#This Row],[date_posted]],2,10))</f>
        <v>45641</v>
      </c>
      <c r="AD86">
        <f>TIMEVALUE(MID(TwitterClean[[#This Row],[date_posted]],13,8))</f>
        <v>0.80881944444444442</v>
      </c>
      <c r="AE86" s="3" t="str">
        <f>TEXT(TwitterClean[[#This Row],[Post_Date]],"dddd")</f>
        <v>Sunday</v>
      </c>
      <c r="AF86">
        <f>HOUR(TwitterClean[[#This Row],[Post_Time]])</f>
        <v>19</v>
      </c>
      <c r="AG86" t="str">
        <f>IF(TwitterClean[[#This Row],[videos]]="Null","No","Yes")</f>
        <v>No</v>
      </c>
      <c r="AH86" t="str">
        <f>IF(TwitterClean[[#This Row],[photos]]="null","No","Yes")</f>
        <v>Yes</v>
      </c>
      <c r="AI86" t="str">
        <f>IF(TwitterClean[[#This Row],[hashtags]]="null","No","Yes")</f>
        <v>No</v>
      </c>
      <c r="AJ86" t="str">
        <f>IF(TwitterClean[[#This Row],[external_url]]="null","Yes","No")</f>
        <v>No</v>
      </c>
      <c r="AK86">
        <f>LEN(TwitterClean[[#This Row],[description]])</f>
        <v>45</v>
      </c>
      <c r="AL86" t="str">
        <f>IF(TwitterClean[[#This Row],[followers]]&lt;100000,"&lt;100K",IF(TwitterClean[[#This Row],[followers]]&lt;1000000,"100K-1M",IF(TwitterClean[[#This Row],[followers]]&lt;10000000,"1M-10M","10M+")))</f>
        <v>1M-10M</v>
      </c>
    </row>
    <row r="87" spans="1:38">
      <c r="A87">
        <v>1.868420657110729E+18</v>
      </c>
      <c r="B87" t="s">
        <v>1862</v>
      </c>
      <c r="C87" t="s">
        <v>1863</v>
      </c>
      <c r="D87" t="s">
        <v>1884</v>
      </c>
      <c r="E87" t="s">
        <v>1885</v>
      </c>
      <c r="F87" t="s">
        <v>29</v>
      </c>
      <c r="G87" t="s">
        <v>1886</v>
      </c>
      <c r="H87" t="s">
        <v>29</v>
      </c>
      <c r="I87">
        <v>12</v>
      </c>
      <c r="J87">
        <v>49</v>
      </c>
      <c r="K87">
        <v>401</v>
      </c>
      <c r="L87">
        <v>12697</v>
      </c>
      <c r="M87" t="s">
        <v>52</v>
      </c>
      <c r="N87" t="s">
        <v>1867</v>
      </c>
      <c r="O87">
        <v>13492430</v>
      </c>
      <c r="P87" t="s">
        <v>1868</v>
      </c>
      <c r="Q87">
        <v>314515</v>
      </c>
      <c r="R87" t="s">
        <v>1869</v>
      </c>
      <c r="S87">
        <v>708</v>
      </c>
      <c r="T87" t="b">
        <v>0</v>
      </c>
      <c r="U87">
        <v>15</v>
      </c>
      <c r="V87">
        <v>20</v>
      </c>
      <c r="W87" t="s">
        <v>35</v>
      </c>
      <c r="X87" t="s">
        <v>29</v>
      </c>
      <c r="Y87" t="s">
        <v>1887</v>
      </c>
      <c r="Z87" t="s">
        <v>37</v>
      </c>
      <c r="AA87">
        <f>TwitterClean[[#This Row],[likes]]+TwitterClean[[#This Row],[replies]]+TwitterClean[[#This Row],[reposts]]+TwitterClean[[#This Row],[quotes]]+TwitterClean[[#This Row],[bookmarks]]</f>
        <v>497</v>
      </c>
      <c r="AB87" s="1">
        <f>TwitterClean[[#This Row],[Total_Engagements]]/TwitterClean[[#This Row],[views]]</f>
        <v>3.9143104670394578E-2</v>
      </c>
      <c r="AC87" s="3">
        <f>DATEVALUE(MID(TwitterClean[[#This Row],[date_posted]],2,10))</f>
        <v>45641</v>
      </c>
      <c r="AD87">
        <f>TIMEVALUE(MID(TwitterClean[[#This Row],[date_posted]],13,8))</f>
        <v>0.93023148148148149</v>
      </c>
      <c r="AE87" s="3" t="str">
        <f>TEXT(TwitterClean[[#This Row],[Post_Date]],"dddd")</f>
        <v>Sunday</v>
      </c>
      <c r="AF87">
        <f>HOUR(TwitterClean[[#This Row],[Post_Time]])</f>
        <v>22</v>
      </c>
      <c r="AG87" t="str">
        <f>IF(TwitterClean[[#This Row],[videos]]="Null","No","Yes")</f>
        <v>Yes</v>
      </c>
      <c r="AH87" t="str">
        <f>IF(TwitterClean[[#This Row],[photos]]="null","No","Yes")</f>
        <v>No</v>
      </c>
      <c r="AI87" t="str">
        <f>IF(TwitterClean[[#This Row],[hashtags]]="null","No","Yes")</f>
        <v>Yes</v>
      </c>
      <c r="AJ87" t="str">
        <f>IF(TwitterClean[[#This Row],[external_url]]="null","Yes","No")</f>
        <v>No</v>
      </c>
      <c r="AK87">
        <f>LEN(TwitterClean[[#This Row],[description]])</f>
        <v>71</v>
      </c>
      <c r="AL87" t="str">
        <f>IF(TwitterClean[[#This Row],[followers]]&lt;100000,"&lt;100K",IF(TwitterClean[[#This Row],[followers]]&lt;1000000,"100K-1M",IF(TwitterClean[[#This Row],[followers]]&lt;10000000,"1M-10M","10M+")))</f>
        <v>10M+</v>
      </c>
    </row>
    <row r="88" spans="1:38">
      <c r="A88">
        <v>1.8683178464443146E+18</v>
      </c>
      <c r="B88" t="s">
        <v>3392</v>
      </c>
      <c r="C88" t="s">
        <v>3393</v>
      </c>
      <c r="D88" t="s">
        <v>5042</v>
      </c>
      <c r="E88" t="s">
        <v>5043</v>
      </c>
      <c r="F88" t="s">
        <v>5044</v>
      </c>
      <c r="G88" t="s">
        <v>5045</v>
      </c>
      <c r="H88" t="s">
        <v>29</v>
      </c>
      <c r="I88">
        <v>15</v>
      </c>
      <c r="J88">
        <v>18</v>
      </c>
      <c r="K88">
        <v>856</v>
      </c>
      <c r="L88">
        <v>22874</v>
      </c>
      <c r="M88" t="s">
        <v>52</v>
      </c>
      <c r="N88" t="s">
        <v>3405</v>
      </c>
      <c r="O88">
        <v>1480966</v>
      </c>
      <c r="P88" t="s">
        <v>3399</v>
      </c>
      <c r="Q88">
        <v>103753</v>
      </c>
      <c r="R88" t="s">
        <v>3400</v>
      </c>
      <c r="S88">
        <v>552</v>
      </c>
      <c r="T88" t="b">
        <v>0</v>
      </c>
      <c r="U88">
        <v>3</v>
      </c>
      <c r="V88">
        <v>3</v>
      </c>
      <c r="W88" t="s">
        <v>35</v>
      </c>
      <c r="X88" t="s">
        <v>29</v>
      </c>
      <c r="Y88" t="s">
        <v>29</v>
      </c>
      <c r="Z88" t="s">
        <v>37</v>
      </c>
      <c r="AA88">
        <f>TwitterClean[[#This Row],[likes]]+TwitterClean[[#This Row],[replies]]+TwitterClean[[#This Row],[reposts]]+TwitterClean[[#This Row],[quotes]]+TwitterClean[[#This Row],[bookmarks]]</f>
        <v>895</v>
      </c>
      <c r="AB88" s="1">
        <f>TwitterClean[[#This Row],[Total_Engagements]]/TwitterClean[[#This Row],[views]]</f>
        <v>3.9127393547258894E-2</v>
      </c>
      <c r="AC88" s="3">
        <f>DATEVALUE(MID(TwitterClean[[#This Row],[date_posted]],2,10))</f>
        <v>45641</v>
      </c>
      <c r="AD88">
        <f>TIMEVALUE(MID(TwitterClean[[#This Row],[date_posted]],13,8))</f>
        <v>0.64652777777777781</v>
      </c>
      <c r="AE88" s="3" t="str">
        <f>TEXT(TwitterClean[[#This Row],[Post_Date]],"dddd")</f>
        <v>Sunday</v>
      </c>
      <c r="AF88">
        <f>HOUR(TwitterClean[[#This Row],[Post_Time]])</f>
        <v>15</v>
      </c>
      <c r="AG88" t="str">
        <f>IF(TwitterClean[[#This Row],[videos]]="Null","No","Yes")</f>
        <v>No</v>
      </c>
      <c r="AH88" t="str">
        <f>IF(TwitterClean[[#This Row],[photos]]="null","No","Yes")</f>
        <v>Yes</v>
      </c>
      <c r="AI88" t="str">
        <f>IF(TwitterClean[[#This Row],[hashtags]]="null","No","Yes")</f>
        <v>Yes</v>
      </c>
      <c r="AJ88" t="str">
        <f>IF(TwitterClean[[#This Row],[external_url]]="null","Yes","No")</f>
        <v>No</v>
      </c>
      <c r="AK88">
        <f>LEN(TwitterClean[[#This Row],[description]])</f>
        <v>26</v>
      </c>
      <c r="AL88" t="str">
        <f>IF(TwitterClean[[#This Row],[followers]]&lt;100000,"&lt;100K",IF(TwitterClean[[#This Row],[followers]]&lt;1000000,"100K-1M",IF(TwitterClean[[#This Row],[followers]]&lt;10000000,"1M-10M","10M+")))</f>
        <v>1M-10M</v>
      </c>
    </row>
    <row r="89" spans="1:38">
      <c r="A89">
        <v>1.8683948513369667E+18</v>
      </c>
      <c r="B89" t="s">
        <v>1280</v>
      </c>
      <c r="C89" t="s">
        <v>1281</v>
      </c>
      <c r="D89" t="s">
        <v>1338</v>
      </c>
      <c r="E89" t="s">
        <v>1339</v>
      </c>
      <c r="F89" t="s">
        <v>29</v>
      </c>
      <c r="G89" t="s">
        <v>1340</v>
      </c>
      <c r="H89" t="s">
        <v>29</v>
      </c>
      <c r="I89">
        <v>137</v>
      </c>
      <c r="J89">
        <v>584</v>
      </c>
      <c r="K89">
        <v>7065</v>
      </c>
      <c r="L89">
        <v>201982</v>
      </c>
      <c r="M89" t="s">
        <v>1341</v>
      </c>
      <c r="N89" t="s">
        <v>1286</v>
      </c>
      <c r="O89">
        <v>38438997</v>
      </c>
      <c r="P89" t="s">
        <v>1287</v>
      </c>
      <c r="Q89">
        <v>92455</v>
      </c>
      <c r="R89" t="s">
        <v>1288</v>
      </c>
      <c r="S89">
        <v>145</v>
      </c>
      <c r="T89" t="b">
        <v>0</v>
      </c>
      <c r="U89">
        <v>24</v>
      </c>
      <c r="V89">
        <v>65</v>
      </c>
      <c r="W89" t="s">
        <v>35</v>
      </c>
      <c r="X89" t="s">
        <v>29</v>
      </c>
      <c r="Y89" t="s">
        <v>29</v>
      </c>
      <c r="Z89" t="s">
        <v>37</v>
      </c>
      <c r="AA89">
        <f>TwitterClean[[#This Row],[likes]]+TwitterClean[[#This Row],[replies]]+TwitterClean[[#This Row],[reposts]]+TwitterClean[[#This Row],[quotes]]+TwitterClean[[#This Row],[bookmarks]]</f>
        <v>7875</v>
      </c>
      <c r="AB89" s="1">
        <f>TwitterClean[[#This Row],[Total_Engagements]]/TwitterClean[[#This Row],[views]]</f>
        <v>3.8988622748561755E-2</v>
      </c>
      <c r="AC89" s="3">
        <f>DATEVALUE(MID(TwitterClean[[#This Row],[date_posted]],2,10))</f>
        <v>45641</v>
      </c>
      <c r="AD89">
        <f>TIMEVALUE(MID(TwitterClean[[#This Row],[date_posted]],13,8))</f>
        <v>0.85902777777777772</v>
      </c>
      <c r="AE89" s="3" t="str">
        <f>TEXT(TwitterClean[[#This Row],[Post_Date]],"dddd")</f>
        <v>Sunday</v>
      </c>
      <c r="AF89">
        <f>HOUR(TwitterClean[[#This Row],[Post_Time]])</f>
        <v>20</v>
      </c>
      <c r="AG89" t="str">
        <f>IF(TwitterClean[[#This Row],[videos]]="Null","No","Yes")</f>
        <v>No</v>
      </c>
      <c r="AH89" t="str">
        <f>IF(TwitterClean[[#This Row],[photos]]="null","No","Yes")</f>
        <v>No</v>
      </c>
      <c r="AI89" t="str">
        <f>IF(TwitterClean[[#This Row],[hashtags]]="null","No","Yes")</f>
        <v>Yes</v>
      </c>
      <c r="AJ89" t="str">
        <f>IF(TwitterClean[[#This Row],[external_url]]="null","Yes","No")</f>
        <v>No</v>
      </c>
      <c r="AK89">
        <f>LEN(TwitterClean[[#This Row],[description]])</f>
        <v>88</v>
      </c>
      <c r="AL89" t="str">
        <f>IF(TwitterClean[[#This Row],[followers]]&lt;100000,"&lt;100K",IF(TwitterClean[[#This Row],[followers]]&lt;1000000,"100K-1M",IF(TwitterClean[[#This Row],[followers]]&lt;10000000,"1M-10M","10M+")))</f>
        <v>10M+</v>
      </c>
    </row>
    <row r="90" spans="1:38">
      <c r="A90">
        <v>1.8683647218560824E+18</v>
      </c>
      <c r="B90" t="s">
        <v>3168</v>
      </c>
      <c r="C90" t="s">
        <v>3169</v>
      </c>
      <c r="D90" t="s">
        <v>4852</v>
      </c>
      <c r="E90" t="s">
        <v>4853</v>
      </c>
      <c r="F90" t="s">
        <v>4854</v>
      </c>
      <c r="G90" t="s">
        <v>4855</v>
      </c>
      <c r="H90" t="s">
        <v>3173</v>
      </c>
      <c r="I90">
        <v>14</v>
      </c>
      <c r="J90">
        <v>51</v>
      </c>
      <c r="K90">
        <v>686</v>
      </c>
      <c r="L90">
        <v>19398</v>
      </c>
      <c r="M90" t="s">
        <v>52</v>
      </c>
      <c r="N90" t="s">
        <v>29</v>
      </c>
      <c r="O90">
        <v>294711</v>
      </c>
      <c r="P90" t="s">
        <v>3175</v>
      </c>
      <c r="Q90">
        <v>66342</v>
      </c>
      <c r="R90" t="s">
        <v>3176</v>
      </c>
      <c r="S90">
        <v>1449</v>
      </c>
      <c r="T90" t="b">
        <v>0</v>
      </c>
      <c r="U90">
        <v>1</v>
      </c>
      <c r="V90">
        <v>1</v>
      </c>
      <c r="W90" t="s">
        <v>35</v>
      </c>
      <c r="X90" t="s">
        <v>29</v>
      </c>
      <c r="Y90" t="s">
        <v>29</v>
      </c>
      <c r="Z90" t="s">
        <v>37</v>
      </c>
      <c r="AA90">
        <f>TwitterClean[[#This Row],[likes]]+TwitterClean[[#This Row],[replies]]+TwitterClean[[#This Row],[reposts]]+TwitterClean[[#This Row],[quotes]]+TwitterClean[[#This Row],[bookmarks]]</f>
        <v>753</v>
      </c>
      <c r="AB90" s="1">
        <f>TwitterClean[[#This Row],[Total_Engagements]]/TwitterClean[[#This Row],[views]]</f>
        <v>3.8818434890194868E-2</v>
      </c>
      <c r="AC90" s="3">
        <f>DATEVALUE(MID(TwitterClean[[#This Row],[date_posted]],2,10))</f>
        <v>45641</v>
      </c>
      <c r="AD90">
        <f>TIMEVALUE(MID(TwitterClean[[#This Row],[date_posted]],13,8))</f>
        <v>0.77587962962962964</v>
      </c>
      <c r="AE90" s="3" t="str">
        <f>TEXT(TwitterClean[[#This Row],[Post_Date]],"dddd")</f>
        <v>Sunday</v>
      </c>
      <c r="AF90">
        <f>HOUR(TwitterClean[[#This Row],[Post_Time]])</f>
        <v>18</v>
      </c>
      <c r="AG90" t="str">
        <f>IF(TwitterClean[[#This Row],[videos]]="Null","No","Yes")</f>
        <v>No</v>
      </c>
      <c r="AH90" t="str">
        <f>IF(TwitterClean[[#This Row],[photos]]="null","No","Yes")</f>
        <v>Yes</v>
      </c>
      <c r="AI90" t="str">
        <f>IF(TwitterClean[[#This Row],[hashtags]]="null","No","Yes")</f>
        <v>No</v>
      </c>
      <c r="AJ90" t="str">
        <f>IF(TwitterClean[[#This Row],[external_url]]="null","Yes","No")</f>
        <v>No</v>
      </c>
      <c r="AK90">
        <f>LEN(TwitterClean[[#This Row],[description]])</f>
        <v>155</v>
      </c>
      <c r="AL90" t="str">
        <f>IF(TwitterClean[[#This Row],[followers]]&lt;100000,"&lt;100K",IF(TwitterClean[[#This Row],[followers]]&lt;1000000,"100K-1M",IF(TwitterClean[[#This Row],[followers]]&lt;10000000,"1M-10M","10M+")))</f>
        <v>100K-1M</v>
      </c>
    </row>
    <row r="91" spans="1:38">
      <c r="A91">
        <v>1.8684066306031949E+18</v>
      </c>
      <c r="B91" t="s">
        <v>1862</v>
      </c>
      <c r="C91" t="s">
        <v>1863</v>
      </c>
      <c r="D91" t="s">
        <v>2201</v>
      </c>
      <c r="E91" t="s">
        <v>2202</v>
      </c>
      <c r="F91" t="s">
        <v>29</v>
      </c>
      <c r="G91" t="s">
        <v>2203</v>
      </c>
      <c r="H91" t="s">
        <v>29</v>
      </c>
      <c r="I91">
        <v>14</v>
      </c>
      <c r="J91">
        <v>91</v>
      </c>
      <c r="K91">
        <v>826</v>
      </c>
      <c r="L91">
        <v>25771</v>
      </c>
      <c r="M91" t="s">
        <v>52</v>
      </c>
      <c r="N91" t="s">
        <v>1867</v>
      </c>
      <c r="O91">
        <v>13492430</v>
      </c>
      <c r="P91" t="s">
        <v>1868</v>
      </c>
      <c r="Q91">
        <v>314515</v>
      </c>
      <c r="R91" t="s">
        <v>1869</v>
      </c>
      <c r="S91">
        <v>708</v>
      </c>
      <c r="T91" t="b">
        <v>0</v>
      </c>
      <c r="U91">
        <v>35</v>
      </c>
      <c r="V91">
        <v>32</v>
      </c>
      <c r="W91" t="s">
        <v>35</v>
      </c>
      <c r="X91" t="s">
        <v>29</v>
      </c>
      <c r="Y91" t="s">
        <v>2204</v>
      </c>
      <c r="Z91" t="s">
        <v>37</v>
      </c>
      <c r="AA91">
        <f>TwitterClean[[#This Row],[likes]]+TwitterClean[[#This Row],[replies]]+TwitterClean[[#This Row],[reposts]]+TwitterClean[[#This Row],[quotes]]+TwitterClean[[#This Row],[bookmarks]]</f>
        <v>998</v>
      </c>
      <c r="AB91" s="1">
        <f>TwitterClean[[#This Row],[Total_Engagements]]/TwitterClean[[#This Row],[views]]</f>
        <v>3.8725699429591399E-2</v>
      </c>
      <c r="AC91" s="3">
        <f>DATEVALUE(MID(TwitterClean[[#This Row],[date_posted]],2,10))</f>
        <v>45641</v>
      </c>
      <c r="AD91">
        <f>TIMEVALUE(MID(TwitterClean[[#This Row],[date_posted]],13,8))</f>
        <v>0.89152777777777781</v>
      </c>
      <c r="AE91" s="3" t="str">
        <f>TEXT(TwitterClean[[#This Row],[Post_Date]],"dddd")</f>
        <v>Sunday</v>
      </c>
      <c r="AF91">
        <f>HOUR(TwitterClean[[#This Row],[Post_Time]])</f>
        <v>21</v>
      </c>
      <c r="AG91" t="str">
        <f>IF(TwitterClean[[#This Row],[videos]]="Null","No","Yes")</f>
        <v>Yes</v>
      </c>
      <c r="AH91" t="str">
        <f>IF(TwitterClean[[#This Row],[photos]]="null","No","Yes")</f>
        <v>No</v>
      </c>
      <c r="AI91" t="str">
        <f>IF(TwitterClean[[#This Row],[hashtags]]="null","No","Yes")</f>
        <v>Yes</v>
      </c>
      <c r="AJ91" t="str">
        <f>IF(TwitterClean[[#This Row],[external_url]]="null","Yes","No")</f>
        <v>No</v>
      </c>
      <c r="AK91">
        <f>LEN(TwitterClean[[#This Row],[description]])</f>
        <v>99</v>
      </c>
      <c r="AL91" t="str">
        <f>IF(TwitterClean[[#This Row],[followers]]&lt;100000,"&lt;100K",IF(TwitterClean[[#This Row],[followers]]&lt;1000000,"100K-1M",IF(TwitterClean[[#This Row],[followers]]&lt;10000000,"1M-10M","10M+")))</f>
        <v>10M+</v>
      </c>
    </row>
    <row r="92" spans="1:38">
      <c r="A92">
        <v>1.8683730059001654E+18</v>
      </c>
      <c r="B92" t="s">
        <v>3837</v>
      </c>
      <c r="C92" t="s">
        <v>3838</v>
      </c>
      <c r="D92" t="s">
        <v>4288</v>
      </c>
      <c r="E92" t="s">
        <v>4289</v>
      </c>
      <c r="F92" t="s">
        <v>4290</v>
      </c>
      <c r="G92" t="s">
        <v>4291</v>
      </c>
      <c r="H92" t="s">
        <v>29</v>
      </c>
      <c r="I92">
        <v>17</v>
      </c>
      <c r="J92">
        <v>180</v>
      </c>
      <c r="K92">
        <v>2682</v>
      </c>
      <c r="L92">
        <v>74792</v>
      </c>
      <c r="M92" t="s">
        <v>52</v>
      </c>
      <c r="N92" t="s">
        <v>3843</v>
      </c>
      <c r="O92">
        <v>984256</v>
      </c>
      <c r="P92" t="s">
        <v>3844</v>
      </c>
      <c r="Q92">
        <v>136135</v>
      </c>
      <c r="R92" t="s">
        <v>3845</v>
      </c>
      <c r="S92">
        <v>438</v>
      </c>
      <c r="T92" t="b">
        <v>0</v>
      </c>
      <c r="U92">
        <v>4</v>
      </c>
      <c r="V92">
        <v>13</v>
      </c>
      <c r="W92" t="s">
        <v>35</v>
      </c>
      <c r="X92" t="s">
        <v>29</v>
      </c>
      <c r="Y92" t="s">
        <v>29</v>
      </c>
      <c r="Z92" t="s">
        <v>37</v>
      </c>
      <c r="AA92">
        <f>TwitterClean[[#This Row],[likes]]+TwitterClean[[#This Row],[replies]]+TwitterClean[[#This Row],[reposts]]+TwitterClean[[#This Row],[quotes]]+TwitterClean[[#This Row],[bookmarks]]</f>
        <v>2896</v>
      </c>
      <c r="AB92" s="1">
        <f>TwitterClean[[#This Row],[Total_Engagements]]/TwitterClean[[#This Row],[views]]</f>
        <v>3.8720718793453845E-2</v>
      </c>
      <c r="AC92" s="3">
        <f>DATEVALUE(MID(TwitterClean[[#This Row],[date_posted]],2,10))</f>
        <v>45641</v>
      </c>
      <c r="AD92">
        <f>TIMEVALUE(MID(TwitterClean[[#This Row],[date_posted]],13,8))</f>
        <v>0.79873842592592592</v>
      </c>
      <c r="AE92" s="3" t="str">
        <f>TEXT(TwitterClean[[#This Row],[Post_Date]],"dddd")</f>
        <v>Sunday</v>
      </c>
      <c r="AF92">
        <f>HOUR(TwitterClean[[#This Row],[Post_Time]])</f>
        <v>19</v>
      </c>
      <c r="AG92" t="str">
        <f>IF(TwitterClean[[#This Row],[videos]]="Null","No","Yes")</f>
        <v>No</v>
      </c>
      <c r="AH92" t="str">
        <f>IF(TwitterClean[[#This Row],[photos]]="null","No","Yes")</f>
        <v>Yes</v>
      </c>
      <c r="AI92" t="str">
        <f>IF(TwitterClean[[#This Row],[hashtags]]="null","No","Yes")</f>
        <v>Yes</v>
      </c>
      <c r="AJ92" t="str">
        <f>IF(TwitterClean[[#This Row],[external_url]]="null","Yes","No")</f>
        <v>No</v>
      </c>
      <c r="AK92">
        <f>LEN(TwitterClean[[#This Row],[description]])</f>
        <v>67</v>
      </c>
      <c r="AL92" t="str">
        <f>IF(TwitterClean[[#This Row],[followers]]&lt;100000,"&lt;100K",IF(TwitterClean[[#This Row],[followers]]&lt;1000000,"100K-1M",IF(TwitterClean[[#This Row],[followers]]&lt;10000000,"1M-10M","10M+")))</f>
        <v>100K-1M</v>
      </c>
    </row>
    <row r="93" spans="1:38">
      <c r="A93">
        <v>1.8683893147043558E+18</v>
      </c>
      <c r="B93" t="s">
        <v>3392</v>
      </c>
      <c r="C93" t="s">
        <v>3393</v>
      </c>
      <c r="D93" t="s">
        <v>4901</v>
      </c>
      <c r="E93" t="s">
        <v>4902</v>
      </c>
      <c r="F93" t="s">
        <v>4903</v>
      </c>
      <c r="G93" t="s">
        <v>4904</v>
      </c>
      <c r="H93" t="s">
        <v>29</v>
      </c>
      <c r="I93">
        <v>5</v>
      </c>
      <c r="J93">
        <v>34</v>
      </c>
      <c r="K93">
        <v>761</v>
      </c>
      <c r="L93">
        <v>20916</v>
      </c>
      <c r="M93" t="s">
        <v>52</v>
      </c>
      <c r="N93" t="s">
        <v>3405</v>
      </c>
      <c r="O93">
        <v>1480962</v>
      </c>
      <c r="P93" t="s">
        <v>3399</v>
      </c>
      <c r="Q93">
        <v>103753</v>
      </c>
      <c r="R93" t="s">
        <v>3400</v>
      </c>
      <c r="S93">
        <v>552</v>
      </c>
      <c r="T93" t="b">
        <v>0</v>
      </c>
      <c r="U93">
        <v>1</v>
      </c>
      <c r="V93">
        <v>8</v>
      </c>
      <c r="W93" t="s">
        <v>35</v>
      </c>
      <c r="X93" t="s">
        <v>29</v>
      </c>
      <c r="Y93" t="s">
        <v>29</v>
      </c>
      <c r="Z93" t="s">
        <v>37</v>
      </c>
      <c r="AA93">
        <f>TwitterClean[[#This Row],[likes]]+TwitterClean[[#This Row],[replies]]+TwitterClean[[#This Row],[reposts]]+TwitterClean[[#This Row],[quotes]]+TwitterClean[[#This Row],[bookmarks]]</f>
        <v>809</v>
      </c>
      <c r="AB93" s="1">
        <f>TwitterClean[[#This Row],[Total_Engagements]]/TwitterClean[[#This Row],[views]]</f>
        <v>3.8678523618282654E-2</v>
      </c>
      <c r="AC93" s="3">
        <f>DATEVALUE(MID(TwitterClean[[#This Row],[date_posted]],2,10))</f>
        <v>45641</v>
      </c>
      <c r="AD93">
        <f>TIMEVALUE(MID(TwitterClean[[#This Row],[date_posted]],13,8))</f>
        <v>0.84375</v>
      </c>
      <c r="AE93" s="3" t="str">
        <f>TEXT(TwitterClean[[#This Row],[Post_Date]],"dddd")</f>
        <v>Sunday</v>
      </c>
      <c r="AF93">
        <f>HOUR(TwitterClean[[#This Row],[Post_Time]])</f>
        <v>20</v>
      </c>
      <c r="AG93" t="str">
        <f>IF(TwitterClean[[#This Row],[videos]]="Null","No","Yes")</f>
        <v>No</v>
      </c>
      <c r="AH93" t="str">
        <f>IF(TwitterClean[[#This Row],[photos]]="null","No","Yes")</f>
        <v>Yes</v>
      </c>
      <c r="AI93" t="str">
        <f>IF(TwitterClean[[#This Row],[hashtags]]="null","No","Yes")</f>
        <v>Yes</v>
      </c>
      <c r="AJ93" t="str">
        <f>IF(TwitterClean[[#This Row],[external_url]]="null","Yes","No")</f>
        <v>No</v>
      </c>
      <c r="AK93">
        <f>LEN(TwitterClean[[#This Row],[description]])</f>
        <v>19</v>
      </c>
      <c r="AL93" t="str">
        <f>IF(TwitterClean[[#This Row],[followers]]&lt;100000,"&lt;100K",IF(TwitterClean[[#This Row],[followers]]&lt;1000000,"100K-1M",IF(TwitterClean[[#This Row],[followers]]&lt;10000000,"1M-10M","10M+")))</f>
        <v>1M-10M</v>
      </c>
    </row>
    <row r="94" spans="1:38">
      <c r="A94">
        <v>1.8683786778238894E+18</v>
      </c>
      <c r="B94" t="s">
        <v>4507</v>
      </c>
      <c r="C94" t="s">
        <v>4508</v>
      </c>
      <c r="D94" t="s">
        <v>4509</v>
      </c>
      <c r="E94" t="s">
        <v>4510</v>
      </c>
      <c r="F94" t="s">
        <v>29</v>
      </c>
      <c r="G94" t="s">
        <v>4511</v>
      </c>
      <c r="H94" t="s">
        <v>29</v>
      </c>
      <c r="I94">
        <v>201</v>
      </c>
      <c r="J94">
        <v>924</v>
      </c>
      <c r="K94">
        <v>3340</v>
      </c>
      <c r="L94">
        <v>118077</v>
      </c>
      <c r="M94" t="s">
        <v>52</v>
      </c>
      <c r="N94" t="s">
        <v>4512</v>
      </c>
      <c r="O94">
        <v>12131042</v>
      </c>
      <c r="P94" t="s">
        <v>4513</v>
      </c>
      <c r="Q94">
        <v>55551</v>
      </c>
      <c r="R94" t="s">
        <v>4514</v>
      </c>
      <c r="S94">
        <v>76</v>
      </c>
      <c r="T94" t="b">
        <v>0</v>
      </c>
      <c r="U94">
        <v>19</v>
      </c>
      <c r="V94">
        <v>64</v>
      </c>
      <c r="W94" t="s">
        <v>35</v>
      </c>
      <c r="X94" t="s">
        <v>29</v>
      </c>
      <c r="Y94" t="s">
        <v>4515</v>
      </c>
      <c r="Z94" t="s">
        <v>37</v>
      </c>
      <c r="AA94">
        <f>TwitterClean[[#This Row],[likes]]+TwitterClean[[#This Row],[replies]]+TwitterClean[[#This Row],[reposts]]+TwitterClean[[#This Row],[quotes]]+TwitterClean[[#This Row],[bookmarks]]</f>
        <v>4548</v>
      </c>
      <c r="AB94" s="1">
        <f>TwitterClean[[#This Row],[Total_Engagements]]/TwitterClean[[#This Row],[views]]</f>
        <v>3.8517238750984527E-2</v>
      </c>
      <c r="AC94" s="3">
        <f>DATEVALUE(MID(TwitterClean[[#This Row],[date_posted]],2,10))</f>
        <v>45641</v>
      </c>
      <c r="AD94">
        <f>TIMEVALUE(MID(TwitterClean[[#This Row],[date_posted]],13,8))</f>
        <v>0.81439814814814815</v>
      </c>
      <c r="AE94" s="3" t="str">
        <f>TEXT(TwitterClean[[#This Row],[Post_Date]],"dddd")</f>
        <v>Sunday</v>
      </c>
      <c r="AF94">
        <f>HOUR(TwitterClean[[#This Row],[Post_Time]])</f>
        <v>19</v>
      </c>
      <c r="AG94" t="str">
        <f>IF(TwitterClean[[#This Row],[videos]]="Null","No","Yes")</f>
        <v>Yes</v>
      </c>
      <c r="AH94" t="str">
        <f>IF(TwitterClean[[#This Row],[photos]]="null","No","Yes")</f>
        <v>No</v>
      </c>
      <c r="AI94" t="str">
        <f>IF(TwitterClean[[#This Row],[hashtags]]="null","No","Yes")</f>
        <v>Yes</v>
      </c>
      <c r="AJ94" t="str">
        <f>IF(TwitterClean[[#This Row],[external_url]]="null","Yes","No")</f>
        <v>No</v>
      </c>
      <c r="AK94">
        <f>LEN(TwitterClean[[#This Row],[description]])</f>
        <v>30</v>
      </c>
      <c r="AL94" t="str">
        <f>IF(TwitterClean[[#This Row],[followers]]&lt;100000,"&lt;100K",IF(TwitterClean[[#This Row],[followers]]&lt;1000000,"100K-1M",IF(TwitterClean[[#This Row],[followers]]&lt;10000000,"1M-10M","10M+")))</f>
        <v>10M+</v>
      </c>
    </row>
    <row r="95" spans="1:38">
      <c r="A95">
        <v>1.8684067790860744E+18</v>
      </c>
      <c r="B95" t="s">
        <v>26</v>
      </c>
      <c r="C95" t="s">
        <v>26</v>
      </c>
      <c r="D95" t="s">
        <v>169</v>
      </c>
      <c r="E95" t="s">
        <v>170</v>
      </c>
      <c r="F95" t="s">
        <v>29</v>
      </c>
      <c r="G95" t="s">
        <v>171</v>
      </c>
      <c r="H95" t="s">
        <v>159</v>
      </c>
      <c r="I95">
        <v>148</v>
      </c>
      <c r="J95">
        <v>105</v>
      </c>
      <c r="K95">
        <v>572</v>
      </c>
      <c r="L95">
        <v>22414</v>
      </c>
      <c r="M95" t="s">
        <v>52</v>
      </c>
      <c r="N95" t="s">
        <v>71</v>
      </c>
      <c r="O95">
        <v>5771760</v>
      </c>
      <c r="P95" t="s">
        <v>33</v>
      </c>
      <c r="Q95">
        <v>222223</v>
      </c>
      <c r="R95" t="s">
        <v>34</v>
      </c>
      <c r="S95">
        <v>122</v>
      </c>
      <c r="T95" t="b">
        <v>0</v>
      </c>
      <c r="U95">
        <v>16</v>
      </c>
      <c r="V95">
        <v>16</v>
      </c>
      <c r="W95" t="s">
        <v>35</v>
      </c>
      <c r="X95" t="s">
        <v>29</v>
      </c>
      <c r="Y95" t="s">
        <v>172</v>
      </c>
      <c r="Z95" t="s">
        <v>37</v>
      </c>
      <c r="AA95">
        <f>TwitterClean[[#This Row],[likes]]+TwitterClean[[#This Row],[replies]]+TwitterClean[[#This Row],[reposts]]+TwitterClean[[#This Row],[quotes]]+TwitterClean[[#This Row],[bookmarks]]</f>
        <v>857</v>
      </c>
      <c r="AB95" s="1">
        <f>TwitterClean[[#This Row],[Total_Engagements]]/TwitterClean[[#This Row],[views]]</f>
        <v>3.8235031676630678E-2</v>
      </c>
      <c r="AC95" s="3">
        <f>DATEVALUE(MID(TwitterClean[[#This Row],[date_posted]],2,10))</f>
        <v>45641</v>
      </c>
      <c r="AD95">
        <f>TIMEVALUE(MID(TwitterClean[[#This Row],[date_posted]],13,8))</f>
        <v>0.89194444444444443</v>
      </c>
      <c r="AE95" s="3" t="str">
        <f>TEXT(TwitterClean[[#This Row],[Post_Date]],"dddd")</f>
        <v>Sunday</v>
      </c>
      <c r="AF95">
        <f>HOUR(TwitterClean[[#This Row],[Post_Time]])</f>
        <v>21</v>
      </c>
      <c r="AG95" t="str">
        <f>IF(TwitterClean[[#This Row],[videos]]="Null","No","Yes")</f>
        <v>Yes</v>
      </c>
      <c r="AH95" t="str">
        <f>IF(TwitterClean[[#This Row],[photos]]="null","No","Yes")</f>
        <v>No</v>
      </c>
      <c r="AI95" t="str">
        <f>IF(TwitterClean[[#This Row],[hashtags]]="null","No","Yes")</f>
        <v>Yes</v>
      </c>
      <c r="AJ95" t="str">
        <f>IF(TwitterClean[[#This Row],[external_url]]="null","Yes","No")</f>
        <v>No</v>
      </c>
      <c r="AK95">
        <f>LEN(TwitterClean[[#This Row],[description]])</f>
        <v>304</v>
      </c>
      <c r="AL95" t="str">
        <f>IF(TwitterClean[[#This Row],[followers]]&lt;100000,"&lt;100K",IF(TwitterClean[[#This Row],[followers]]&lt;1000000,"100K-1M",IF(TwitterClean[[#This Row],[followers]]&lt;10000000,"1M-10M","10M+")))</f>
        <v>1M-10M</v>
      </c>
    </row>
    <row r="96" spans="1:38">
      <c r="A96">
        <v>1.8684072457356534E+18</v>
      </c>
      <c r="B96" t="s">
        <v>1862</v>
      </c>
      <c r="C96" t="s">
        <v>1863</v>
      </c>
      <c r="D96" t="s">
        <v>2097</v>
      </c>
      <c r="E96" t="s">
        <v>2098</v>
      </c>
      <c r="F96" t="s">
        <v>29</v>
      </c>
      <c r="G96" t="s">
        <v>2099</v>
      </c>
      <c r="H96" t="s">
        <v>29</v>
      </c>
      <c r="I96">
        <v>34</v>
      </c>
      <c r="J96">
        <v>116</v>
      </c>
      <c r="K96">
        <v>759</v>
      </c>
      <c r="L96">
        <v>25820</v>
      </c>
      <c r="M96" t="s">
        <v>52</v>
      </c>
      <c r="N96" t="s">
        <v>1867</v>
      </c>
      <c r="O96">
        <v>13492430</v>
      </c>
      <c r="P96" t="s">
        <v>1868</v>
      </c>
      <c r="Q96">
        <v>314515</v>
      </c>
      <c r="R96" t="s">
        <v>1869</v>
      </c>
      <c r="S96">
        <v>708</v>
      </c>
      <c r="T96" t="b">
        <v>0</v>
      </c>
      <c r="U96">
        <v>55</v>
      </c>
      <c r="V96">
        <v>22</v>
      </c>
      <c r="W96" t="s">
        <v>35</v>
      </c>
      <c r="X96" t="s">
        <v>29</v>
      </c>
      <c r="Y96" t="s">
        <v>2100</v>
      </c>
      <c r="Z96" t="s">
        <v>37</v>
      </c>
      <c r="AA96">
        <f>TwitterClean[[#This Row],[likes]]+TwitterClean[[#This Row],[replies]]+TwitterClean[[#This Row],[reposts]]+TwitterClean[[#This Row],[quotes]]+TwitterClean[[#This Row],[bookmarks]]</f>
        <v>986</v>
      </c>
      <c r="AB96" s="1">
        <f>TwitterClean[[#This Row],[Total_Engagements]]/TwitterClean[[#This Row],[views]]</f>
        <v>3.8187451587916345E-2</v>
      </c>
      <c r="AC96" s="3">
        <f>DATEVALUE(MID(TwitterClean[[#This Row],[date_posted]],2,10))</f>
        <v>45641</v>
      </c>
      <c r="AD96">
        <f>TIMEVALUE(MID(TwitterClean[[#This Row],[date_posted]],13,8))</f>
        <v>0.89322916666666663</v>
      </c>
      <c r="AE96" s="3" t="str">
        <f>TEXT(TwitterClean[[#This Row],[Post_Date]],"dddd")</f>
        <v>Sunday</v>
      </c>
      <c r="AF96">
        <f>HOUR(TwitterClean[[#This Row],[Post_Time]])</f>
        <v>21</v>
      </c>
      <c r="AG96" t="str">
        <f>IF(TwitterClean[[#This Row],[videos]]="Null","No","Yes")</f>
        <v>Yes</v>
      </c>
      <c r="AH96" t="str">
        <f>IF(TwitterClean[[#This Row],[photos]]="null","No","Yes")</f>
        <v>No</v>
      </c>
      <c r="AI96" t="str">
        <f>IF(TwitterClean[[#This Row],[hashtags]]="null","No","Yes")</f>
        <v>Yes</v>
      </c>
      <c r="AJ96" t="str">
        <f>IF(TwitterClean[[#This Row],[external_url]]="null","Yes","No")</f>
        <v>No</v>
      </c>
      <c r="AK96">
        <f>LEN(TwitterClean[[#This Row],[description]])</f>
        <v>111</v>
      </c>
      <c r="AL96" t="str">
        <f>IF(TwitterClean[[#This Row],[followers]]&lt;100000,"&lt;100K",IF(TwitterClean[[#This Row],[followers]]&lt;1000000,"100K-1M",IF(TwitterClean[[#This Row],[followers]]&lt;10000000,"1M-10M","10M+")))</f>
        <v>10M+</v>
      </c>
    </row>
    <row r="97" spans="1:38">
      <c r="A97">
        <v>1.8683605724185439E+18</v>
      </c>
      <c r="B97" t="s">
        <v>3168</v>
      </c>
      <c r="C97" t="s">
        <v>3169</v>
      </c>
      <c r="D97" t="s">
        <v>5156</v>
      </c>
      <c r="E97" t="s">
        <v>5157</v>
      </c>
      <c r="F97" t="s">
        <v>5158</v>
      </c>
      <c r="G97" t="s">
        <v>5159</v>
      </c>
      <c r="H97" t="s">
        <v>3173</v>
      </c>
      <c r="I97">
        <v>24</v>
      </c>
      <c r="J97">
        <v>101</v>
      </c>
      <c r="K97">
        <v>1345</v>
      </c>
      <c r="L97">
        <v>39065</v>
      </c>
      <c r="M97" t="s">
        <v>52</v>
      </c>
      <c r="N97" t="s">
        <v>29</v>
      </c>
      <c r="O97">
        <v>294711</v>
      </c>
      <c r="P97" t="s">
        <v>3175</v>
      </c>
      <c r="Q97">
        <v>66342</v>
      </c>
      <c r="R97" t="s">
        <v>3176</v>
      </c>
      <c r="S97">
        <v>1449</v>
      </c>
      <c r="T97" t="b">
        <v>0</v>
      </c>
      <c r="U97">
        <v>11</v>
      </c>
      <c r="V97">
        <v>7</v>
      </c>
      <c r="W97" t="s">
        <v>35</v>
      </c>
      <c r="X97" t="s">
        <v>29</v>
      </c>
      <c r="Y97" t="s">
        <v>29</v>
      </c>
      <c r="Z97" t="s">
        <v>37</v>
      </c>
      <c r="AA97">
        <f>TwitterClean[[#This Row],[likes]]+TwitterClean[[#This Row],[replies]]+TwitterClean[[#This Row],[reposts]]+TwitterClean[[#This Row],[quotes]]+TwitterClean[[#This Row],[bookmarks]]</f>
        <v>1488</v>
      </c>
      <c r="AB97" s="1">
        <f>TwitterClean[[#This Row],[Total_Engagements]]/TwitterClean[[#This Row],[views]]</f>
        <v>3.8090362216818122E-2</v>
      </c>
      <c r="AC97" s="3">
        <f>DATEVALUE(MID(TwitterClean[[#This Row],[date_posted]],2,10))</f>
        <v>45641</v>
      </c>
      <c r="AD97">
        <f>TIMEVALUE(MID(TwitterClean[[#This Row],[date_posted]],13,8))</f>
        <v>0.76443287037037033</v>
      </c>
      <c r="AE97" s="3" t="str">
        <f>TEXT(TwitterClean[[#This Row],[Post_Date]],"dddd")</f>
        <v>Sunday</v>
      </c>
      <c r="AF97">
        <f>HOUR(TwitterClean[[#This Row],[Post_Time]])</f>
        <v>18</v>
      </c>
      <c r="AG97" t="str">
        <f>IF(TwitterClean[[#This Row],[videos]]="Null","No","Yes")</f>
        <v>No</v>
      </c>
      <c r="AH97" t="str">
        <f>IF(TwitterClean[[#This Row],[photos]]="null","No","Yes")</f>
        <v>Yes</v>
      </c>
      <c r="AI97" t="str">
        <f>IF(TwitterClean[[#This Row],[hashtags]]="null","No","Yes")</f>
        <v>No</v>
      </c>
      <c r="AJ97" t="str">
        <f>IF(TwitterClean[[#This Row],[external_url]]="null","Yes","No")</f>
        <v>No</v>
      </c>
      <c r="AK97">
        <f>LEN(TwitterClean[[#This Row],[description]])</f>
        <v>127</v>
      </c>
      <c r="AL97" t="str">
        <f>IF(TwitterClean[[#This Row],[followers]]&lt;100000,"&lt;100K",IF(TwitterClean[[#This Row],[followers]]&lt;1000000,"100K-1M",IF(TwitterClean[[#This Row],[followers]]&lt;10000000,"1M-10M","10M+")))</f>
        <v>100K-1M</v>
      </c>
    </row>
    <row r="98" spans="1:38">
      <c r="A98">
        <v>1.8683269565775219E+18</v>
      </c>
      <c r="B98" t="s">
        <v>998</v>
      </c>
      <c r="C98" t="s">
        <v>999</v>
      </c>
      <c r="D98" t="s">
        <v>1000</v>
      </c>
      <c r="E98" t="s">
        <v>1001</v>
      </c>
      <c r="F98" t="s">
        <v>29</v>
      </c>
      <c r="G98" t="s">
        <v>1002</v>
      </c>
      <c r="H98" t="s">
        <v>1003</v>
      </c>
      <c r="I98">
        <v>9</v>
      </c>
      <c r="J98">
        <v>56</v>
      </c>
      <c r="K98">
        <v>174</v>
      </c>
      <c r="L98">
        <v>6443</v>
      </c>
      <c r="M98" t="s">
        <v>1004</v>
      </c>
      <c r="N98" t="s">
        <v>29</v>
      </c>
      <c r="O98">
        <v>121019</v>
      </c>
      <c r="P98" t="s">
        <v>1005</v>
      </c>
      <c r="Q98">
        <v>17813</v>
      </c>
      <c r="R98" t="s">
        <v>1006</v>
      </c>
      <c r="S98">
        <v>697</v>
      </c>
      <c r="T98" t="b">
        <v>0</v>
      </c>
      <c r="U98">
        <v>0</v>
      </c>
      <c r="V98">
        <v>5</v>
      </c>
      <c r="W98" t="s">
        <v>35</v>
      </c>
      <c r="X98" t="s">
        <v>1007</v>
      </c>
      <c r="Y98" t="s">
        <v>29</v>
      </c>
      <c r="Z98" t="s">
        <v>37</v>
      </c>
      <c r="AA98">
        <f>TwitterClean[[#This Row],[likes]]+TwitterClean[[#This Row],[replies]]+TwitterClean[[#This Row],[reposts]]+TwitterClean[[#This Row],[quotes]]+TwitterClean[[#This Row],[bookmarks]]</f>
        <v>244</v>
      </c>
      <c r="AB98" s="1">
        <f>TwitterClean[[#This Row],[Total_Engagements]]/TwitterClean[[#This Row],[views]]</f>
        <v>3.7870557193853793E-2</v>
      </c>
      <c r="AC98" s="3">
        <f>DATEVALUE(MID(TwitterClean[[#This Row],[date_posted]],2,10))</f>
        <v>45641</v>
      </c>
      <c r="AD98">
        <f>TIMEVALUE(MID(TwitterClean[[#This Row],[date_posted]],13,8))</f>
        <v>0.67166666666666663</v>
      </c>
      <c r="AE98" s="3" t="str">
        <f>TEXT(TwitterClean[[#This Row],[Post_Date]],"dddd")</f>
        <v>Sunday</v>
      </c>
      <c r="AF98">
        <f>HOUR(TwitterClean[[#This Row],[Post_Time]])</f>
        <v>16</v>
      </c>
      <c r="AG98" t="str">
        <f>IF(TwitterClean[[#This Row],[videos]]="Null","No","Yes")</f>
        <v>No</v>
      </c>
      <c r="AH98" t="str">
        <f>IF(TwitterClean[[#This Row],[photos]]="null","No","Yes")</f>
        <v>No</v>
      </c>
      <c r="AI98" t="str">
        <f>IF(TwitterClean[[#This Row],[hashtags]]="null","No","Yes")</f>
        <v>No</v>
      </c>
      <c r="AJ98" t="str">
        <f>IF(TwitterClean[[#This Row],[external_url]]="null","Yes","No")</f>
        <v>No</v>
      </c>
      <c r="AK98">
        <f>LEN(TwitterClean[[#This Row],[description]])</f>
        <v>258</v>
      </c>
      <c r="AL98" t="str">
        <f>IF(TwitterClean[[#This Row],[followers]]&lt;100000,"&lt;100K",IF(TwitterClean[[#This Row],[followers]]&lt;1000000,"100K-1M",IF(TwitterClean[[#This Row],[followers]]&lt;10000000,"1M-10M","10M+")))</f>
        <v>100K-1M</v>
      </c>
    </row>
    <row r="99" spans="1:38">
      <c r="A99">
        <v>1.8684077772084838E+18</v>
      </c>
      <c r="B99" t="s">
        <v>1862</v>
      </c>
      <c r="C99" t="s">
        <v>1863</v>
      </c>
      <c r="D99" t="s">
        <v>1937</v>
      </c>
      <c r="E99" t="s">
        <v>1938</v>
      </c>
      <c r="F99" t="s">
        <v>29</v>
      </c>
      <c r="G99" t="s">
        <v>1939</v>
      </c>
      <c r="H99" t="s">
        <v>29</v>
      </c>
      <c r="I99">
        <v>12</v>
      </c>
      <c r="J99">
        <v>107</v>
      </c>
      <c r="K99">
        <v>613</v>
      </c>
      <c r="L99">
        <v>21774</v>
      </c>
      <c r="M99" t="s">
        <v>52</v>
      </c>
      <c r="N99" t="s">
        <v>1867</v>
      </c>
      <c r="O99">
        <v>13492430</v>
      </c>
      <c r="P99" t="s">
        <v>1868</v>
      </c>
      <c r="Q99">
        <v>314515</v>
      </c>
      <c r="R99" t="s">
        <v>1869</v>
      </c>
      <c r="S99">
        <v>708</v>
      </c>
      <c r="T99" t="b">
        <v>0</v>
      </c>
      <c r="U99">
        <v>57</v>
      </c>
      <c r="V99">
        <v>31</v>
      </c>
      <c r="W99" t="s">
        <v>35</v>
      </c>
      <c r="X99" t="s">
        <v>29</v>
      </c>
      <c r="Y99" t="s">
        <v>1940</v>
      </c>
      <c r="Z99" t="s">
        <v>37</v>
      </c>
      <c r="AA99">
        <f>TwitterClean[[#This Row],[likes]]+TwitterClean[[#This Row],[replies]]+TwitterClean[[#This Row],[reposts]]+TwitterClean[[#This Row],[quotes]]+TwitterClean[[#This Row],[bookmarks]]</f>
        <v>820</v>
      </c>
      <c r="AB99" s="1">
        <f>TwitterClean[[#This Row],[Total_Engagements]]/TwitterClean[[#This Row],[views]]</f>
        <v>3.7659594011206027E-2</v>
      </c>
      <c r="AC99" s="3">
        <f>DATEVALUE(MID(TwitterClean[[#This Row],[date_posted]],2,10))</f>
        <v>45641</v>
      </c>
      <c r="AD99">
        <f>TIMEVALUE(MID(TwitterClean[[#This Row],[date_posted]],13,8))</f>
        <v>0.89469907407407412</v>
      </c>
      <c r="AE99" s="3" t="str">
        <f>TEXT(TwitterClean[[#This Row],[Post_Date]],"dddd")</f>
        <v>Sunday</v>
      </c>
      <c r="AF99">
        <f>HOUR(TwitterClean[[#This Row],[Post_Time]])</f>
        <v>21</v>
      </c>
      <c r="AG99" t="str">
        <f>IF(TwitterClean[[#This Row],[videos]]="Null","No","Yes")</f>
        <v>Yes</v>
      </c>
      <c r="AH99" t="str">
        <f>IF(TwitterClean[[#This Row],[photos]]="null","No","Yes")</f>
        <v>No</v>
      </c>
      <c r="AI99" t="str">
        <f>IF(TwitterClean[[#This Row],[hashtags]]="null","No","Yes")</f>
        <v>Yes</v>
      </c>
      <c r="AJ99" t="str">
        <f>IF(TwitterClean[[#This Row],[external_url]]="null","Yes","No")</f>
        <v>No</v>
      </c>
      <c r="AK99">
        <f>LEN(TwitterClean[[#This Row],[description]])</f>
        <v>113</v>
      </c>
      <c r="AL99" t="str">
        <f>IF(TwitterClean[[#This Row],[followers]]&lt;100000,"&lt;100K",IF(TwitterClean[[#This Row],[followers]]&lt;1000000,"100K-1M",IF(TwitterClean[[#This Row],[followers]]&lt;10000000,"1M-10M","10M+")))</f>
        <v>10M+</v>
      </c>
    </row>
    <row r="100" spans="1:38">
      <c r="A100">
        <v>1.8683939830026732E+18</v>
      </c>
      <c r="B100" t="s">
        <v>46</v>
      </c>
      <c r="C100" t="s">
        <v>47</v>
      </c>
      <c r="D100" t="s">
        <v>755</v>
      </c>
      <c r="E100" t="s">
        <v>756</v>
      </c>
      <c r="F100" t="s">
        <v>757</v>
      </c>
      <c r="G100" t="s">
        <v>758</v>
      </c>
      <c r="H100" t="s">
        <v>29</v>
      </c>
      <c r="I100">
        <v>7</v>
      </c>
      <c r="J100">
        <v>38</v>
      </c>
      <c r="K100">
        <v>1031</v>
      </c>
      <c r="L100">
        <v>28933</v>
      </c>
      <c r="M100" t="s">
        <v>52</v>
      </c>
      <c r="N100" t="s">
        <v>129</v>
      </c>
      <c r="O100">
        <v>8293200</v>
      </c>
      <c r="P100" t="s">
        <v>54</v>
      </c>
      <c r="Q100">
        <v>456734</v>
      </c>
      <c r="R100" t="s">
        <v>55</v>
      </c>
      <c r="S100">
        <v>859</v>
      </c>
      <c r="T100" t="b">
        <v>0</v>
      </c>
      <c r="U100">
        <v>5</v>
      </c>
      <c r="V100">
        <v>4</v>
      </c>
      <c r="W100" t="s">
        <v>35</v>
      </c>
      <c r="X100" t="s">
        <v>29</v>
      </c>
      <c r="Y100" t="s">
        <v>29</v>
      </c>
      <c r="Z100" t="s">
        <v>37</v>
      </c>
      <c r="AA100">
        <f>TwitterClean[[#This Row],[likes]]+TwitterClean[[#This Row],[replies]]+TwitterClean[[#This Row],[reposts]]+TwitterClean[[#This Row],[quotes]]+TwitterClean[[#This Row],[bookmarks]]</f>
        <v>1085</v>
      </c>
      <c r="AB100" s="1">
        <f>TwitterClean[[#This Row],[Total_Engagements]]/TwitterClean[[#This Row],[views]]</f>
        <v>3.7500432032627103E-2</v>
      </c>
      <c r="AC100" s="3">
        <f>DATEVALUE(MID(TwitterClean[[#This Row],[date_posted]],2,10))</f>
        <v>45641</v>
      </c>
      <c r="AD100">
        <f>TIMEVALUE(MID(TwitterClean[[#This Row],[date_posted]],13,8))</f>
        <v>0.85663194444444446</v>
      </c>
      <c r="AE100" s="3" t="str">
        <f>TEXT(TwitterClean[[#This Row],[Post_Date]],"dddd")</f>
        <v>Sunday</v>
      </c>
      <c r="AF100">
        <f>HOUR(TwitterClean[[#This Row],[Post_Time]])</f>
        <v>20</v>
      </c>
      <c r="AG100" t="str">
        <f>IF(TwitterClean[[#This Row],[videos]]="Null","No","Yes")</f>
        <v>No</v>
      </c>
      <c r="AH100" t="str">
        <f>IF(TwitterClean[[#This Row],[photos]]="null","No","Yes")</f>
        <v>Yes</v>
      </c>
      <c r="AI100" t="str">
        <f>IF(TwitterClean[[#This Row],[hashtags]]="null","No","Yes")</f>
        <v>Yes</v>
      </c>
      <c r="AJ100" t="str">
        <f>IF(TwitterClean[[#This Row],[external_url]]="null","Yes","No")</f>
        <v>No</v>
      </c>
      <c r="AK100">
        <f>LEN(TwitterClean[[#This Row],[description]])</f>
        <v>185</v>
      </c>
      <c r="AL100" t="str">
        <f>IF(TwitterClean[[#This Row],[followers]]&lt;100000,"&lt;100K",IF(TwitterClean[[#This Row],[followers]]&lt;1000000,"100K-1M",IF(TwitterClean[[#This Row],[followers]]&lt;10000000,"1M-10M","10M+")))</f>
        <v>1M-10M</v>
      </c>
    </row>
    <row r="101" spans="1:38">
      <c r="A101">
        <v>1.8683926132605381E+18</v>
      </c>
      <c r="B101" t="s">
        <v>228</v>
      </c>
      <c r="C101" t="s">
        <v>228</v>
      </c>
      <c r="D101" t="s">
        <v>243</v>
      </c>
      <c r="E101" t="s">
        <v>244</v>
      </c>
      <c r="F101" t="s">
        <v>29</v>
      </c>
      <c r="G101" t="s">
        <v>245</v>
      </c>
      <c r="H101" t="s">
        <v>246</v>
      </c>
      <c r="I101">
        <v>222</v>
      </c>
      <c r="J101">
        <v>159</v>
      </c>
      <c r="K101">
        <v>1388</v>
      </c>
      <c r="L101">
        <v>49353</v>
      </c>
      <c r="M101" t="s">
        <v>247</v>
      </c>
      <c r="N101" t="s">
        <v>29</v>
      </c>
      <c r="O101">
        <v>1239616</v>
      </c>
      <c r="P101" t="s">
        <v>235</v>
      </c>
      <c r="Q101">
        <v>402839</v>
      </c>
      <c r="R101" t="s">
        <v>236</v>
      </c>
      <c r="S101">
        <v>1644</v>
      </c>
      <c r="T101" t="b">
        <v>0</v>
      </c>
      <c r="U101">
        <v>22</v>
      </c>
      <c r="V101">
        <v>56</v>
      </c>
      <c r="W101" t="s">
        <v>35</v>
      </c>
      <c r="X101" t="s">
        <v>29</v>
      </c>
      <c r="Y101" t="s">
        <v>248</v>
      </c>
      <c r="Z101" t="s">
        <v>37</v>
      </c>
      <c r="AA101">
        <f>TwitterClean[[#This Row],[likes]]+TwitterClean[[#This Row],[replies]]+TwitterClean[[#This Row],[reposts]]+TwitterClean[[#This Row],[quotes]]+TwitterClean[[#This Row],[bookmarks]]</f>
        <v>1847</v>
      </c>
      <c r="AB101" s="1">
        <f>TwitterClean[[#This Row],[Total_Engagements]]/TwitterClean[[#This Row],[views]]</f>
        <v>3.7424270054505299E-2</v>
      </c>
      <c r="AC101" s="3">
        <f>DATEVALUE(MID(TwitterClean[[#This Row],[date_posted]],2,10))</f>
        <v>45641</v>
      </c>
      <c r="AD101">
        <f>TIMEVALUE(MID(TwitterClean[[#This Row],[date_posted]],13,8))</f>
        <v>0.8528472222222222</v>
      </c>
      <c r="AE101" s="3" t="str">
        <f>TEXT(TwitterClean[[#This Row],[Post_Date]],"dddd")</f>
        <v>Sunday</v>
      </c>
      <c r="AF101">
        <f>HOUR(TwitterClean[[#This Row],[Post_Time]])</f>
        <v>20</v>
      </c>
      <c r="AG101" t="str">
        <f>IF(TwitterClean[[#This Row],[videos]]="Null","No","Yes")</f>
        <v>Yes</v>
      </c>
      <c r="AH101" t="str">
        <f>IF(TwitterClean[[#This Row],[photos]]="null","No","Yes")</f>
        <v>No</v>
      </c>
      <c r="AI101" t="str">
        <f>IF(TwitterClean[[#This Row],[hashtags]]="null","No","Yes")</f>
        <v>No</v>
      </c>
      <c r="AJ101" t="str">
        <f>IF(TwitterClean[[#This Row],[external_url]]="null","Yes","No")</f>
        <v>No</v>
      </c>
      <c r="AK101">
        <f>LEN(TwitterClean[[#This Row],[description]])</f>
        <v>207</v>
      </c>
      <c r="AL101" t="str">
        <f>IF(TwitterClean[[#This Row],[followers]]&lt;100000,"&lt;100K",IF(TwitterClean[[#This Row],[followers]]&lt;1000000,"100K-1M",IF(TwitterClean[[#This Row],[followers]]&lt;10000000,"1M-10M","10M+")))</f>
        <v>1M-10M</v>
      </c>
    </row>
    <row r="102" spans="1:38">
      <c r="A102">
        <v>1.8683963937164211E+18</v>
      </c>
      <c r="B102" t="s">
        <v>275</v>
      </c>
      <c r="C102" t="s">
        <v>276</v>
      </c>
      <c r="D102" t="s">
        <v>705</v>
      </c>
      <c r="E102" t="s">
        <v>706</v>
      </c>
      <c r="F102" t="s">
        <v>707</v>
      </c>
      <c r="G102" t="s">
        <v>708</v>
      </c>
      <c r="H102" t="s">
        <v>29</v>
      </c>
      <c r="I102">
        <v>53</v>
      </c>
      <c r="J102">
        <v>179</v>
      </c>
      <c r="K102">
        <v>1860</v>
      </c>
      <c r="L102">
        <v>58458</v>
      </c>
      <c r="M102" t="s">
        <v>52</v>
      </c>
      <c r="N102" t="s">
        <v>281</v>
      </c>
      <c r="O102">
        <v>8539601</v>
      </c>
      <c r="P102" t="s">
        <v>282</v>
      </c>
      <c r="Q102">
        <v>75535</v>
      </c>
      <c r="R102" t="s">
        <v>283</v>
      </c>
      <c r="S102">
        <v>117</v>
      </c>
      <c r="T102" t="b">
        <v>0</v>
      </c>
      <c r="U102">
        <v>12</v>
      </c>
      <c r="V102">
        <v>31</v>
      </c>
      <c r="W102" t="s">
        <v>35</v>
      </c>
      <c r="X102" t="s">
        <v>29</v>
      </c>
      <c r="Y102" t="s">
        <v>29</v>
      </c>
      <c r="Z102" t="s">
        <v>37</v>
      </c>
      <c r="AA102">
        <f>TwitterClean[[#This Row],[likes]]+TwitterClean[[#This Row],[replies]]+TwitterClean[[#This Row],[reposts]]+TwitterClean[[#This Row],[quotes]]+TwitterClean[[#This Row],[bookmarks]]</f>
        <v>2135</v>
      </c>
      <c r="AB102" s="1">
        <f>TwitterClean[[#This Row],[Total_Engagements]]/TwitterClean[[#This Row],[views]]</f>
        <v>3.6521947381025696E-2</v>
      </c>
      <c r="AC102" s="3">
        <f>DATEVALUE(MID(TwitterClean[[#This Row],[date_posted]],2,10))</f>
        <v>45641</v>
      </c>
      <c r="AD102">
        <f>TIMEVALUE(MID(TwitterClean[[#This Row],[date_posted]],13,8))</f>
        <v>0.86328703703703702</v>
      </c>
      <c r="AE102" s="3" t="str">
        <f>TEXT(TwitterClean[[#This Row],[Post_Date]],"dddd")</f>
        <v>Sunday</v>
      </c>
      <c r="AF102">
        <f>HOUR(TwitterClean[[#This Row],[Post_Time]])</f>
        <v>20</v>
      </c>
      <c r="AG102" t="str">
        <f>IF(TwitterClean[[#This Row],[videos]]="Null","No","Yes")</f>
        <v>No</v>
      </c>
      <c r="AH102" t="str">
        <f>IF(TwitterClean[[#This Row],[photos]]="null","No","Yes")</f>
        <v>Yes</v>
      </c>
      <c r="AI102" t="str">
        <f>IF(TwitterClean[[#This Row],[hashtags]]="null","No","Yes")</f>
        <v>Yes</v>
      </c>
      <c r="AJ102" t="str">
        <f>IF(TwitterClean[[#This Row],[external_url]]="null","Yes","No")</f>
        <v>No</v>
      </c>
      <c r="AK102">
        <f>LEN(TwitterClean[[#This Row],[description]])</f>
        <v>111</v>
      </c>
      <c r="AL102" t="str">
        <f>IF(TwitterClean[[#This Row],[followers]]&lt;100000,"&lt;100K",IF(TwitterClean[[#This Row],[followers]]&lt;1000000,"100K-1M",IF(TwitterClean[[#This Row],[followers]]&lt;10000000,"1M-10M","10M+")))</f>
        <v>1M-10M</v>
      </c>
    </row>
    <row r="103" spans="1:38">
      <c r="A103">
        <v>1.8683376997084244E+18</v>
      </c>
      <c r="B103" t="s">
        <v>228</v>
      </c>
      <c r="C103" t="s">
        <v>228</v>
      </c>
      <c r="D103" t="s">
        <v>683</v>
      </c>
      <c r="E103" t="s">
        <v>684</v>
      </c>
      <c r="F103" t="s">
        <v>29</v>
      </c>
      <c r="G103" t="s">
        <v>685</v>
      </c>
      <c r="H103" t="s">
        <v>29</v>
      </c>
      <c r="I103">
        <v>116</v>
      </c>
      <c r="J103">
        <v>46</v>
      </c>
      <c r="K103">
        <v>241</v>
      </c>
      <c r="L103">
        <v>11334</v>
      </c>
      <c r="M103" t="s">
        <v>686</v>
      </c>
      <c r="N103" t="s">
        <v>29</v>
      </c>
      <c r="O103">
        <v>1239617</v>
      </c>
      <c r="P103" t="s">
        <v>235</v>
      </c>
      <c r="Q103">
        <v>402839</v>
      </c>
      <c r="R103" t="s">
        <v>236</v>
      </c>
      <c r="S103">
        <v>1644</v>
      </c>
      <c r="T103" t="b">
        <v>0</v>
      </c>
      <c r="U103">
        <v>5</v>
      </c>
      <c r="V103">
        <v>4</v>
      </c>
      <c r="W103" t="s">
        <v>35</v>
      </c>
      <c r="X103" t="s">
        <v>29</v>
      </c>
      <c r="Y103" t="s">
        <v>687</v>
      </c>
      <c r="Z103" t="s">
        <v>37</v>
      </c>
      <c r="AA103">
        <f>TwitterClean[[#This Row],[likes]]+TwitterClean[[#This Row],[replies]]+TwitterClean[[#This Row],[reposts]]+TwitterClean[[#This Row],[quotes]]+TwitterClean[[#This Row],[bookmarks]]</f>
        <v>412</v>
      </c>
      <c r="AB103" s="1">
        <f>TwitterClean[[#This Row],[Total_Engagements]]/TwitterClean[[#This Row],[views]]</f>
        <v>3.6350802893947418E-2</v>
      </c>
      <c r="AC103" s="3">
        <f>DATEVALUE(MID(TwitterClean[[#This Row],[date_posted]],2,10))</f>
        <v>45641</v>
      </c>
      <c r="AD103">
        <f>TIMEVALUE(MID(TwitterClean[[#This Row],[date_posted]],13,8))</f>
        <v>0.7013194444444445</v>
      </c>
      <c r="AE103" s="3" t="str">
        <f>TEXT(TwitterClean[[#This Row],[Post_Date]],"dddd")</f>
        <v>Sunday</v>
      </c>
      <c r="AF103">
        <f>HOUR(TwitterClean[[#This Row],[Post_Time]])</f>
        <v>16</v>
      </c>
      <c r="AG103" t="str">
        <f>IF(TwitterClean[[#This Row],[videos]]="Null","No","Yes")</f>
        <v>Yes</v>
      </c>
      <c r="AH103" t="str">
        <f>IF(TwitterClean[[#This Row],[photos]]="null","No","Yes")</f>
        <v>No</v>
      </c>
      <c r="AI103" t="str">
        <f>IF(TwitterClean[[#This Row],[hashtags]]="null","No","Yes")</f>
        <v>No</v>
      </c>
      <c r="AJ103" t="str">
        <f>IF(TwitterClean[[#This Row],[external_url]]="null","Yes","No")</f>
        <v>No</v>
      </c>
      <c r="AK103">
        <f>LEN(TwitterClean[[#This Row],[description]])</f>
        <v>219</v>
      </c>
      <c r="AL103" t="str">
        <f>IF(TwitterClean[[#This Row],[followers]]&lt;100000,"&lt;100K",IF(TwitterClean[[#This Row],[followers]]&lt;1000000,"100K-1M",IF(TwitterClean[[#This Row],[followers]]&lt;10000000,"1M-10M","10M+")))</f>
        <v>1M-10M</v>
      </c>
    </row>
    <row r="104" spans="1:38">
      <c r="A104">
        <v>1.8684300644144947E+18</v>
      </c>
      <c r="B104" t="s">
        <v>1862</v>
      </c>
      <c r="C104" t="s">
        <v>1863</v>
      </c>
      <c r="D104" t="s">
        <v>1871</v>
      </c>
      <c r="E104" t="s">
        <v>1872</v>
      </c>
      <c r="F104" t="s">
        <v>29</v>
      </c>
      <c r="G104" t="s">
        <v>1873</v>
      </c>
      <c r="H104" t="s">
        <v>1874</v>
      </c>
      <c r="I104">
        <v>23</v>
      </c>
      <c r="J104">
        <v>101</v>
      </c>
      <c r="K104">
        <v>1359</v>
      </c>
      <c r="L104">
        <v>42037</v>
      </c>
      <c r="M104" t="s">
        <v>52</v>
      </c>
      <c r="N104" t="s">
        <v>1867</v>
      </c>
      <c r="O104">
        <v>13492430</v>
      </c>
      <c r="P104" t="s">
        <v>1868</v>
      </c>
      <c r="Q104">
        <v>314515</v>
      </c>
      <c r="R104" t="s">
        <v>1869</v>
      </c>
      <c r="S104">
        <v>708</v>
      </c>
      <c r="T104" t="b">
        <v>0</v>
      </c>
      <c r="U104">
        <v>3</v>
      </c>
      <c r="V104">
        <v>37</v>
      </c>
      <c r="W104" t="s">
        <v>35</v>
      </c>
      <c r="X104" t="s">
        <v>29</v>
      </c>
      <c r="Y104" t="s">
        <v>1875</v>
      </c>
      <c r="Z104" t="s">
        <v>37</v>
      </c>
      <c r="AA104">
        <f>TwitterClean[[#This Row],[likes]]+TwitterClean[[#This Row],[replies]]+TwitterClean[[#This Row],[reposts]]+TwitterClean[[#This Row],[quotes]]+TwitterClean[[#This Row],[bookmarks]]</f>
        <v>1523</v>
      </c>
      <c r="AB104" s="1">
        <f>TwitterClean[[#This Row],[Total_Engagements]]/TwitterClean[[#This Row],[views]]</f>
        <v>3.6229987867830722E-2</v>
      </c>
      <c r="AC104" s="3">
        <f>DATEVALUE(MID(TwitterClean[[#This Row],[date_posted]],2,10))</f>
        <v>45641</v>
      </c>
      <c r="AD104">
        <f>TIMEVALUE(MID(TwitterClean[[#This Row],[date_posted]],13,8))</f>
        <v>0.95619212962962963</v>
      </c>
      <c r="AE104" s="3" t="str">
        <f>TEXT(TwitterClean[[#This Row],[Post_Date]],"dddd")</f>
        <v>Sunday</v>
      </c>
      <c r="AF104">
        <f>HOUR(TwitterClean[[#This Row],[Post_Time]])</f>
        <v>22</v>
      </c>
      <c r="AG104" t="str">
        <f>IF(TwitterClean[[#This Row],[videos]]="Null","No","Yes")</f>
        <v>Yes</v>
      </c>
      <c r="AH104" t="str">
        <f>IF(TwitterClean[[#This Row],[photos]]="null","No","Yes")</f>
        <v>No</v>
      </c>
      <c r="AI104" t="str">
        <f>IF(TwitterClean[[#This Row],[hashtags]]="null","No","Yes")</f>
        <v>Yes</v>
      </c>
      <c r="AJ104" t="str">
        <f>IF(TwitterClean[[#This Row],[external_url]]="null","Yes","No")</f>
        <v>No</v>
      </c>
      <c r="AK104">
        <f>LEN(TwitterClean[[#This Row],[description]])</f>
        <v>145</v>
      </c>
      <c r="AL104" t="str">
        <f>IF(TwitterClean[[#This Row],[followers]]&lt;100000,"&lt;100K",IF(TwitterClean[[#This Row],[followers]]&lt;1000000,"100K-1M",IF(TwitterClean[[#This Row],[followers]]&lt;10000000,"1M-10M","10M+")))</f>
        <v>10M+</v>
      </c>
    </row>
    <row r="105" spans="1:38">
      <c r="A105">
        <v>1.8683916490400074E+18</v>
      </c>
      <c r="B105" t="s">
        <v>3638</v>
      </c>
      <c r="C105" t="s">
        <v>3639</v>
      </c>
      <c r="D105" t="s">
        <v>4247</v>
      </c>
      <c r="E105" t="s">
        <v>4248</v>
      </c>
      <c r="F105" t="s">
        <v>4249</v>
      </c>
      <c r="G105" t="s">
        <v>4250</v>
      </c>
      <c r="H105" t="s">
        <v>3383</v>
      </c>
      <c r="I105">
        <v>40</v>
      </c>
      <c r="J105">
        <v>186</v>
      </c>
      <c r="K105">
        <v>4559</v>
      </c>
      <c r="L105">
        <v>134600</v>
      </c>
      <c r="M105" t="s">
        <v>52</v>
      </c>
      <c r="N105" t="s">
        <v>29</v>
      </c>
      <c r="O105">
        <v>8885747</v>
      </c>
      <c r="P105" t="s">
        <v>3643</v>
      </c>
      <c r="Q105">
        <v>115852</v>
      </c>
      <c r="R105" t="s">
        <v>3644</v>
      </c>
      <c r="S105">
        <v>469</v>
      </c>
      <c r="T105" t="b">
        <v>0</v>
      </c>
      <c r="U105">
        <v>15</v>
      </c>
      <c r="V105">
        <v>28</v>
      </c>
      <c r="W105" t="s">
        <v>35</v>
      </c>
      <c r="X105" t="s">
        <v>29</v>
      </c>
      <c r="Y105" t="s">
        <v>29</v>
      </c>
      <c r="Z105" t="s">
        <v>37</v>
      </c>
      <c r="AA105">
        <f>TwitterClean[[#This Row],[likes]]+TwitterClean[[#This Row],[replies]]+TwitterClean[[#This Row],[reposts]]+TwitterClean[[#This Row],[quotes]]+TwitterClean[[#This Row],[bookmarks]]</f>
        <v>4828</v>
      </c>
      <c r="AB105" s="1">
        <f>TwitterClean[[#This Row],[Total_Engagements]]/TwitterClean[[#This Row],[views]]</f>
        <v>3.5869242199108468E-2</v>
      </c>
      <c r="AC105" s="3">
        <f>DATEVALUE(MID(TwitterClean[[#This Row],[date_posted]],2,10))</f>
        <v>45641</v>
      </c>
      <c r="AD105">
        <f>TIMEVALUE(MID(TwitterClean[[#This Row],[date_posted]],13,8))</f>
        <v>0.85018518518518515</v>
      </c>
      <c r="AE105" s="3" t="str">
        <f>TEXT(TwitterClean[[#This Row],[Post_Date]],"dddd")</f>
        <v>Sunday</v>
      </c>
      <c r="AF105">
        <f>HOUR(TwitterClean[[#This Row],[Post_Time]])</f>
        <v>20</v>
      </c>
      <c r="AG105" t="str">
        <f>IF(TwitterClean[[#This Row],[videos]]="Null","No","Yes")</f>
        <v>No</v>
      </c>
      <c r="AH105" t="str">
        <f>IF(TwitterClean[[#This Row],[photos]]="null","No","Yes")</f>
        <v>Yes</v>
      </c>
      <c r="AI105" t="str">
        <f>IF(TwitterClean[[#This Row],[hashtags]]="null","No","Yes")</f>
        <v>No</v>
      </c>
      <c r="AJ105" t="str">
        <f>IF(TwitterClean[[#This Row],[external_url]]="null","Yes","No")</f>
        <v>No</v>
      </c>
      <c r="AK105">
        <f>LEN(TwitterClean[[#This Row],[description]])</f>
        <v>54</v>
      </c>
      <c r="AL105" t="str">
        <f>IF(TwitterClean[[#This Row],[followers]]&lt;100000,"&lt;100K",IF(TwitterClean[[#This Row],[followers]]&lt;1000000,"100K-1M",IF(TwitterClean[[#This Row],[followers]]&lt;10000000,"1M-10M","10M+")))</f>
        <v>1M-10M</v>
      </c>
    </row>
    <row r="106" spans="1:38">
      <c r="A106">
        <v>1.868308167781974E+18</v>
      </c>
      <c r="B106" t="s">
        <v>1363</v>
      </c>
      <c r="C106" t="s">
        <v>1364</v>
      </c>
      <c r="D106" t="s">
        <v>1365</v>
      </c>
      <c r="E106" t="s">
        <v>1366</v>
      </c>
      <c r="F106" t="s">
        <v>29</v>
      </c>
      <c r="G106" t="s">
        <v>1367</v>
      </c>
      <c r="H106" t="s">
        <v>29</v>
      </c>
      <c r="I106">
        <v>22</v>
      </c>
      <c r="J106">
        <v>51</v>
      </c>
      <c r="K106">
        <v>557</v>
      </c>
      <c r="L106">
        <v>17931</v>
      </c>
      <c r="M106" t="s">
        <v>1368</v>
      </c>
      <c r="N106" t="s">
        <v>1369</v>
      </c>
      <c r="O106">
        <v>462263</v>
      </c>
      <c r="P106" t="s">
        <v>1370</v>
      </c>
      <c r="Q106">
        <v>16271</v>
      </c>
      <c r="R106" t="s">
        <v>1371</v>
      </c>
      <c r="S106">
        <v>38</v>
      </c>
      <c r="T106" t="b">
        <v>0</v>
      </c>
      <c r="U106">
        <v>6</v>
      </c>
      <c r="V106">
        <v>2</v>
      </c>
      <c r="W106" t="s">
        <v>35</v>
      </c>
      <c r="X106" t="s">
        <v>29</v>
      </c>
      <c r="Y106" t="s">
        <v>29</v>
      </c>
      <c r="Z106" t="s">
        <v>37</v>
      </c>
      <c r="AA106">
        <f>TwitterClean[[#This Row],[likes]]+TwitterClean[[#This Row],[replies]]+TwitterClean[[#This Row],[reposts]]+TwitterClean[[#This Row],[quotes]]+TwitterClean[[#This Row],[bookmarks]]</f>
        <v>638</v>
      </c>
      <c r="AB106" s="1">
        <f>TwitterClean[[#This Row],[Total_Engagements]]/TwitterClean[[#This Row],[views]]</f>
        <v>3.5580837655457033E-2</v>
      </c>
      <c r="AC106" s="3">
        <f>DATEVALUE(MID(TwitterClean[[#This Row],[date_posted]],2,10))</f>
        <v>45641</v>
      </c>
      <c r="AD106">
        <f>TIMEVALUE(MID(TwitterClean[[#This Row],[date_posted]],13,8))</f>
        <v>0.61982638888888886</v>
      </c>
      <c r="AE106" s="3" t="str">
        <f>TEXT(TwitterClean[[#This Row],[Post_Date]],"dddd")</f>
        <v>Sunday</v>
      </c>
      <c r="AF106">
        <f>HOUR(TwitterClean[[#This Row],[Post_Time]])</f>
        <v>14</v>
      </c>
      <c r="AG106" t="str">
        <f>IF(TwitterClean[[#This Row],[videos]]="Null","No","Yes")</f>
        <v>No</v>
      </c>
      <c r="AH106" t="str">
        <f>IF(TwitterClean[[#This Row],[photos]]="null","No","Yes")</f>
        <v>No</v>
      </c>
      <c r="AI106" t="str">
        <f>IF(TwitterClean[[#This Row],[hashtags]]="null","No","Yes")</f>
        <v>Yes</v>
      </c>
      <c r="AJ106" t="str">
        <f>IF(TwitterClean[[#This Row],[external_url]]="null","Yes","No")</f>
        <v>No</v>
      </c>
      <c r="AK106">
        <f>LEN(TwitterClean[[#This Row],[description]])</f>
        <v>50</v>
      </c>
      <c r="AL106" t="str">
        <f>IF(TwitterClean[[#This Row],[followers]]&lt;100000,"&lt;100K",IF(TwitterClean[[#This Row],[followers]]&lt;1000000,"100K-1M",IF(TwitterClean[[#This Row],[followers]]&lt;10000000,"1M-10M","10M+")))</f>
        <v>100K-1M</v>
      </c>
    </row>
    <row r="107" spans="1:38">
      <c r="A107">
        <v>1.8683808324376044E+18</v>
      </c>
      <c r="B107" t="s">
        <v>726</v>
      </c>
      <c r="C107" t="s">
        <v>727</v>
      </c>
      <c r="D107" t="s">
        <v>1236</v>
      </c>
      <c r="E107" t="s">
        <v>1237</v>
      </c>
      <c r="F107" t="s">
        <v>1238</v>
      </c>
      <c r="G107" t="s">
        <v>1239</v>
      </c>
      <c r="H107" t="s">
        <v>29</v>
      </c>
      <c r="I107">
        <v>10</v>
      </c>
      <c r="J107">
        <v>23</v>
      </c>
      <c r="K107">
        <v>301</v>
      </c>
      <c r="L107">
        <v>9654</v>
      </c>
      <c r="M107" t="s">
        <v>52</v>
      </c>
      <c r="N107" t="s">
        <v>732</v>
      </c>
      <c r="O107">
        <v>220409</v>
      </c>
      <c r="P107" t="s">
        <v>733</v>
      </c>
      <c r="Q107">
        <v>43155</v>
      </c>
      <c r="R107" t="s">
        <v>734</v>
      </c>
      <c r="S107">
        <v>199</v>
      </c>
      <c r="T107" t="b">
        <v>0</v>
      </c>
      <c r="U107">
        <v>7</v>
      </c>
      <c r="V107">
        <v>2</v>
      </c>
      <c r="W107" t="s">
        <v>35</v>
      </c>
      <c r="X107" t="s">
        <v>29</v>
      </c>
      <c r="Y107" t="s">
        <v>29</v>
      </c>
      <c r="Z107" t="s">
        <v>37</v>
      </c>
      <c r="AA107">
        <f>TwitterClean[[#This Row],[likes]]+TwitterClean[[#This Row],[replies]]+TwitterClean[[#This Row],[reposts]]+TwitterClean[[#This Row],[quotes]]+TwitterClean[[#This Row],[bookmarks]]</f>
        <v>343</v>
      </c>
      <c r="AB107" s="1">
        <f>TwitterClean[[#This Row],[Total_Engagements]]/TwitterClean[[#This Row],[views]]</f>
        <v>3.5529314273876116E-2</v>
      </c>
      <c r="AC107" s="3">
        <f>DATEVALUE(MID(TwitterClean[[#This Row],[date_posted]],2,10))</f>
        <v>45641</v>
      </c>
      <c r="AD107">
        <f>TIMEVALUE(MID(TwitterClean[[#This Row],[date_posted]],13,8))</f>
        <v>0.82033564814814819</v>
      </c>
      <c r="AE107" s="3" t="str">
        <f>TEXT(TwitterClean[[#This Row],[Post_Date]],"dddd")</f>
        <v>Sunday</v>
      </c>
      <c r="AF107">
        <f>HOUR(TwitterClean[[#This Row],[Post_Time]])</f>
        <v>19</v>
      </c>
      <c r="AG107" t="str">
        <f>IF(TwitterClean[[#This Row],[videos]]="Null","No","Yes")</f>
        <v>No</v>
      </c>
      <c r="AH107" t="str">
        <f>IF(TwitterClean[[#This Row],[photos]]="null","No","Yes")</f>
        <v>Yes</v>
      </c>
      <c r="AI107" t="str">
        <f>IF(TwitterClean[[#This Row],[hashtags]]="null","No","Yes")</f>
        <v>Yes</v>
      </c>
      <c r="AJ107" t="str">
        <f>IF(TwitterClean[[#This Row],[external_url]]="null","Yes","No")</f>
        <v>No</v>
      </c>
      <c r="AK107">
        <f>LEN(TwitterClean[[#This Row],[description]])</f>
        <v>37</v>
      </c>
      <c r="AL107" t="str">
        <f>IF(TwitterClean[[#This Row],[followers]]&lt;100000,"&lt;100K",IF(TwitterClean[[#This Row],[followers]]&lt;1000000,"100K-1M",IF(TwitterClean[[#This Row],[followers]]&lt;10000000,"1M-10M","10M+")))</f>
        <v>100K-1M</v>
      </c>
    </row>
    <row r="108" spans="1:38">
      <c r="A108">
        <v>1.8683543744072748E+18</v>
      </c>
      <c r="B108" t="s">
        <v>290</v>
      </c>
      <c r="C108" t="s">
        <v>291</v>
      </c>
      <c r="D108" t="s">
        <v>590</v>
      </c>
      <c r="E108" t="s">
        <v>591</v>
      </c>
      <c r="F108" t="s">
        <v>592</v>
      </c>
      <c r="G108" t="s">
        <v>593</v>
      </c>
      <c r="H108" t="s">
        <v>29</v>
      </c>
      <c r="I108">
        <v>5</v>
      </c>
      <c r="J108">
        <v>19</v>
      </c>
      <c r="K108">
        <v>627</v>
      </c>
      <c r="L108">
        <v>18683</v>
      </c>
      <c r="M108" t="s">
        <v>52</v>
      </c>
      <c r="N108" t="s">
        <v>305</v>
      </c>
      <c r="O108">
        <v>1906495</v>
      </c>
      <c r="P108" t="s">
        <v>298</v>
      </c>
      <c r="Q108">
        <v>124666</v>
      </c>
      <c r="R108" t="s">
        <v>299</v>
      </c>
      <c r="S108">
        <v>432</v>
      </c>
      <c r="T108" t="b">
        <v>0</v>
      </c>
      <c r="U108">
        <v>2</v>
      </c>
      <c r="V108">
        <v>10</v>
      </c>
      <c r="W108" t="s">
        <v>35</v>
      </c>
      <c r="X108" t="s">
        <v>29</v>
      </c>
      <c r="Y108" t="s">
        <v>29</v>
      </c>
      <c r="Z108" t="s">
        <v>37</v>
      </c>
      <c r="AA108">
        <f>TwitterClean[[#This Row],[likes]]+TwitterClean[[#This Row],[replies]]+TwitterClean[[#This Row],[reposts]]+TwitterClean[[#This Row],[quotes]]+TwitterClean[[#This Row],[bookmarks]]</f>
        <v>663</v>
      </c>
      <c r="AB108" s="1">
        <f>TwitterClean[[#This Row],[Total_Engagements]]/TwitterClean[[#This Row],[views]]</f>
        <v>3.5486806187443133E-2</v>
      </c>
      <c r="AC108" s="3">
        <f>DATEVALUE(MID(TwitterClean[[#This Row],[date_posted]],2,10))</f>
        <v>45641</v>
      </c>
      <c r="AD108">
        <f>TIMEVALUE(MID(TwitterClean[[#This Row],[date_posted]],13,8))</f>
        <v>0.74732638888888892</v>
      </c>
      <c r="AE108" s="3" t="str">
        <f>TEXT(TwitterClean[[#This Row],[Post_Date]],"dddd")</f>
        <v>Sunday</v>
      </c>
      <c r="AF108">
        <f>HOUR(TwitterClean[[#This Row],[Post_Time]])</f>
        <v>17</v>
      </c>
      <c r="AG108" t="str">
        <f>IF(TwitterClean[[#This Row],[videos]]="Null","No","Yes")</f>
        <v>No</v>
      </c>
      <c r="AH108" t="str">
        <f>IF(TwitterClean[[#This Row],[photos]]="null","No","Yes")</f>
        <v>Yes</v>
      </c>
      <c r="AI108" t="str">
        <f>IF(TwitterClean[[#This Row],[hashtags]]="null","No","Yes")</f>
        <v>Yes</v>
      </c>
      <c r="AJ108" t="str">
        <f>IF(TwitterClean[[#This Row],[external_url]]="null","Yes","No")</f>
        <v>No</v>
      </c>
      <c r="AK108">
        <f>LEN(TwitterClean[[#This Row],[description]])</f>
        <v>35</v>
      </c>
      <c r="AL108" t="str">
        <f>IF(TwitterClean[[#This Row],[followers]]&lt;100000,"&lt;100K",IF(TwitterClean[[#This Row],[followers]]&lt;1000000,"100K-1M",IF(TwitterClean[[#This Row],[followers]]&lt;10000000,"1M-10M","10M+")))</f>
        <v>1M-10M</v>
      </c>
    </row>
    <row r="109" spans="1:38">
      <c r="A109">
        <v>1.8684175162233039E+18</v>
      </c>
      <c r="B109" t="s">
        <v>3638</v>
      </c>
      <c r="C109" t="s">
        <v>3639</v>
      </c>
      <c r="D109" t="s">
        <v>3654</v>
      </c>
      <c r="E109" t="s">
        <v>3655</v>
      </c>
      <c r="F109" t="s">
        <v>29</v>
      </c>
      <c r="G109" t="s">
        <v>3656</v>
      </c>
      <c r="H109" t="s">
        <v>3383</v>
      </c>
      <c r="I109">
        <v>48</v>
      </c>
      <c r="J109">
        <v>689</v>
      </c>
      <c r="K109">
        <v>3814</v>
      </c>
      <c r="L109">
        <v>134963</v>
      </c>
      <c r="M109" t="s">
        <v>52</v>
      </c>
      <c r="N109" t="s">
        <v>29</v>
      </c>
      <c r="O109">
        <v>8885748</v>
      </c>
      <c r="P109" t="s">
        <v>3643</v>
      </c>
      <c r="Q109">
        <v>115852</v>
      </c>
      <c r="R109" t="s">
        <v>3644</v>
      </c>
      <c r="S109">
        <v>469</v>
      </c>
      <c r="T109" t="b">
        <v>0</v>
      </c>
      <c r="U109">
        <v>70</v>
      </c>
      <c r="V109">
        <v>133</v>
      </c>
      <c r="W109" t="s">
        <v>35</v>
      </c>
      <c r="X109" t="s">
        <v>29</v>
      </c>
      <c r="Y109" t="s">
        <v>3657</v>
      </c>
      <c r="Z109" t="s">
        <v>37</v>
      </c>
      <c r="AA109">
        <f>TwitterClean[[#This Row],[likes]]+TwitterClean[[#This Row],[replies]]+TwitterClean[[#This Row],[reposts]]+TwitterClean[[#This Row],[quotes]]+TwitterClean[[#This Row],[bookmarks]]</f>
        <v>4754</v>
      </c>
      <c r="AB109" s="1">
        <f>TwitterClean[[#This Row],[Total_Engagements]]/TwitterClean[[#This Row],[views]]</f>
        <v>3.5224468928521151E-2</v>
      </c>
      <c r="AC109" s="3">
        <f>DATEVALUE(MID(TwitterClean[[#This Row],[date_posted]],2,10))</f>
        <v>45641</v>
      </c>
      <c r="AD109">
        <f>TIMEVALUE(MID(TwitterClean[[#This Row],[date_posted]],13,8))</f>
        <v>0.9215740740740741</v>
      </c>
      <c r="AE109" s="3" t="str">
        <f>TEXT(TwitterClean[[#This Row],[Post_Date]],"dddd")</f>
        <v>Sunday</v>
      </c>
      <c r="AF109">
        <f>HOUR(TwitterClean[[#This Row],[Post_Time]])</f>
        <v>22</v>
      </c>
      <c r="AG109" t="str">
        <f>IF(TwitterClean[[#This Row],[videos]]="Null","No","Yes")</f>
        <v>Yes</v>
      </c>
      <c r="AH109" t="str">
        <f>IF(TwitterClean[[#This Row],[photos]]="null","No","Yes")</f>
        <v>No</v>
      </c>
      <c r="AI109" t="str">
        <f>IF(TwitterClean[[#This Row],[hashtags]]="null","No","Yes")</f>
        <v>No</v>
      </c>
      <c r="AJ109" t="str">
        <f>IF(TwitterClean[[#This Row],[external_url]]="null","Yes","No")</f>
        <v>No</v>
      </c>
      <c r="AK109">
        <f>LEN(TwitterClean[[#This Row],[description]])</f>
        <v>102</v>
      </c>
      <c r="AL109" t="str">
        <f>IF(TwitterClean[[#This Row],[followers]]&lt;100000,"&lt;100K",IF(TwitterClean[[#This Row],[followers]]&lt;1000000,"100K-1M",IF(TwitterClean[[#This Row],[followers]]&lt;10000000,"1M-10M","10M+")))</f>
        <v>1M-10M</v>
      </c>
    </row>
    <row r="110" spans="1:38">
      <c r="A110">
        <v>1.8683152591588106E+18</v>
      </c>
      <c r="B110" t="s">
        <v>1363</v>
      </c>
      <c r="C110" t="s">
        <v>1364</v>
      </c>
      <c r="D110" t="s">
        <v>1630</v>
      </c>
      <c r="E110" t="s">
        <v>1631</v>
      </c>
      <c r="F110" t="s">
        <v>1632</v>
      </c>
      <c r="G110" t="s">
        <v>1633</v>
      </c>
      <c r="H110" t="s">
        <v>1434</v>
      </c>
      <c r="I110">
        <v>5</v>
      </c>
      <c r="J110">
        <v>44</v>
      </c>
      <c r="K110">
        <v>476</v>
      </c>
      <c r="L110">
        <v>15281</v>
      </c>
      <c r="M110" t="s">
        <v>52</v>
      </c>
      <c r="N110" t="s">
        <v>1369</v>
      </c>
      <c r="O110">
        <v>462263</v>
      </c>
      <c r="P110" t="s">
        <v>1370</v>
      </c>
      <c r="Q110">
        <v>16271</v>
      </c>
      <c r="R110" t="s">
        <v>1371</v>
      </c>
      <c r="S110">
        <v>38</v>
      </c>
      <c r="T110" t="b">
        <v>0</v>
      </c>
      <c r="U110">
        <v>4</v>
      </c>
      <c r="V110">
        <v>4</v>
      </c>
      <c r="W110" t="s">
        <v>35</v>
      </c>
      <c r="X110" t="s">
        <v>29</v>
      </c>
      <c r="Y110" t="s">
        <v>29</v>
      </c>
      <c r="Z110" t="s">
        <v>37</v>
      </c>
      <c r="AA110">
        <f>TwitterClean[[#This Row],[likes]]+TwitterClean[[#This Row],[replies]]+TwitterClean[[#This Row],[reposts]]+TwitterClean[[#This Row],[quotes]]+TwitterClean[[#This Row],[bookmarks]]</f>
        <v>533</v>
      </c>
      <c r="AB110" s="1">
        <f>TwitterClean[[#This Row],[Total_Engagements]]/TwitterClean[[#This Row],[views]]</f>
        <v>3.4879916235848442E-2</v>
      </c>
      <c r="AC110" s="3">
        <f>DATEVALUE(MID(TwitterClean[[#This Row],[date_posted]],2,10))</f>
        <v>45641</v>
      </c>
      <c r="AD110">
        <f>TIMEVALUE(MID(TwitterClean[[#This Row],[date_posted]],13,8))</f>
        <v>0.6393981481481481</v>
      </c>
      <c r="AE110" s="3" t="str">
        <f>TEXT(TwitterClean[[#This Row],[Post_Date]],"dddd")</f>
        <v>Sunday</v>
      </c>
      <c r="AF110">
        <f>HOUR(TwitterClean[[#This Row],[Post_Time]])</f>
        <v>15</v>
      </c>
      <c r="AG110" t="str">
        <f>IF(TwitterClean[[#This Row],[videos]]="Null","No","Yes")</f>
        <v>No</v>
      </c>
      <c r="AH110" t="str">
        <f>IF(TwitterClean[[#This Row],[photos]]="null","No","Yes")</f>
        <v>Yes</v>
      </c>
      <c r="AI110" t="str">
        <f>IF(TwitterClean[[#This Row],[hashtags]]="null","No","Yes")</f>
        <v>Yes</v>
      </c>
      <c r="AJ110" t="str">
        <f>IF(TwitterClean[[#This Row],[external_url]]="null","Yes","No")</f>
        <v>No</v>
      </c>
      <c r="AK110">
        <f>LEN(TwitterClean[[#This Row],[description]])</f>
        <v>39</v>
      </c>
      <c r="AL110" t="str">
        <f>IF(TwitterClean[[#This Row],[followers]]&lt;100000,"&lt;100K",IF(TwitterClean[[#This Row],[followers]]&lt;1000000,"100K-1M",IF(TwitterClean[[#This Row],[followers]]&lt;10000000,"1M-10M","10M+")))</f>
        <v>100K-1M</v>
      </c>
    </row>
    <row r="111" spans="1:38">
      <c r="A111">
        <v>1.8683423667610506E+18</v>
      </c>
      <c r="B111" t="s">
        <v>5032</v>
      </c>
      <c r="C111" t="s">
        <v>5033</v>
      </c>
      <c r="D111" t="s">
        <v>5136</v>
      </c>
      <c r="E111" t="s">
        <v>5137</v>
      </c>
      <c r="F111" t="s">
        <v>5138</v>
      </c>
      <c r="G111" t="s">
        <v>5139</v>
      </c>
      <c r="H111" t="s">
        <v>5140</v>
      </c>
      <c r="I111">
        <v>6</v>
      </c>
      <c r="J111">
        <v>11</v>
      </c>
      <c r="K111">
        <v>165</v>
      </c>
      <c r="L111">
        <v>5253</v>
      </c>
      <c r="M111" t="s">
        <v>52</v>
      </c>
      <c r="N111" t="s">
        <v>5039</v>
      </c>
      <c r="O111">
        <v>247129</v>
      </c>
      <c r="P111" t="s">
        <v>5040</v>
      </c>
      <c r="Q111">
        <v>78213</v>
      </c>
      <c r="R111" t="s">
        <v>5041</v>
      </c>
      <c r="S111">
        <v>1031</v>
      </c>
      <c r="T111" t="b">
        <v>0</v>
      </c>
      <c r="U111">
        <v>1</v>
      </c>
      <c r="V111">
        <v>0</v>
      </c>
      <c r="W111" t="s">
        <v>35</v>
      </c>
      <c r="X111" t="s">
        <v>29</v>
      </c>
      <c r="Y111" t="s">
        <v>29</v>
      </c>
      <c r="Z111" t="s">
        <v>37</v>
      </c>
      <c r="AA111">
        <f>TwitterClean[[#This Row],[likes]]+TwitterClean[[#This Row],[replies]]+TwitterClean[[#This Row],[reposts]]+TwitterClean[[#This Row],[quotes]]+TwitterClean[[#This Row],[bookmarks]]</f>
        <v>183</v>
      </c>
      <c r="AB111" s="1">
        <f>TwitterClean[[#This Row],[Total_Engagements]]/TwitterClean[[#This Row],[views]]</f>
        <v>3.4837235865219876E-2</v>
      </c>
      <c r="AC111" s="3">
        <f>DATEVALUE(MID(TwitterClean[[#This Row],[date_posted]],2,10))</f>
        <v>45641</v>
      </c>
      <c r="AD111">
        <f>TIMEVALUE(MID(TwitterClean[[#This Row],[date_posted]],13,8))</f>
        <v>0.71420138888888884</v>
      </c>
      <c r="AE111" s="3" t="str">
        <f>TEXT(TwitterClean[[#This Row],[Post_Date]],"dddd")</f>
        <v>Sunday</v>
      </c>
      <c r="AF111">
        <f>HOUR(TwitterClean[[#This Row],[Post_Time]])</f>
        <v>17</v>
      </c>
      <c r="AG111" t="str">
        <f>IF(TwitterClean[[#This Row],[videos]]="Null","No","Yes")</f>
        <v>No</v>
      </c>
      <c r="AH111" t="str">
        <f>IF(TwitterClean[[#This Row],[photos]]="null","No","Yes")</f>
        <v>Yes</v>
      </c>
      <c r="AI111" t="str">
        <f>IF(TwitterClean[[#This Row],[hashtags]]="null","No","Yes")</f>
        <v>Yes</v>
      </c>
      <c r="AJ111" t="str">
        <f>IF(TwitterClean[[#This Row],[external_url]]="null","Yes","No")</f>
        <v>No</v>
      </c>
      <c r="AK111">
        <f>LEN(TwitterClean[[#This Row],[description]])</f>
        <v>144</v>
      </c>
      <c r="AL111" t="str">
        <f>IF(TwitterClean[[#This Row],[followers]]&lt;100000,"&lt;100K",IF(TwitterClean[[#This Row],[followers]]&lt;1000000,"100K-1M",IF(TwitterClean[[#This Row],[followers]]&lt;10000000,"1M-10M","10M+")))</f>
        <v>100K-1M</v>
      </c>
    </row>
    <row r="112" spans="1:38">
      <c r="A112">
        <v>1.8683599709299589E+18</v>
      </c>
      <c r="B112" t="s">
        <v>290</v>
      </c>
      <c r="C112" t="s">
        <v>291</v>
      </c>
      <c r="D112" t="s">
        <v>301</v>
      </c>
      <c r="E112" t="s">
        <v>302</v>
      </c>
      <c r="F112" t="s">
        <v>303</v>
      </c>
      <c r="G112" t="s">
        <v>304</v>
      </c>
      <c r="H112" t="s">
        <v>29</v>
      </c>
      <c r="I112">
        <v>32</v>
      </c>
      <c r="J112">
        <v>203</v>
      </c>
      <c r="K112">
        <v>2169</v>
      </c>
      <c r="L112">
        <v>70255</v>
      </c>
      <c r="M112" t="s">
        <v>52</v>
      </c>
      <c r="N112" t="s">
        <v>305</v>
      </c>
      <c r="O112">
        <v>1906482</v>
      </c>
      <c r="P112" t="s">
        <v>298</v>
      </c>
      <c r="Q112">
        <v>124666</v>
      </c>
      <c r="R112" t="s">
        <v>299</v>
      </c>
      <c r="S112">
        <v>432</v>
      </c>
      <c r="T112" t="b">
        <v>0</v>
      </c>
      <c r="U112">
        <v>27</v>
      </c>
      <c r="V112">
        <v>10</v>
      </c>
      <c r="W112" t="s">
        <v>35</v>
      </c>
      <c r="X112" t="s">
        <v>29</v>
      </c>
      <c r="Y112" t="s">
        <v>29</v>
      </c>
      <c r="Z112" t="s">
        <v>37</v>
      </c>
      <c r="AA112">
        <f>TwitterClean[[#This Row],[likes]]+TwitterClean[[#This Row],[replies]]+TwitterClean[[#This Row],[reposts]]+TwitterClean[[#This Row],[quotes]]+TwitterClean[[#This Row],[bookmarks]]</f>
        <v>2441</v>
      </c>
      <c r="AB112" s="1">
        <f>TwitterClean[[#This Row],[Total_Engagements]]/TwitterClean[[#This Row],[views]]</f>
        <v>3.4744858017222977E-2</v>
      </c>
      <c r="AC112" s="3">
        <f>DATEVALUE(MID(TwitterClean[[#This Row],[date_posted]],2,10))</f>
        <v>45641</v>
      </c>
      <c r="AD112">
        <f>TIMEVALUE(MID(TwitterClean[[#This Row],[date_posted]],13,8))</f>
        <v>0.76277777777777778</v>
      </c>
      <c r="AE112" s="3" t="str">
        <f>TEXT(TwitterClean[[#This Row],[Post_Date]],"dddd")</f>
        <v>Sunday</v>
      </c>
      <c r="AF112">
        <f>HOUR(TwitterClean[[#This Row],[Post_Time]])</f>
        <v>18</v>
      </c>
      <c r="AG112" t="str">
        <f>IF(TwitterClean[[#This Row],[videos]]="Null","No","Yes")</f>
        <v>No</v>
      </c>
      <c r="AH112" t="str">
        <f>IF(TwitterClean[[#This Row],[photos]]="null","No","Yes")</f>
        <v>Yes</v>
      </c>
      <c r="AI112" t="str">
        <f>IF(TwitterClean[[#This Row],[hashtags]]="null","No","Yes")</f>
        <v>Yes</v>
      </c>
      <c r="AJ112" t="str">
        <f>IF(TwitterClean[[#This Row],[external_url]]="null","Yes","No")</f>
        <v>No</v>
      </c>
      <c r="AK112">
        <f>LEN(TwitterClean[[#This Row],[description]])</f>
        <v>73</v>
      </c>
      <c r="AL112" t="str">
        <f>IF(TwitterClean[[#This Row],[followers]]&lt;100000,"&lt;100K",IF(TwitterClean[[#This Row],[followers]]&lt;1000000,"100K-1M",IF(TwitterClean[[#This Row],[followers]]&lt;10000000,"1M-10M","10M+")))</f>
        <v>1M-10M</v>
      </c>
    </row>
    <row r="113" spans="1:38">
      <c r="A113">
        <v>1.8684881017539546E+18</v>
      </c>
      <c r="B113" t="s">
        <v>1656</v>
      </c>
      <c r="C113" t="s">
        <v>1657</v>
      </c>
      <c r="D113" t="s">
        <v>1658</v>
      </c>
      <c r="E113" t="s">
        <v>1659</v>
      </c>
      <c r="F113" t="s">
        <v>29</v>
      </c>
      <c r="G113" t="s">
        <v>1660</v>
      </c>
      <c r="H113" t="s">
        <v>29</v>
      </c>
      <c r="I113">
        <v>36</v>
      </c>
      <c r="J113">
        <v>6</v>
      </c>
      <c r="K113">
        <v>63</v>
      </c>
      <c r="L113">
        <v>3199</v>
      </c>
      <c r="M113" t="s">
        <v>1661</v>
      </c>
      <c r="N113" t="s">
        <v>29</v>
      </c>
      <c r="O113">
        <v>2819404</v>
      </c>
      <c r="P113" t="s">
        <v>1662</v>
      </c>
      <c r="Q113">
        <v>286268</v>
      </c>
      <c r="R113" t="s">
        <v>1663</v>
      </c>
      <c r="S113">
        <v>4</v>
      </c>
      <c r="T113" t="b">
        <v>0</v>
      </c>
      <c r="U113">
        <v>5</v>
      </c>
      <c r="V113">
        <v>1</v>
      </c>
      <c r="W113" t="s">
        <v>35</v>
      </c>
      <c r="X113" t="s">
        <v>1664</v>
      </c>
      <c r="Y113" t="s">
        <v>29</v>
      </c>
      <c r="Z113" t="s">
        <v>37</v>
      </c>
      <c r="AA113">
        <f>TwitterClean[[#This Row],[likes]]+TwitterClean[[#This Row],[replies]]+TwitterClean[[#This Row],[reposts]]+TwitterClean[[#This Row],[quotes]]+TwitterClean[[#This Row],[bookmarks]]</f>
        <v>111</v>
      </c>
      <c r="AB113" s="1">
        <f>TwitterClean[[#This Row],[Total_Engagements]]/TwitterClean[[#This Row],[views]]</f>
        <v>3.4698343232260079E-2</v>
      </c>
      <c r="AC113" s="3">
        <f>DATEVALUE(MID(TwitterClean[[#This Row],[date_posted]],2,10))</f>
        <v>45642</v>
      </c>
      <c r="AD113">
        <f>TIMEVALUE(MID(TwitterClean[[#This Row],[date_posted]],13,8))</f>
        <v>0.11634259259259259</v>
      </c>
      <c r="AE113" s="3" t="str">
        <f>TEXT(TwitterClean[[#This Row],[Post_Date]],"dddd")</f>
        <v>Monday</v>
      </c>
      <c r="AF113">
        <f>HOUR(TwitterClean[[#This Row],[Post_Time]])</f>
        <v>2</v>
      </c>
      <c r="AG113" t="str">
        <f>IF(TwitterClean[[#This Row],[videos]]="Null","No","Yes")</f>
        <v>No</v>
      </c>
      <c r="AH113" t="str">
        <f>IF(TwitterClean[[#This Row],[photos]]="null","No","Yes")</f>
        <v>No</v>
      </c>
      <c r="AI113" t="str">
        <f>IF(TwitterClean[[#This Row],[hashtags]]="null","No","Yes")</f>
        <v>No</v>
      </c>
      <c r="AJ113" t="str">
        <f>IF(TwitterClean[[#This Row],[external_url]]="null","Yes","No")</f>
        <v>No</v>
      </c>
      <c r="AK113">
        <f>LEN(TwitterClean[[#This Row],[description]])</f>
        <v>84</v>
      </c>
      <c r="AL113" t="str">
        <f>IF(TwitterClean[[#This Row],[followers]]&lt;100000,"&lt;100K",IF(TwitterClean[[#This Row],[followers]]&lt;1000000,"100K-1M",IF(TwitterClean[[#This Row],[followers]]&lt;10000000,"1M-10M","10M+")))</f>
        <v>1M-10M</v>
      </c>
    </row>
    <row r="114" spans="1:38">
      <c r="A114">
        <v>1.8684156242480128E+18</v>
      </c>
      <c r="B114" t="s">
        <v>1862</v>
      </c>
      <c r="C114" t="s">
        <v>1863</v>
      </c>
      <c r="D114" t="s">
        <v>1929</v>
      </c>
      <c r="E114" t="s">
        <v>1930</v>
      </c>
      <c r="F114" t="s">
        <v>29</v>
      </c>
      <c r="G114" t="s">
        <v>1931</v>
      </c>
      <c r="H114" t="s">
        <v>29</v>
      </c>
      <c r="I114">
        <v>20</v>
      </c>
      <c r="J114">
        <v>38</v>
      </c>
      <c r="K114">
        <v>442</v>
      </c>
      <c r="L114">
        <v>14985</v>
      </c>
      <c r="M114" t="s">
        <v>52</v>
      </c>
      <c r="N114" t="s">
        <v>1867</v>
      </c>
      <c r="O114">
        <v>13492372</v>
      </c>
      <c r="P114" t="s">
        <v>1868</v>
      </c>
      <c r="Q114">
        <v>314515</v>
      </c>
      <c r="R114" t="s">
        <v>1869</v>
      </c>
      <c r="S114">
        <v>708</v>
      </c>
      <c r="T114" t="b">
        <v>0</v>
      </c>
      <c r="U114">
        <v>6</v>
      </c>
      <c r="V114">
        <v>9</v>
      </c>
      <c r="W114" t="s">
        <v>35</v>
      </c>
      <c r="X114" t="s">
        <v>29</v>
      </c>
      <c r="Y114" t="s">
        <v>1932</v>
      </c>
      <c r="Z114" t="s">
        <v>37</v>
      </c>
      <c r="AA114">
        <f>TwitterClean[[#This Row],[likes]]+TwitterClean[[#This Row],[replies]]+TwitterClean[[#This Row],[reposts]]+TwitterClean[[#This Row],[quotes]]+TwitterClean[[#This Row],[bookmarks]]</f>
        <v>515</v>
      </c>
      <c r="AB114" s="1">
        <f>TwitterClean[[#This Row],[Total_Engagements]]/TwitterClean[[#This Row],[views]]</f>
        <v>3.4367701034367704E-2</v>
      </c>
      <c r="AC114" s="3">
        <f>DATEVALUE(MID(TwitterClean[[#This Row],[date_posted]],2,10))</f>
        <v>45641</v>
      </c>
      <c r="AD114">
        <f>TIMEVALUE(MID(TwitterClean[[#This Row],[date_posted]],13,8))</f>
        <v>0.91634259259259254</v>
      </c>
      <c r="AE114" s="3" t="str">
        <f>TEXT(TwitterClean[[#This Row],[Post_Date]],"dddd")</f>
        <v>Sunday</v>
      </c>
      <c r="AF114">
        <f>HOUR(TwitterClean[[#This Row],[Post_Time]])</f>
        <v>21</v>
      </c>
      <c r="AG114" t="str">
        <f>IF(TwitterClean[[#This Row],[videos]]="Null","No","Yes")</f>
        <v>Yes</v>
      </c>
      <c r="AH114" t="str">
        <f>IF(TwitterClean[[#This Row],[photos]]="null","No","Yes")</f>
        <v>No</v>
      </c>
      <c r="AI114" t="str">
        <f>IF(TwitterClean[[#This Row],[hashtags]]="null","No","Yes")</f>
        <v>Yes</v>
      </c>
      <c r="AJ114" t="str">
        <f>IF(TwitterClean[[#This Row],[external_url]]="null","Yes","No")</f>
        <v>No</v>
      </c>
      <c r="AK114">
        <f>LEN(TwitterClean[[#This Row],[description]])</f>
        <v>98</v>
      </c>
      <c r="AL114" t="str">
        <f>IF(TwitterClean[[#This Row],[followers]]&lt;100000,"&lt;100K",IF(TwitterClean[[#This Row],[followers]]&lt;1000000,"100K-1M",IF(TwitterClean[[#This Row],[followers]]&lt;10000000,"1M-10M","10M+")))</f>
        <v>10M+</v>
      </c>
    </row>
    <row r="115" spans="1:38">
      <c r="A115">
        <v>1.8684186656300608E+18</v>
      </c>
      <c r="B115" t="s">
        <v>1862</v>
      </c>
      <c r="C115" t="s">
        <v>1863</v>
      </c>
      <c r="D115" t="s">
        <v>1989</v>
      </c>
      <c r="E115" t="s">
        <v>1990</v>
      </c>
      <c r="F115" t="s">
        <v>29</v>
      </c>
      <c r="G115" t="s">
        <v>1991</v>
      </c>
      <c r="H115" t="s">
        <v>1992</v>
      </c>
      <c r="I115">
        <v>22</v>
      </c>
      <c r="J115">
        <v>46</v>
      </c>
      <c r="K115">
        <v>254</v>
      </c>
      <c r="L115">
        <v>9926</v>
      </c>
      <c r="M115" t="s">
        <v>52</v>
      </c>
      <c r="N115" t="s">
        <v>1867</v>
      </c>
      <c r="O115">
        <v>13492430</v>
      </c>
      <c r="P115" t="s">
        <v>1868</v>
      </c>
      <c r="Q115">
        <v>314515</v>
      </c>
      <c r="R115" t="s">
        <v>1869</v>
      </c>
      <c r="S115">
        <v>708</v>
      </c>
      <c r="T115" t="b">
        <v>0</v>
      </c>
      <c r="U115">
        <v>3</v>
      </c>
      <c r="V115">
        <v>14</v>
      </c>
      <c r="W115" t="s">
        <v>35</v>
      </c>
      <c r="X115" t="s">
        <v>29</v>
      </c>
      <c r="Y115" t="s">
        <v>1993</v>
      </c>
      <c r="Z115" t="s">
        <v>37</v>
      </c>
      <c r="AA115">
        <f>TwitterClean[[#This Row],[likes]]+TwitterClean[[#This Row],[replies]]+TwitterClean[[#This Row],[reposts]]+TwitterClean[[#This Row],[quotes]]+TwitterClean[[#This Row],[bookmarks]]</f>
        <v>339</v>
      </c>
      <c r="AB115" s="1">
        <f>TwitterClean[[#This Row],[Total_Engagements]]/TwitterClean[[#This Row],[views]]</f>
        <v>3.4152730203505947E-2</v>
      </c>
      <c r="AC115" s="3">
        <f>DATEVALUE(MID(TwitterClean[[#This Row],[date_posted]],2,10))</f>
        <v>45641</v>
      </c>
      <c r="AD115">
        <f>TIMEVALUE(MID(TwitterClean[[#This Row],[date_posted]],13,8))</f>
        <v>0.92474537037037041</v>
      </c>
      <c r="AE115" s="3" t="str">
        <f>TEXT(TwitterClean[[#This Row],[Post_Date]],"dddd")</f>
        <v>Sunday</v>
      </c>
      <c r="AF115">
        <f>HOUR(TwitterClean[[#This Row],[Post_Time]])</f>
        <v>22</v>
      </c>
      <c r="AG115" t="str">
        <f>IF(TwitterClean[[#This Row],[videos]]="Null","No","Yes")</f>
        <v>Yes</v>
      </c>
      <c r="AH115" t="str">
        <f>IF(TwitterClean[[#This Row],[photos]]="null","No","Yes")</f>
        <v>No</v>
      </c>
      <c r="AI115" t="str">
        <f>IF(TwitterClean[[#This Row],[hashtags]]="null","No","Yes")</f>
        <v>Yes</v>
      </c>
      <c r="AJ115" t="str">
        <f>IF(TwitterClean[[#This Row],[external_url]]="null","Yes","No")</f>
        <v>No</v>
      </c>
      <c r="AK115">
        <f>LEN(TwitterClean[[#This Row],[description]])</f>
        <v>112</v>
      </c>
      <c r="AL115" t="str">
        <f>IF(TwitterClean[[#This Row],[followers]]&lt;100000,"&lt;100K",IF(TwitterClean[[#This Row],[followers]]&lt;1000000,"100K-1M",IF(TwitterClean[[#This Row],[followers]]&lt;10000000,"1M-10M","10M+")))</f>
        <v>10M+</v>
      </c>
    </row>
    <row r="116" spans="1:38">
      <c r="A116">
        <v>1.865975830012404E+18</v>
      </c>
      <c r="B116" t="s">
        <v>2744</v>
      </c>
      <c r="C116" t="s">
        <v>2744</v>
      </c>
      <c r="D116" t="s">
        <v>2881</v>
      </c>
      <c r="E116" t="s">
        <v>2882</v>
      </c>
      <c r="F116" t="s">
        <v>2883</v>
      </c>
      <c r="G116" t="s">
        <v>2884</v>
      </c>
      <c r="H116" t="s">
        <v>2749</v>
      </c>
      <c r="I116">
        <v>220</v>
      </c>
      <c r="J116">
        <v>1642</v>
      </c>
      <c r="K116">
        <v>11156</v>
      </c>
      <c r="L116">
        <v>391634</v>
      </c>
      <c r="M116" t="s">
        <v>52</v>
      </c>
      <c r="N116" t="s">
        <v>29</v>
      </c>
      <c r="O116">
        <v>36981731</v>
      </c>
      <c r="P116" t="s">
        <v>2751</v>
      </c>
      <c r="Q116">
        <v>280303</v>
      </c>
      <c r="R116" t="s">
        <v>2752</v>
      </c>
      <c r="S116">
        <v>2821</v>
      </c>
      <c r="T116" t="b">
        <v>0</v>
      </c>
      <c r="U116">
        <v>115</v>
      </c>
      <c r="V116">
        <v>180</v>
      </c>
      <c r="W116" t="s">
        <v>35</v>
      </c>
      <c r="X116" t="s">
        <v>29</v>
      </c>
      <c r="Y116" t="s">
        <v>29</v>
      </c>
      <c r="Z116" t="s">
        <v>37</v>
      </c>
      <c r="AA116">
        <f>TwitterClean[[#This Row],[likes]]+TwitterClean[[#This Row],[replies]]+TwitterClean[[#This Row],[reposts]]+TwitterClean[[#This Row],[quotes]]+TwitterClean[[#This Row],[bookmarks]]</f>
        <v>13313</v>
      </c>
      <c r="AB116" s="1">
        <f>TwitterClean[[#This Row],[Total_Engagements]]/TwitterClean[[#This Row],[views]]</f>
        <v>3.3993473498215174E-2</v>
      </c>
      <c r="AC116" s="3">
        <f>DATEVALUE(MID(TwitterClean[[#This Row],[date_posted]],2,10))</f>
        <v>45635</v>
      </c>
      <c r="AD116">
        <f>TIMEVALUE(MID(TwitterClean[[#This Row],[date_posted]],13,8))</f>
        <v>0.18379629629629629</v>
      </c>
      <c r="AE116" s="3" t="str">
        <f>TEXT(TwitterClean[[#This Row],[Post_Date]],"dddd")</f>
        <v>Monday</v>
      </c>
      <c r="AF116">
        <f>HOUR(TwitterClean[[#This Row],[Post_Time]])</f>
        <v>4</v>
      </c>
      <c r="AG116" t="str">
        <f>IF(TwitterClean[[#This Row],[videos]]="Null","No","Yes")</f>
        <v>No</v>
      </c>
      <c r="AH116" t="str">
        <f>IF(TwitterClean[[#This Row],[photos]]="null","No","Yes")</f>
        <v>Yes</v>
      </c>
      <c r="AI116" t="str">
        <f>IF(TwitterClean[[#This Row],[hashtags]]="null","No","Yes")</f>
        <v>No</v>
      </c>
      <c r="AJ116" t="str">
        <f>IF(TwitterClean[[#This Row],[external_url]]="null","Yes","No")</f>
        <v>No</v>
      </c>
      <c r="AK116">
        <f>LEN(TwitterClean[[#This Row],[description]])</f>
        <v>57</v>
      </c>
      <c r="AL116" t="str">
        <f>IF(TwitterClean[[#This Row],[followers]]&lt;100000,"&lt;100K",IF(TwitterClean[[#This Row],[followers]]&lt;1000000,"100K-1M",IF(TwitterClean[[#This Row],[followers]]&lt;10000000,"1M-10M","10M+")))</f>
        <v>10M+</v>
      </c>
    </row>
    <row r="117" spans="1:38">
      <c r="A117">
        <v>1.8681098353484273E+18</v>
      </c>
      <c r="B117" t="s">
        <v>3083</v>
      </c>
      <c r="C117" t="s">
        <v>3083</v>
      </c>
      <c r="D117" t="s">
        <v>4888</v>
      </c>
      <c r="E117" t="s">
        <v>4889</v>
      </c>
      <c r="F117" t="s">
        <v>4890</v>
      </c>
      <c r="G117" t="s">
        <v>4891</v>
      </c>
      <c r="H117" t="s">
        <v>4892</v>
      </c>
      <c r="I117">
        <v>532</v>
      </c>
      <c r="J117">
        <v>1805</v>
      </c>
      <c r="K117">
        <v>11582</v>
      </c>
      <c r="L117">
        <v>425214</v>
      </c>
      <c r="M117" t="s">
        <v>52</v>
      </c>
      <c r="N117" t="s">
        <v>3087</v>
      </c>
      <c r="O117">
        <v>14375935</v>
      </c>
      <c r="P117" t="s">
        <v>3088</v>
      </c>
      <c r="Q117">
        <v>346973</v>
      </c>
      <c r="R117" t="s">
        <v>3089</v>
      </c>
      <c r="S117">
        <v>392</v>
      </c>
      <c r="T117" t="b">
        <v>0</v>
      </c>
      <c r="U117">
        <v>235</v>
      </c>
      <c r="V117">
        <v>263</v>
      </c>
      <c r="W117" t="s">
        <v>35</v>
      </c>
      <c r="X117" t="s">
        <v>29</v>
      </c>
      <c r="Y117" t="s">
        <v>29</v>
      </c>
      <c r="Z117" t="s">
        <v>37</v>
      </c>
      <c r="AA117">
        <f>TwitterClean[[#This Row],[likes]]+TwitterClean[[#This Row],[replies]]+TwitterClean[[#This Row],[reposts]]+TwitterClean[[#This Row],[quotes]]+TwitterClean[[#This Row],[bookmarks]]</f>
        <v>14417</v>
      </c>
      <c r="AB117" s="1">
        <f>TwitterClean[[#This Row],[Total_Engagements]]/TwitterClean[[#This Row],[views]]</f>
        <v>3.390528063516253E-2</v>
      </c>
      <c r="AC117" s="3">
        <f>DATEVALUE(MID(TwitterClean[[#This Row],[date_posted]],2,10))</f>
        <v>45641</v>
      </c>
      <c r="AD117">
        <f>TIMEVALUE(MID(TwitterClean[[#This Row],[date_posted]],13,8))</f>
        <v>7.2534722222222223E-2</v>
      </c>
      <c r="AE117" s="3" t="str">
        <f>TEXT(TwitterClean[[#This Row],[Post_Date]],"dddd")</f>
        <v>Sunday</v>
      </c>
      <c r="AF117">
        <f>HOUR(TwitterClean[[#This Row],[Post_Time]])</f>
        <v>1</v>
      </c>
      <c r="AG117" t="str">
        <f>IF(TwitterClean[[#This Row],[videos]]="Null","No","Yes")</f>
        <v>No</v>
      </c>
      <c r="AH117" t="str">
        <f>IF(TwitterClean[[#This Row],[photos]]="null","No","Yes")</f>
        <v>Yes</v>
      </c>
      <c r="AI117" t="str">
        <f>IF(TwitterClean[[#This Row],[hashtags]]="null","No","Yes")</f>
        <v>Yes</v>
      </c>
      <c r="AJ117" t="str">
        <f>IF(TwitterClean[[#This Row],[external_url]]="null","Yes","No")</f>
        <v>No</v>
      </c>
      <c r="AK117">
        <f>LEN(TwitterClean[[#This Row],[description]])</f>
        <v>85</v>
      </c>
      <c r="AL117" t="str">
        <f>IF(TwitterClean[[#This Row],[followers]]&lt;100000,"&lt;100K",IF(TwitterClean[[#This Row],[followers]]&lt;1000000,"100K-1M",IF(TwitterClean[[#This Row],[followers]]&lt;10000000,"1M-10M","10M+")))</f>
        <v>10M+</v>
      </c>
    </row>
    <row r="118" spans="1:38">
      <c r="A118">
        <v>1.8682829375921277E+18</v>
      </c>
      <c r="B118" t="s">
        <v>1363</v>
      </c>
      <c r="C118" t="s">
        <v>1364</v>
      </c>
      <c r="D118" t="s">
        <v>1586</v>
      </c>
      <c r="E118" t="s">
        <v>1587</v>
      </c>
      <c r="F118" t="s">
        <v>29</v>
      </c>
      <c r="G118" t="s">
        <v>1588</v>
      </c>
      <c r="H118" t="s">
        <v>296</v>
      </c>
      <c r="I118">
        <v>2</v>
      </c>
      <c r="J118">
        <v>30</v>
      </c>
      <c r="K118">
        <v>390</v>
      </c>
      <c r="L118">
        <v>12818</v>
      </c>
      <c r="M118" t="s">
        <v>1589</v>
      </c>
      <c r="N118" t="s">
        <v>1369</v>
      </c>
      <c r="O118">
        <v>462263</v>
      </c>
      <c r="P118" t="s">
        <v>1370</v>
      </c>
      <c r="Q118">
        <v>16271</v>
      </c>
      <c r="R118" t="s">
        <v>1371</v>
      </c>
      <c r="S118">
        <v>38</v>
      </c>
      <c r="T118" t="b">
        <v>0</v>
      </c>
      <c r="U118">
        <v>8</v>
      </c>
      <c r="V118">
        <v>3</v>
      </c>
      <c r="W118" t="s">
        <v>35</v>
      </c>
      <c r="X118" t="s">
        <v>29</v>
      </c>
      <c r="Y118" t="s">
        <v>29</v>
      </c>
      <c r="Z118" t="s">
        <v>37</v>
      </c>
      <c r="AA118">
        <f>TwitterClean[[#This Row],[likes]]+TwitterClean[[#This Row],[replies]]+TwitterClean[[#This Row],[reposts]]+TwitterClean[[#This Row],[quotes]]+TwitterClean[[#This Row],[bookmarks]]</f>
        <v>433</v>
      </c>
      <c r="AB118" s="1">
        <f>TwitterClean[[#This Row],[Total_Engagements]]/TwitterClean[[#This Row],[views]]</f>
        <v>3.3780621001716339E-2</v>
      </c>
      <c r="AC118" s="3">
        <f>DATEVALUE(MID(TwitterClean[[#This Row],[date_posted]],2,10))</f>
        <v>45641</v>
      </c>
      <c r="AD118">
        <f>TIMEVALUE(MID(TwitterClean[[#This Row],[date_posted]],13,8))</f>
        <v>0.55019675925925926</v>
      </c>
      <c r="AE118" s="3" t="str">
        <f>TEXT(TwitterClean[[#This Row],[Post_Date]],"dddd")</f>
        <v>Sunday</v>
      </c>
      <c r="AF118">
        <f>HOUR(TwitterClean[[#This Row],[Post_Time]])</f>
        <v>13</v>
      </c>
      <c r="AG118" t="str">
        <f>IF(TwitterClean[[#This Row],[videos]]="Null","No","Yes")</f>
        <v>No</v>
      </c>
      <c r="AH118" t="str">
        <f>IF(TwitterClean[[#This Row],[photos]]="null","No","Yes")</f>
        <v>No</v>
      </c>
      <c r="AI118" t="str">
        <f>IF(TwitterClean[[#This Row],[hashtags]]="null","No","Yes")</f>
        <v>Yes</v>
      </c>
      <c r="AJ118" t="str">
        <f>IF(TwitterClean[[#This Row],[external_url]]="null","Yes","No")</f>
        <v>No</v>
      </c>
      <c r="AK118">
        <f>LEN(TwitterClean[[#This Row],[description]])</f>
        <v>76</v>
      </c>
      <c r="AL118" t="str">
        <f>IF(TwitterClean[[#This Row],[followers]]&lt;100000,"&lt;100K",IF(TwitterClean[[#This Row],[followers]]&lt;1000000,"100K-1M",IF(TwitterClean[[#This Row],[followers]]&lt;10000000,"1M-10M","10M+")))</f>
        <v>100K-1M</v>
      </c>
    </row>
    <row r="119" spans="1:38">
      <c r="A119">
        <v>1.8684381262862833E+18</v>
      </c>
      <c r="B119" t="s">
        <v>1862</v>
      </c>
      <c r="C119" t="s">
        <v>1863</v>
      </c>
      <c r="D119" t="s">
        <v>1977</v>
      </c>
      <c r="E119" t="s">
        <v>1978</v>
      </c>
      <c r="F119" t="s">
        <v>29</v>
      </c>
      <c r="G119" t="s">
        <v>1979</v>
      </c>
      <c r="H119" t="s">
        <v>29</v>
      </c>
      <c r="I119">
        <v>20</v>
      </c>
      <c r="J119">
        <v>46</v>
      </c>
      <c r="K119">
        <v>413</v>
      </c>
      <c r="L119">
        <v>14755</v>
      </c>
      <c r="M119" t="s">
        <v>52</v>
      </c>
      <c r="N119" t="s">
        <v>1867</v>
      </c>
      <c r="O119">
        <v>13492430</v>
      </c>
      <c r="P119" t="s">
        <v>1868</v>
      </c>
      <c r="Q119">
        <v>314515</v>
      </c>
      <c r="R119" t="s">
        <v>1869</v>
      </c>
      <c r="S119">
        <v>708</v>
      </c>
      <c r="T119" t="b">
        <v>0</v>
      </c>
      <c r="U119">
        <v>8</v>
      </c>
      <c r="V119">
        <v>11</v>
      </c>
      <c r="W119" t="s">
        <v>35</v>
      </c>
      <c r="X119" t="s">
        <v>29</v>
      </c>
      <c r="Y119" t="s">
        <v>1980</v>
      </c>
      <c r="Z119" t="s">
        <v>37</v>
      </c>
      <c r="AA119">
        <f>TwitterClean[[#This Row],[likes]]+TwitterClean[[#This Row],[replies]]+TwitterClean[[#This Row],[reposts]]+TwitterClean[[#This Row],[quotes]]+TwitterClean[[#This Row],[bookmarks]]</f>
        <v>498</v>
      </c>
      <c r="AB119" s="1">
        <f>TwitterClean[[#This Row],[Total_Engagements]]/TwitterClean[[#This Row],[views]]</f>
        <v>3.3751270755676042E-2</v>
      </c>
      <c r="AC119" s="3">
        <f>DATEVALUE(MID(TwitterClean[[#This Row],[date_posted]],2,10))</f>
        <v>45641</v>
      </c>
      <c r="AD119">
        <f>TIMEVALUE(MID(TwitterClean[[#This Row],[date_posted]],13,8))</f>
        <v>0.97843749999999996</v>
      </c>
      <c r="AE119" s="3" t="str">
        <f>TEXT(TwitterClean[[#This Row],[Post_Date]],"dddd")</f>
        <v>Sunday</v>
      </c>
      <c r="AF119">
        <f>HOUR(TwitterClean[[#This Row],[Post_Time]])</f>
        <v>23</v>
      </c>
      <c r="AG119" t="str">
        <f>IF(TwitterClean[[#This Row],[videos]]="Null","No","Yes")</f>
        <v>Yes</v>
      </c>
      <c r="AH119" t="str">
        <f>IF(TwitterClean[[#This Row],[photos]]="null","No","Yes")</f>
        <v>No</v>
      </c>
      <c r="AI119" t="str">
        <f>IF(TwitterClean[[#This Row],[hashtags]]="null","No","Yes")</f>
        <v>Yes</v>
      </c>
      <c r="AJ119" t="str">
        <f>IF(TwitterClean[[#This Row],[external_url]]="null","Yes","No")</f>
        <v>No</v>
      </c>
      <c r="AK119">
        <f>LEN(TwitterClean[[#This Row],[description]])</f>
        <v>105</v>
      </c>
      <c r="AL119" t="str">
        <f>IF(TwitterClean[[#This Row],[followers]]&lt;100000,"&lt;100K",IF(TwitterClean[[#This Row],[followers]]&lt;1000000,"100K-1M",IF(TwitterClean[[#This Row],[followers]]&lt;10000000,"1M-10M","10M+")))</f>
        <v>10M+</v>
      </c>
    </row>
    <row r="120" spans="1:38">
      <c r="A120">
        <v>1.8682647526587233E+18</v>
      </c>
      <c r="B120" t="s">
        <v>717</v>
      </c>
      <c r="C120" t="s">
        <v>718</v>
      </c>
      <c r="D120" t="s">
        <v>4602</v>
      </c>
      <c r="E120" t="s">
        <v>4603</v>
      </c>
      <c r="F120" t="s">
        <v>29</v>
      </c>
      <c r="G120" t="s">
        <v>4604</v>
      </c>
      <c r="H120" t="s">
        <v>4605</v>
      </c>
      <c r="I120">
        <v>8</v>
      </c>
      <c r="J120">
        <v>86</v>
      </c>
      <c r="K120">
        <v>1015</v>
      </c>
      <c r="L120">
        <v>33461</v>
      </c>
      <c r="M120" t="s">
        <v>52</v>
      </c>
      <c r="N120" t="s">
        <v>29</v>
      </c>
      <c r="O120">
        <v>756191</v>
      </c>
      <c r="P120" t="s">
        <v>724</v>
      </c>
      <c r="Q120">
        <v>32997</v>
      </c>
      <c r="R120" t="s">
        <v>725</v>
      </c>
      <c r="S120">
        <v>303</v>
      </c>
      <c r="T120" t="b">
        <v>0</v>
      </c>
      <c r="U120">
        <v>8</v>
      </c>
      <c r="V120">
        <v>10</v>
      </c>
      <c r="W120" t="s">
        <v>35</v>
      </c>
      <c r="X120" t="s">
        <v>29</v>
      </c>
      <c r="Y120" t="s">
        <v>4606</v>
      </c>
      <c r="Z120" t="s">
        <v>37</v>
      </c>
      <c r="AA120">
        <f>TwitterClean[[#This Row],[likes]]+TwitterClean[[#This Row],[replies]]+TwitterClean[[#This Row],[reposts]]+TwitterClean[[#This Row],[quotes]]+TwitterClean[[#This Row],[bookmarks]]</f>
        <v>1127</v>
      </c>
      <c r="AB120" s="1">
        <f>TwitterClean[[#This Row],[Total_Engagements]]/TwitterClean[[#This Row],[views]]</f>
        <v>3.3681001763246766E-2</v>
      </c>
      <c r="AC120" s="3">
        <f>DATEVALUE(MID(TwitterClean[[#This Row],[date_posted]],2,10))</f>
        <v>45641</v>
      </c>
      <c r="AD120">
        <f>TIMEVALUE(MID(TwitterClean[[#This Row],[date_posted]],13,8))</f>
        <v>0.50002314814814819</v>
      </c>
      <c r="AE120" s="3" t="str">
        <f>TEXT(TwitterClean[[#This Row],[Post_Date]],"dddd")</f>
        <v>Sunday</v>
      </c>
      <c r="AF120">
        <f>HOUR(TwitterClean[[#This Row],[Post_Time]])</f>
        <v>12</v>
      </c>
      <c r="AG120" t="str">
        <f>IF(TwitterClean[[#This Row],[videos]]="Null","No","Yes")</f>
        <v>Yes</v>
      </c>
      <c r="AH120" t="str">
        <f>IF(TwitterClean[[#This Row],[photos]]="null","No","Yes")</f>
        <v>No</v>
      </c>
      <c r="AI120" t="str">
        <f>IF(TwitterClean[[#This Row],[hashtags]]="null","No","Yes")</f>
        <v>No</v>
      </c>
      <c r="AJ120" t="str">
        <f>IF(TwitterClean[[#This Row],[external_url]]="null","Yes","No")</f>
        <v>No</v>
      </c>
      <c r="AK120">
        <f>LEN(TwitterClean[[#This Row],[description]])</f>
        <v>84</v>
      </c>
      <c r="AL120" t="str">
        <f>IF(TwitterClean[[#This Row],[followers]]&lt;100000,"&lt;100K",IF(TwitterClean[[#This Row],[followers]]&lt;1000000,"100K-1M",IF(TwitterClean[[#This Row],[followers]]&lt;10000000,"1M-10M","10M+")))</f>
        <v>100K-1M</v>
      </c>
    </row>
    <row r="121" spans="1:38">
      <c r="A121">
        <v>1.8683301754460575E+18</v>
      </c>
      <c r="B121" t="s">
        <v>3392</v>
      </c>
      <c r="C121" t="s">
        <v>3393</v>
      </c>
      <c r="D121" t="s">
        <v>5084</v>
      </c>
      <c r="E121" t="s">
        <v>5085</v>
      </c>
      <c r="F121" t="s">
        <v>5086</v>
      </c>
      <c r="G121" t="s">
        <v>5087</v>
      </c>
      <c r="H121" t="s">
        <v>29</v>
      </c>
      <c r="I121">
        <v>18</v>
      </c>
      <c r="J121">
        <v>41</v>
      </c>
      <c r="K121">
        <v>1034</v>
      </c>
      <c r="L121">
        <v>32944</v>
      </c>
      <c r="M121" t="s">
        <v>52</v>
      </c>
      <c r="N121" t="s">
        <v>3405</v>
      </c>
      <c r="O121">
        <v>1480966</v>
      </c>
      <c r="P121" t="s">
        <v>3399</v>
      </c>
      <c r="Q121">
        <v>103753</v>
      </c>
      <c r="R121" t="s">
        <v>3400</v>
      </c>
      <c r="S121">
        <v>552</v>
      </c>
      <c r="T121" t="b">
        <v>0</v>
      </c>
      <c r="U121">
        <v>13</v>
      </c>
      <c r="V121">
        <v>1</v>
      </c>
      <c r="W121" t="s">
        <v>35</v>
      </c>
      <c r="X121" t="s">
        <v>29</v>
      </c>
      <c r="Y121" t="s">
        <v>29</v>
      </c>
      <c r="Z121" t="s">
        <v>37</v>
      </c>
      <c r="AA121">
        <f>TwitterClean[[#This Row],[likes]]+TwitterClean[[#This Row],[replies]]+TwitterClean[[#This Row],[reposts]]+TwitterClean[[#This Row],[quotes]]+TwitterClean[[#This Row],[bookmarks]]</f>
        <v>1107</v>
      </c>
      <c r="AB121" s="1">
        <f>TwitterClean[[#This Row],[Total_Engagements]]/TwitterClean[[#This Row],[views]]</f>
        <v>3.3602476930548811E-2</v>
      </c>
      <c r="AC121" s="3">
        <f>DATEVALUE(MID(TwitterClean[[#This Row],[date_posted]],2,10))</f>
        <v>45641</v>
      </c>
      <c r="AD121">
        <f>TIMEVALUE(MID(TwitterClean[[#This Row],[date_posted]],13,8))</f>
        <v>0.68055555555555558</v>
      </c>
      <c r="AE121" s="3" t="str">
        <f>TEXT(TwitterClean[[#This Row],[Post_Date]],"dddd")</f>
        <v>Sunday</v>
      </c>
      <c r="AF121">
        <f>HOUR(TwitterClean[[#This Row],[Post_Time]])</f>
        <v>16</v>
      </c>
      <c r="AG121" t="str">
        <f>IF(TwitterClean[[#This Row],[videos]]="Null","No","Yes")</f>
        <v>No</v>
      </c>
      <c r="AH121" t="str">
        <f>IF(TwitterClean[[#This Row],[photos]]="null","No","Yes")</f>
        <v>Yes</v>
      </c>
      <c r="AI121" t="str">
        <f>IF(TwitterClean[[#This Row],[hashtags]]="null","No","Yes")</f>
        <v>Yes</v>
      </c>
      <c r="AJ121" t="str">
        <f>IF(TwitterClean[[#This Row],[external_url]]="null","Yes","No")</f>
        <v>No</v>
      </c>
      <c r="AK121">
        <f>LEN(TwitterClean[[#This Row],[description]])</f>
        <v>39</v>
      </c>
      <c r="AL121" t="str">
        <f>IF(TwitterClean[[#This Row],[followers]]&lt;100000,"&lt;100K",IF(TwitterClean[[#This Row],[followers]]&lt;1000000,"100K-1M",IF(TwitterClean[[#This Row],[followers]]&lt;10000000,"1M-10M","10M+")))</f>
        <v>1M-10M</v>
      </c>
    </row>
    <row r="122" spans="1:38">
      <c r="A122">
        <v>1.8683003011551194E+18</v>
      </c>
      <c r="B122" t="s">
        <v>1030</v>
      </c>
      <c r="C122" t="s">
        <v>1031</v>
      </c>
      <c r="D122" t="s">
        <v>1032</v>
      </c>
      <c r="E122" t="s">
        <v>1033</v>
      </c>
      <c r="F122" t="s">
        <v>1034</v>
      </c>
      <c r="G122" t="s">
        <v>1035</v>
      </c>
      <c r="H122" t="s">
        <v>29</v>
      </c>
      <c r="I122">
        <v>10</v>
      </c>
      <c r="J122">
        <v>37</v>
      </c>
      <c r="K122">
        <v>312</v>
      </c>
      <c r="L122">
        <v>10924</v>
      </c>
      <c r="M122" t="s">
        <v>52</v>
      </c>
      <c r="N122" t="s">
        <v>1036</v>
      </c>
      <c r="O122">
        <v>225733</v>
      </c>
      <c r="P122" t="s">
        <v>1037</v>
      </c>
      <c r="Q122">
        <v>42662</v>
      </c>
      <c r="R122" t="s">
        <v>1038</v>
      </c>
      <c r="S122">
        <v>148</v>
      </c>
      <c r="T122" t="b">
        <v>0</v>
      </c>
      <c r="U122">
        <v>7</v>
      </c>
      <c r="V122">
        <v>1</v>
      </c>
      <c r="W122" t="s">
        <v>35</v>
      </c>
      <c r="X122" t="s">
        <v>29</v>
      </c>
      <c r="Y122" t="s">
        <v>29</v>
      </c>
      <c r="Z122" t="s">
        <v>37</v>
      </c>
      <c r="AA122">
        <f>TwitterClean[[#This Row],[likes]]+TwitterClean[[#This Row],[replies]]+TwitterClean[[#This Row],[reposts]]+TwitterClean[[#This Row],[quotes]]+TwitterClean[[#This Row],[bookmarks]]</f>
        <v>367</v>
      </c>
      <c r="AB122" s="1">
        <f>TwitterClean[[#This Row],[Total_Engagements]]/TwitterClean[[#This Row],[views]]</f>
        <v>3.3595752471622116E-2</v>
      </c>
      <c r="AC122" s="3">
        <f>DATEVALUE(MID(TwitterClean[[#This Row],[date_posted]],2,10))</f>
        <v>45641</v>
      </c>
      <c r="AD122">
        <f>TIMEVALUE(MID(TwitterClean[[#This Row],[date_posted]],13,8))</f>
        <v>0.59811342592592598</v>
      </c>
      <c r="AE122" s="3" t="str">
        <f>TEXT(TwitterClean[[#This Row],[Post_Date]],"dddd")</f>
        <v>Sunday</v>
      </c>
      <c r="AF122">
        <f>HOUR(TwitterClean[[#This Row],[Post_Time]])</f>
        <v>14</v>
      </c>
      <c r="AG122" t="str">
        <f>IF(TwitterClean[[#This Row],[videos]]="Null","No","Yes")</f>
        <v>No</v>
      </c>
      <c r="AH122" t="str">
        <f>IF(TwitterClean[[#This Row],[photos]]="null","No","Yes")</f>
        <v>Yes</v>
      </c>
      <c r="AI122" t="str">
        <f>IF(TwitterClean[[#This Row],[hashtags]]="null","No","Yes")</f>
        <v>Yes</v>
      </c>
      <c r="AJ122" t="str">
        <f>IF(TwitterClean[[#This Row],[external_url]]="null","Yes","No")</f>
        <v>No</v>
      </c>
      <c r="AK122">
        <f>LEN(TwitterClean[[#This Row],[description]])</f>
        <v>33</v>
      </c>
      <c r="AL122" t="str">
        <f>IF(TwitterClean[[#This Row],[followers]]&lt;100000,"&lt;100K",IF(TwitterClean[[#This Row],[followers]]&lt;1000000,"100K-1M",IF(TwitterClean[[#This Row],[followers]]&lt;10000000,"1M-10M","10M+")))</f>
        <v>100K-1M</v>
      </c>
    </row>
    <row r="123" spans="1:38">
      <c r="A123">
        <v>1.8684006435195085E+18</v>
      </c>
      <c r="B123" t="s">
        <v>1862</v>
      </c>
      <c r="C123" t="s">
        <v>1863</v>
      </c>
      <c r="D123" t="s">
        <v>2066</v>
      </c>
      <c r="E123" t="s">
        <v>2067</v>
      </c>
      <c r="F123" t="s">
        <v>29</v>
      </c>
      <c r="G123" t="s">
        <v>2068</v>
      </c>
      <c r="H123" t="s">
        <v>29</v>
      </c>
      <c r="I123">
        <v>3</v>
      </c>
      <c r="J123">
        <v>37</v>
      </c>
      <c r="K123">
        <v>362</v>
      </c>
      <c r="L123">
        <v>12778</v>
      </c>
      <c r="M123" t="s">
        <v>52</v>
      </c>
      <c r="N123" t="s">
        <v>1867</v>
      </c>
      <c r="O123">
        <v>13492430</v>
      </c>
      <c r="P123" t="s">
        <v>1868</v>
      </c>
      <c r="Q123">
        <v>314515</v>
      </c>
      <c r="R123" t="s">
        <v>1869</v>
      </c>
      <c r="S123">
        <v>708</v>
      </c>
      <c r="T123" t="b">
        <v>0</v>
      </c>
      <c r="U123">
        <v>9</v>
      </c>
      <c r="V123">
        <v>18</v>
      </c>
      <c r="W123" t="s">
        <v>35</v>
      </c>
      <c r="X123" t="s">
        <v>29</v>
      </c>
      <c r="Y123" t="s">
        <v>2069</v>
      </c>
      <c r="Z123" t="s">
        <v>37</v>
      </c>
      <c r="AA123">
        <f>TwitterClean[[#This Row],[likes]]+TwitterClean[[#This Row],[replies]]+TwitterClean[[#This Row],[reposts]]+TwitterClean[[#This Row],[quotes]]+TwitterClean[[#This Row],[bookmarks]]</f>
        <v>429</v>
      </c>
      <c r="AB123" s="1">
        <f>TwitterClean[[#This Row],[Total_Engagements]]/TwitterClean[[#This Row],[views]]</f>
        <v>3.3573329159492876E-2</v>
      </c>
      <c r="AC123" s="3">
        <f>DATEVALUE(MID(TwitterClean[[#This Row],[date_posted]],2,10))</f>
        <v>45641</v>
      </c>
      <c r="AD123">
        <f>TIMEVALUE(MID(TwitterClean[[#This Row],[date_posted]],13,8))</f>
        <v>0.87501157407407404</v>
      </c>
      <c r="AE123" s="3" t="str">
        <f>TEXT(TwitterClean[[#This Row],[Post_Date]],"dddd")</f>
        <v>Sunday</v>
      </c>
      <c r="AF123">
        <f>HOUR(TwitterClean[[#This Row],[Post_Time]])</f>
        <v>21</v>
      </c>
      <c r="AG123" t="str">
        <f>IF(TwitterClean[[#This Row],[videos]]="Null","No","Yes")</f>
        <v>Yes</v>
      </c>
      <c r="AH123" t="str">
        <f>IF(TwitterClean[[#This Row],[photos]]="null","No","Yes")</f>
        <v>No</v>
      </c>
      <c r="AI123" t="str">
        <f>IF(TwitterClean[[#This Row],[hashtags]]="null","No","Yes")</f>
        <v>Yes</v>
      </c>
      <c r="AJ123" t="str">
        <f>IF(TwitterClean[[#This Row],[external_url]]="null","Yes","No")</f>
        <v>No</v>
      </c>
      <c r="AK123">
        <f>LEN(TwitterClean[[#This Row],[description]])</f>
        <v>94</v>
      </c>
      <c r="AL123" t="str">
        <f>IF(TwitterClean[[#This Row],[followers]]&lt;100000,"&lt;100K",IF(TwitterClean[[#This Row],[followers]]&lt;1000000,"100K-1M",IF(TwitterClean[[#This Row],[followers]]&lt;10000000,"1M-10M","10M+")))</f>
        <v>10M+</v>
      </c>
    </row>
    <row r="124" spans="1:38">
      <c r="A124">
        <v>1.8684687401716739E+18</v>
      </c>
      <c r="B124" t="s">
        <v>46</v>
      </c>
      <c r="C124" t="s">
        <v>47</v>
      </c>
      <c r="D124" t="s">
        <v>139</v>
      </c>
      <c r="E124" t="s">
        <v>140</v>
      </c>
      <c r="F124" t="s">
        <v>141</v>
      </c>
      <c r="G124" t="s">
        <v>142</v>
      </c>
      <c r="H124" t="s">
        <v>29</v>
      </c>
      <c r="I124">
        <v>27</v>
      </c>
      <c r="J124">
        <v>25</v>
      </c>
      <c r="K124">
        <v>931</v>
      </c>
      <c r="L124">
        <v>30000</v>
      </c>
      <c r="M124" t="s">
        <v>52</v>
      </c>
      <c r="N124" t="s">
        <v>143</v>
      </c>
      <c r="O124">
        <v>8293187</v>
      </c>
      <c r="P124" t="s">
        <v>54</v>
      </c>
      <c r="Q124">
        <v>456734</v>
      </c>
      <c r="R124" t="s">
        <v>55</v>
      </c>
      <c r="S124">
        <v>859</v>
      </c>
      <c r="T124" t="b">
        <v>0</v>
      </c>
      <c r="U124">
        <v>8</v>
      </c>
      <c r="V124">
        <v>14</v>
      </c>
      <c r="W124" t="s">
        <v>35</v>
      </c>
      <c r="X124" t="s">
        <v>29</v>
      </c>
      <c r="Y124" t="s">
        <v>29</v>
      </c>
      <c r="Z124" t="s">
        <v>37</v>
      </c>
      <c r="AA124">
        <f>TwitterClean[[#This Row],[likes]]+TwitterClean[[#This Row],[replies]]+TwitterClean[[#This Row],[reposts]]+TwitterClean[[#This Row],[quotes]]+TwitterClean[[#This Row],[bookmarks]]</f>
        <v>1005</v>
      </c>
      <c r="AB124" s="1">
        <f>TwitterClean[[#This Row],[Total_Engagements]]/TwitterClean[[#This Row],[views]]</f>
        <v>3.3500000000000002E-2</v>
      </c>
      <c r="AC124" s="3">
        <f>DATEVALUE(MID(TwitterClean[[#This Row],[date_posted]],2,10))</f>
        <v>45642</v>
      </c>
      <c r="AD124">
        <f>TIMEVALUE(MID(TwitterClean[[#This Row],[date_posted]],13,8))</f>
        <v>6.2916666666666662E-2</v>
      </c>
      <c r="AE124" s="3" t="str">
        <f>TEXT(TwitterClean[[#This Row],[Post_Date]],"dddd")</f>
        <v>Monday</v>
      </c>
      <c r="AF124">
        <f>HOUR(TwitterClean[[#This Row],[Post_Time]])</f>
        <v>1</v>
      </c>
      <c r="AG124" t="str">
        <f>IF(TwitterClean[[#This Row],[videos]]="Null","No","Yes")</f>
        <v>No</v>
      </c>
      <c r="AH124" t="str">
        <f>IF(TwitterClean[[#This Row],[photos]]="null","No","Yes")</f>
        <v>Yes</v>
      </c>
      <c r="AI124" t="str">
        <f>IF(TwitterClean[[#This Row],[hashtags]]="null","No","Yes")</f>
        <v>Yes</v>
      </c>
      <c r="AJ124" t="str">
        <f>IF(TwitterClean[[#This Row],[external_url]]="null","Yes","No")</f>
        <v>No</v>
      </c>
      <c r="AK124">
        <f>LEN(TwitterClean[[#This Row],[description]])</f>
        <v>254</v>
      </c>
      <c r="AL124" t="str">
        <f>IF(TwitterClean[[#This Row],[followers]]&lt;100000,"&lt;100K",IF(TwitterClean[[#This Row],[followers]]&lt;1000000,"100K-1M",IF(TwitterClean[[#This Row],[followers]]&lt;10000000,"1M-10M","10M+")))</f>
        <v>1M-10M</v>
      </c>
    </row>
    <row r="125" spans="1:38">
      <c r="A125">
        <v>1.8683037702513623E+18</v>
      </c>
      <c r="B125" t="s">
        <v>1363</v>
      </c>
      <c r="C125" t="s">
        <v>1364</v>
      </c>
      <c r="D125" t="s">
        <v>1372</v>
      </c>
      <c r="E125" t="s">
        <v>1373</v>
      </c>
      <c r="F125" t="s">
        <v>1374</v>
      </c>
      <c r="G125" t="s">
        <v>1375</v>
      </c>
      <c r="H125" t="s">
        <v>29</v>
      </c>
      <c r="I125">
        <v>20</v>
      </c>
      <c r="J125">
        <v>26</v>
      </c>
      <c r="K125">
        <v>407</v>
      </c>
      <c r="L125">
        <v>13618</v>
      </c>
      <c r="M125" t="s">
        <v>52</v>
      </c>
      <c r="N125" t="s">
        <v>1369</v>
      </c>
      <c r="O125">
        <v>462263</v>
      </c>
      <c r="P125" t="s">
        <v>1370</v>
      </c>
      <c r="Q125">
        <v>16271</v>
      </c>
      <c r="R125" t="s">
        <v>1371</v>
      </c>
      <c r="S125">
        <v>38</v>
      </c>
      <c r="T125" t="b">
        <v>0</v>
      </c>
      <c r="U125">
        <v>2</v>
      </c>
      <c r="V125">
        <v>1</v>
      </c>
      <c r="W125" t="s">
        <v>35</v>
      </c>
      <c r="X125" t="s">
        <v>29</v>
      </c>
      <c r="Y125" t="s">
        <v>29</v>
      </c>
      <c r="Z125" t="s">
        <v>37</v>
      </c>
      <c r="AA125">
        <f>TwitterClean[[#This Row],[likes]]+TwitterClean[[#This Row],[replies]]+TwitterClean[[#This Row],[reposts]]+TwitterClean[[#This Row],[quotes]]+TwitterClean[[#This Row],[bookmarks]]</f>
        <v>456</v>
      </c>
      <c r="AB125" s="1">
        <f>TwitterClean[[#This Row],[Total_Engagements]]/TwitterClean[[#This Row],[views]]</f>
        <v>3.3485093258922016E-2</v>
      </c>
      <c r="AC125" s="3">
        <f>DATEVALUE(MID(TwitterClean[[#This Row],[date_posted]],2,10))</f>
        <v>45641</v>
      </c>
      <c r="AD125">
        <f>TIMEVALUE(MID(TwitterClean[[#This Row],[date_posted]],13,8))</f>
        <v>0.60768518518518522</v>
      </c>
      <c r="AE125" s="3" t="str">
        <f>TEXT(TwitterClean[[#This Row],[Post_Date]],"dddd")</f>
        <v>Sunday</v>
      </c>
      <c r="AF125">
        <f>HOUR(TwitterClean[[#This Row],[Post_Time]])</f>
        <v>14</v>
      </c>
      <c r="AG125" t="str">
        <f>IF(TwitterClean[[#This Row],[videos]]="Null","No","Yes")</f>
        <v>No</v>
      </c>
      <c r="AH125" t="str">
        <f>IF(TwitterClean[[#This Row],[photos]]="null","No","Yes")</f>
        <v>Yes</v>
      </c>
      <c r="AI125" t="str">
        <f>IF(TwitterClean[[#This Row],[hashtags]]="null","No","Yes")</f>
        <v>Yes</v>
      </c>
      <c r="AJ125" t="str">
        <f>IF(TwitterClean[[#This Row],[external_url]]="null","Yes","No")</f>
        <v>No</v>
      </c>
      <c r="AK125">
        <f>LEN(TwitterClean[[#This Row],[description]])</f>
        <v>81</v>
      </c>
      <c r="AL125" t="str">
        <f>IF(TwitterClean[[#This Row],[followers]]&lt;100000,"&lt;100K",IF(TwitterClean[[#This Row],[followers]]&lt;1000000,"100K-1M",IF(TwitterClean[[#This Row],[followers]]&lt;10000000,"1M-10M","10M+")))</f>
        <v>100K-1M</v>
      </c>
    </row>
    <row r="126" spans="1:38">
      <c r="A126">
        <v>1.8683246949249556E+18</v>
      </c>
      <c r="B126" t="s">
        <v>3392</v>
      </c>
      <c r="C126" t="s">
        <v>3393</v>
      </c>
      <c r="D126" t="s">
        <v>5088</v>
      </c>
      <c r="E126" t="s">
        <v>5089</v>
      </c>
      <c r="F126" t="s">
        <v>5090</v>
      </c>
      <c r="G126" t="s">
        <v>5091</v>
      </c>
      <c r="H126" t="s">
        <v>29</v>
      </c>
      <c r="I126">
        <v>93</v>
      </c>
      <c r="J126">
        <v>607</v>
      </c>
      <c r="K126">
        <v>4307</v>
      </c>
      <c r="L126">
        <v>156804</v>
      </c>
      <c r="M126" t="s">
        <v>52</v>
      </c>
      <c r="N126" t="s">
        <v>3405</v>
      </c>
      <c r="O126">
        <v>1480966</v>
      </c>
      <c r="P126" t="s">
        <v>3399</v>
      </c>
      <c r="Q126">
        <v>103753</v>
      </c>
      <c r="R126" t="s">
        <v>3400</v>
      </c>
      <c r="S126">
        <v>552</v>
      </c>
      <c r="T126" t="b">
        <v>0</v>
      </c>
      <c r="U126">
        <v>122</v>
      </c>
      <c r="V126">
        <v>28</v>
      </c>
      <c r="W126" t="s">
        <v>35</v>
      </c>
      <c r="X126" t="s">
        <v>29</v>
      </c>
      <c r="Y126" t="s">
        <v>29</v>
      </c>
      <c r="Z126" t="s">
        <v>37</v>
      </c>
      <c r="AA126">
        <f>TwitterClean[[#This Row],[likes]]+TwitterClean[[#This Row],[replies]]+TwitterClean[[#This Row],[reposts]]+TwitterClean[[#This Row],[quotes]]+TwitterClean[[#This Row],[bookmarks]]</f>
        <v>5157</v>
      </c>
      <c r="AB126" s="1">
        <f>TwitterClean[[#This Row],[Total_Engagements]]/TwitterClean[[#This Row],[views]]</f>
        <v>3.2888191627764594E-2</v>
      </c>
      <c r="AC126" s="3">
        <f>DATEVALUE(MID(TwitterClean[[#This Row],[date_posted]],2,10))</f>
        <v>45641</v>
      </c>
      <c r="AD126">
        <f>TIMEVALUE(MID(TwitterClean[[#This Row],[date_posted]],13,8))</f>
        <v>0.6654282407407407</v>
      </c>
      <c r="AE126" s="3" t="str">
        <f>TEXT(TwitterClean[[#This Row],[Post_Date]],"dddd")</f>
        <v>Sunday</v>
      </c>
      <c r="AF126">
        <f>HOUR(TwitterClean[[#This Row],[Post_Time]])</f>
        <v>15</v>
      </c>
      <c r="AG126" t="str">
        <f>IF(TwitterClean[[#This Row],[videos]]="Null","No","Yes")</f>
        <v>No</v>
      </c>
      <c r="AH126" t="str">
        <f>IF(TwitterClean[[#This Row],[photos]]="null","No","Yes")</f>
        <v>Yes</v>
      </c>
      <c r="AI126" t="str">
        <f>IF(TwitterClean[[#This Row],[hashtags]]="null","No","Yes")</f>
        <v>Yes</v>
      </c>
      <c r="AJ126" t="str">
        <f>IF(TwitterClean[[#This Row],[external_url]]="null","Yes","No")</f>
        <v>No</v>
      </c>
      <c r="AK126">
        <f>LEN(TwitterClean[[#This Row],[description]])</f>
        <v>59</v>
      </c>
      <c r="AL126" t="str">
        <f>IF(TwitterClean[[#This Row],[followers]]&lt;100000,"&lt;100K",IF(TwitterClean[[#This Row],[followers]]&lt;1000000,"100K-1M",IF(TwitterClean[[#This Row],[followers]]&lt;10000000,"1M-10M","10M+")))</f>
        <v>1M-10M</v>
      </c>
    </row>
    <row r="127" spans="1:38">
      <c r="A127">
        <v>1.8683047504979436E+18</v>
      </c>
      <c r="B127" t="s">
        <v>3392</v>
      </c>
      <c r="C127" t="s">
        <v>3393</v>
      </c>
      <c r="D127" t="s">
        <v>5168</v>
      </c>
      <c r="E127" t="s">
        <v>5169</v>
      </c>
      <c r="F127" t="s">
        <v>5170</v>
      </c>
      <c r="G127" t="s">
        <v>5171</v>
      </c>
      <c r="H127" t="s">
        <v>29</v>
      </c>
      <c r="I127">
        <v>24</v>
      </c>
      <c r="J127">
        <v>35</v>
      </c>
      <c r="K127">
        <v>1095</v>
      </c>
      <c r="L127">
        <v>35510</v>
      </c>
      <c r="M127" t="s">
        <v>52</v>
      </c>
      <c r="N127" t="s">
        <v>3405</v>
      </c>
      <c r="O127">
        <v>1480966</v>
      </c>
      <c r="P127" t="s">
        <v>3399</v>
      </c>
      <c r="Q127">
        <v>103753</v>
      </c>
      <c r="R127" t="s">
        <v>3400</v>
      </c>
      <c r="S127">
        <v>552</v>
      </c>
      <c r="T127" t="b">
        <v>0</v>
      </c>
      <c r="U127">
        <v>6</v>
      </c>
      <c r="V127">
        <v>7</v>
      </c>
      <c r="W127" t="s">
        <v>35</v>
      </c>
      <c r="X127" t="s">
        <v>29</v>
      </c>
      <c r="Y127" t="s">
        <v>29</v>
      </c>
      <c r="Z127" t="s">
        <v>37</v>
      </c>
      <c r="AA127">
        <f>TwitterClean[[#This Row],[likes]]+TwitterClean[[#This Row],[replies]]+TwitterClean[[#This Row],[reposts]]+TwitterClean[[#This Row],[quotes]]+TwitterClean[[#This Row],[bookmarks]]</f>
        <v>1167</v>
      </c>
      <c r="AB127" s="1">
        <f>TwitterClean[[#This Row],[Total_Engagements]]/TwitterClean[[#This Row],[views]]</f>
        <v>3.2863981976907916E-2</v>
      </c>
      <c r="AC127" s="3">
        <f>DATEVALUE(MID(TwitterClean[[#This Row],[date_posted]],2,10))</f>
        <v>45641</v>
      </c>
      <c r="AD127">
        <f>TIMEVALUE(MID(TwitterClean[[#This Row],[date_posted]],13,8))</f>
        <v>0.61039351851851853</v>
      </c>
      <c r="AE127" s="3" t="str">
        <f>TEXT(TwitterClean[[#This Row],[Post_Date]],"dddd")</f>
        <v>Sunday</v>
      </c>
      <c r="AF127">
        <f>HOUR(TwitterClean[[#This Row],[Post_Time]])</f>
        <v>14</v>
      </c>
      <c r="AG127" t="str">
        <f>IF(TwitterClean[[#This Row],[videos]]="Null","No","Yes")</f>
        <v>No</v>
      </c>
      <c r="AH127" t="str">
        <f>IF(TwitterClean[[#This Row],[photos]]="null","No","Yes")</f>
        <v>Yes</v>
      </c>
      <c r="AI127" t="str">
        <f>IF(TwitterClean[[#This Row],[hashtags]]="null","No","Yes")</f>
        <v>Yes</v>
      </c>
      <c r="AJ127" t="str">
        <f>IF(TwitterClean[[#This Row],[external_url]]="null","Yes","No")</f>
        <v>No</v>
      </c>
      <c r="AK127">
        <f>LEN(TwitterClean[[#This Row],[description]])</f>
        <v>53</v>
      </c>
      <c r="AL127" t="str">
        <f>IF(TwitterClean[[#This Row],[followers]]&lt;100000,"&lt;100K",IF(TwitterClean[[#This Row],[followers]]&lt;1000000,"100K-1M",IF(TwitterClean[[#This Row],[followers]]&lt;10000000,"1M-10M","10M+")))</f>
        <v>1M-10M</v>
      </c>
    </row>
    <row r="128" spans="1:38">
      <c r="A128">
        <v>1.8660273072380644E+18</v>
      </c>
      <c r="B128" t="s">
        <v>4941</v>
      </c>
      <c r="C128" t="s">
        <v>4942</v>
      </c>
      <c r="D128" t="s">
        <v>4943</v>
      </c>
      <c r="E128" t="s">
        <v>4944</v>
      </c>
      <c r="F128" t="s">
        <v>4945</v>
      </c>
      <c r="G128" t="s">
        <v>4946</v>
      </c>
      <c r="H128" t="s">
        <v>29</v>
      </c>
      <c r="I128">
        <v>3</v>
      </c>
      <c r="J128">
        <v>71</v>
      </c>
      <c r="K128">
        <v>118</v>
      </c>
      <c r="L128">
        <v>5946</v>
      </c>
      <c r="M128" t="s">
        <v>52</v>
      </c>
      <c r="N128" t="s">
        <v>4947</v>
      </c>
      <c r="O128">
        <v>54834</v>
      </c>
      <c r="P128" t="s">
        <v>4948</v>
      </c>
      <c r="Q128">
        <v>15101</v>
      </c>
      <c r="R128" t="s">
        <v>4949</v>
      </c>
      <c r="S128">
        <v>60</v>
      </c>
      <c r="T128" t="b">
        <v>0</v>
      </c>
      <c r="U128">
        <v>1</v>
      </c>
      <c r="V128">
        <v>2</v>
      </c>
      <c r="W128" t="s">
        <v>35</v>
      </c>
      <c r="X128" t="s">
        <v>29</v>
      </c>
      <c r="Y128" t="s">
        <v>29</v>
      </c>
      <c r="Z128" t="s">
        <v>37</v>
      </c>
      <c r="AA128">
        <f>TwitterClean[[#This Row],[likes]]+TwitterClean[[#This Row],[replies]]+TwitterClean[[#This Row],[reposts]]+TwitterClean[[#This Row],[quotes]]+TwitterClean[[#This Row],[bookmarks]]</f>
        <v>195</v>
      </c>
      <c r="AB128" s="1">
        <f>TwitterClean[[#This Row],[Total_Engagements]]/TwitterClean[[#This Row],[views]]</f>
        <v>3.2795156407669022E-2</v>
      </c>
      <c r="AC128" s="3">
        <f>DATEVALUE(MID(TwitterClean[[#This Row],[date_posted]],2,10))</f>
        <v>45635</v>
      </c>
      <c r="AD128">
        <f>TIMEVALUE(MID(TwitterClean[[#This Row],[date_posted]],13,8))</f>
        <v>0.3258449074074074</v>
      </c>
      <c r="AE128" s="3" t="str">
        <f>TEXT(TwitterClean[[#This Row],[Post_Date]],"dddd")</f>
        <v>Monday</v>
      </c>
      <c r="AF128">
        <f>HOUR(TwitterClean[[#This Row],[Post_Time]])</f>
        <v>7</v>
      </c>
      <c r="AG128" t="str">
        <f>IF(TwitterClean[[#This Row],[videos]]="Null","No","Yes")</f>
        <v>No</v>
      </c>
      <c r="AH128" t="str">
        <f>IF(TwitterClean[[#This Row],[photos]]="null","No","Yes")</f>
        <v>Yes</v>
      </c>
      <c r="AI128" t="str">
        <f>IF(TwitterClean[[#This Row],[hashtags]]="null","No","Yes")</f>
        <v>Yes</v>
      </c>
      <c r="AJ128" t="str">
        <f>IF(TwitterClean[[#This Row],[external_url]]="null","Yes","No")</f>
        <v>No</v>
      </c>
      <c r="AK128">
        <f>LEN(TwitterClean[[#This Row],[description]])</f>
        <v>129</v>
      </c>
      <c r="AL128" t="str">
        <f>IF(TwitterClean[[#This Row],[followers]]&lt;100000,"&lt;100K",IF(TwitterClean[[#This Row],[followers]]&lt;1000000,"100K-1M",IF(TwitterClean[[#This Row],[followers]]&lt;10000000,"1M-10M","10M+")))</f>
        <v>&lt;100K</v>
      </c>
    </row>
    <row r="129" spans="1:38">
      <c r="A129">
        <v>1.8683777778098916E+18</v>
      </c>
      <c r="B129" t="s">
        <v>3638</v>
      </c>
      <c r="C129" t="s">
        <v>3639</v>
      </c>
      <c r="D129" t="s">
        <v>4276</v>
      </c>
      <c r="E129" t="s">
        <v>4277</v>
      </c>
      <c r="F129" t="s">
        <v>4278</v>
      </c>
      <c r="G129" t="s">
        <v>4279</v>
      </c>
      <c r="H129" t="s">
        <v>3383</v>
      </c>
      <c r="I129">
        <v>65</v>
      </c>
      <c r="J129">
        <v>761</v>
      </c>
      <c r="K129">
        <v>5590</v>
      </c>
      <c r="L129">
        <v>201496</v>
      </c>
      <c r="M129" t="s">
        <v>52</v>
      </c>
      <c r="N129" t="s">
        <v>29</v>
      </c>
      <c r="O129">
        <v>8885747</v>
      </c>
      <c r="P129" t="s">
        <v>3643</v>
      </c>
      <c r="Q129">
        <v>115852</v>
      </c>
      <c r="R129" t="s">
        <v>3644</v>
      </c>
      <c r="S129">
        <v>469</v>
      </c>
      <c r="T129" t="b">
        <v>0</v>
      </c>
      <c r="U129">
        <v>99</v>
      </c>
      <c r="V129">
        <v>81</v>
      </c>
      <c r="W129" t="s">
        <v>35</v>
      </c>
      <c r="X129" t="s">
        <v>29</v>
      </c>
      <c r="Y129" t="s">
        <v>29</v>
      </c>
      <c r="Z129" t="s">
        <v>37</v>
      </c>
      <c r="AA129">
        <f>TwitterClean[[#This Row],[likes]]+TwitterClean[[#This Row],[replies]]+TwitterClean[[#This Row],[reposts]]+TwitterClean[[#This Row],[quotes]]+TwitterClean[[#This Row],[bookmarks]]</f>
        <v>6596</v>
      </c>
      <c r="AB129" s="1">
        <f>TwitterClean[[#This Row],[Total_Engagements]]/TwitterClean[[#This Row],[views]]</f>
        <v>3.273514114424108E-2</v>
      </c>
      <c r="AC129" s="3">
        <f>DATEVALUE(MID(TwitterClean[[#This Row],[date_posted]],2,10))</f>
        <v>45641</v>
      </c>
      <c r="AD129">
        <f>TIMEVALUE(MID(TwitterClean[[#This Row],[date_posted]],13,8))</f>
        <v>0.81190972222222224</v>
      </c>
      <c r="AE129" s="3" t="str">
        <f>TEXT(TwitterClean[[#This Row],[Post_Date]],"dddd")</f>
        <v>Sunday</v>
      </c>
      <c r="AF129">
        <f>HOUR(TwitterClean[[#This Row],[Post_Time]])</f>
        <v>19</v>
      </c>
      <c r="AG129" t="str">
        <f>IF(TwitterClean[[#This Row],[videos]]="Null","No","Yes")</f>
        <v>No</v>
      </c>
      <c r="AH129" t="str">
        <f>IF(TwitterClean[[#This Row],[photos]]="null","No","Yes")</f>
        <v>Yes</v>
      </c>
      <c r="AI129" t="str">
        <f>IF(TwitterClean[[#This Row],[hashtags]]="null","No","Yes")</f>
        <v>No</v>
      </c>
      <c r="AJ129" t="str">
        <f>IF(TwitterClean[[#This Row],[external_url]]="null","Yes","No")</f>
        <v>No</v>
      </c>
      <c r="AK129">
        <f>LEN(TwitterClean[[#This Row],[description]])</f>
        <v>110</v>
      </c>
      <c r="AL129" t="str">
        <f>IF(TwitterClean[[#This Row],[followers]]&lt;100000,"&lt;100K",IF(TwitterClean[[#This Row],[followers]]&lt;1000000,"100K-1M",IF(TwitterClean[[#This Row],[followers]]&lt;10000000,"1M-10M","10M+")))</f>
        <v>1M-10M</v>
      </c>
    </row>
    <row r="130" spans="1:38">
      <c r="A130">
        <v>1.8684244897819238E+18</v>
      </c>
      <c r="B130" t="s">
        <v>1862</v>
      </c>
      <c r="C130" t="s">
        <v>1863</v>
      </c>
      <c r="D130" t="s">
        <v>2105</v>
      </c>
      <c r="E130" t="s">
        <v>2106</v>
      </c>
      <c r="F130" t="s">
        <v>29</v>
      </c>
      <c r="G130" t="s">
        <v>2107</v>
      </c>
      <c r="H130" t="s">
        <v>29</v>
      </c>
      <c r="I130">
        <v>21</v>
      </c>
      <c r="J130">
        <v>81</v>
      </c>
      <c r="K130">
        <v>518</v>
      </c>
      <c r="L130">
        <v>20858</v>
      </c>
      <c r="M130" t="s">
        <v>52</v>
      </c>
      <c r="N130" t="s">
        <v>1867</v>
      </c>
      <c r="O130">
        <v>13492430</v>
      </c>
      <c r="P130" t="s">
        <v>1868</v>
      </c>
      <c r="Q130">
        <v>314515</v>
      </c>
      <c r="R130" t="s">
        <v>1869</v>
      </c>
      <c r="S130">
        <v>708</v>
      </c>
      <c r="T130" t="b">
        <v>0</v>
      </c>
      <c r="U130">
        <v>34</v>
      </c>
      <c r="V130">
        <v>27</v>
      </c>
      <c r="W130" t="s">
        <v>35</v>
      </c>
      <c r="X130" t="s">
        <v>29</v>
      </c>
      <c r="Y130" t="s">
        <v>2108</v>
      </c>
      <c r="Z130" t="s">
        <v>37</v>
      </c>
      <c r="AA130">
        <f>TwitterClean[[#This Row],[likes]]+TwitterClean[[#This Row],[replies]]+TwitterClean[[#This Row],[reposts]]+TwitterClean[[#This Row],[quotes]]+TwitterClean[[#This Row],[bookmarks]]</f>
        <v>681</v>
      </c>
      <c r="AB130" s="1">
        <f>TwitterClean[[#This Row],[Total_Engagements]]/TwitterClean[[#This Row],[views]]</f>
        <v>3.2649343177677627E-2</v>
      </c>
      <c r="AC130" s="3">
        <f>DATEVALUE(MID(TwitterClean[[#This Row],[date_posted]],2,10))</f>
        <v>45641</v>
      </c>
      <c r="AD130">
        <f>TIMEVALUE(MID(TwitterClean[[#This Row],[date_posted]],13,8))</f>
        <v>0.94081018518518522</v>
      </c>
      <c r="AE130" s="3" t="str">
        <f>TEXT(TwitterClean[[#This Row],[Post_Date]],"dddd")</f>
        <v>Sunday</v>
      </c>
      <c r="AF130">
        <f>HOUR(TwitterClean[[#This Row],[Post_Time]])</f>
        <v>22</v>
      </c>
      <c r="AG130" t="str">
        <f>IF(TwitterClean[[#This Row],[videos]]="Null","No","Yes")</f>
        <v>Yes</v>
      </c>
      <c r="AH130" t="str">
        <f>IF(TwitterClean[[#This Row],[photos]]="null","No","Yes")</f>
        <v>No</v>
      </c>
      <c r="AI130" t="str">
        <f>IF(TwitterClean[[#This Row],[hashtags]]="null","No","Yes")</f>
        <v>Yes</v>
      </c>
      <c r="AJ130" t="str">
        <f>IF(TwitterClean[[#This Row],[external_url]]="null","Yes","No")</f>
        <v>No</v>
      </c>
      <c r="AK130">
        <f>LEN(TwitterClean[[#This Row],[description]])</f>
        <v>84</v>
      </c>
      <c r="AL130" t="str">
        <f>IF(TwitterClean[[#This Row],[followers]]&lt;100000,"&lt;100K",IF(TwitterClean[[#This Row],[followers]]&lt;1000000,"100K-1M",IF(TwitterClean[[#This Row],[followers]]&lt;10000000,"1M-10M","10M+")))</f>
        <v>10M+</v>
      </c>
    </row>
    <row r="131" spans="1:38">
      <c r="A131">
        <v>1.8683895664968174E+18</v>
      </c>
      <c r="B131" t="s">
        <v>1280</v>
      </c>
      <c r="C131" t="s">
        <v>1281</v>
      </c>
      <c r="D131" t="s">
        <v>1384</v>
      </c>
      <c r="E131" t="s">
        <v>1385</v>
      </c>
      <c r="F131" t="s">
        <v>29</v>
      </c>
      <c r="G131" t="s">
        <v>1386</v>
      </c>
      <c r="H131" t="s">
        <v>1387</v>
      </c>
      <c r="I131">
        <v>112</v>
      </c>
      <c r="J131">
        <v>558</v>
      </c>
      <c r="K131">
        <v>5781</v>
      </c>
      <c r="L131">
        <v>200311</v>
      </c>
      <c r="M131" t="s">
        <v>52</v>
      </c>
      <c r="N131" t="s">
        <v>1286</v>
      </c>
      <c r="O131">
        <v>38439079</v>
      </c>
      <c r="P131" t="s">
        <v>1287</v>
      </c>
      <c r="Q131">
        <v>92455</v>
      </c>
      <c r="R131" t="s">
        <v>1288</v>
      </c>
      <c r="S131">
        <v>145</v>
      </c>
      <c r="T131" t="b">
        <v>0</v>
      </c>
      <c r="U131">
        <v>6</v>
      </c>
      <c r="V131">
        <v>71</v>
      </c>
      <c r="W131" t="s">
        <v>35</v>
      </c>
      <c r="X131" t="s">
        <v>29</v>
      </c>
      <c r="Y131" t="s">
        <v>29</v>
      </c>
      <c r="Z131" t="s">
        <v>37</v>
      </c>
      <c r="AA131">
        <f>TwitterClean[[#This Row],[likes]]+TwitterClean[[#This Row],[replies]]+TwitterClean[[#This Row],[reposts]]+TwitterClean[[#This Row],[quotes]]+TwitterClean[[#This Row],[bookmarks]]</f>
        <v>6528</v>
      </c>
      <c r="AB131" s="1">
        <f>TwitterClean[[#This Row],[Total_Engagements]]/TwitterClean[[#This Row],[views]]</f>
        <v>3.2589323601799204E-2</v>
      </c>
      <c r="AC131" s="3">
        <f>DATEVALUE(MID(TwitterClean[[#This Row],[date_posted]],2,10))</f>
        <v>45641</v>
      </c>
      <c r="AD131">
        <f>TIMEVALUE(MID(TwitterClean[[#This Row],[date_posted]],13,8))</f>
        <v>0.84444444444444444</v>
      </c>
      <c r="AE131" s="3" t="str">
        <f>TEXT(TwitterClean[[#This Row],[Post_Date]],"dddd")</f>
        <v>Sunday</v>
      </c>
      <c r="AF131">
        <f>HOUR(TwitterClean[[#This Row],[Post_Time]])</f>
        <v>20</v>
      </c>
      <c r="AG131" t="str">
        <f>IF(TwitterClean[[#This Row],[videos]]="Null","No","Yes")</f>
        <v>No</v>
      </c>
      <c r="AH131" t="str">
        <f>IF(TwitterClean[[#This Row],[photos]]="null","No","Yes")</f>
        <v>No</v>
      </c>
      <c r="AI131" t="str">
        <f>IF(TwitterClean[[#This Row],[hashtags]]="null","No","Yes")</f>
        <v>Yes</v>
      </c>
      <c r="AJ131" t="str">
        <f>IF(TwitterClean[[#This Row],[external_url]]="null","Yes","No")</f>
        <v>No</v>
      </c>
      <c r="AK131">
        <f>LEN(TwitterClean[[#This Row],[description]])</f>
        <v>67</v>
      </c>
      <c r="AL131" t="str">
        <f>IF(TwitterClean[[#This Row],[followers]]&lt;100000,"&lt;100K",IF(TwitterClean[[#This Row],[followers]]&lt;1000000,"100K-1M",IF(TwitterClean[[#This Row],[followers]]&lt;10000000,"1M-10M","10M+")))</f>
        <v>10M+</v>
      </c>
    </row>
    <row r="132" spans="1:38">
      <c r="A132">
        <v>1.8683129199703698E+18</v>
      </c>
      <c r="B132" t="s">
        <v>1139</v>
      </c>
      <c r="C132" t="s">
        <v>1140</v>
      </c>
      <c r="D132" t="s">
        <v>1141</v>
      </c>
      <c r="E132" t="s">
        <v>1142</v>
      </c>
      <c r="F132" t="s">
        <v>1143</v>
      </c>
      <c r="G132" t="s">
        <v>1144</v>
      </c>
      <c r="H132" t="s">
        <v>1145</v>
      </c>
      <c r="I132">
        <v>1</v>
      </c>
      <c r="J132">
        <v>2</v>
      </c>
      <c r="K132">
        <v>7</v>
      </c>
      <c r="L132">
        <v>340</v>
      </c>
      <c r="M132" t="s">
        <v>52</v>
      </c>
      <c r="N132" t="s">
        <v>1146</v>
      </c>
      <c r="O132">
        <v>3752</v>
      </c>
      <c r="P132" t="s">
        <v>1147</v>
      </c>
      <c r="Q132">
        <v>1280</v>
      </c>
      <c r="R132" t="s">
        <v>1148</v>
      </c>
      <c r="S132">
        <v>327</v>
      </c>
      <c r="T132" t="b">
        <v>0</v>
      </c>
      <c r="U132">
        <v>0</v>
      </c>
      <c r="V132">
        <v>1</v>
      </c>
      <c r="W132" t="s">
        <v>35</v>
      </c>
      <c r="X132" t="s">
        <v>29</v>
      </c>
      <c r="Y132" t="s">
        <v>29</v>
      </c>
      <c r="Z132" t="s">
        <v>37</v>
      </c>
      <c r="AA132">
        <f>TwitterClean[[#This Row],[likes]]+TwitterClean[[#This Row],[replies]]+TwitterClean[[#This Row],[reposts]]+TwitterClean[[#This Row],[quotes]]+TwitterClean[[#This Row],[bookmarks]]</f>
        <v>11</v>
      </c>
      <c r="AB132" s="1">
        <f>TwitterClean[[#This Row],[Total_Engagements]]/TwitterClean[[#This Row],[views]]</f>
        <v>3.2352941176470591E-2</v>
      </c>
      <c r="AC132" s="3">
        <f>DATEVALUE(MID(TwitterClean[[#This Row],[date_posted]],2,10))</f>
        <v>45641</v>
      </c>
      <c r="AD132">
        <f>TIMEVALUE(MID(TwitterClean[[#This Row],[date_posted]],13,8))</f>
        <v>0.63293981481481476</v>
      </c>
      <c r="AE132" s="3" t="str">
        <f>TEXT(TwitterClean[[#This Row],[Post_Date]],"dddd")</f>
        <v>Sunday</v>
      </c>
      <c r="AF132">
        <f>HOUR(TwitterClean[[#This Row],[Post_Time]])</f>
        <v>15</v>
      </c>
      <c r="AG132" t="str">
        <f>IF(TwitterClean[[#This Row],[videos]]="Null","No","Yes")</f>
        <v>No</v>
      </c>
      <c r="AH132" t="str">
        <f>IF(TwitterClean[[#This Row],[photos]]="null","No","Yes")</f>
        <v>Yes</v>
      </c>
      <c r="AI132" t="str">
        <f>IF(TwitterClean[[#This Row],[hashtags]]="null","No","Yes")</f>
        <v>Yes</v>
      </c>
      <c r="AJ132" t="str">
        <f>IF(TwitterClean[[#This Row],[external_url]]="null","Yes","No")</f>
        <v>No</v>
      </c>
      <c r="AK132">
        <f>LEN(TwitterClean[[#This Row],[description]])</f>
        <v>247</v>
      </c>
      <c r="AL132" t="str">
        <f>IF(TwitterClean[[#This Row],[followers]]&lt;100000,"&lt;100K",IF(TwitterClean[[#This Row],[followers]]&lt;1000000,"100K-1M",IF(TwitterClean[[#This Row],[followers]]&lt;10000000,"1M-10M","10M+")))</f>
        <v>&lt;100K</v>
      </c>
    </row>
    <row r="133" spans="1:38">
      <c r="A133">
        <v>1.8682913404650542E+18</v>
      </c>
      <c r="B133" t="s">
        <v>1363</v>
      </c>
      <c r="C133" t="s">
        <v>1364</v>
      </c>
      <c r="D133" t="s">
        <v>4483</v>
      </c>
      <c r="E133" t="s">
        <v>4484</v>
      </c>
      <c r="F133" t="s">
        <v>29</v>
      </c>
      <c r="G133" t="s">
        <v>4485</v>
      </c>
      <c r="H133" t="s">
        <v>29</v>
      </c>
      <c r="I133">
        <v>1</v>
      </c>
      <c r="J133">
        <v>30</v>
      </c>
      <c r="K133">
        <v>334</v>
      </c>
      <c r="L133">
        <v>11383</v>
      </c>
      <c r="M133" t="s">
        <v>52</v>
      </c>
      <c r="N133" t="s">
        <v>1369</v>
      </c>
      <c r="O133">
        <v>462262</v>
      </c>
      <c r="P133" t="s">
        <v>1370</v>
      </c>
      <c r="Q133">
        <v>16271</v>
      </c>
      <c r="R133" t="s">
        <v>1371</v>
      </c>
      <c r="S133">
        <v>38</v>
      </c>
      <c r="T133" t="b">
        <v>0</v>
      </c>
      <c r="U133">
        <v>1</v>
      </c>
      <c r="V133">
        <v>1</v>
      </c>
      <c r="W133" t="s">
        <v>35</v>
      </c>
      <c r="X133" t="s">
        <v>29</v>
      </c>
      <c r="Y133" t="s">
        <v>4486</v>
      </c>
      <c r="Z133" t="s">
        <v>37</v>
      </c>
      <c r="AA133">
        <f>TwitterClean[[#This Row],[likes]]+TwitterClean[[#This Row],[replies]]+TwitterClean[[#This Row],[reposts]]+TwitterClean[[#This Row],[quotes]]+TwitterClean[[#This Row],[bookmarks]]</f>
        <v>367</v>
      </c>
      <c r="AB133" s="1">
        <f>TwitterClean[[#This Row],[Total_Engagements]]/TwitterClean[[#This Row],[views]]</f>
        <v>3.2241061231661247E-2</v>
      </c>
      <c r="AC133" s="3">
        <f>DATEVALUE(MID(TwitterClean[[#This Row],[date_posted]],2,10))</f>
        <v>45641</v>
      </c>
      <c r="AD133">
        <f>TIMEVALUE(MID(TwitterClean[[#This Row],[date_posted]],13,8))</f>
        <v>0.57339120370370367</v>
      </c>
      <c r="AE133" s="3" t="str">
        <f>TEXT(TwitterClean[[#This Row],[Post_Date]],"dddd")</f>
        <v>Sunday</v>
      </c>
      <c r="AF133">
        <f>HOUR(TwitterClean[[#This Row],[Post_Time]])</f>
        <v>13</v>
      </c>
      <c r="AG133" t="str">
        <f>IF(TwitterClean[[#This Row],[videos]]="Null","No","Yes")</f>
        <v>Yes</v>
      </c>
      <c r="AH133" t="str">
        <f>IF(TwitterClean[[#This Row],[photos]]="null","No","Yes")</f>
        <v>No</v>
      </c>
      <c r="AI133" t="str">
        <f>IF(TwitterClean[[#This Row],[hashtags]]="null","No","Yes")</f>
        <v>Yes</v>
      </c>
      <c r="AJ133" t="str">
        <f>IF(TwitterClean[[#This Row],[external_url]]="null","Yes","No")</f>
        <v>No</v>
      </c>
      <c r="AK133">
        <f>LEN(TwitterClean[[#This Row],[description]])</f>
        <v>61</v>
      </c>
      <c r="AL133" t="str">
        <f>IF(TwitterClean[[#This Row],[followers]]&lt;100000,"&lt;100K",IF(TwitterClean[[#This Row],[followers]]&lt;1000000,"100K-1M",IF(TwitterClean[[#This Row],[followers]]&lt;10000000,"1M-10M","10M+")))</f>
        <v>100K-1M</v>
      </c>
    </row>
    <row r="134" spans="1:38">
      <c r="A134">
        <v>1.8683893913177994E+18</v>
      </c>
      <c r="B134" t="s">
        <v>275</v>
      </c>
      <c r="C134" t="s">
        <v>276</v>
      </c>
      <c r="D134" t="s">
        <v>277</v>
      </c>
      <c r="E134" t="s">
        <v>278</v>
      </c>
      <c r="F134" t="s">
        <v>279</v>
      </c>
      <c r="G134" t="s">
        <v>280</v>
      </c>
      <c r="H134" t="s">
        <v>29</v>
      </c>
      <c r="I134">
        <v>37</v>
      </c>
      <c r="J134">
        <v>311</v>
      </c>
      <c r="K134">
        <v>1997</v>
      </c>
      <c r="L134">
        <v>75282</v>
      </c>
      <c r="M134" t="s">
        <v>52</v>
      </c>
      <c r="N134" t="s">
        <v>281</v>
      </c>
      <c r="O134">
        <v>8539601</v>
      </c>
      <c r="P134" t="s">
        <v>282</v>
      </c>
      <c r="Q134">
        <v>75535</v>
      </c>
      <c r="R134" t="s">
        <v>283</v>
      </c>
      <c r="S134">
        <v>117</v>
      </c>
      <c r="T134" t="b">
        <v>0</v>
      </c>
      <c r="U134">
        <v>22</v>
      </c>
      <c r="V134">
        <v>54</v>
      </c>
      <c r="W134" t="s">
        <v>35</v>
      </c>
      <c r="X134" t="s">
        <v>29</v>
      </c>
      <c r="Y134" t="s">
        <v>29</v>
      </c>
      <c r="Z134" t="s">
        <v>37</v>
      </c>
      <c r="AA134">
        <f>TwitterClean[[#This Row],[likes]]+TwitterClean[[#This Row],[replies]]+TwitterClean[[#This Row],[reposts]]+TwitterClean[[#This Row],[quotes]]+TwitterClean[[#This Row],[bookmarks]]</f>
        <v>2421</v>
      </c>
      <c r="AB134" s="1">
        <f>TwitterClean[[#This Row],[Total_Engagements]]/TwitterClean[[#This Row],[views]]</f>
        <v>3.2159081852235594E-2</v>
      </c>
      <c r="AC134" s="3">
        <f>DATEVALUE(MID(TwitterClean[[#This Row],[date_posted]],2,10))</f>
        <v>45641</v>
      </c>
      <c r="AD134">
        <f>TIMEVALUE(MID(TwitterClean[[#This Row],[date_posted]],13,8))</f>
        <v>0.84395833333333337</v>
      </c>
      <c r="AE134" s="3" t="str">
        <f>TEXT(TwitterClean[[#This Row],[Post_Date]],"dddd")</f>
        <v>Sunday</v>
      </c>
      <c r="AF134">
        <f>HOUR(TwitterClean[[#This Row],[Post_Time]])</f>
        <v>20</v>
      </c>
      <c r="AG134" t="str">
        <f>IF(TwitterClean[[#This Row],[videos]]="Null","No","Yes")</f>
        <v>No</v>
      </c>
      <c r="AH134" t="str">
        <f>IF(TwitterClean[[#This Row],[photos]]="null","No","Yes")</f>
        <v>Yes</v>
      </c>
      <c r="AI134" t="str">
        <f>IF(TwitterClean[[#This Row],[hashtags]]="null","No","Yes")</f>
        <v>Yes</v>
      </c>
      <c r="AJ134" t="str">
        <f>IF(TwitterClean[[#This Row],[external_url]]="null","Yes","No")</f>
        <v>No</v>
      </c>
      <c r="AK134">
        <f>LEN(TwitterClean[[#This Row],[description]])</f>
        <v>68</v>
      </c>
      <c r="AL134" t="str">
        <f>IF(TwitterClean[[#This Row],[followers]]&lt;100000,"&lt;100K",IF(TwitterClean[[#This Row],[followers]]&lt;1000000,"100K-1M",IF(TwitterClean[[#This Row],[followers]]&lt;10000000,"1M-10M","10M+")))</f>
        <v>1M-10M</v>
      </c>
    </row>
    <row r="135" spans="1:38">
      <c r="A135">
        <v>1.8683534529983777E+18</v>
      </c>
      <c r="B135" t="s">
        <v>3196</v>
      </c>
      <c r="C135" t="s">
        <v>3196</v>
      </c>
      <c r="D135" t="s">
        <v>4760</v>
      </c>
      <c r="E135" t="s">
        <v>4761</v>
      </c>
      <c r="F135" t="s">
        <v>4762</v>
      </c>
      <c r="G135" t="s">
        <v>4763</v>
      </c>
      <c r="H135" t="s">
        <v>4764</v>
      </c>
      <c r="I135">
        <v>11</v>
      </c>
      <c r="J135">
        <v>27</v>
      </c>
      <c r="K135">
        <v>754</v>
      </c>
      <c r="L135">
        <v>25005</v>
      </c>
      <c r="M135" t="s">
        <v>52</v>
      </c>
      <c r="N135" t="s">
        <v>3201</v>
      </c>
      <c r="O135">
        <v>376786</v>
      </c>
      <c r="P135" t="s">
        <v>3202</v>
      </c>
      <c r="Q135">
        <v>106893</v>
      </c>
      <c r="R135" t="s">
        <v>3203</v>
      </c>
      <c r="S135">
        <v>415</v>
      </c>
      <c r="T135" t="b">
        <v>0</v>
      </c>
      <c r="U135">
        <v>6</v>
      </c>
      <c r="V135">
        <v>2</v>
      </c>
      <c r="W135" t="s">
        <v>35</v>
      </c>
      <c r="X135" t="s">
        <v>29</v>
      </c>
      <c r="Y135" t="s">
        <v>29</v>
      </c>
      <c r="Z135" t="s">
        <v>37</v>
      </c>
      <c r="AA135">
        <f>TwitterClean[[#This Row],[likes]]+TwitterClean[[#This Row],[replies]]+TwitterClean[[#This Row],[reposts]]+TwitterClean[[#This Row],[quotes]]+TwitterClean[[#This Row],[bookmarks]]</f>
        <v>800</v>
      </c>
      <c r="AB135" s="1">
        <f>TwitterClean[[#This Row],[Total_Engagements]]/TwitterClean[[#This Row],[views]]</f>
        <v>3.1993601279744051E-2</v>
      </c>
      <c r="AC135" s="3">
        <f>DATEVALUE(MID(TwitterClean[[#This Row],[date_posted]],2,10))</f>
        <v>45641</v>
      </c>
      <c r="AD135">
        <f>TIMEVALUE(MID(TwitterClean[[#This Row],[date_posted]],13,8))</f>
        <v>0.74479166666666663</v>
      </c>
      <c r="AE135" s="3" t="str">
        <f>TEXT(TwitterClean[[#This Row],[Post_Date]],"dddd")</f>
        <v>Sunday</v>
      </c>
      <c r="AF135">
        <f>HOUR(TwitterClean[[#This Row],[Post_Time]])</f>
        <v>17</v>
      </c>
      <c r="AG135" t="str">
        <f>IF(TwitterClean[[#This Row],[videos]]="Null","No","Yes")</f>
        <v>No</v>
      </c>
      <c r="AH135" t="str">
        <f>IF(TwitterClean[[#This Row],[photos]]="null","No","Yes")</f>
        <v>Yes</v>
      </c>
      <c r="AI135" t="str">
        <f>IF(TwitterClean[[#This Row],[hashtags]]="null","No","Yes")</f>
        <v>Yes</v>
      </c>
      <c r="AJ135" t="str">
        <f>IF(TwitterClean[[#This Row],[external_url]]="null","Yes","No")</f>
        <v>No</v>
      </c>
      <c r="AK135">
        <f>LEN(TwitterClean[[#This Row],[description]])</f>
        <v>59</v>
      </c>
      <c r="AL135" t="str">
        <f>IF(TwitterClean[[#This Row],[followers]]&lt;100000,"&lt;100K",IF(TwitterClean[[#This Row],[followers]]&lt;1000000,"100K-1M",IF(TwitterClean[[#This Row],[followers]]&lt;10000000,"1M-10M","10M+")))</f>
        <v>100K-1M</v>
      </c>
    </row>
    <row r="136" spans="1:38">
      <c r="A136">
        <v>1.8682345517822162E+18</v>
      </c>
      <c r="B136" t="s">
        <v>1258</v>
      </c>
      <c r="C136" t="s">
        <v>3735</v>
      </c>
      <c r="D136" t="s">
        <v>4676</v>
      </c>
      <c r="E136" t="s">
        <v>3931</v>
      </c>
      <c r="F136" t="s">
        <v>4677</v>
      </c>
      <c r="G136" t="s">
        <v>4678</v>
      </c>
      <c r="H136" t="s">
        <v>4679</v>
      </c>
      <c r="I136">
        <v>74</v>
      </c>
      <c r="J136">
        <v>321</v>
      </c>
      <c r="K136">
        <v>4789</v>
      </c>
      <c r="L136">
        <v>162577</v>
      </c>
      <c r="M136" t="s">
        <v>4680</v>
      </c>
      <c r="N136" t="s">
        <v>29</v>
      </c>
      <c r="O136">
        <v>26079172</v>
      </c>
      <c r="P136" t="s">
        <v>52</v>
      </c>
      <c r="Q136">
        <v>121345</v>
      </c>
      <c r="R136" t="s">
        <v>3741</v>
      </c>
      <c r="S136">
        <v>277</v>
      </c>
      <c r="T136" t="b">
        <v>0</v>
      </c>
      <c r="U136">
        <v>2</v>
      </c>
      <c r="V136">
        <v>14</v>
      </c>
      <c r="W136" t="s">
        <v>35</v>
      </c>
      <c r="X136" t="s">
        <v>29</v>
      </c>
      <c r="Y136" t="s">
        <v>29</v>
      </c>
      <c r="Z136" t="s">
        <v>37</v>
      </c>
      <c r="AA136">
        <f>TwitterClean[[#This Row],[likes]]+TwitterClean[[#This Row],[replies]]+TwitterClean[[#This Row],[reposts]]+TwitterClean[[#This Row],[quotes]]+TwitterClean[[#This Row],[bookmarks]]</f>
        <v>5200</v>
      </c>
      <c r="AB136" s="1">
        <f>TwitterClean[[#This Row],[Total_Engagements]]/TwitterClean[[#This Row],[views]]</f>
        <v>3.1984844104639649E-2</v>
      </c>
      <c r="AC136" s="3">
        <f>DATEVALUE(MID(TwitterClean[[#This Row],[date_posted]],2,10))</f>
        <v>45641</v>
      </c>
      <c r="AD136">
        <f>TIMEVALUE(MID(TwitterClean[[#This Row],[date_posted]],13,8))</f>
        <v>0.41667824074074072</v>
      </c>
      <c r="AE136" s="3" t="str">
        <f>TEXT(TwitterClean[[#This Row],[Post_Date]],"dddd")</f>
        <v>Sunday</v>
      </c>
      <c r="AF136">
        <f>HOUR(TwitterClean[[#This Row],[Post_Time]])</f>
        <v>10</v>
      </c>
      <c r="AG136" t="str">
        <f>IF(TwitterClean[[#This Row],[videos]]="Null","No","Yes")</f>
        <v>No</v>
      </c>
      <c r="AH136" t="str">
        <f>IF(TwitterClean[[#This Row],[photos]]="null","No","Yes")</f>
        <v>Yes</v>
      </c>
      <c r="AI136" t="str">
        <f>IF(TwitterClean[[#This Row],[hashtags]]="null","No","Yes")</f>
        <v>No</v>
      </c>
      <c r="AJ136" t="str">
        <f>IF(TwitterClean[[#This Row],[external_url]]="null","Yes","No")</f>
        <v>No</v>
      </c>
      <c r="AK136">
        <f>LEN(TwitterClean[[#This Row],[description]])</f>
        <v>130</v>
      </c>
      <c r="AL136" t="str">
        <f>IF(TwitterClean[[#This Row],[followers]]&lt;100000,"&lt;100K",IF(TwitterClean[[#This Row],[followers]]&lt;1000000,"100K-1M",IF(TwitterClean[[#This Row],[followers]]&lt;10000000,"1M-10M","10M+")))</f>
        <v>10M+</v>
      </c>
    </row>
    <row r="137" spans="1:38">
      <c r="A137">
        <v>1.8683232628259476E+18</v>
      </c>
      <c r="B137" t="s">
        <v>1656</v>
      </c>
      <c r="C137" t="s">
        <v>1657</v>
      </c>
      <c r="D137" t="s">
        <v>1694</v>
      </c>
      <c r="E137" t="s">
        <v>1695</v>
      </c>
      <c r="F137" t="s">
        <v>29</v>
      </c>
      <c r="G137" t="s">
        <v>1696</v>
      </c>
      <c r="H137" t="s">
        <v>29</v>
      </c>
      <c r="I137">
        <v>128</v>
      </c>
      <c r="J137">
        <v>15</v>
      </c>
      <c r="K137">
        <v>195</v>
      </c>
      <c r="L137">
        <v>10944</v>
      </c>
      <c r="M137" t="s">
        <v>1697</v>
      </c>
      <c r="N137" t="s">
        <v>29</v>
      </c>
      <c r="O137">
        <v>2819408</v>
      </c>
      <c r="P137" t="s">
        <v>1662</v>
      </c>
      <c r="Q137">
        <v>286269</v>
      </c>
      <c r="R137" t="s">
        <v>1663</v>
      </c>
      <c r="S137">
        <v>4</v>
      </c>
      <c r="T137" t="b">
        <v>0</v>
      </c>
      <c r="U137">
        <v>4</v>
      </c>
      <c r="V137">
        <v>1</v>
      </c>
      <c r="W137" t="s">
        <v>35</v>
      </c>
      <c r="X137" t="s">
        <v>1698</v>
      </c>
      <c r="Y137" t="s">
        <v>29</v>
      </c>
      <c r="Z137" t="s">
        <v>37</v>
      </c>
      <c r="AA137">
        <f>TwitterClean[[#This Row],[likes]]+TwitterClean[[#This Row],[replies]]+TwitterClean[[#This Row],[reposts]]+TwitterClean[[#This Row],[quotes]]+TwitterClean[[#This Row],[bookmarks]]</f>
        <v>343</v>
      </c>
      <c r="AB137" s="1">
        <f>TwitterClean[[#This Row],[Total_Engagements]]/TwitterClean[[#This Row],[views]]</f>
        <v>3.1341374269005851E-2</v>
      </c>
      <c r="AC137" s="3">
        <f>DATEVALUE(MID(TwitterClean[[#This Row],[date_posted]],2,10))</f>
        <v>45641</v>
      </c>
      <c r="AD137">
        <f>TIMEVALUE(MID(TwitterClean[[#This Row],[date_posted]],13,8))</f>
        <v>0.66148148148148145</v>
      </c>
      <c r="AE137" s="3" t="str">
        <f>TEXT(TwitterClean[[#This Row],[Post_Date]],"dddd")</f>
        <v>Sunday</v>
      </c>
      <c r="AF137">
        <f>HOUR(TwitterClean[[#This Row],[Post_Time]])</f>
        <v>15</v>
      </c>
      <c r="AG137" t="str">
        <f>IF(TwitterClean[[#This Row],[videos]]="Null","No","Yes")</f>
        <v>No</v>
      </c>
      <c r="AH137" t="str">
        <f>IF(TwitterClean[[#This Row],[photos]]="null","No","Yes")</f>
        <v>No</v>
      </c>
      <c r="AI137" t="str">
        <f>IF(TwitterClean[[#This Row],[hashtags]]="null","No","Yes")</f>
        <v>No</v>
      </c>
      <c r="AJ137" t="str">
        <f>IF(TwitterClean[[#This Row],[external_url]]="null","Yes","No")</f>
        <v>No</v>
      </c>
      <c r="AK137">
        <f>LEN(TwitterClean[[#This Row],[description]])</f>
        <v>74</v>
      </c>
      <c r="AL137" t="str">
        <f>IF(TwitterClean[[#This Row],[followers]]&lt;100000,"&lt;100K",IF(TwitterClean[[#This Row],[followers]]&lt;1000000,"100K-1M",IF(TwitterClean[[#This Row],[followers]]&lt;10000000,"1M-10M","10M+")))</f>
        <v>1M-10M</v>
      </c>
    </row>
    <row r="138" spans="1:38">
      <c r="A138">
        <v>1.8683087092034726E+18</v>
      </c>
      <c r="B138" t="s">
        <v>333</v>
      </c>
      <c r="C138" t="s">
        <v>334</v>
      </c>
      <c r="D138" t="s">
        <v>4314</v>
      </c>
      <c r="E138" t="s">
        <v>4315</v>
      </c>
      <c r="F138" t="s">
        <v>29</v>
      </c>
      <c r="G138" t="s">
        <v>4316</v>
      </c>
      <c r="H138" t="s">
        <v>489</v>
      </c>
      <c r="I138">
        <v>8</v>
      </c>
      <c r="J138">
        <v>68</v>
      </c>
      <c r="K138">
        <v>579</v>
      </c>
      <c r="L138">
        <v>21601</v>
      </c>
      <c r="M138" t="s">
        <v>52</v>
      </c>
      <c r="N138" t="s">
        <v>340</v>
      </c>
      <c r="O138">
        <v>337839</v>
      </c>
      <c r="P138" t="s">
        <v>341</v>
      </c>
      <c r="Q138">
        <v>57638</v>
      </c>
      <c r="R138" t="s">
        <v>342</v>
      </c>
      <c r="S138">
        <v>587</v>
      </c>
      <c r="T138" t="b">
        <v>0</v>
      </c>
      <c r="U138">
        <v>9</v>
      </c>
      <c r="V138">
        <v>10</v>
      </c>
      <c r="W138" t="s">
        <v>35</v>
      </c>
      <c r="X138" t="s">
        <v>29</v>
      </c>
      <c r="Y138" t="s">
        <v>4317</v>
      </c>
      <c r="Z138" t="s">
        <v>37</v>
      </c>
      <c r="AA138">
        <f>TwitterClean[[#This Row],[likes]]+TwitterClean[[#This Row],[replies]]+TwitterClean[[#This Row],[reposts]]+TwitterClean[[#This Row],[quotes]]+TwitterClean[[#This Row],[bookmarks]]</f>
        <v>674</v>
      </c>
      <c r="AB138" s="1">
        <f>TwitterClean[[#This Row],[Total_Engagements]]/TwitterClean[[#This Row],[views]]</f>
        <v>3.1202259154668767E-2</v>
      </c>
      <c r="AC138" s="3">
        <f>DATEVALUE(MID(TwitterClean[[#This Row],[date_posted]],2,10))</f>
        <v>45641</v>
      </c>
      <c r="AD138">
        <f>TIMEVALUE(MID(TwitterClean[[#This Row],[date_posted]],13,8))</f>
        <v>0.62131944444444442</v>
      </c>
      <c r="AE138" s="3" t="str">
        <f>TEXT(TwitterClean[[#This Row],[Post_Date]],"dddd")</f>
        <v>Sunday</v>
      </c>
      <c r="AF138">
        <f>HOUR(TwitterClean[[#This Row],[Post_Time]])</f>
        <v>14</v>
      </c>
      <c r="AG138" t="str">
        <f>IF(TwitterClean[[#This Row],[videos]]="Null","No","Yes")</f>
        <v>Yes</v>
      </c>
      <c r="AH138" t="str">
        <f>IF(TwitterClean[[#This Row],[photos]]="null","No","Yes")</f>
        <v>No</v>
      </c>
      <c r="AI138" t="str">
        <f>IF(TwitterClean[[#This Row],[hashtags]]="null","No","Yes")</f>
        <v>Yes</v>
      </c>
      <c r="AJ138" t="str">
        <f>IF(TwitterClean[[#This Row],[external_url]]="null","Yes","No")</f>
        <v>No</v>
      </c>
      <c r="AK138">
        <f>LEN(TwitterClean[[#This Row],[description]])</f>
        <v>57</v>
      </c>
      <c r="AL138" t="str">
        <f>IF(TwitterClean[[#This Row],[followers]]&lt;100000,"&lt;100K",IF(TwitterClean[[#This Row],[followers]]&lt;1000000,"100K-1M",IF(TwitterClean[[#This Row],[followers]]&lt;10000000,"1M-10M","10M+")))</f>
        <v>100K-1M</v>
      </c>
    </row>
    <row r="139" spans="1:38">
      <c r="A139">
        <v>1.8682724862086595E+18</v>
      </c>
      <c r="B139" t="s">
        <v>4950</v>
      </c>
      <c r="C139" t="s">
        <v>4951</v>
      </c>
      <c r="D139" t="s">
        <v>4952</v>
      </c>
      <c r="E139" t="s">
        <v>4953</v>
      </c>
      <c r="F139" t="s">
        <v>4954</v>
      </c>
      <c r="G139" t="s">
        <v>4955</v>
      </c>
      <c r="H139" t="s">
        <v>29</v>
      </c>
      <c r="I139">
        <v>89</v>
      </c>
      <c r="J139">
        <v>303</v>
      </c>
      <c r="K139">
        <v>6485</v>
      </c>
      <c r="L139">
        <v>223302</v>
      </c>
      <c r="M139" t="s">
        <v>52</v>
      </c>
      <c r="N139" t="s">
        <v>4956</v>
      </c>
      <c r="O139">
        <v>3966792</v>
      </c>
      <c r="P139" t="s">
        <v>4957</v>
      </c>
      <c r="Q139">
        <v>3157</v>
      </c>
      <c r="R139" t="s">
        <v>4958</v>
      </c>
      <c r="S139">
        <v>228</v>
      </c>
      <c r="T139" t="b">
        <v>0</v>
      </c>
      <c r="U139">
        <v>30</v>
      </c>
      <c r="V139">
        <v>43</v>
      </c>
      <c r="W139" t="s">
        <v>35</v>
      </c>
      <c r="X139" t="s">
        <v>29</v>
      </c>
      <c r="Y139" t="s">
        <v>29</v>
      </c>
      <c r="Z139" t="s">
        <v>37</v>
      </c>
      <c r="AA139">
        <f>TwitterClean[[#This Row],[likes]]+TwitterClean[[#This Row],[replies]]+TwitterClean[[#This Row],[reposts]]+TwitterClean[[#This Row],[quotes]]+TwitterClean[[#This Row],[bookmarks]]</f>
        <v>6950</v>
      </c>
      <c r="AB139" s="1">
        <f>TwitterClean[[#This Row],[Total_Engagements]]/TwitterClean[[#This Row],[views]]</f>
        <v>3.1123769603496609E-2</v>
      </c>
      <c r="AC139" s="3">
        <f>DATEVALUE(MID(TwitterClean[[#This Row],[date_posted]],2,10))</f>
        <v>45641</v>
      </c>
      <c r="AD139">
        <f>TIMEVALUE(MID(TwitterClean[[#This Row],[date_posted]],13,8))</f>
        <v>0.52136574074074071</v>
      </c>
      <c r="AE139" s="3" t="str">
        <f>TEXT(TwitterClean[[#This Row],[Post_Date]],"dddd")</f>
        <v>Sunday</v>
      </c>
      <c r="AF139">
        <f>HOUR(TwitterClean[[#This Row],[Post_Time]])</f>
        <v>12</v>
      </c>
      <c r="AG139" t="str">
        <f>IF(TwitterClean[[#This Row],[videos]]="Null","No","Yes")</f>
        <v>No</v>
      </c>
      <c r="AH139" t="str">
        <f>IF(TwitterClean[[#This Row],[photos]]="null","No","Yes")</f>
        <v>Yes</v>
      </c>
      <c r="AI139" t="str">
        <f>IF(TwitterClean[[#This Row],[hashtags]]="null","No","Yes")</f>
        <v>Yes</v>
      </c>
      <c r="AJ139" t="str">
        <f>IF(TwitterClean[[#This Row],[external_url]]="null","Yes","No")</f>
        <v>No</v>
      </c>
      <c r="AK139">
        <f>LEN(TwitterClean[[#This Row],[description]])</f>
        <v>178</v>
      </c>
      <c r="AL139" t="str">
        <f>IF(TwitterClean[[#This Row],[followers]]&lt;100000,"&lt;100K",IF(TwitterClean[[#This Row],[followers]]&lt;1000000,"100K-1M",IF(TwitterClean[[#This Row],[followers]]&lt;10000000,"1M-10M","10M+")))</f>
        <v>1M-10M</v>
      </c>
    </row>
    <row r="140" spans="1:38">
      <c r="A140">
        <v>1.8682748365034908E+18</v>
      </c>
      <c r="B140" t="s">
        <v>1656</v>
      </c>
      <c r="C140" t="s">
        <v>1657</v>
      </c>
      <c r="D140" t="s">
        <v>2170</v>
      </c>
      <c r="E140" t="s">
        <v>2171</v>
      </c>
      <c r="F140" t="s">
        <v>29</v>
      </c>
      <c r="G140" t="s">
        <v>2172</v>
      </c>
      <c r="H140" t="s">
        <v>29</v>
      </c>
      <c r="I140">
        <v>739</v>
      </c>
      <c r="J140">
        <v>18</v>
      </c>
      <c r="K140">
        <v>172</v>
      </c>
      <c r="L140">
        <v>30755</v>
      </c>
      <c r="M140" t="s">
        <v>2173</v>
      </c>
      <c r="N140" t="s">
        <v>29</v>
      </c>
      <c r="O140">
        <v>2819409</v>
      </c>
      <c r="P140" t="s">
        <v>1662</v>
      </c>
      <c r="Q140">
        <v>286269</v>
      </c>
      <c r="R140" t="s">
        <v>1663</v>
      </c>
      <c r="S140">
        <v>4</v>
      </c>
      <c r="T140" t="b">
        <v>0</v>
      </c>
      <c r="U140">
        <v>19</v>
      </c>
      <c r="V140">
        <v>4</v>
      </c>
      <c r="W140" t="s">
        <v>35</v>
      </c>
      <c r="X140" t="s">
        <v>2174</v>
      </c>
      <c r="Y140" t="s">
        <v>29</v>
      </c>
      <c r="Z140" t="s">
        <v>37</v>
      </c>
      <c r="AA140">
        <f>TwitterClean[[#This Row],[likes]]+TwitterClean[[#This Row],[replies]]+TwitterClean[[#This Row],[reposts]]+TwitterClean[[#This Row],[quotes]]+TwitterClean[[#This Row],[bookmarks]]</f>
        <v>952</v>
      </c>
      <c r="AB140" s="1">
        <f>TwitterClean[[#This Row],[Total_Engagements]]/TwitterClean[[#This Row],[views]]</f>
        <v>3.0954316371321736E-2</v>
      </c>
      <c r="AC140" s="3">
        <f>DATEVALUE(MID(TwitterClean[[#This Row],[date_posted]],2,10))</f>
        <v>45641</v>
      </c>
      <c r="AD140">
        <f>TIMEVALUE(MID(TwitterClean[[#This Row],[date_posted]],13,8))</f>
        <v>0.52784722222222225</v>
      </c>
      <c r="AE140" s="3" t="str">
        <f>TEXT(TwitterClean[[#This Row],[Post_Date]],"dddd")</f>
        <v>Sunday</v>
      </c>
      <c r="AF140">
        <f>HOUR(TwitterClean[[#This Row],[Post_Time]])</f>
        <v>12</v>
      </c>
      <c r="AG140" t="str">
        <f>IF(TwitterClean[[#This Row],[videos]]="Null","No","Yes")</f>
        <v>No</v>
      </c>
      <c r="AH140" t="str">
        <f>IF(TwitterClean[[#This Row],[photos]]="null","No","Yes")</f>
        <v>No</v>
      </c>
      <c r="AI140" t="str">
        <f>IF(TwitterClean[[#This Row],[hashtags]]="null","No","Yes")</f>
        <v>No</v>
      </c>
      <c r="AJ140" t="str">
        <f>IF(TwitterClean[[#This Row],[external_url]]="null","Yes","No")</f>
        <v>No</v>
      </c>
      <c r="AK140">
        <f>LEN(TwitterClean[[#This Row],[description]])</f>
        <v>92</v>
      </c>
      <c r="AL140" t="str">
        <f>IF(TwitterClean[[#This Row],[followers]]&lt;100000,"&lt;100K",IF(TwitterClean[[#This Row],[followers]]&lt;1000000,"100K-1M",IF(TwitterClean[[#This Row],[followers]]&lt;10000000,"1M-10M","10M+")))</f>
        <v>1M-10M</v>
      </c>
    </row>
    <row r="141" spans="1:38">
      <c r="A141">
        <v>1.8684349860528581E+18</v>
      </c>
      <c r="B141" t="s">
        <v>1862</v>
      </c>
      <c r="C141" t="s">
        <v>1863</v>
      </c>
      <c r="D141" t="s">
        <v>2016</v>
      </c>
      <c r="E141" t="s">
        <v>2017</v>
      </c>
      <c r="F141" t="s">
        <v>29</v>
      </c>
      <c r="G141" t="s">
        <v>2018</v>
      </c>
      <c r="H141" t="s">
        <v>29</v>
      </c>
      <c r="I141">
        <v>15</v>
      </c>
      <c r="J141">
        <v>58</v>
      </c>
      <c r="K141">
        <v>466</v>
      </c>
      <c r="L141">
        <v>18500</v>
      </c>
      <c r="M141" t="s">
        <v>52</v>
      </c>
      <c r="N141" t="s">
        <v>1867</v>
      </c>
      <c r="O141">
        <v>13492430</v>
      </c>
      <c r="P141" t="s">
        <v>1868</v>
      </c>
      <c r="Q141">
        <v>314515</v>
      </c>
      <c r="R141" t="s">
        <v>1869</v>
      </c>
      <c r="S141">
        <v>708</v>
      </c>
      <c r="T141" t="b">
        <v>0</v>
      </c>
      <c r="U141">
        <v>9</v>
      </c>
      <c r="V141">
        <v>24</v>
      </c>
      <c r="W141" t="s">
        <v>35</v>
      </c>
      <c r="X141" t="s">
        <v>29</v>
      </c>
      <c r="Y141" t="s">
        <v>2019</v>
      </c>
      <c r="Z141" t="s">
        <v>37</v>
      </c>
      <c r="AA141">
        <f>TwitterClean[[#This Row],[likes]]+TwitterClean[[#This Row],[replies]]+TwitterClean[[#This Row],[reposts]]+TwitterClean[[#This Row],[quotes]]+TwitterClean[[#This Row],[bookmarks]]</f>
        <v>572</v>
      </c>
      <c r="AB141" s="1">
        <f>TwitterClean[[#This Row],[Total_Engagements]]/TwitterClean[[#This Row],[views]]</f>
        <v>3.091891891891892E-2</v>
      </c>
      <c r="AC141" s="3">
        <f>DATEVALUE(MID(TwitterClean[[#This Row],[date_posted]],2,10))</f>
        <v>45641</v>
      </c>
      <c r="AD141">
        <f>TIMEVALUE(MID(TwitterClean[[#This Row],[date_posted]],13,8))</f>
        <v>0.96978009259259257</v>
      </c>
      <c r="AE141" s="3" t="str">
        <f>TEXT(TwitterClean[[#This Row],[Post_Date]],"dddd")</f>
        <v>Sunday</v>
      </c>
      <c r="AF141">
        <f>HOUR(TwitterClean[[#This Row],[Post_Time]])</f>
        <v>23</v>
      </c>
      <c r="AG141" t="str">
        <f>IF(TwitterClean[[#This Row],[videos]]="Null","No","Yes")</f>
        <v>Yes</v>
      </c>
      <c r="AH141" t="str">
        <f>IF(TwitterClean[[#This Row],[photos]]="null","No","Yes")</f>
        <v>No</v>
      </c>
      <c r="AI141" t="str">
        <f>IF(TwitterClean[[#This Row],[hashtags]]="null","No","Yes")</f>
        <v>Yes</v>
      </c>
      <c r="AJ141" t="str">
        <f>IF(TwitterClean[[#This Row],[external_url]]="null","Yes","No")</f>
        <v>No</v>
      </c>
      <c r="AK141">
        <f>LEN(TwitterClean[[#This Row],[description]])</f>
        <v>73</v>
      </c>
      <c r="AL141" t="str">
        <f>IF(TwitterClean[[#This Row],[followers]]&lt;100000,"&lt;100K",IF(TwitterClean[[#This Row],[followers]]&lt;1000000,"100K-1M",IF(TwitterClean[[#This Row],[followers]]&lt;10000000,"1M-10M","10M+")))</f>
        <v>10M+</v>
      </c>
    </row>
    <row r="142" spans="1:38">
      <c r="A142">
        <v>1.8684182435488932E+18</v>
      </c>
      <c r="B142" t="s">
        <v>1862</v>
      </c>
      <c r="C142" t="s">
        <v>1863</v>
      </c>
      <c r="D142" t="s">
        <v>1994</v>
      </c>
      <c r="E142" t="s">
        <v>1995</v>
      </c>
      <c r="F142" t="s">
        <v>29</v>
      </c>
      <c r="G142" t="s">
        <v>1996</v>
      </c>
      <c r="H142" t="s">
        <v>29</v>
      </c>
      <c r="I142">
        <v>7</v>
      </c>
      <c r="J142">
        <v>61</v>
      </c>
      <c r="K142">
        <v>222</v>
      </c>
      <c r="L142">
        <v>10301</v>
      </c>
      <c r="M142" t="s">
        <v>52</v>
      </c>
      <c r="N142" t="s">
        <v>1867</v>
      </c>
      <c r="O142">
        <v>13492430</v>
      </c>
      <c r="P142" t="s">
        <v>1868</v>
      </c>
      <c r="Q142">
        <v>314515</v>
      </c>
      <c r="R142" t="s">
        <v>1869</v>
      </c>
      <c r="S142">
        <v>708</v>
      </c>
      <c r="T142" t="b">
        <v>0</v>
      </c>
      <c r="U142">
        <v>10</v>
      </c>
      <c r="V142">
        <v>18</v>
      </c>
      <c r="W142" t="s">
        <v>35</v>
      </c>
      <c r="X142" t="s">
        <v>29</v>
      </c>
      <c r="Y142" t="s">
        <v>1997</v>
      </c>
      <c r="Z142" t="s">
        <v>37</v>
      </c>
      <c r="AA142">
        <f>TwitterClean[[#This Row],[likes]]+TwitterClean[[#This Row],[replies]]+TwitterClean[[#This Row],[reposts]]+TwitterClean[[#This Row],[quotes]]+TwitterClean[[#This Row],[bookmarks]]</f>
        <v>318</v>
      </c>
      <c r="AB142" s="1">
        <f>TwitterClean[[#This Row],[Total_Engagements]]/TwitterClean[[#This Row],[views]]</f>
        <v>3.0870789243762742E-2</v>
      </c>
      <c r="AC142" s="3">
        <f>DATEVALUE(MID(TwitterClean[[#This Row],[date_posted]],2,10))</f>
        <v>45641</v>
      </c>
      <c r="AD142">
        <f>TIMEVALUE(MID(TwitterClean[[#This Row],[date_posted]],13,8))</f>
        <v>0.92357638888888893</v>
      </c>
      <c r="AE142" s="3" t="str">
        <f>TEXT(TwitterClean[[#This Row],[Post_Date]],"dddd")</f>
        <v>Sunday</v>
      </c>
      <c r="AF142">
        <f>HOUR(TwitterClean[[#This Row],[Post_Time]])</f>
        <v>22</v>
      </c>
      <c r="AG142" t="str">
        <f>IF(TwitterClean[[#This Row],[videos]]="Null","No","Yes")</f>
        <v>Yes</v>
      </c>
      <c r="AH142" t="str">
        <f>IF(TwitterClean[[#This Row],[photos]]="null","No","Yes")</f>
        <v>No</v>
      </c>
      <c r="AI142" t="str">
        <f>IF(TwitterClean[[#This Row],[hashtags]]="null","No","Yes")</f>
        <v>Yes</v>
      </c>
      <c r="AJ142" t="str">
        <f>IF(TwitterClean[[#This Row],[external_url]]="null","Yes","No")</f>
        <v>No</v>
      </c>
      <c r="AK142">
        <f>LEN(TwitterClean[[#This Row],[description]])</f>
        <v>57</v>
      </c>
      <c r="AL142" t="str">
        <f>IF(TwitterClean[[#This Row],[followers]]&lt;100000,"&lt;100K",IF(TwitterClean[[#This Row],[followers]]&lt;1000000,"100K-1M",IF(TwitterClean[[#This Row],[followers]]&lt;10000000,"1M-10M","10M+")))</f>
        <v>10M+</v>
      </c>
    </row>
    <row r="143" spans="1:38">
      <c r="A143">
        <v>1.8684158328013868E+18</v>
      </c>
      <c r="B143" t="s">
        <v>3285</v>
      </c>
      <c r="C143" t="s">
        <v>3286</v>
      </c>
      <c r="D143" t="s">
        <v>3287</v>
      </c>
      <c r="E143" t="s">
        <v>3288</v>
      </c>
      <c r="F143" t="s">
        <v>29</v>
      </c>
      <c r="G143" t="s">
        <v>3289</v>
      </c>
      <c r="H143" t="s">
        <v>3290</v>
      </c>
      <c r="I143">
        <v>5</v>
      </c>
      <c r="J143">
        <v>56</v>
      </c>
      <c r="K143">
        <v>247</v>
      </c>
      <c r="L143">
        <v>10460</v>
      </c>
      <c r="M143" t="s">
        <v>52</v>
      </c>
      <c r="N143" t="s">
        <v>29</v>
      </c>
      <c r="O143">
        <v>1947864</v>
      </c>
      <c r="P143" t="s">
        <v>3291</v>
      </c>
      <c r="Q143">
        <v>47801</v>
      </c>
      <c r="R143" t="s">
        <v>3292</v>
      </c>
      <c r="S143">
        <v>1031</v>
      </c>
      <c r="T143" t="b">
        <v>0</v>
      </c>
      <c r="U143">
        <v>5</v>
      </c>
      <c r="V143">
        <v>9</v>
      </c>
      <c r="W143" t="s">
        <v>35</v>
      </c>
      <c r="X143" t="s">
        <v>29</v>
      </c>
      <c r="Y143" t="s">
        <v>3293</v>
      </c>
      <c r="Z143" t="s">
        <v>37</v>
      </c>
      <c r="AA143">
        <f>TwitterClean[[#This Row],[likes]]+TwitterClean[[#This Row],[replies]]+TwitterClean[[#This Row],[reposts]]+TwitterClean[[#This Row],[quotes]]+TwitterClean[[#This Row],[bookmarks]]</f>
        <v>322</v>
      </c>
      <c r="AB143" s="1">
        <f>TwitterClean[[#This Row],[Total_Engagements]]/TwitterClean[[#This Row],[views]]</f>
        <v>3.078393881453155E-2</v>
      </c>
      <c r="AC143" s="3">
        <f>DATEVALUE(MID(TwitterClean[[#This Row],[date_posted]],2,10))</f>
        <v>45641</v>
      </c>
      <c r="AD143">
        <f>TIMEVALUE(MID(TwitterClean[[#This Row],[date_posted]],13,8))</f>
        <v>0.91692129629629626</v>
      </c>
      <c r="AE143" s="3" t="str">
        <f>TEXT(TwitterClean[[#This Row],[Post_Date]],"dddd")</f>
        <v>Sunday</v>
      </c>
      <c r="AF143">
        <f>HOUR(TwitterClean[[#This Row],[Post_Time]])</f>
        <v>22</v>
      </c>
      <c r="AG143" t="str">
        <f>IF(TwitterClean[[#This Row],[videos]]="Null","No","Yes")</f>
        <v>Yes</v>
      </c>
      <c r="AH143" t="str">
        <f>IF(TwitterClean[[#This Row],[photos]]="null","No","Yes")</f>
        <v>No</v>
      </c>
      <c r="AI143" t="str">
        <f>IF(TwitterClean[[#This Row],[hashtags]]="null","No","Yes")</f>
        <v>No</v>
      </c>
      <c r="AJ143" t="str">
        <f>IF(TwitterClean[[#This Row],[external_url]]="null","Yes","No")</f>
        <v>No</v>
      </c>
      <c r="AK143">
        <f>LEN(TwitterClean[[#This Row],[description]])</f>
        <v>136</v>
      </c>
      <c r="AL143" t="str">
        <f>IF(TwitterClean[[#This Row],[followers]]&lt;100000,"&lt;100K",IF(TwitterClean[[#This Row],[followers]]&lt;1000000,"100K-1M",IF(TwitterClean[[#This Row],[followers]]&lt;10000000,"1M-10M","10M+")))</f>
        <v>1M-10M</v>
      </c>
    </row>
    <row r="144" spans="1:38">
      <c r="A144">
        <v>1.8682269968508974E+18</v>
      </c>
      <c r="B144" t="s">
        <v>333</v>
      </c>
      <c r="C144" t="s">
        <v>334</v>
      </c>
      <c r="D144" t="s">
        <v>1254</v>
      </c>
      <c r="E144" t="s">
        <v>1255</v>
      </c>
      <c r="F144" t="s">
        <v>1256</v>
      </c>
      <c r="G144" t="s">
        <v>1257</v>
      </c>
      <c r="H144" t="s">
        <v>29</v>
      </c>
      <c r="I144">
        <v>3</v>
      </c>
      <c r="J144">
        <v>24</v>
      </c>
      <c r="K144">
        <v>455</v>
      </c>
      <c r="L144">
        <v>15884</v>
      </c>
      <c r="M144" t="s">
        <v>52</v>
      </c>
      <c r="N144" t="s">
        <v>340</v>
      </c>
      <c r="O144">
        <v>337839</v>
      </c>
      <c r="P144" t="s">
        <v>341</v>
      </c>
      <c r="Q144">
        <v>57638</v>
      </c>
      <c r="R144" t="s">
        <v>342</v>
      </c>
      <c r="S144">
        <v>587</v>
      </c>
      <c r="T144" t="b">
        <v>0</v>
      </c>
      <c r="U144">
        <v>3</v>
      </c>
      <c r="V144">
        <v>1</v>
      </c>
      <c r="W144" t="s">
        <v>35</v>
      </c>
      <c r="X144" t="s">
        <v>29</v>
      </c>
      <c r="Y144" t="s">
        <v>29</v>
      </c>
      <c r="Z144" t="s">
        <v>37</v>
      </c>
      <c r="AA144">
        <f>TwitterClean[[#This Row],[likes]]+TwitterClean[[#This Row],[replies]]+TwitterClean[[#This Row],[reposts]]+TwitterClean[[#This Row],[quotes]]+TwitterClean[[#This Row],[bookmarks]]</f>
        <v>486</v>
      </c>
      <c r="AB144" s="1">
        <f>TwitterClean[[#This Row],[Total_Engagements]]/TwitterClean[[#This Row],[views]]</f>
        <v>3.0596826995718963E-2</v>
      </c>
      <c r="AC144" s="3">
        <f>DATEVALUE(MID(TwitterClean[[#This Row],[date_posted]],2,10))</f>
        <v>45641</v>
      </c>
      <c r="AD144">
        <f>TIMEVALUE(MID(TwitterClean[[#This Row],[date_posted]],13,8))</f>
        <v>0.39583333333333331</v>
      </c>
      <c r="AE144" s="3" t="str">
        <f>TEXT(TwitterClean[[#This Row],[Post_Date]],"dddd")</f>
        <v>Sunday</v>
      </c>
      <c r="AF144">
        <f>HOUR(TwitterClean[[#This Row],[Post_Time]])</f>
        <v>9</v>
      </c>
      <c r="AG144" t="str">
        <f>IF(TwitterClean[[#This Row],[videos]]="Null","No","Yes")</f>
        <v>No</v>
      </c>
      <c r="AH144" t="str">
        <f>IF(TwitterClean[[#This Row],[photos]]="null","No","Yes")</f>
        <v>Yes</v>
      </c>
      <c r="AI144" t="str">
        <f>IF(TwitterClean[[#This Row],[hashtags]]="null","No","Yes")</f>
        <v>Yes</v>
      </c>
      <c r="AJ144" t="str">
        <f>IF(TwitterClean[[#This Row],[external_url]]="null","Yes","No")</f>
        <v>No</v>
      </c>
      <c r="AK144">
        <f>LEN(TwitterClean[[#This Row],[description]])</f>
        <v>45</v>
      </c>
      <c r="AL144" t="str">
        <f>IF(TwitterClean[[#This Row],[followers]]&lt;100000,"&lt;100K",IF(TwitterClean[[#This Row],[followers]]&lt;1000000,"100K-1M",IF(TwitterClean[[#This Row],[followers]]&lt;10000000,"1M-10M","10M+")))</f>
        <v>100K-1M</v>
      </c>
    </row>
    <row r="145" spans="1:38">
      <c r="A145">
        <v>1.8683812565403692E+18</v>
      </c>
      <c r="B145" t="s">
        <v>3638</v>
      </c>
      <c r="C145" t="s">
        <v>3639</v>
      </c>
      <c r="D145" t="s">
        <v>4437</v>
      </c>
      <c r="E145" t="s">
        <v>4438</v>
      </c>
      <c r="F145" t="s">
        <v>4439</v>
      </c>
      <c r="G145" t="s">
        <v>4440</v>
      </c>
      <c r="H145" t="s">
        <v>3383</v>
      </c>
      <c r="I145">
        <v>30</v>
      </c>
      <c r="J145">
        <v>145</v>
      </c>
      <c r="K145">
        <v>3117</v>
      </c>
      <c r="L145">
        <v>108202</v>
      </c>
      <c r="M145" t="s">
        <v>52</v>
      </c>
      <c r="N145" t="s">
        <v>29</v>
      </c>
      <c r="O145">
        <v>8885747</v>
      </c>
      <c r="P145" t="s">
        <v>3643</v>
      </c>
      <c r="Q145">
        <v>115852</v>
      </c>
      <c r="R145" t="s">
        <v>3644</v>
      </c>
      <c r="S145">
        <v>469</v>
      </c>
      <c r="T145" t="b">
        <v>0</v>
      </c>
      <c r="U145">
        <v>4</v>
      </c>
      <c r="V145">
        <v>6</v>
      </c>
      <c r="W145" t="s">
        <v>35</v>
      </c>
      <c r="X145" t="s">
        <v>29</v>
      </c>
      <c r="Y145" t="s">
        <v>29</v>
      </c>
      <c r="Z145" t="s">
        <v>37</v>
      </c>
      <c r="AA145">
        <f>TwitterClean[[#This Row],[likes]]+TwitterClean[[#This Row],[replies]]+TwitterClean[[#This Row],[reposts]]+TwitterClean[[#This Row],[quotes]]+TwitterClean[[#This Row],[bookmarks]]</f>
        <v>3302</v>
      </c>
      <c r="AB145" s="1">
        <f>TwitterClean[[#This Row],[Total_Engagements]]/TwitterClean[[#This Row],[views]]</f>
        <v>3.0516995988983567E-2</v>
      </c>
      <c r="AC145" s="3">
        <f>DATEVALUE(MID(TwitterClean[[#This Row],[date_posted]],2,10))</f>
        <v>45641</v>
      </c>
      <c r="AD145">
        <f>TIMEVALUE(MID(TwitterClean[[#This Row],[date_posted]],13,8))</f>
        <v>0.82151620370370371</v>
      </c>
      <c r="AE145" s="3" t="str">
        <f>TEXT(TwitterClean[[#This Row],[Post_Date]],"dddd")</f>
        <v>Sunday</v>
      </c>
      <c r="AF145">
        <f>HOUR(TwitterClean[[#This Row],[Post_Time]])</f>
        <v>19</v>
      </c>
      <c r="AG145" t="str">
        <f>IF(TwitterClean[[#This Row],[videos]]="Null","No","Yes")</f>
        <v>No</v>
      </c>
      <c r="AH145" t="str">
        <f>IF(TwitterClean[[#This Row],[photos]]="null","No","Yes")</f>
        <v>Yes</v>
      </c>
      <c r="AI145" t="str">
        <f>IF(TwitterClean[[#This Row],[hashtags]]="null","No","Yes")</f>
        <v>No</v>
      </c>
      <c r="AJ145" t="str">
        <f>IF(TwitterClean[[#This Row],[external_url]]="null","Yes","No")</f>
        <v>No</v>
      </c>
      <c r="AK145">
        <f>LEN(TwitterClean[[#This Row],[description]])</f>
        <v>60</v>
      </c>
      <c r="AL145" t="str">
        <f>IF(TwitterClean[[#This Row],[followers]]&lt;100000,"&lt;100K",IF(TwitterClean[[#This Row],[followers]]&lt;1000000,"100K-1M",IF(TwitterClean[[#This Row],[followers]]&lt;10000000,"1M-10M","10M+")))</f>
        <v>1M-10M</v>
      </c>
    </row>
    <row r="146" spans="1:38">
      <c r="A146">
        <v>1.8684328616588291E+18</v>
      </c>
      <c r="B146" t="s">
        <v>1862</v>
      </c>
      <c r="C146" t="s">
        <v>1863</v>
      </c>
      <c r="D146" t="s">
        <v>1864</v>
      </c>
      <c r="E146" t="s">
        <v>1865</v>
      </c>
      <c r="F146" t="s">
        <v>29</v>
      </c>
      <c r="G146" t="s">
        <v>1866</v>
      </c>
      <c r="H146" t="s">
        <v>29</v>
      </c>
      <c r="I146">
        <v>123</v>
      </c>
      <c r="J146">
        <v>513</v>
      </c>
      <c r="K146">
        <v>5064</v>
      </c>
      <c r="L146">
        <v>198322</v>
      </c>
      <c r="M146" t="s">
        <v>52</v>
      </c>
      <c r="N146" t="s">
        <v>1867</v>
      </c>
      <c r="O146">
        <v>13492430</v>
      </c>
      <c r="P146" t="s">
        <v>1868</v>
      </c>
      <c r="Q146">
        <v>314515</v>
      </c>
      <c r="R146" t="s">
        <v>1869</v>
      </c>
      <c r="S146">
        <v>708</v>
      </c>
      <c r="T146" t="b">
        <v>0</v>
      </c>
      <c r="U146">
        <v>225</v>
      </c>
      <c r="V146">
        <v>115</v>
      </c>
      <c r="W146" t="s">
        <v>35</v>
      </c>
      <c r="X146" t="s">
        <v>29</v>
      </c>
      <c r="Y146" t="s">
        <v>1870</v>
      </c>
      <c r="Z146" t="s">
        <v>37</v>
      </c>
      <c r="AA146">
        <f>TwitterClean[[#This Row],[likes]]+TwitterClean[[#This Row],[replies]]+TwitterClean[[#This Row],[reposts]]+TwitterClean[[#This Row],[quotes]]+TwitterClean[[#This Row],[bookmarks]]</f>
        <v>6040</v>
      </c>
      <c r="AB146" s="1">
        <f>TwitterClean[[#This Row],[Total_Engagements]]/TwitterClean[[#This Row],[views]]</f>
        <v>3.0455521828138078E-2</v>
      </c>
      <c r="AC146" s="3">
        <f>DATEVALUE(MID(TwitterClean[[#This Row],[date_posted]],2,10))</f>
        <v>45641</v>
      </c>
      <c r="AD146">
        <f>TIMEVALUE(MID(TwitterClean[[#This Row],[date_posted]],13,8))</f>
        <v>0.96391203703703698</v>
      </c>
      <c r="AE146" s="3" t="str">
        <f>TEXT(TwitterClean[[#This Row],[Post_Date]],"dddd")</f>
        <v>Sunday</v>
      </c>
      <c r="AF146">
        <f>HOUR(TwitterClean[[#This Row],[Post_Time]])</f>
        <v>23</v>
      </c>
      <c r="AG146" t="str">
        <f>IF(TwitterClean[[#This Row],[videos]]="Null","No","Yes")</f>
        <v>Yes</v>
      </c>
      <c r="AH146" t="str">
        <f>IF(TwitterClean[[#This Row],[photos]]="null","No","Yes")</f>
        <v>No</v>
      </c>
      <c r="AI146" t="str">
        <f>IF(TwitterClean[[#This Row],[hashtags]]="null","No","Yes")</f>
        <v>Yes</v>
      </c>
      <c r="AJ146" t="str">
        <f>IF(TwitterClean[[#This Row],[external_url]]="null","Yes","No")</f>
        <v>No</v>
      </c>
      <c r="AK146">
        <f>LEN(TwitterClean[[#This Row],[description]])</f>
        <v>145</v>
      </c>
      <c r="AL146" t="str">
        <f>IF(TwitterClean[[#This Row],[followers]]&lt;100000,"&lt;100K",IF(TwitterClean[[#This Row],[followers]]&lt;1000000,"100K-1M",IF(TwitterClean[[#This Row],[followers]]&lt;10000000,"1M-10M","10M+")))</f>
        <v>10M+</v>
      </c>
    </row>
    <row r="147" spans="1:38">
      <c r="A147">
        <v>1.8683030612585185E+18</v>
      </c>
      <c r="B147" t="s">
        <v>1280</v>
      </c>
      <c r="C147" t="s">
        <v>1281</v>
      </c>
      <c r="D147" t="s">
        <v>1295</v>
      </c>
      <c r="E147" t="s">
        <v>1296</v>
      </c>
      <c r="F147" t="s">
        <v>1297</v>
      </c>
      <c r="G147" t="s">
        <v>1298</v>
      </c>
      <c r="H147" t="s">
        <v>29</v>
      </c>
      <c r="I147">
        <v>301</v>
      </c>
      <c r="J147">
        <v>1291</v>
      </c>
      <c r="K147">
        <v>15224</v>
      </c>
      <c r="L147">
        <v>561576</v>
      </c>
      <c r="M147" t="s">
        <v>52</v>
      </c>
      <c r="N147" t="s">
        <v>1286</v>
      </c>
      <c r="O147">
        <v>38439073</v>
      </c>
      <c r="P147" t="s">
        <v>1287</v>
      </c>
      <c r="Q147">
        <v>92455</v>
      </c>
      <c r="R147" t="s">
        <v>1288</v>
      </c>
      <c r="S147">
        <v>145</v>
      </c>
      <c r="T147" t="b">
        <v>0</v>
      </c>
      <c r="U147">
        <v>144</v>
      </c>
      <c r="V147">
        <v>73</v>
      </c>
      <c r="W147" t="s">
        <v>35</v>
      </c>
      <c r="X147" t="s">
        <v>29</v>
      </c>
      <c r="Y147" t="s">
        <v>29</v>
      </c>
      <c r="Z147" t="s">
        <v>37</v>
      </c>
      <c r="AA147">
        <f>TwitterClean[[#This Row],[likes]]+TwitterClean[[#This Row],[replies]]+TwitterClean[[#This Row],[reposts]]+TwitterClean[[#This Row],[quotes]]+TwitterClean[[#This Row],[bookmarks]]</f>
        <v>17033</v>
      </c>
      <c r="AB147" s="1">
        <f>TwitterClean[[#This Row],[Total_Engagements]]/TwitterClean[[#This Row],[views]]</f>
        <v>3.0330712138695384E-2</v>
      </c>
      <c r="AC147" s="3">
        <f>DATEVALUE(MID(TwitterClean[[#This Row],[date_posted]],2,10))</f>
        <v>45641</v>
      </c>
      <c r="AD147">
        <f>TIMEVALUE(MID(TwitterClean[[#This Row],[date_posted]],13,8))</f>
        <v>0.60572916666666665</v>
      </c>
      <c r="AE147" s="3" t="str">
        <f>TEXT(TwitterClean[[#This Row],[Post_Date]],"dddd")</f>
        <v>Sunday</v>
      </c>
      <c r="AF147">
        <f>HOUR(TwitterClean[[#This Row],[Post_Time]])</f>
        <v>14</v>
      </c>
      <c r="AG147" t="str">
        <f>IF(TwitterClean[[#This Row],[videos]]="Null","No","Yes")</f>
        <v>No</v>
      </c>
      <c r="AH147" t="str">
        <f>IF(TwitterClean[[#This Row],[photos]]="null","No","Yes")</f>
        <v>Yes</v>
      </c>
      <c r="AI147" t="str">
        <f>IF(TwitterClean[[#This Row],[hashtags]]="null","No","Yes")</f>
        <v>Yes</v>
      </c>
      <c r="AJ147" t="str">
        <f>IF(TwitterClean[[#This Row],[external_url]]="null","Yes","No")</f>
        <v>No</v>
      </c>
      <c r="AK147">
        <f>LEN(TwitterClean[[#This Row],[description]])</f>
        <v>24</v>
      </c>
      <c r="AL147" t="str">
        <f>IF(TwitterClean[[#This Row],[followers]]&lt;100000,"&lt;100K",IF(TwitterClean[[#This Row],[followers]]&lt;1000000,"100K-1M",IF(TwitterClean[[#This Row],[followers]]&lt;10000000,"1M-10M","10M+")))</f>
        <v>10M+</v>
      </c>
    </row>
    <row r="148" spans="1:38">
      <c r="A148">
        <v>1.8683068749672453E+18</v>
      </c>
      <c r="B148" t="s">
        <v>3392</v>
      </c>
      <c r="C148" t="s">
        <v>3393</v>
      </c>
      <c r="D148" t="s">
        <v>5123</v>
      </c>
      <c r="E148" t="s">
        <v>5124</v>
      </c>
      <c r="F148" t="s">
        <v>5125</v>
      </c>
      <c r="G148" t="s">
        <v>5126</v>
      </c>
      <c r="H148" t="s">
        <v>29</v>
      </c>
      <c r="I148">
        <v>15</v>
      </c>
      <c r="J148">
        <v>27</v>
      </c>
      <c r="K148">
        <v>726</v>
      </c>
      <c r="L148">
        <v>25669</v>
      </c>
      <c r="M148" t="s">
        <v>52</v>
      </c>
      <c r="N148" t="s">
        <v>3405</v>
      </c>
      <c r="O148">
        <v>1480964</v>
      </c>
      <c r="P148" t="s">
        <v>3399</v>
      </c>
      <c r="Q148">
        <v>103753</v>
      </c>
      <c r="R148" t="s">
        <v>3400</v>
      </c>
      <c r="S148">
        <v>552</v>
      </c>
      <c r="T148" t="b">
        <v>0</v>
      </c>
      <c r="U148">
        <v>2</v>
      </c>
      <c r="V148">
        <v>7</v>
      </c>
      <c r="W148" t="s">
        <v>35</v>
      </c>
      <c r="X148" t="s">
        <v>29</v>
      </c>
      <c r="Y148" t="s">
        <v>29</v>
      </c>
      <c r="Z148" t="s">
        <v>37</v>
      </c>
      <c r="AA148">
        <f>TwitterClean[[#This Row],[likes]]+TwitterClean[[#This Row],[replies]]+TwitterClean[[#This Row],[reposts]]+TwitterClean[[#This Row],[quotes]]+TwitterClean[[#This Row],[bookmarks]]</f>
        <v>777</v>
      </c>
      <c r="AB148" s="1">
        <f>TwitterClean[[#This Row],[Total_Engagements]]/TwitterClean[[#This Row],[views]]</f>
        <v>3.0269975456776656E-2</v>
      </c>
      <c r="AC148" s="3">
        <f>DATEVALUE(MID(TwitterClean[[#This Row],[date_posted]],2,10))</f>
        <v>45641</v>
      </c>
      <c r="AD148">
        <f>TIMEVALUE(MID(TwitterClean[[#This Row],[date_posted]],13,8))</f>
        <v>0.61626157407407411</v>
      </c>
      <c r="AE148" s="3" t="str">
        <f>TEXT(TwitterClean[[#This Row],[Post_Date]],"dddd")</f>
        <v>Sunday</v>
      </c>
      <c r="AF148">
        <f>HOUR(TwitterClean[[#This Row],[Post_Time]])</f>
        <v>14</v>
      </c>
      <c r="AG148" t="str">
        <f>IF(TwitterClean[[#This Row],[videos]]="Null","No","Yes")</f>
        <v>No</v>
      </c>
      <c r="AH148" t="str">
        <f>IF(TwitterClean[[#This Row],[photos]]="null","No","Yes")</f>
        <v>Yes</v>
      </c>
      <c r="AI148" t="str">
        <f>IF(TwitterClean[[#This Row],[hashtags]]="null","No","Yes")</f>
        <v>Yes</v>
      </c>
      <c r="AJ148" t="str">
        <f>IF(TwitterClean[[#This Row],[external_url]]="null","Yes","No")</f>
        <v>No</v>
      </c>
      <c r="AK148">
        <f>LEN(TwitterClean[[#This Row],[description]])</f>
        <v>54</v>
      </c>
      <c r="AL148" t="str">
        <f>IF(TwitterClean[[#This Row],[followers]]&lt;100000,"&lt;100K",IF(TwitterClean[[#This Row],[followers]]&lt;1000000,"100K-1M",IF(TwitterClean[[#This Row],[followers]]&lt;10000000,"1M-10M","10M+")))</f>
        <v>1M-10M</v>
      </c>
    </row>
    <row r="149" spans="1:38">
      <c r="A149">
        <v>1.8683212501642322E+18</v>
      </c>
      <c r="B149" t="s">
        <v>3392</v>
      </c>
      <c r="C149" t="s">
        <v>3393</v>
      </c>
      <c r="D149" t="s">
        <v>5172</v>
      </c>
      <c r="E149" t="s">
        <v>5173</v>
      </c>
      <c r="F149" t="s">
        <v>5174</v>
      </c>
      <c r="G149" t="s">
        <v>5175</v>
      </c>
      <c r="H149" t="s">
        <v>29</v>
      </c>
      <c r="I149">
        <v>58</v>
      </c>
      <c r="J149">
        <v>123</v>
      </c>
      <c r="K149">
        <v>1406</v>
      </c>
      <c r="L149">
        <v>54100</v>
      </c>
      <c r="M149" t="s">
        <v>52</v>
      </c>
      <c r="N149" t="s">
        <v>3405</v>
      </c>
      <c r="O149">
        <v>1480966</v>
      </c>
      <c r="P149" t="s">
        <v>3399</v>
      </c>
      <c r="Q149">
        <v>103753</v>
      </c>
      <c r="R149" t="s">
        <v>3400</v>
      </c>
      <c r="S149">
        <v>552</v>
      </c>
      <c r="T149" t="b">
        <v>0</v>
      </c>
      <c r="U149">
        <v>45</v>
      </c>
      <c r="V149">
        <v>4</v>
      </c>
      <c r="W149" t="s">
        <v>35</v>
      </c>
      <c r="X149" t="s">
        <v>29</v>
      </c>
      <c r="Y149" t="s">
        <v>29</v>
      </c>
      <c r="Z149" t="s">
        <v>37</v>
      </c>
      <c r="AA149">
        <f>TwitterClean[[#This Row],[likes]]+TwitterClean[[#This Row],[replies]]+TwitterClean[[#This Row],[reposts]]+TwitterClean[[#This Row],[quotes]]+TwitterClean[[#This Row],[bookmarks]]</f>
        <v>1636</v>
      </c>
      <c r="AB149" s="1">
        <f>TwitterClean[[#This Row],[Total_Engagements]]/TwitterClean[[#This Row],[views]]</f>
        <v>3.0240295748613678E-2</v>
      </c>
      <c r="AC149" s="3">
        <f>DATEVALUE(MID(TwitterClean[[#This Row],[date_posted]],2,10))</f>
        <v>45641</v>
      </c>
      <c r="AD149">
        <f>TIMEVALUE(MID(TwitterClean[[#This Row],[date_posted]],13,8))</f>
        <v>0.65592592592592591</v>
      </c>
      <c r="AE149" s="3" t="str">
        <f>TEXT(TwitterClean[[#This Row],[Post_Date]],"dddd")</f>
        <v>Sunday</v>
      </c>
      <c r="AF149">
        <f>HOUR(TwitterClean[[#This Row],[Post_Time]])</f>
        <v>15</v>
      </c>
      <c r="AG149" t="str">
        <f>IF(TwitterClean[[#This Row],[videos]]="Null","No","Yes")</f>
        <v>No</v>
      </c>
      <c r="AH149" t="str">
        <f>IF(TwitterClean[[#This Row],[photos]]="null","No","Yes")</f>
        <v>Yes</v>
      </c>
      <c r="AI149" t="str">
        <f>IF(TwitterClean[[#This Row],[hashtags]]="null","No","Yes")</f>
        <v>Yes</v>
      </c>
      <c r="AJ149" t="str">
        <f>IF(TwitterClean[[#This Row],[external_url]]="null","Yes","No")</f>
        <v>No</v>
      </c>
      <c r="AK149">
        <f>LEN(TwitterClean[[#This Row],[description]])</f>
        <v>35</v>
      </c>
      <c r="AL149" t="str">
        <f>IF(TwitterClean[[#This Row],[followers]]&lt;100000,"&lt;100K",IF(TwitterClean[[#This Row],[followers]]&lt;1000000,"100K-1M",IF(TwitterClean[[#This Row],[followers]]&lt;10000000,"1M-10M","10M+")))</f>
        <v>1M-10M</v>
      </c>
    </row>
    <row r="150" spans="1:38">
      <c r="A150">
        <v>1.7178747907430482E+18</v>
      </c>
      <c r="B150" t="s">
        <v>4266</v>
      </c>
      <c r="C150" t="s">
        <v>4267</v>
      </c>
      <c r="D150" t="s">
        <v>4620</v>
      </c>
      <c r="E150" t="s">
        <v>4621</v>
      </c>
      <c r="F150" t="s">
        <v>4622</v>
      </c>
      <c r="G150" t="s">
        <v>4623</v>
      </c>
      <c r="H150" t="s">
        <v>4624</v>
      </c>
      <c r="I150">
        <v>8789</v>
      </c>
      <c r="J150">
        <v>77561</v>
      </c>
      <c r="K150">
        <v>489324</v>
      </c>
      <c r="L150">
        <v>19911620</v>
      </c>
      <c r="M150" t="s">
        <v>52</v>
      </c>
      <c r="N150" t="s">
        <v>29</v>
      </c>
      <c r="O150">
        <v>94676198</v>
      </c>
      <c r="P150" t="s">
        <v>4274</v>
      </c>
      <c r="Q150">
        <v>860</v>
      </c>
      <c r="R150" t="s">
        <v>4275</v>
      </c>
      <c r="S150">
        <v>0</v>
      </c>
      <c r="T150" t="b">
        <v>0</v>
      </c>
      <c r="U150">
        <v>21288</v>
      </c>
      <c r="V150">
        <v>4596</v>
      </c>
      <c r="W150" t="s">
        <v>35</v>
      </c>
      <c r="X150" t="s">
        <v>29</v>
      </c>
      <c r="Y150" t="s">
        <v>4625</v>
      </c>
      <c r="Z150" t="s">
        <v>37</v>
      </c>
      <c r="AA150">
        <f>TwitterClean[[#This Row],[likes]]+TwitterClean[[#This Row],[replies]]+TwitterClean[[#This Row],[reposts]]+TwitterClean[[#This Row],[quotes]]+TwitterClean[[#This Row],[bookmarks]]</f>
        <v>601558</v>
      </c>
      <c r="AB150" s="1">
        <f>TwitterClean[[#This Row],[Total_Engagements]]/TwitterClean[[#This Row],[views]]</f>
        <v>3.0211404195138316E-2</v>
      </c>
      <c r="AC150" s="3">
        <f>DATEVALUE(MID(TwitterClean[[#This Row],[date_posted]],2,10))</f>
        <v>45226</v>
      </c>
      <c r="AD150">
        <f>TIMEVALUE(MID(TwitterClean[[#This Row],[date_posted]],13,8))</f>
        <v>0.50278935185185181</v>
      </c>
      <c r="AE150" s="3" t="str">
        <f>TEXT(TwitterClean[[#This Row],[Post_Date]],"dddd")</f>
        <v>Friday</v>
      </c>
      <c r="AF150">
        <f>HOUR(TwitterClean[[#This Row],[Post_Time]])</f>
        <v>12</v>
      </c>
      <c r="AG150" t="str">
        <f>IF(TwitterClean[[#This Row],[videos]]="Null","No","Yes")</f>
        <v>Yes</v>
      </c>
      <c r="AH150" t="str">
        <f>IF(TwitterClean[[#This Row],[photos]]="null","No","Yes")</f>
        <v>Yes</v>
      </c>
      <c r="AI150" t="str">
        <f>IF(TwitterClean[[#This Row],[hashtags]]="null","No","Yes")</f>
        <v>No</v>
      </c>
      <c r="AJ150" t="str">
        <f>IF(TwitterClean[[#This Row],[external_url]]="null","Yes","No")</f>
        <v>No</v>
      </c>
      <c r="AK150">
        <f>LEN(TwitterClean[[#This Row],[description]])</f>
        <v>722</v>
      </c>
      <c r="AL150" t="str">
        <f>IF(TwitterClean[[#This Row],[followers]]&lt;100000,"&lt;100K",IF(TwitterClean[[#This Row],[followers]]&lt;1000000,"100K-1M",IF(TwitterClean[[#This Row],[followers]]&lt;10000000,"1M-10M","10M+")))</f>
        <v>10M+</v>
      </c>
    </row>
    <row r="151" spans="1:38">
      <c r="A151">
        <v>1.8683613848971515E+18</v>
      </c>
      <c r="B151" t="s">
        <v>1280</v>
      </c>
      <c r="C151" t="s">
        <v>1281</v>
      </c>
      <c r="D151" t="s">
        <v>1416</v>
      </c>
      <c r="E151" t="s">
        <v>1417</v>
      </c>
      <c r="F151" t="s">
        <v>1418</v>
      </c>
      <c r="G151" t="s">
        <v>1419</v>
      </c>
      <c r="H151" t="s">
        <v>29</v>
      </c>
      <c r="I151">
        <v>499</v>
      </c>
      <c r="J151">
        <v>4849</v>
      </c>
      <c r="K151">
        <v>27543</v>
      </c>
      <c r="L151">
        <v>1117331</v>
      </c>
      <c r="M151" t="s">
        <v>52</v>
      </c>
      <c r="N151" t="s">
        <v>1286</v>
      </c>
      <c r="O151">
        <v>38439079</v>
      </c>
      <c r="P151" t="s">
        <v>1287</v>
      </c>
      <c r="Q151">
        <v>92455</v>
      </c>
      <c r="R151" t="s">
        <v>1288</v>
      </c>
      <c r="S151">
        <v>145</v>
      </c>
      <c r="T151" t="b">
        <v>0</v>
      </c>
      <c r="U151">
        <v>529</v>
      </c>
      <c r="V151">
        <v>118</v>
      </c>
      <c r="W151" t="s">
        <v>35</v>
      </c>
      <c r="X151" t="s">
        <v>29</v>
      </c>
      <c r="Y151" t="s">
        <v>29</v>
      </c>
      <c r="Z151" t="s">
        <v>1420</v>
      </c>
      <c r="AA151">
        <f>TwitterClean[[#This Row],[likes]]+TwitterClean[[#This Row],[replies]]+TwitterClean[[#This Row],[reposts]]+TwitterClean[[#This Row],[quotes]]+TwitterClean[[#This Row],[bookmarks]]</f>
        <v>33538</v>
      </c>
      <c r="AB151" s="1">
        <f>TwitterClean[[#This Row],[Total_Engagements]]/TwitterClean[[#This Row],[views]]</f>
        <v>3.0016172468140596E-2</v>
      </c>
      <c r="AC151" s="3">
        <f>DATEVALUE(MID(TwitterClean[[#This Row],[date_posted]],2,10))</f>
        <v>45641</v>
      </c>
      <c r="AD151">
        <f>TIMEVALUE(MID(TwitterClean[[#This Row],[date_posted]],13,8))</f>
        <v>0.76667824074074076</v>
      </c>
      <c r="AE151" s="3" t="str">
        <f>TEXT(TwitterClean[[#This Row],[Post_Date]],"dddd")</f>
        <v>Sunday</v>
      </c>
      <c r="AF151">
        <f>HOUR(TwitterClean[[#This Row],[Post_Time]])</f>
        <v>18</v>
      </c>
      <c r="AG151" t="str">
        <f>IF(TwitterClean[[#This Row],[videos]]="Null","No","Yes")</f>
        <v>No</v>
      </c>
      <c r="AH151" t="str">
        <f>IF(TwitterClean[[#This Row],[photos]]="null","No","Yes")</f>
        <v>Yes</v>
      </c>
      <c r="AI151" t="str">
        <f>IF(TwitterClean[[#This Row],[hashtags]]="null","No","Yes")</f>
        <v>Yes</v>
      </c>
      <c r="AJ151" t="str">
        <f>IF(TwitterClean[[#This Row],[external_url]]="null","Yes","No")</f>
        <v>No</v>
      </c>
      <c r="AK151">
        <f>LEN(TwitterClean[[#This Row],[description]])</f>
        <v>34</v>
      </c>
      <c r="AL151" t="str">
        <f>IF(TwitterClean[[#This Row],[followers]]&lt;100000,"&lt;100K",IF(TwitterClean[[#This Row],[followers]]&lt;1000000,"100K-1M",IF(TwitterClean[[#This Row],[followers]]&lt;10000000,"1M-10M","10M+")))</f>
        <v>10M+</v>
      </c>
    </row>
    <row r="152" spans="1:38">
      <c r="A152">
        <v>1.8681287528548068E+18</v>
      </c>
      <c r="B152" t="s">
        <v>3083</v>
      </c>
      <c r="C152" t="s">
        <v>3083</v>
      </c>
      <c r="D152" t="s">
        <v>4795</v>
      </c>
      <c r="E152" t="s">
        <v>4796</v>
      </c>
      <c r="F152" t="s">
        <v>4797</v>
      </c>
      <c r="G152" t="s">
        <v>4798</v>
      </c>
      <c r="H152" t="s">
        <v>3674</v>
      </c>
      <c r="I152">
        <v>789</v>
      </c>
      <c r="J152">
        <v>2104</v>
      </c>
      <c r="K152">
        <v>20269</v>
      </c>
      <c r="L152">
        <v>801086</v>
      </c>
      <c r="M152" t="s">
        <v>52</v>
      </c>
      <c r="N152" t="s">
        <v>4799</v>
      </c>
      <c r="O152">
        <v>14375935</v>
      </c>
      <c r="P152" t="s">
        <v>3088</v>
      </c>
      <c r="Q152">
        <v>346973</v>
      </c>
      <c r="R152" t="s">
        <v>3089</v>
      </c>
      <c r="S152">
        <v>392</v>
      </c>
      <c r="T152" t="b">
        <v>0</v>
      </c>
      <c r="U152">
        <v>203</v>
      </c>
      <c r="V152">
        <v>452</v>
      </c>
      <c r="W152" t="s">
        <v>35</v>
      </c>
      <c r="X152" t="s">
        <v>29</v>
      </c>
      <c r="Y152" t="s">
        <v>29</v>
      </c>
      <c r="Z152" t="s">
        <v>37</v>
      </c>
      <c r="AA152">
        <f>TwitterClean[[#This Row],[likes]]+TwitterClean[[#This Row],[replies]]+TwitterClean[[#This Row],[reposts]]+TwitterClean[[#This Row],[quotes]]+TwitterClean[[#This Row],[bookmarks]]</f>
        <v>23817</v>
      </c>
      <c r="AB152" s="1">
        <f>TwitterClean[[#This Row],[Total_Engagements]]/TwitterClean[[#This Row],[views]]</f>
        <v>2.9730890316395493E-2</v>
      </c>
      <c r="AC152" s="3">
        <f>DATEVALUE(MID(TwitterClean[[#This Row],[date_posted]],2,10))</f>
        <v>45641</v>
      </c>
      <c r="AD152">
        <f>TIMEVALUE(MID(TwitterClean[[#This Row],[date_posted]],13,8))</f>
        <v>0.1247337962962963</v>
      </c>
      <c r="AE152" s="3" t="str">
        <f>TEXT(TwitterClean[[#This Row],[Post_Date]],"dddd")</f>
        <v>Sunday</v>
      </c>
      <c r="AF152">
        <f>HOUR(TwitterClean[[#This Row],[Post_Time]])</f>
        <v>2</v>
      </c>
      <c r="AG152" t="str">
        <f>IF(TwitterClean[[#This Row],[videos]]="Null","No","Yes")</f>
        <v>No</v>
      </c>
      <c r="AH152" t="str">
        <f>IF(TwitterClean[[#This Row],[photos]]="null","No","Yes")</f>
        <v>Yes</v>
      </c>
      <c r="AI152" t="str">
        <f>IF(TwitterClean[[#This Row],[hashtags]]="null","No","Yes")</f>
        <v>Yes</v>
      </c>
      <c r="AJ152" t="str">
        <f>IF(TwitterClean[[#This Row],[external_url]]="null","Yes","No")</f>
        <v>No</v>
      </c>
      <c r="AK152">
        <f>LEN(TwitterClean[[#This Row],[description]])</f>
        <v>115</v>
      </c>
      <c r="AL152" t="str">
        <f>IF(TwitterClean[[#This Row],[followers]]&lt;100000,"&lt;100K",IF(TwitterClean[[#This Row],[followers]]&lt;1000000,"100K-1M",IF(TwitterClean[[#This Row],[followers]]&lt;10000000,"1M-10M","10M+")))</f>
        <v>10M+</v>
      </c>
    </row>
    <row r="153" spans="1:38">
      <c r="A153">
        <v>1.8682647100652342E+18</v>
      </c>
      <c r="B153" t="s">
        <v>1240</v>
      </c>
      <c r="C153" t="s">
        <v>1241</v>
      </c>
      <c r="D153" t="s">
        <v>1242</v>
      </c>
      <c r="E153" t="s">
        <v>1243</v>
      </c>
      <c r="F153" t="s">
        <v>1244</v>
      </c>
      <c r="G153" t="s">
        <v>1245</v>
      </c>
      <c r="H153" t="s">
        <v>1246</v>
      </c>
      <c r="I153">
        <v>22</v>
      </c>
      <c r="J153">
        <v>204</v>
      </c>
      <c r="K153">
        <v>2850</v>
      </c>
      <c r="L153">
        <v>106624</v>
      </c>
      <c r="M153" t="s">
        <v>52</v>
      </c>
      <c r="N153" t="s">
        <v>742</v>
      </c>
      <c r="O153">
        <v>4759262</v>
      </c>
      <c r="P153" t="s">
        <v>1247</v>
      </c>
      <c r="Q153">
        <v>40090</v>
      </c>
      <c r="R153" t="s">
        <v>1248</v>
      </c>
      <c r="S153">
        <v>11696</v>
      </c>
      <c r="T153" t="b">
        <v>0</v>
      </c>
      <c r="U153">
        <v>13</v>
      </c>
      <c r="V153">
        <v>76</v>
      </c>
      <c r="W153" t="s">
        <v>35</v>
      </c>
      <c r="X153" t="s">
        <v>29</v>
      </c>
      <c r="Y153" t="s">
        <v>29</v>
      </c>
      <c r="Z153" t="s">
        <v>37</v>
      </c>
      <c r="AA153">
        <f>TwitterClean[[#This Row],[likes]]+TwitterClean[[#This Row],[replies]]+TwitterClean[[#This Row],[reposts]]+TwitterClean[[#This Row],[quotes]]+TwitterClean[[#This Row],[bookmarks]]</f>
        <v>3165</v>
      </c>
      <c r="AB153" s="1">
        <f>TwitterClean[[#This Row],[Total_Engagements]]/TwitterClean[[#This Row],[views]]</f>
        <v>2.9683748499399761E-2</v>
      </c>
      <c r="AC153" s="3">
        <f>DATEVALUE(MID(TwitterClean[[#This Row],[date_posted]],2,10))</f>
        <v>45641</v>
      </c>
      <c r="AD153">
        <f>TIMEVALUE(MID(TwitterClean[[#This Row],[date_posted]],13,8))</f>
        <v>0.49990740740740741</v>
      </c>
      <c r="AE153" s="3" t="str">
        <f>TEXT(TwitterClean[[#This Row],[Post_Date]],"dddd")</f>
        <v>Sunday</v>
      </c>
      <c r="AF153">
        <f>HOUR(TwitterClean[[#This Row],[Post_Time]])</f>
        <v>11</v>
      </c>
      <c r="AG153" t="str">
        <f>IF(TwitterClean[[#This Row],[videos]]="Null","No","Yes")</f>
        <v>No</v>
      </c>
      <c r="AH153" t="str">
        <f>IF(TwitterClean[[#This Row],[photos]]="null","No","Yes")</f>
        <v>Yes</v>
      </c>
      <c r="AI153" t="str">
        <f>IF(TwitterClean[[#This Row],[hashtags]]="null","No","Yes")</f>
        <v>Yes</v>
      </c>
      <c r="AJ153" t="str">
        <f>IF(TwitterClean[[#This Row],[external_url]]="null","Yes","No")</f>
        <v>No</v>
      </c>
      <c r="AK153">
        <f>LEN(TwitterClean[[#This Row],[description]])</f>
        <v>63</v>
      </c>
      <c r="AL153" t="str">
        <f>IF(TwitterClean[[#This Row],[followers]]&lt;100000,"&lt;100K",IF(TwitterClean[[#This Row],[followers]]&lt;1000000,"100K-1M",IF(TwitterClean[[#This Row],[followers]]&lt;10000000,"1M-10M","10M+")))</f>
        <v>1M-10M</v>
      </c>
    </row>
    <row r="154" spans="1:38">
      <c r="A154">
        <v>1.8684227870664829E+18</v>
      </c>
      <c r="B154" t="s">
        <v>1862</v>
      </c>
      <c r="C154" t="s">
        <v>1863</v>
      </c>
      <c r="D154" t="s">
        <v>2193</v>
      </c>
      <c r="E154" t="s">
        <v>2194</v>
      </c>
      <c r="F154" t="s">
        <v>29</v>
      </c>
      <c r="G154" t="s">
        <v>2195</v>
      </c>
      <c r="H154" t="s">
        <v>2078</v>
      </c>
      <c r="I154">
        <v>9</v>
      </c>
      <c r="J154">
        <v>51</v>
      </c>
      <c r="K154">
        <v>330</v>
      </c>
      <c r="L154">
        <v>14211</v>
      </c>
      <c r="M154" t="s">
        <v>52</v>
      </c>
      <c r="N154" t="s">
        <v>1867</v>
      </c>
      <c r="O154">
        <v>13492430</v>
      </c>
      <c r="P154" t="s">
        <v>1868</v>
      </c>
      <c r="Q154">
        <v>314515</v>
      </c>
      <c r="R154" t="s">
        <v>1869</v>
      </c>
      <c r="S154">
        <v>708</v>
      </c>
      <c r="T154" t="b">
        <v>0</v>
      </c>
      <c r="U154">
        <v>17</v>
      </c>
      <c r="V154">
        <v>14</v>
      </c>
      <c r="W154" t="s">
        <v>35</v>
      </c>
      <c r="X154" t="s">
        <v>29</v>
      </c>
      <c r="Y154" t="s">
        <v>2196</v>
      </c>
      <c r="Z154" t="s">
        <v>37</v>
      </c>
      <c r="AA154">
        <f>TwitterClean[[#This Row],[likes]]+TwitterClean[[#This Row],[replies]]+TwitterClean[[#This Row],[reposts]]+TwitterClean[[#This Row],[quotes]]+TwitterClean[[#This Row],[bookmarks]]</f>
        <v>421</v>
      </c>
      <c r="AB154" s="1">
        <f>TwitterClean[[#This Row],[Total_Engagements]]/TwitterClean[[#This Row],[views]]</f>
        <v>2.9624938427978326E-2</v>
      </c>
      <c r="AC154" s="3">
        <f>DATEVALUE(MID(TwitterClean[[#This Row],[date_posted]],2,10))</f>
        <v>45641</v>
      </c>
      <c r="AD154">
        <f>TIMEVALUE(MID(TwitterClean[[#This Row],[date_posted]],13,8))</f>
        <v>0.93611111111111112</v>
      </c>
      <c r="AE154" s="3" t="str">
        <f>TEXT(TwitterClean[[#This Row],[Post_Date]],"dddd")</f>
        <v>Sunday</v>
      </c>
      <c r="AF154">
        <f>HOUR(TwitterClean[[#This Row],[Post_Time]])</f>
        <v>22</v>
      </c>
      <c r="AG154" t="str">
        <f>IF(TwitterClean[[#This Row],[videos]]="Null","No","Yes")</f>
        <v>Yes</v>
      </c>
      <c r="AH154" t="str">
        <f>IF(TwitterClean[[#This Row],[photos]]="null","No","Yes")</f>
        <v>No</v>
      </c>
      <c r="AI154" t="str">
        <f>IF(TwitterClean[[#This Row],[hashtags]]="null","No","Yes")</f>
        <v>Yes</v>
      </c>
      <c r="AJ154" t="str">
        <f>IF(TwitterClean[[#This Row],[external_url]]="null","Yes","No")</f>
        <v>No</v>
      </c>
      <c r="AK154">
        <f>LEN(TwitterClean[[#This Row],[description]])</f>
        <v>84</v>
      </c>
      <c r="AL154" t="str">
        <f>IF(TwitterClean[[#This Row],[followers]]&lt;100000,"&lt;100K",IF(TwitterClean[[#This Row],[followers]]&lt;1000000,"100K-1M",IF(TwitterClean[[#This Row],[followers]]&lt;10000000,"1M-10M","10M+")))</f>
        <v>10M+</v>
      </c>
    </row>
    <row r="155" spans="1:38">
      <c r="A155">
        <v>1.8683782124028974E+18</v>
      </c>
      <c r="B155" t="s">
        <v>275</v>
      </c>
      <c r="C155" t="s">
        <v>276</v>
      </c>
      <c r="D155" t="s">
        <v>1231</v>
      </c>
      <c r="E155" t="s">
        <v>1232</v>
      </c>
      <c r="F155" t="s">
        <v>1233</v>
      </c>
      <c r="G155" t="s">
        <v>1234</v>
      </c>
      <c r="H155" t="s">
        <v>754</v>
      </c>
      <c r="I155">
        <v>38</v>
      </c>
      <c r="J155">
        <v>160</v>
      </c>
      <c r="K155">
        <v>960</v>
      </c>
      <c r="L155">
        <v>39935</v>
      </c>
      <c r="M155" t="s">
        <v>52</v>
      </c>
      <c r="N155" t="s">
        <v>1235</v>
      </c>
      <c r="O155">
        <v>8539601</v>
      </c>
      <c r="P155" t="s">
        <v>282</v>
      </c>
      <c r="Q155">
        <v>75535</v>
      </c>
      <c r="R155" t="s">
        <v>283</v>
      </c>
      <c r="S155">
        <v>117</v>
      </c>
      <c r="T155" t="b">
        <v>0</v>
      </c>
      <c r="U155">
        <v>11</v>
      </c>
      <c r="V155">
        <v>13</v>
      </c>
      <c r="W155" t="s">
        <v>35</v>
      </c>
      <c r="X155" t="s">
        <v>29</v>
      </c>
      <c r="Y155" t="s">
        <v>29</v>
      </c>
      <c r="Z155" t="s">
        <v>37</v>
      </c>
      <c r="AA155">
        <f>TwitterClean[[#This Row],[likes]]+TwitterClean[[#This Row],[replies]]+TwitterClean[[#This Row],[reposts]]+TwitterClean[[#This Row],[quotes]]+TwitterClean[[#This Row],[bookmarks]]</f>
        <v>1182</v>
      </c>
      <c r="AB155" s="1">
        <f>TwitterClean[[#This Row],[Total_Engagements]]/TwitterClean[[#This Row],[views]]</f>
        <v>2.9598096907474645E-2</v>
      </c>
      <c r="AC155" s="3">
        <f>DATEVALUE(MID(TwitterClean[[#This Row],[date_posted]],2,10))</f>
        <v>45641</v>
      </c>
      <c r="AD155">
        <f>TIMEVALUE(MID(TwitterClean[[#This Row],[date_posted]],13,8))</f>
        <v>0.81311342592592595</v>
      </c>
      <c r="AE155" s="3" t="str">
        <f>TEXT(TwitterClean[[#This Row],[Post_Date]],"dddd")</f>
        <v>Sunday</v>
      </c>
      <c r="AF155">
        <f>HOUR(TwitterClean[[#This Row],[Post_Time]])</f>
        <v>19</v>
      </c>
      <c r="AG155" t="str">
        <f>IF(TwitterClean[[#This Row],[videos]]="Null","No","Yes")</f>
        <v>No</v>
      </c>
      <c r="AH155" t="str">
        <f>IF(TwitterClean[[#This Row],[photos]]="null","No","Yes")</f>
        <v>Yes</v>
      </c>
      <c r="AI155" t="str">
        <f>IF(TwitterClean[[#This Row],[hashtags]]="null","No","Yes")</f>
        <v>Yes</v>
      </c>
      <c r="AJ155" t="str">
        <f>IF(TwitterClean[[#This Row],[external_url]]="null","Yes","No")</f>
        <v>No</v>
      </c>
      <c r="AK155">
        <f>LEN(TwitterClean[[#This Row],[description]])</f>
        <v>175</v>
      </c>
      <c r="AL155" t="str">
        <f>IF(TwitterClean[[#This Row],[followers]]&lt;100000,"&lt;100K",IF(TwitterClean[[#This Row],[followers]]&lt;1000000,"100K-1M",IF(TwitterClean[[#This Row],[followers]]&lt;10000000,"1M-10M","10M+")))</f>
        <v>1M-10M</v>
      </c>
    </row>
    <row r="156" spans="1:38">
      <c r="A156">
        <v>1.8683724004355154E+18</v>
      </c>
      <c r="B156" t="s">
        <v>1258</v>
      </c>
      <c r="C156" t="s">
        <v>3735</v>
      </c>
      <c r="D156" t="s">
        <v>4647</v>
      </c>
      <c r="E156" t="s">
        <v>4648</v>
      </c>
      <c r="F156" t="s">
        <v>4649</v>
      </c>
      <c r="G156" t="s">
        <v>4650</v>
      </c>
      <c r="H156" t="s">
        <v>29</v>
      </c>
      <c r="I156">
        <v>65</v>
      </c>
      <c r="J156">
        <v>286</v>
      </c>
      <c r="K156">
        <v>3857</v>
      </c>
      <c r="L156">
        <v>143794</v>
      </c>
      <c r="M156" t="s">
        <v>3739</v>
      </c>
      <c r="N156" t="s">
        <v>3740</v>
      </c>
      <c r="O156">
        <v>26078978</v>
      </c>
      <c r="P156" t="s">
        <v>52</v>
      </c>
      <c r="Q156">
        <v>121345</v>
      </c>
      <c r="R156" t="s">
        <v>3741</v>
      </c>
      <c r="S156">
        <v>277</v>
      </c>
      <c r="T156" t="b">
        <v>0</v>
      </c>
      <c r="U156">
        <v>4</v>
      </c>
      <c r="V156">
        <v>22</v>
      </c>
      <c r="W156" t="s">
        <v>35</v>
      </c>
      <c r="X156" t="s">
        <v>29</v>
      </c>
      <c r="Y156" t="s">
        <v>29</v>
      </c>
      <c r="Z156" t="s">
        <v>37</v>
      </c>
      <c r="AA156">
        <f>TwitterClean[[#This Row],[likes]]+TwitterClean[[#This Row],[replies]]+TwitterClean[[#This Row],[reposts]]+TwitterClean[[#This Row],[quotes]]+TwitterClean[[#This Row],[bookmarks]]</f>
        <v>4234</v>
      </c>
      <c r="AB156" s="1">
        <f>TwitterClean[[#This Row],[Total_Engagements]]/TwitterClean[[#This Row],[views]]</f>
        <v>2.944490034354702E-2</v>
      </c>
      <c r="AC156" s="3">
        <f>DATEVALUE(MID(TwitterClean[[#This Row],[date_posted]],2,10))</f>
        <v>45641</v>
      </c>
      <c r="AD156">
        <f>TIMEVALUE(MID(TwitterClean[[#This Row],[date_posted]],13,8))</f>
        <v>0.79707175925925922</v>
      </c>
      <c r="AE156" s="3" t="str">
        <f>TEXT(TwitterClean[[#This Row],[Post_Date]],"dddd")</f>
        <v>Sunday</v>
      </c>
      <c r="AF156">
        <f>HOUR(TwitterClean[[#This Row],[Post_Time]])</f>
        <v>19</v>
      </c>
      <c r="AG156" t="str">
        <f>IF(TwitterClean[[#This Row],[videos]]="Null","No","Yes")</f>
        <v>No</v>
      </c>
      <c r="AH156" t="str">
        <f>IF(TwitterClean[[#This Row],[photos]]="null","No","Yes")</f>
        <v>Yes</v>
      </c>
      <c r="AI156" t="str">
        <f>IF(TwitterClean[[#This Row],[hashtags]]="null","No","Yes")</f>
        <v>Yes</v>
      </c>
      <c r="AJ156" t="str">
        <f>IF(TwitterClean[[#This Row],[external_url]]="null","Yes","No")</f>
        <v>No</v>
      </c>
      <c r="AK156">
        <f>LEN(TwitterClean[[#This Row],[description]])</f>
        <v>64</v>
      </c>
      <c r="AL156" t="str">
        <f>IF(TwitterClean[[#This Row],[followers]]&lt;100000,"&lt;100K",IF(TwitterClean[[#This Row],[followers]]&lt;1000000,"100K-1M",IF(TwitterClean[[#This Row],[followers]]&lt;10000000,"1M-10M","10M+")))</f>
        <v>10M+</v>
      </c>
    </row>
    <row r="157" spans="1:38">
      <c r="A157">
        <v>1.8683972063544079E+18</v>
      </c>
      <c r="B157" t="s">
        <v>1862</v>
      </c>
      <c r="C157" t="s">
        <v>1863</v>
      </c>
      <c r="D157" t="s">
        <v>2205</v>
      </c>
      <c r="E157" t="s">
        <v>2206</v>
      </c>
      <c r="F157" t="s">
        <v>29</v>
      </c>
      <c r="G157" t="s">
        <v>2207</v>
      </c>
      <c r="H157" t="s">
        <v>2208</v>
      </c>
      <c r="I157">
        <v>14</v>
      </c>
      <c r="J157">
        <v>33</v>
      </c>
      <c r="K157">
        <v>274</v>
      </c>
      <c r="L157">
        <v>11818</v>
      </c>
      <c r="M157" t="s">
        <v>52</v>
      </c>
      <c r="N157" t="s">
        <v>1867</v>
      </c>
      <c r="O157">
        <v>13492430</v>
      </c>
      <c r="P157" t="s">
        <v>1868</v>
      </c>
      <c r="Q157">
        <v>314515</v>
      </c>
      <c r="R157" t="s">
        <v>1869</v>
      </c>
      <c r="S157">
        <v>708</v>
      </c>
      <c r="T157" t="b">
        <v>0</v>
      </c>
      <c r="U157">
        <v>15</v>
      </c>
      <c r="V157">
        <v>11</v>
      </c>
      <c r="W157" t="s">
        <v>35</v>
      </c>
      <c r="X157" t="s">
        <v>29</v>
      </c>
      <c r="Y157" t="s">
        <v>2209</v>
      </c>
      <c r="Z157" t="s">
        <v>37</v>
      </c>
      <c r="AA157">
        <f>TwitterClean[[#This Row],[likes]]+TwitterClean[[#This Row],[replies]]+TwitterClean[[#This Row],[reposts]]+TwitterClean[[#This Row],[quotes]]+TwitterClean[[#This Row],[bookmarks]]</f>
        <v>347</v>
      </c>
      <c r="AB157" s="1">
        <f>TwitterClean[[#This Row],[Total_Engagements]]/TwitterClean[[#This Row],[views]]</f>
        <v>2.9361990184464375E-2</v>
      </c>
      <c r="AC157" s="3">
        <f>DATEVALUE(MID(TwitterClean[[#This Row],[date_posted]],2,10))</f>
        <v>45641</v>
      </c>
      <c r="AD157">
        <f>TIMEVALUE(MID(TwitterClean[[#This Row],[date_posted]],13,8))</f>
        <v>0.86552083333333329</v>
      </c>
      <c r="AE157" s="3" t="str">
        <f>TEXT(TwitterClean[[#This Row],[Post_Date]],"dddd")</f>
        <v>Sunday</v>
      </c>
      <c r="AF157">
        <f>HOUR(TwitterClean[[#This Row],[Post_Time]])</f>
        <v>20</v>
      </c>
      <c r="AG157" t="str">
        <f>IF(TwitterClean[[#This Row],[videos]]="Null","No","Yes")</f>
        <v>Yes</v>
      </c>
      <c r="AH157" t="str">
        <f>IF(TwitterClean[[#This Row],[photos]]="null","No","Yes")</f>
        <v>No</v>
      </c>
      <c r="AI157" t="str">
        <f>IF(TwitterClean[[#This Row],[hashtags]]="null","No","Yes")</f>
        <v>Yes</v>
      </c>
      <c r="AJ157" t="str">
        <f>IF(TwitterClean[[#This Row],[external_url]]="null","Yes","No")</f>
        <v>No</v>
      </c>
      <c r="AK157">
        <f>LEN(TwitterClean[[#This Row],[description]])</f>
        <v>141</v>
      </c>
      <c r="AL157" t="str">
        <f>IF(TwitterClean[[#This Row],[followers]]&lt;100000,"&lt;100K",IF(TwitterClean[[#This Row],[followers]]&lt;1000000,"100K-1M",IF(TwitterClean[[#This Row],[followers]]&lt;10000000,"1M-10M","10M+")))</f>
        <v>10M+</v>
      </c>
    </row>
    <row r="158" spans="1:38">
      <c r="A158">
        <v>1.8681043220781263E+18</v>
      </c>
      <c r="B158" t="s">
        <v>3083</v>
      </c>
      <c r="C158" t="s">
        <v>3083</v>
      </c>
      <c r="D158" t="s">
        <v>5213</v>
      </c>
      <c r="E158" t="s">
        <v>5214</v>
      </c>
      <c r="F158" t="s">
        <v>5215</v>
      </c>
      <c r="G158" t="s">
        <v>5216</v>
      </c>
      <c r="H158" t="s">
        <v>3788</v>
      </c>
      <c r="I158">
        <v>268</v>
      </c>
      <c r="J158">
        <v>1361</v>
      </c>
      <c r="K158">
        <v>13409</v>
      </c>
      <c r="L158">
        <v>524695</v>
      </c>
      <c r="M158" t="s">
        <v>52</v>
      </c>
      <c r="N158" t="s">
        <v>3087</v>
      </c>
      <c r="O158">
        <v>14375935</v>
      </c>
      <c r="P158" t="s">
        <v>3088</v>
      </c>
      <c r="Q158">
        <v>346973</v>
      </c>
      <c r="R158" t="s">
        <v>3089</v>
      </c>
      <c r="S158">
        <v>392</v>
      </c>
      <c r="T158" t="b">
        <v>0</v>
      </c>
      <c r="U158">
        <v>146</v>
      </c>
      <c r="V158">
        <v>202</v>
      </c>
      <c r="W158" t="s">
        <v>35</v>
      </c>
      <c r="X158" t="s">
        <v>29</v>
      </c>
      <c r="Y158" t="s">
        <v>29</v>
      </c>
      <c r="Z158" t="s">
        <v>37</v>
      </c>
      <c r="AA158">
        <f>TwitterClean[[#This Row],[likes]]+TwitterClean[[#This Row],[replies]]+TwitterClean[[#This Row],[reposts]]+TwitterClean[[#This Row],[quotes]]+TwitterClean[[#This Row],[bookmarks]]</f>
        <v>15386</v>
      </c>
      <c r="AB158" s="1">
        <f>TwitterClean[[#This Row],[Total_Engagements]]/TwitterClean[[#This Row],[views]]</f>
        <v>2.9323702341360218E-2</v>
      </c>
      <c r="AC158" s="3">
        <f>DATEVALUE(MID(TwitterClean[[#This Row],[date_posted]],2,10))</f>
        <v>45641</v>
      </c>
      <c r="AD158">
        <f>TIMEVALUE(MID(TwitterClean[[#This Row],[date_posted]],13,8))</f>
        <v>5.7314814814814811E-2</v>
      </c>
      <c r="AE158" s="3" t="str">
        <f>TEXT(TwitterClean[[#This Row],[Post_Date]],"dddd")</f>
        <v>Sunday</v>
      </c>
      <c r="AF158">
        <f>HOUR(TwitterClean[[#This Row],[Post_Time]])</f>
        <v>1</v>
      </c>
      <c r="AG158" t="str">
        <f>IF(TwitterClean[[#This Row],[videos]]="Null","No","Yes")</f>
        <v>No</v>
      </c>
      <c r="AH158" t="str">
        <f>IF(TwitterClean[[#This Row],[photos]]="null","No","Yes")</f>
        <v>Yes</v>
      </c>
      <c r="AI158" t="str">
        <f>IF(TwitterClean[[#This Row],[hashtags]]="null","No","Yes")</f>
        <v>Yes</v>
      </c>
      <c r="AJ158" t="str">
        <f>IF(TwitterClean[[#This Row],[external_url]]="null","Yes","No")</f>
        <v>No</v>
      </c>
      <c r="AK158">
        <f>LEN(TwitterClean[[#This Row],[description]])</f>
        <v>81</v>
      </c>
      <c r="AL158" t="str">
        <f>IF(TwitterClean[[#This Row],[followers]]&lt;100000,"&lt;100K",IF(TwitterClean[[#This Row],[followers]]&lt;1000000,"100K-1M",IF(TwitterClean[[#This Row],[followers]]&lt;10000000,"1M-10M","10M+")))</f>
        <v>10M+</v>
      </c>
    </row>
    <row r="159" spans="1:38">
      <c r="A159">
        <v>1.868085619307733E+18</v>
      </c>
      <c r="B159" t="s">
        <v>2474</v>
      </c>
      <c r="C159" t="s">
        <v>2475</v>
      </c>
      <c r="D159" t="s">
        <v>5226</v>
      </c>
      <c r="E159" t="s">
        <v>5227</v>
      </c>
      <c r="F159" t="s">
        <v>5228</v>
      </c>
      <c r="G159" t="s">
        <v>5229</v>
      </c>
      <c r="H159" t="s">
        <v>5135</v>
      </c>
      <c r="I159">
        <v>14</v>
      </c>
      <c r="J159">
        <v>17</v>
      </c>
      <c r="K159">
        <v>337</v>
      </c>
      <c r="L159">
        <v>12666</v>
      </c>
      <c r="M159" t="s">
        <v>52</v>
      </c>
      <c r="N159" t="s">
        <v>5022</v>
      </c>
      <c r="O159">
        <v>1511302</v>
      </c>
      <c r="P159" t="s">
        <v>2481</v>
      </c>
      <c r="Q159">
        <v>56647</v>
      </c>
      <c r="R159" t="s">
        <v>2482</v>
      </c>
      <c r="S159">
        <v>80</v>
      </c>
      <c r="T159" t="b">
        <v>0</v>
      </c>
      <c r="U159">
        <v>0</v>
      </c>
      <c r="V159">
        <v>3</v>
      </c>
      <c r="W159" t="s">
        <v>35</v>
      </c>
      <c r="X159" t="s">
        <v>29</v>
      </c>
      <c r="Y159" t="s">
        <v>29</v>
      </c>
      <c r="Z159" t="s">
        <v>37</v>
      </c>
      <c r="AA159">
        <f>TwitterClean[[#This Row],[likes]]+TwitterClean[[#This Row],[replies]]+TwitterClean[[#This Row],[reposts]]+TwitterClean[[#This Row],[quotes]]+TwitterClean[[#This Row],[bookmarks]]</f>
        <v>371</v>
      </c>
      <c r="AB159" s="1">
        <f>TwitterClean[[#This Row],[Total_Engagements]]/TwitterClean[[#This Row],[views]]</f>
        <v>2.9291015316595611E-2</v>
      </c>
      <c r="AC159" s="3">
        <f>DATEVALUE(MID(TwitterClean[[#This Row],[date_posted]],2,10))</f>
        <v>45641</v>
      </c>
      <c r="AD159">
        <f>TIMEVALUE(MID(TwitterClean[[#This Row],[date_posted]],13,8))</f>
        <v>5.7060185185185183E-3</v>
      </c>
      <c r="AE159" s="3" t="str">
        <f>TEXT(TwitterClean[[#This Row],[Post_Date]],"dddd")</f>
        <v>Sunday</v>
      </c>
      <c r="AF159">
        <f>HOUR(TwitterClean[[#This Row],[Post_Time]])</f>
        <v>0</v>
      </c>
      <c r="AG159" t="str">
        <f>IF(TwitterClean[[#This Row],[videos]]="Null","No","Yes")</f>
        <v>No</v>
      </c>
      <c r="AH159" t="str">
        <f>IF(TwitterClean[[#This Row],[photos]]="null","No","Yes")</f>
        <v>Yes</v>
      </c>
      <c r="AI159" t="str">
        <f>IF(TwitterClean[[#This Row],[hashtags]]="null","No","Yes")</f>
        <v>Yes</v>
      </c>
      <c r="AJ159" t="str">
        <f>IF(TwitterClean[[#This Row],[external_url]]="null","Yes","No")</f>
        <v>No</v>
      </c>
      <c r="AK159">
        <f>LEN(TwitterClean[[#This Row],[description]])</f>
        <v>136</v>
      </c>
      <c r="AL159" t="str">
        <f>IF(TwitterClean[[#This Row],[followers]]&lt;100000,"&lt;100K",IF(TwitterClean[[#This Row],[followers]]&lt;1000000,"100K-1M",IF(TwitterClean[[#This Row],[followers]]&lt;10000000,"1M-10M","10M+")))</f>
        <v>1M-10M</v>
      </c>
    </row>
    <row r="160" spans="1:38">
      <c r="A160">
        <v>1.8683329451628424E+18</v>
      </c>
      <c r="B160" t="s">
        <v>257</v>
      </c>
      <c r="C160" t="s">
        <v>258</v>
      </c>
      <c r="D160" t="s">
        <v>259</v>
      </c>
      <c r="E160" t="s">
        <v>260</v>
      </c>
      <c r="F160" t="s">
        <v>29</v>
      </c>
      <c r="G160" t="s">
        <v>261</v>
      </c>
      <c r="H160" t="s">
        <v>29</v>
      </c>
      <c r="I160">
        <v>71</v>
      </c>
      <c r="J160">
        <v>52</v>
      </c>
      <c r="K160">
        <v>145</v>
      </c>
      <c r="L160">
        <v>9695</v>
      </c>
      <c r="M160" t="s">
        <v>262</v>
      </c>
      <c r="N160" t="s">
        <v>29</v>
      </c>
      <c r="O160">
        <v>42567</v>
      </c>
      <c r="P160" t="s">
        <v>263</v>
      </c>
      <c r="Q160">
        <v>5718</v>
      </c>
      <c r="R160" t="s">
        <v>264</v>
      </c>
      <c r="S160">
        <v>430</v>
      </c>
      <c r="T160" t="b">
        <v>0</v>
      </c>
      <c r="U160">
        <v>11</v>
      </c>
      <c r="V160">
        <v>4</v>
      </c>
      <c r="W160" t="s">
        <v>35</v>
      </c>
      <c r="X160" t="s">
        <v>265</v>
      </c>
      <c r="Y160" t="s">
        <v>29</v>
      </c>
      <c r="Z160" t="s">
        <v>37</v>
      </c>
      <c r="AA160">
        <f>TwitterClean[[#This Row],[likes]]+TwitterClean[[#This Row],[replies]]+TwitterClean[[#This Row],[reposts]]+TwitterClean[[#This Row],[quotes]]+TwitterClean[[#This Row],[bookmarks]]</f>
        <v>283</v>
      </c>
      <c r="AB160" s="1">
        <f>TwitterClean[[#This Row],[Total_Engagements]]/TwitterClean[[#This Row],[views]]</f>
        <v>2.9190304280556988E-2</v>
      </c>
      <c r="AC160" s="3">
        <f>DATEVALUE(MID(TwitterClean[[#This Row],[date_posted]],2,10))</f>
        <v>45641</v>
      </c>
      <c r="AD160">
        <f>TIMEVALUE(MID(TwitterClean[[#This Row],[date_posted]],13,8))</f>
        <v>0.68819444444444444</v>
      </c>
      <c r="AE160" s="3" t="str">
        <f>TEXT(TwitterClean[[#This Row],[Post_Date]],"dddd")</f>
        <v>Sunday</v>
      </c>
      <c r="AF160">
        <f>HOUR(TwitterClean[[#This Row],[Post_Time]])</f>
        <v>16</v>
      </c>
      <c r="AG160" t="str">
        <f>IF(TwitterClean[[#This Row],[videos]]="Null","No","Yes")</f>
        <v>No</v>
      </c>
      <c r="AH160" t="str">
        <f>IF(TwitterClean[[#This Row],[photos]]="null","No","Yes")</f>
        <v>No</v>
      </c>
      <c r="AI160" t="str">
        <f>IF(TwitterClean[[#This Row],[hashtags]]="null","No","Yes")</f>
        <v>No</v>
      </c>
      <c r="AJ160" t="str">
        <f>IF(TwitterClean[[#This Row],[external_url]]="null","Yes","No")</f>
        <v>No</v>
      </c>
      <c r="AK160">
        <f>LEN(TwitterClean[[#This Row],[description]])</f>
        <v>122</v>
      </c>
      <c r="AL160" t="str">
        <f>IF(TwitterClean[[#This Row],[followers]]&lt;100000,"&lt;100K",IF(TwitterClean[[#This Row],[followers]]&lt;1000000,"100K-1M",IF(TwitterClean[[#This Row],[followers]]&lt;10000000,"1M-10M","10M+")))</f>
        <v>&lt;100K</v>
      </c>
    </row>
    <row r="161" spans="1:38">
      <c r="A161">
        <v>1.8683340224533176E+18</v>
      </c>
      <c r="B161" t="s">
        <v>726</v>
      </c>
      <c r="C161" t="s">
        <v>727</v>
      </c>
      <c r="D161" t="s">
        <v>1039</v>
      </c>
      <c r="E161" t="s">
        <v>1040</v>
      </c>
      <c r="F161" t="s">
        <v>1041</v>
      </c>
      <c r="G161" t="s">
        <v>1042</v>
      </c>
      <c r="H161" t="s">
        <v>29</v>
      </c>
      <c r="I161">
        <v>12</v>
      </c>
      <c r="J161">
        <v>12</v>
      </c>
      <c r="K161">
        <v>183</v>
      </c>
      <c r="L161">
        <v>7205</v>
      </c>
      <c r="M161" t="s">
        <v>52</v>
      </c>
      <c r="N161" t="s">
        <v>732</v>
      </c>
      <c r="O161">
        <v>220409</v>
      </c>
      <c r="P161" t="s">
        <v>733</v>
      </c>
      <c r="Q161">
        <v>43155</v>
      </c>
      <c r="R161" t="s">
        <v>734</v>
      </c>
      <c r="S161">
        <v>199</v>
      </c>
      <c r="T161" t="b">
        <v>0</v>
      </c>
      <c r="U161">
        <v>1</v>
      </c>
      <c r="V161">
        <v>2</v>
      </c>
      <c r="W161" t="s">
        <v>35</v>
      </c>
      <c r="X161" t="s">
        <v>29</v>
      </c>
      <c r="Y161" t="s">
        <v>29</v>
      </c>
      <c r="Z161" t="s">
        <v>37</v>
      </c>
      <c r="AA161">
        <f>TwitterClean[[#This Row],[likes]]+TwitterClean[[#This Row],[replies]]+TwitterClean[[#This Row],[reposts]]+TwitterClean[[#This Row],[quotes]]+TwitterClean[[#This Row],[bookmarks]]</f>
        <v>210</v>
      </c>
      <c r="AB161" s="1">
        <f>TwitterClean[[#This Row],[Total_Engagements]]/TwitterClean[[#This Row],[views]]</f>
        <v>2.9146426092990979E-2</v>
      </c>
      <c r="AC161" s="3">
        <f>DATEVALUE(MID(TwitterClean[[#This Row],[date_posted]],2,10))</f>
        <v>45641</v>
      </c>
      <c r="AD161">
        <f>TIMEVALUE(MID(TwitterClean[[#This Row],[date_posted]],13,8))</f>
        <v>0.69116898148148154</v>
      </c>
      <c r="AE161" s="3" t="str">
        <f>TEXT(TwitterClean[[#This Row],[Post_Date]],"dddd")</f>
        <v>Sunday</v>
      </c>
      <c r="AF161">
        <f>HOUR(TwitterClean[[#This Row],[Post_Time]])</f>
        <v>16</v>
      </c>
      <c r="AG161" t="str">
        <f>IF(TwitterClean[[#This Row],[videos]]="Null","No","Yes")</f>
        <v>No</v>
      </c>
      <c r="AH161" t="str">
        <f>IF(TwitterClean[[#This Row],[photos]]="null","No","Yes")</f>
        <v>Yes</v>
      </c>
      <c r="AI161" t="str">
        <f>IF(TwitterClean[[#This Row],[hashtags]]="null","No","Yes")</f>
        <v>Yes</v>
      </c>
      <c r="AJ161" t="str">
        <f>IF(TwitterClean[[#This Row],[external_url]]="null","Yes","No")</f>
        <v>No</v>
      </c>
      <c r="AK161">
        <f>LEN(TwitterClean[[#This Row],[description]])</f>
        <v>37</v>
      </c>
      <c r="AL161" t="str">
        <f>IF(TwitterClean[[#This Row],[followers]]&lt;100000,"&lt;100K",IF(TwitterClean[[#This Row],[followers]]&lt;1000000,"100K-1M",IF(TwitterClean[[#This Row],[followers]]&lt;10000000,"1M-10M","10M+")))</f>
        <v>100K-1M</v>
      </c>
    </row>
    <row r="162" spans="1:38">
      <c r="A162">
        <v>1.868125259989152E+18</v>
      </c>
      <c r="B162" t="s">
        <v>3083</v>
      </c>
      <c r="C162" t="s">
        <v>3083</v>
      </c>
      <c r="D162" t="s">
        <v>3552</v>
      </c>
      <c r="E162" t="s">
        <v>3553</v>
      </c>
      <c r="F162" t="s">
        <v>29</v>
      </c>
      <c r="G162" t="s">
        <v>3554</v>
      </c>
      <c r="H162" t="s">
        <v>3555</v>
      </c>
      <c r="I162">
        <v>336</v>
      </c>
      <c r="J162">
        <v>1810</v>
      </c>
      <c r="K162">
        <v>9291</v>
      </c>
      <c r="L162">
        <v>422505</v>
      </c>
      <c r="M162" t="s">
        <v>52</v>
      </c>
      <c r="N162" t="s">
        <v>3087</v>
      </c>
      <c r="O162">
        <v>14375937</v>
      </c>
      <c r="P162" t="s">
        <v>3088</v>
      </c>
      <c r="Q162">
        <v>346973</v>
      </c>
      <c r="R162" t="s">
        <v>3089</v>
      </c>
      <c r="S162">
        <v>392</v>
      </c>
      <c r="T162" t="b">
        <v>0</v>
      </c>
      <c r="U162">
        <v>206</v>
      </c>
      <c r="V162">
        <v>665</v>
      </c>
      <c r="W162" t="s">
        <v>35</v>
      </c>
      <c r="X162" t="s">
        <v>29</v>
      </c>
      <c r="Y162" t="s">
        <v>3556</v>
      </c>
      <c r="Z162" t="s">
        <v>37</v>
      </c>
      <c r="AA162">
        <f>TwitterClean[[#This Row],[likes]]+TwitterClean[[#This Row],[replies]]+TwitterClean[[#This Row],[reposts]]+TwitterClean[[#This Row],[quotes]]+TwitterClean[[#This Row],[bookmarks]]</f>
        <v>12308</v>
      </c>
      <c r="AB162" s="1">
        <f>TwitterClean[[#This Row],[Total_Engagements]]/TwitterClean[[#This Row],[views]]</f>
        <v>2.9131016200991705E-2</v>
      </c>
      <c r="AC162" s="3">
        <f>DATEVALUE(MID(TwitterClean[[#This Row],[date_posted]],2,10))</f>
        <v>45641</v>
      </c>
      <c r="AD162">
        <f>TIMEVALUE(MID(TwitterClean[[#This Row],[date_posted]],13,8))</f>
        <v>0.11509259259259259</v>
      </c>
      <c r="AE162" s="3" t="str">
        <f>TEXT(TwitterClean[[#This Row],[Post_Date]],"dddd")</f>
        <v>Sunday</v>
      </c>
      <c r="AF162">
        <f>HOUR(TwitterClean[[#This Row],[Post_Time]])</f>
        <v>2</v>
      </c>
      <c r="AG162" t="str">
        <f>IF(TwitterClean[[#This Row],[videos]]="Null","No","Yes")</f>
        <v>Yes</v>
      </c>
      <c r="AH162" t="str">
        <f>IF(TwitterClean[[#This Row],[photos]]="null","No","Yes")</f>
        <v>No</v>
      </c>
      <c r="AI162" t="str">
        <f>IF(TwitterClean[[#This Row],[hashtags]]="null","No","Yes")</f>
        <v>Yes</v>
      </c>
      <c r="AJ162" t="str">
        <f>IF(TwitterClean[[#This Row],[external_url]]="null","Yes","No")</f>
        <v>No</v>
      </c>
      <c r="AK162">
        <f>LEN(TwitterClean[[#This Row],[description]])</f>
        <v>65</v>
      </c>
      <c r="AL162" t="str">
        <f>IF(TwitterClean[[#This Row],[followers]]&lt;100000,"&lt;100K",IF(TwitterClean[[#This Row],[followers]]&lt;1000000,"100K-1M",IF(TwitterClean[[#This Row],[followers]]&lt;10000000,"1M-10M","10M+")))</f>
        <v>10M+</v>
      </c>
    </row>
    <row r="163" spans="1:38">
      <c r="A163">
        <v>1.8683521934991974E+18</v>
      </c>
      <c r="B163" t="s">
        <v>26</v>
      </c>
      <c r="C163" t="s">
        <v>26</v>
      </c>
      <c r="D163" t="s">
        <v>110</v>
      </c>
      <c r="E163" t="s">
        <v>111</v>
      </c>
      <c r="F163" t="s">
        <v>29</v>
      </c>
      <c r="G163" t="s">
        <v>112</v>
      </c>
      <c r="H163" t="s">
        <v>29</v>
      </c>
      <c r="I163">
        <v>64</v>
      </c>
      <c r="J163">
        <v>21</v>
      </c>
      <c r="K163">
        <v>263</v>
      </c>
      <c r="L163">
        <v>12074</v>
      </c>
      <c r="M163" t="s">
        <v>31</v>
      </c>
      <c r="N163" t="s">
        <v>71</v>
      </c>
      <c r="O163">
        <v>5771761</v>
      </c>
      <c r="P163" t="s">
        <v>33</v>
      </c>
      <c r="Q163">
        <v>222223</v>
      </c>
      <c r="R163" t="s">
        <v>34</v>
      </c>
      <c r="S163">
        <v>122</v>
      </c>
      <c r="T163" t="b">
        <v>0</v>
      </c>
      <c r="U163">
        <v>0</v>
      </c>
      <c r="V163">
        <v>3</v>
      </c>
      <c r="W163" t="s">
        <v>35</v>
      </c>
      <c r="X163" t="s">
        <v>29</v>
      </c>
      <c r="Y163" t="s">
        <v>113</v>
      </c>
      <c r="Z163" t="s">
        <v>37</v>
      </c>
      <c r="AA163">
        <f>TwitterClean[[#This Row],[likes]]+TwitterClean[[#This Row],[replies]]+TwitterClean[[#This Row],[reposts]]+TwitterClean[[#This Row],[quotes]]+TwitterClean[[#This Row],[bookmarks]]</f>
        <v>351</v>
      </c>
      <c r="AB163" s="1">
        <f>TwitterClean[[#This Row],[Total_Engagements]]/TwitterClean[[#This Row],[views]]</f>
        <v>2.9070730495279112E-2</v>
      </c>
      <c r="AC163" s="3">
        <f>DATEVALUE(MID(TwitterClean[[#This Row],[date_posted]],2,10))</f>
        <v>45641</v>
      </c>
      <c r="AD163">
        <f>TIMEVALUE(MID(TwitterClean[[#This Row],[date_posted]],13,8))</f>
        <v>0.74130787037037038</v>
      </c>
      <c r="AE163" s="3" t="str">
        <f>TEXT(TwitterClean[[#This Row],[Post_Date]],"dddd")</f>
        <v>Sunday</v>
      </c>
      <c r="AF163">
        <f>HOUR(TwitterClean[[#This Row],[Post_Time]])</f>
        <v>17</v>
      </c>
      <c r="AG163" t="str">
        <f>IF(TwitterClean[[#This Row],[videos]]="Null","No","Yes")</f>
        <v>Yes</v>
      </c>
      <c r="AH163" t="str">
        <f>IF(TwitterClean[[#This Row],[photos]]="null","No","Yes")</f>
        <v>No</v>
      </c>
      <c r="AI163" t="str">
        <f>IF(TwitterClean[[#This Row],[hashtags]]="null","No","Yes")</f>
        <v>Yes</v>
      </c>
      <c r="AJ163" t="str">
        <f>IF(TwitterClean[[#This Row],[external_url]]="null","Yes","No")</f>
        <v>No</v>
      </c>
      <c r="AK163">
        <f>LEN(TwitterClean[[#This Row],[description]])</f>
        <v>248</v>
      </c>
      <c r="AL163" t="str">
        <f>IF(TwitterClean[[#This Row],[followers]]&lt;100000,"&lt;100K",IF(TwitterClean[[#This Row],[followers]]&lt;1000000,"100K-1M",IF(TwitterClean[[#This Row],[followers]]&lt;10000000,"1M-10M","10M+")))</f>
        <v>1M-10M</v>
      </c>
    </row>
    <row r="164" spans="1:38">
      <c r="A164">
        <v>1.8683274881177068E+18</v>
      </c>
      <c r="B164" t="s">
        <v>1280</v>
      </c>
      <c r="C164" t="s">
        <v>1281</v>
      </c>
      <c r="D164" t="s">
        <v>1477</v>
      </c>
      <c r="E164" t="s">
        <v>1478</v>
      </c>
      <c r="F164" t="s">
        <v>1479</v>
      </c>
      <c r="G164" t="s">
        <v>1480</v>
      </c>
      <c r="H164" t="s">
        <v>29</v>
      </c>
      <c r="I164">
        <v>193</v>
      </c>
      <c r="J164">
        <v>643</v>
      </c>
      <c r="K164">
        <v>7161</v>
      </c>
      <c r="L164">
        <v>277966</v>
      </c>
      <c r="M164" t="s">
        <v>52</v>
      </c>
      <c r="N164" t="s">
        <v>1286</v>
      </c>
      <c r="O164">
        <v>38439078</v>
      </c>
      <c r="P164" t="s">
        <v>1287</v>
      </c>
      <c r="Q164">
        <v>92455</v>
      </c>
      <c r="R164" t="s">
        <v>1288</v>
      </c>
      <c r="S164">
        <v>145</v>
      </c>
      <c r="T164" t="b">
        <v>0</v>
      </c>
      <c r="U164">
        <v>36</v>
      </c>
      <c r="V164">
        <v>31</v>
      </c>
      <c r="W164" t="s">
        <v>35</v>
      </c>
      <c r="X164" t="s">
        <v>29</v>
      </c>
      <c r="Y164" t="s">
        <v>29</v>
      </c>
      <c r="Z164" t="s">
        <v>37</v>
      </c>
      <c r="AA164">
        <f>TwitterClean[[#This Row],[likes]]+TwitterClean[[#This Row],[replies]]+TwitterClean[[#This Row],[reposts]]+TwitterClean[[#This Row],[quotes]]+TwitterClean[[#This Row],[bookmarks]]</f>
        <v>8064</v>
      </c>
      <c r="AB164" s="1">
        <f>TwitterClean[[#This Row],[Total_Engagements]]/TwitterClean[[#This Row],[views]]</f>
        <v>2.9010742321003289E-2</v>
      </c>
      <c r="AC164" s="3">
        <f>DATEVALUE(MID(TwitterClean[[#This Row],[date_posted]],2,10))</f>
        <v>45641</v>
      </c>
      <c r="AD164">
        <f>TIMEVALUE(MID(TwitterClean[[#This Row],[date_posted]],13,8))</f>
        <v>0.67313657407407412</v>
      </c>
      <c r="AE164" s="3" t="str">
        <f>TEXT(TwitterClean[[#This Row],[Post_Date]],"dddd")</f>
        <v>Sunday</v>
      </c>
      <c r="AF164">
        <f>HOUR(TwitterClean[[#This Row],[Post_Time]])</f>
        <v>16</v>
      </c>
      <c r="AG164" t="str">
        <f>IF(TwitterClean[[#This Row],[videos]]="Null","No","Yes")</f>
        <v>No</v>
      </c>
      <c r="AH164" t="str">
        <f>IF(TwitterClean[[#This Row],[photos]]="null","No","Yes")</f>
        <v>Yes</v>
      </c>
      <c r="AI164" t="str">
        <f>IF(TwitterClean[[#This Row],[hashtags]]="null","No","Yes")</f>
        <v>Yes</v>
      </c>
      <c r="AJ164" t="str">
        <f>IF(TwitterClean[[#This Row],[external_url]]="null","Yes","No")</f>
        <v>No</v>
      </c>
      <c r="AK164">
        <f>LEN(TwitterClean[[#This Row],[description]])</f>
        <v>33</v>
      </c>
      <c r="AL164" t="str">
        <f>IF(TwitterClean[[#This Row],[followers]]&lt;100000,"&lt;100K",IF(TwitterClean[[#This Row],[followers]]&lt;1000000,"100K-1M",IF(TwitterClean[[#This Row],[followers]]&lt;10000000,"1M-10M","10M+")))</f>
        <v>10M+</v>
      </c>
    </row>
    <row r="165" spans="1:38">
      <c r="A165">
        <v>1.8682269963226565E+18</v>
      </c>
      <c r="B165" t="s">
        <v>1303</v>
      </c>
      <c r="C165" t="s">
        <v>1304</v>
      </c>
      <c r="D165" t="s">
        <v>1355</v>
      </c>
      <c r="E165" t="s">
        <v>1255</v>
      </c>
      <c r="F165" t="s">
        <v>1356</v>
      </c>
      <c r="G165" t="s">
        <v>1357</v>
      </c>
      <c r="H165" t="s">
        <v>1358</v>
      </c>
      <c r="I165">
        <v>5</v>
      </c>
      <c r="J165">
        <v>21</v>
      </c>
      <c r="K165">
        <v>382</v>
      </c>
      <c r="L165">
        <v>14191</v>
      </c>
      <c r="M165" t="s">
        <v>52</v>
      </c>
      <c r="N165" t="s">
        <v>1273</v>
      </c>
      <c r="O165">
        <v>240106</v>
      </c>
      <c r="P165" t="s">
        <v>1309</v>
      </c>
      <c r="Q165">
        <v>29070</v>
      </c>
      <c r="R165" t="s">
        <v>1310</v>
      </c>
      <c r="S165">
        <v>799</v>
      </c>
      <c r="T165" t="b">
        <v>0</v>
      </c>
      <c r="U165">
        <v>2</v>
      </c>
      <c r="V165">
        <v>1</v>
      </c>
      <c r="W165" t="s">
        <v>35</v>
      </c>
      <c r="X165" t="s">
        <v>29</v>
      </c>
      <c r="Y165" t="s">
        <v>29</v>
      </c>
      <c r="Z165" t="s">
        <v>37</v>
      </c>
      <c r="AA165">
        <f>TwitterClean[[#This Row],[likes]]+TwitterClean[[#This Row],[replies]]+TwitterClean[[#This Row],[reposts]]+TwitterClean[[#This Row],[quotes]]+TwitterClean[[#This Row],[bookmarks]]</f>
        <v>411</v>
      </c>
      <c r="AB165" s="1">
        <f>TwitterClean[[#This Row],[Total_Engagements]]/TwitterClean[[#This Row],[views]]</f>
        <v>2.8962018180536959E-2</v>
      </c>
      <c r="AC165" s="3">
        <f>DATEVALUE(MID(TwitterClean[[#This Row],[date_posted]],2,10))</f>
        <v>45641</v>
      </c>
      <c r="AD165">
        <f>TIMEVALUE(MID(TwitterClean[[#This Row],[date_posted]],13,8))</f>
        <v>0.39583333333333331</v>
      </c>
      <c r="AE165" s="3" t="str">
        <f>TEXT(TwitterClean[[#This Row],[Post_Date]],"dddd")</f>
        <v>Sunday</v>
      </c>
      <c r="AF165">
        <f>HOUR(TwitterClean[[#This Row],[Post_Time]])</f>
        <v>9</v>
      </c>
      <c r="AG165" t="str">
        <f>IF(TwitterClean[[#This Row],[videos]]="Null","No","Yes")</f>
        <v>No</v>
      </c>
      <c r="AH165" t="str">
        <f>IF(TwitterClean[[#This Row],[photos]]="null","No","Yes")</f>
        <v>Yes</v>
      </c>
      <c r="AI165" t="str">
        <f>IF(TwitterClean[[#This Row],[hashtags]]="null","No","Yes")</f>
        <v>Yes</v>
      </c>
      <c r="AJ165" t="str">
        <f>IF(TwitterClean[[#This Row],[external_url]]="null","Yes","No")</f>
        <v>No</v>
      </c>
      <c r="AK165">
        <f>LEN(TwitterClean[[#This Row],[description]])</f>
        <v>37</v>
      </c>
      <c r="AL165" t="str">
        <f>IF(TwitterClean[[#This Row],[followers]]&lt;100000,"&lt;100K",IF(TwitterClean[[#This Row],[followers]]&lt;1000000,"100K-1M",IF(TwitterClean[[#This Row],[followers]]&lt;10000000,"1M-10M","10M+")))</f>
        <v>100K-1M</v>
      </c>
    </row>
    <row r="166" spans="1:38">
      <c r="A166">
        <v>1.8683659242708012E+18</v>
      </c>
      <c r="B166" t="s">
        <v>275</v>
      </c>
      <c r="C166" t="s">
        <v>276</v>
      </c>
      <c r="D166" t="s">
        <v>1222</v>
      </c>
      <c r="E166" t="s">
        <v>1223</v>
      </c>
      <c r="F166" t="s">
        <v>1224</v>
      </c>
      <c r="G166" t="s">
        <v>1225</v>
      </c>
      <c r="H166" t="s">
        <v>29</v>
      </c>
      <c r="I166">
        <v>114</v>
      </c>
      <c r="J166">
        <v>1571</v>
      </c>
      <c r="K166">
        <v>10254</v>
      </c>
      <c r="L166">
        <v>428009</v>
      </c>
      <c r="M166" t="s">
        <v>52</v>
      </c>
      <c r="N166" t="s">
        <v>281</v>
      </c>
      <c r="O166">
        <v>8539601</v>
      </c>
      <c r="P166" t="s">
        <v>282</v>
      </c>
      <c r="Q166">
        <v>75535</v>
      </c>
      <c r="R166" t="s">
        <v>283</v>
      </c>
      <c r="S166">
        <v>117</v>
      </c>
      <c r="T166" t="b">
        <v>0</v>
      </c>
      <c r="U166">
        <v>181</v>
      </c>
      <c r="V166">
        <v>244</v>
      </c>
      <c r="W166" t="s">
        <v>35</v>
      </c>
      <c r="X166" t="s">
        <v>29</v>
      </c>
      <c r="Y166" t="s">
        <v>29</v>
      </c>
      <c r="Z166" t="s">
        <v>37</v>
      </c>
      <c r="AA166">
        <f>TwitterClean[[#This Row],[likes]]+TwitterClean[[#This Row],[replies]]+TwitterClean[[#This Row],[reposts]]+TwitterClean[[#This Row],[quotes]]+TwitterClean[[#This Row],[bookmarks]]</f>
        <v>12364</v>
      </c>
      <c r="AB166" s="1">
        <f>TwitterClean[[#This Row],[Total_Engagements]]/TwitterClean[[#This Row],[views]]</f>
        <v>2.8887243025263489E-2</v>
      </c>
      <c r="AC166" s="3">
        <f>DATEVALUE(MID(TwitterClean[[#This Row],[date_posted]],2,10))</f>
        <v>45641</v>
      </c>
      <c r="AD166">
        <f>TIMEVALUE(MID(TwitterClean[[#This Row],[date_posted]],13,8))</f>
        <v>0.7792013888888889</v>
      </c>
      <c r="AE166" s="3" t="str">
        <f>TEXT(TwitterClean[[#This Row],[Post_Date]],"dddd")</f>
        <v>Sunday</v>
      </c>
      <c r="AF166">
        <f>HOUR(TwitterClean[[#This Row],[Post_Time]])</f>
        <v>18</v>
      </c>
      <c r="AG166" t="str">
        <f>IF(TwitterClean[[#This Row],[videos]]="Null","No","Yes")</f>
        <v>No</v>
      </c>
      <c r="AH166" t="str">
        <f>IF(TwitterClean[[#This Row],[photos]]="null","No","Yes")</f>
        <v>Yes</v>
      </c>
      <c r="AI166" t="str">
        <f>IF(TwitterClean[[#This Row],[hashtags]]="null","No","Yes")</f>
        <v>Yes</v>
      </c>
      <c r="AJ166" t="str">
        <f>IF(TwitterClean[[#This Row],[external_url]]="null","Yes","No")</f>
        <v>No</v>
      </c>
      <c r="AK166">
        <f>LEN(TwitterClean[[#This Row],[description]])</f>
        <v>98</v>
      </c>
      <c r="AL166" t="str">
        <f>IF(TwitterClean[[#This Row],[followers]]&lt;100000,"&lt;100K",IF(TwitterClean[[#This Row],[followers]]&lt;1000000,"100K-1M",IF(TwitterClean[[#This Row],[followers]]&lt;10000000,"1M-10M","10M+")))</f>
        <v>1M-10M</v>
      </c>
    </row>
    <row r="167" spans="1:38">
      <c r="A167">
        <v>1.8683490496714509E+18</v>
      </c>
      <c r="B167" t="s">
        <v>3392</v>
      </c>
      <c r="C167" t="s">
        <v>3393</v>
      </c>
      <c r="D167" t="s">
        <v>5072</v>
      </c>
      <c r="E167" t="s">
        <v>5073</v>
      </c>
      <c r="F167" t="s">
        <v>5074</v>
      </c>
      <c r="G167" t="s">
        <v>5075</v>
      </c>
      <c r="H167" t="s">
        <v>29</v>
      </c>
      <c r="I167">
        <v>9</v>
      </c>
      <c r="J167">
        <v>14</v>
      </c>
      <c r="K167">
        <v>481</v>
      </c>
      <c r="L167">
        <v>17535</v>
      </c>
      <c r="M167" t="s">
        <v>52</v>
      </c>
      <c r="N167" t="s">
        <v>3405</v>
      </c>
      <c r="O167">
        <v>1480964</v>
      </c>
      <c r="P167" t="s">
        <v>3399</v>
      </c>
      <c r="Q167">
        <v>103753</v>
      </c>
      <c r="R167" t="s">
        <v>3400</v>
      </c>
      <c r="S167">
        <v>552</v>
      </c>
      <c r="T167" t="b">
        <v>0</v>
      </c>
      <c r="U167">
        <v>1</v>
      </c>
      <c r="V167">
        <v>1</v>
      </c>
      <c r="W167" t="s">
        <v>35</v>
      </c>
      <c r="X167" t="s">
        <v>29</v>
      </c>
      <c r="Y167" t="s">
        <v>29</v>
      </c>
      <c r="Z167" t="s">
        <v>37</v>
      </c>
      <c r="AA167">
        <f>TwitterClean[[#This Row],[likes]]+TwitterClean[[#This Row],[replies]]+TwitterClean[[#This Row],[reposts]]+TwitterClean[[#This Row],[quotes]]+TwitterClean[[#This Row],[bookmarks]]</f>
        <v>506</v>
      </c>
      <c r="AB167" s="1">
        <f>TwitterClean[[#This Row],[Total_Engagements]]/TwitterClean[[#This Row],[views]]</f>
        <v>2.8856572569147421E-2</v>
      </c>
      <c r="AC167" s="3">
        <f>DATEVALUE(MID(TwitterClean[[#This Row],[date_posted]],2,10))</f>
        <v>45641</v>
      </c>
      <c r="AD167">
        <f>TIMEVALUE(MID(TwitterClean[[#This Row],[date_posted]],13,8))</f>
        <v>0.73263888888888884</v>
      </c>
      <c r="AE167" s="3" t="str">
        <f>TEXT(TwitterClean[[#This Row],[Post_Date]],"dddd")</f>
        <v>Sunday</v>
      </c>
      <c r="AF167">
        <f>HOUR(TwitterClean[[#This Row],[Post_Time]])</f>
        <v>17</v>
      </c>
      <c r="AG167" t="str">
        <f>IF(TwitterClean[[#This Row],[videos]]="Null","No","Yes")</f>
        <v>No</v>
      </c>
      <c r="AH167" t="str">
        <f>IF(TwitterClean[[#This Row],[photos]]="null","No","Yes")</f>
        <v>Yes</v>
      </c>
      <c r="AI167" t="str">
        <f>IF(TwitterClean[[#This Row],[hashtags]]="null","No","Yes")</f>
        <v>Yes</v>
      </c>
      <c r="AJ167" t="str">
        <f>IF(TwitterClean[[#This Row],[external_url]]="null","Yes","No")</f>
        <v>No</v>
      </c>
      <c r="AK167">
        <f>LEN(TwitterClean[[#This Row],[description]])</f>
        <v>31</v>
      </c>
      <c r="AL167" t="str">
        <f>IF(TwitterClean[[#This Row],[followers]]&lt;100000,"&lt;100K",IF(TwitterClean[[#This Row],[followers]]&lt;1000000,"100K-1M",IF(TwitterClean[[#This Row],[followers]]&lt;10000000,"1M-10M","10M+")))</f>
        <v>1M-10M</v>
      </c>
    </row>
    <row r="168" spans="1:38">
      <c r="A168">
        <v>1.8683897319579075E+18</v>
      </c>
      <c r="B168" t="s">
        <v>1862</v>
      </c>
      <c r="C168" t="s">
        <v>1863</v>
      </c>
      <c r="D168" t="s">
        <v>1897</v>
      </c>
      <c r="E168" t="s">
        <v>1898</v>
      </c>
      <c r="F168" t="s">
        <v>29</v>
      </c>
      <c r="G168" t="s">
        <v>1899</v>
      </c>
      <c r="H168" t="s">
        <v>29</v>
      </c>
      <c r="I168">
        <v>12</v>
      </c>
      <c r="J168">
        <v>48</v>
      </c>
      <c r="K168">
        <v>328</v>
      </c>
      <c r="L168">
        <v>14538</v>
      </c>
      <c r="M168" t="s">
        <v>52</v>
      </c>
      <c r="N168" t="s">
        <v>1867</v>
      </c>
      <c r="O168">
        <v>13492430</v>
      </c>
      <c r="P168" t="s">
        <v>1868</v>
      </c>
      <c r="Q168">
        <v>314515</v>
      </c>
      <c r="R168" t="s">
        <v>1869</v>
      </c>
      <c r="S168">
        <v>708</v>
      </c>
      <c r="T168" t="b">
        <v>0</v>
      </c>
      <c r="U168">
        <v>11</v>
      </c>
      <c r="V168">
        <v>17</v>
      </c>
      <c r="W168" t="s">
        <v>35</v>
      </c>
      <c r="X168" t="s">
        <v>29</v>
      </c>
      <c r="Y168" t="s">
        <v>1900</v>
      </c>
      <c r="Z168" t="s">
        <v>37</v>
      </c>
      <c r="AA168">
        <f>TwitterClean[[#This Row],[likes]]+TwitterClean[[#This Row],[replies]]+TwitterClean[[#This Row],[reposts]]+TwitterClean[[#This Row],[quotes]]+TwitterClean[[#This Row],[bookmarks]]</f>
        <v>416</v>
      </c>
      <c r="AB168" s="1">
        <f>TwitterClean[[#This Row],[Total_Engagements]]/TwitterClean[[#This Row],[views]]</f>
        <v>2.861466501582061E-2</v>
      </c>
      <c r="AC168" s="3">
        <f>DATEVALUE(MID(TwitterClean[[#This Row],[date_posted]],2,10))</f>
        <v>45641</v>
      </c>
      <c r="AD168">
        <f>TIMEVALUE(MID(TwitterClean[[#This Row],[date_posted]],13,8))</f>
        <v>0.84489583333333329</v>
      </c>
      <c r="AE168" s="3" t="str">
        <f>TEXT(TwitterClean[[#This Row],[Post_Date]],"dddd")</f>
        <v>Sunday</v>
      </c>
      <c r="AF168">
        <f>HOUR(TwitterClean[[#This Row],[Post_Time]])</f>
        <v>20</v>
      </c>
      <c r="AG168" t="str">
        <f>IF(TwitterClean[[#This Row],[videos]]="Null","No","Yes")</f>
        <v>Yes</v>
      </c>
      <c r="AH168" t="str">
        <f>IF(TwitterClean[[#This Row],[photos]]="null","No","Yes")</f>
        <v>No</v>
      </c>
      <c r="AI168" t="str">
        <f>IF(TwitterClean[[#This Row],[hashtags]]="null","No","Yes")</f>
        <v>Yes</v>
      </c>
      <c r="AJ168" t="str">
        <f>IF(TwitterClean[[#This Row],[external_url]]="null","Yes","No")</f>
        <v>No</v>
      </c>
      <c r="AK168">
        <f>LEN(TwitterClean[[#This Row],[description]])</f>
        <v>44</v>
      </c>
      <c r="AL168" t="str">
        <f>IF(TwitterClean[[#This Row],[followers]]&lt;100000,"&lt;100K",IF(TwitterClean[[#This Row],[followers]]&lt;1000000,"100K-1M",IF(TwitterClean[[#This Row],[followers]]&lt;10000000,"1M-10M","10M+")))</f>
        <v>10M+</v>
      </c>
    </row>
    <row r="169" spans="1:38">
      <c r="A169">
        <v>1.8683548373873544E+18</v>
      </c>
      <c r="B169" t="s">
        <v>4777</v>
      </c>
      <c r="C169" t="s">
        <v>4778</v>
      </c>
      <c r="D169" t="s">
        <v>4779</v>
      </c>
      <c r="E169" t="s">
        <v>4780</v>
      </c>
      <c r="F169" t="s">
        <v>4781</v>
      </c>
      <c r="G169" t="s">
        <v>4782</v>
      </c>
      <c r="H169" t="s">
        <v>29</v>
      </c>
      <c r="I169">
        <v>108</v>
      </c>
      <c r="J169">
        <v>649</v>
      </c>
      <c r="K169">
        <v>9720</v>
      </c>
      <c r="L169">
        <v>375536</v>
      </c>
      <c r="M169" t="s">
        <v>52</v>
      </c>
      <c r="N169" t="s">
        <v>742</v>
      </c>
      <c r="O169">
        <v>10795892</v>
      </c>
      <c r="P169" t="s">
        <v>4783</v>
      </c>
      <c r="Q169">
        <v>95508</v>
      </c>
      <c r="R169" t="s">
        <v>4784</v>
      </c>
      <c r="S169">
        <v>98</v>
      </c>
      <c r="T169" t="b">
        <v>0</v>
      </c>
      <c r="U169">
        <v>46</v>
      </c>
      <c r="V169">
        <v>191</v>
      </c>
      <c r="W169" t="s">
        <v>35</v>
      </c>
      <c r="X169" t="s">
        <v>29</v>
      </c>
      <c r="Y169" t="s">
        <v>29</v>
      </c>
      <c r="Z169" t="s">
        <v>37</v>
      </c>
      <c r="AA169">
        <f>TwitterClean[[#This Row],[likes]]+TwitterClean[[#This Row],[replies]]+TwitterClean[[#This Row],[reposts]]+TwitterClean[[#This Row],[quotes]]+TwitterClean[[#This Row],[bookmarks]]</f>
        <v>10714</v>
      </c>
      <c r="AB169" s="1">
        <f>TwitterClean[[#This Row],[Total_Engagements]]/TwitterClean[[#This Row],[views]]</f>
        <v>2.8529887946828002E-2</v>
      </c>
      <c r="AC169" s="3">
        <f>DATEVALUE(MID(TwitterClean[[#This Row],[date_posted]],2,10))</f>
        <v>45641</v>
      </c>
      <c r="AD169">
        <f>TIMEVALUE(MID(TwitterClean[[#This Row],[date_posted]],13,8))</f>
        <v>0.74861111111111112</v>
      </c>
      <c r="AE169" s="3" t="str">
        <f>TEXT(TwitterClean[[#This Row],[Post_Date]],"dddd")</f>
        <v>Sunday</v>
      </c>
      <c r="AF169">
        <f>HOUR(TwitterClean[[#This Row],[Post_Time]])</f>
        <v>17</v>
      </c>
      <c r="AG169" t="str">
        <f>IF(TwitterClean[[#This Row],[videos]]="Null","No","Yes")</f>
        <v>No</v>
      </c>
      <c r="AH169" t="str">
        <f>IF(TwitterClean[[#This Row],[photos]]="null","No","Yes")</f>
        <v>Yes</v>
      </c>
      <c r="AI169" t="str">
        <f>IF(TwitterClean[[#This Row],[hashtags]]="null","No","Yes")</f>
        <v>Yes</v>
      </c>
      <c r="AJ169" t="str">
        <f>IF(TwitterClean[[#This Row],[external_url]]="null","Yes","No")</f>
        <v>No</v>
      </c>
      <c r="AK169">
        <f>LEN(TwitterClean[[#This Row],[description]])</f>
        <v>66</v>
      </c>
      <c r="AL169" t="str">
        <f>IF(TwitterClean[[#This Row],[followers]]&lt;100000,"&lt;100K",IF(TwitterClean[[#This Row],[followers]]&lt;1000000,"100K-1M",IF(TwitterClean[[#This Row],[followers]]&lt;10000000,"1M-10M","10M+")))</f>
        <v>10M+</v>
      </c>
    </row>
    <row r="170" spans="1:38">
      <c r="A170">
        <v>1.8684546172158364E+18</v>
      </c>
      <c r="B170" t="s">
        <v>2230</v>
      </c>
      <c r="C170" t="s">
        <v>2231</v>
      </c>
      <c r="D170" t="s">
        <v>2514</v>
      </c>
      <c r="E170" t="s">
        <v>2515</v>
      </c>
      <c r="F170" t="s">
        <v>2516</v>
      </c>
      <c r="G170" t="s">
        <v>2517</v>
      </c>
      <c r="H170" t="s">
        <v>29</v>
      </c>
      <c r="I170">
        <v>37</v>
      </c>
      <c r="J170">
        <v>69</v>
      </c>
      <c r="K170">
        <v>769</v>
      </c>
      <c r="L170">
        <v>31066</v>
      </c>
      <c r="M170" t="s">
        <v>2518</v>
      </c>
      <c r="N170" t="s">
        <v>29</v>
      </c>
      <c r="O170">
        <v>3313887</v>
      </c>
      <c r="P170" t="s">
        <v>2237</v>
      </c>
      <c r="Q170">
        <v>706459</v>
      </c>
      <c r="R170" t="s">
        <v>2238</v>
      </c>
      <c r="S170">
        <v>10308</v>
      </c>
      <c r="T170" t="b">
        <v>0</v>
      </c>
      <c r="U170">
        <v>7</v>
      </c>
      <c r="V170">
        <v>3</v>
      </c>
      <c r="W170" t="s">
        <v>35</v>
      </c>
      <c r="X170" t="s">
        <v>29</v>
      </c>
      <c r="Y170" t="s">
        <v>29</v>
      </c>
      <c r="Z170" t="s">
        <v>37</v>
      </c>
      <c r="AA170">
        <f>TwitterClean[[#This Row],[likes]]+TwitterClean[[#This Row],[replies]]+TwitterClean[[#This Row],[reposts]]+TwitterClean[[#This Row],[quotes]]+TwitterClean[[#This Row],[bookmarks]]</f>
        <v>885</v>
      </c>
      <c r="AB170" s="1">
        <f>TwitterClean[[#This Row],[Total_Engagements]]/TwitterClean[[#This Row],[views]]</f>
        <v>2.8487735788321637E-2</v>
      </c>
      <c r="AC170" s="3">
        <f>DATEVALUE(MID(TwitterClean[[#This Row],[date_posted]],2,10))</f>
        <v>45642</v>
      </c>
      <c r="AD170">
        <f>TIMEVALUE(MID(TwitterClean[[#This Row],[date_posted]],13,8))</f>
        <v>2.3946759259259258E-2</v>
      </c>
      <c r="AE170" s="3" t="str">
        <f>TEXT(TwitterClean[[#This Row],[Post_Date]],"dddd")</f>
        <v>Monday</v>
      </c>
      <c r="AF170">
        <f>HOUR(TwitterClean[[#This Row],[Post_Time]])</f>
        <v>0</v>
      </c>
      <c r="AG170" t="str">
        <f>IF(TwitterClean[[#This Row],[videos]]="Null","No","Yes")</f>
        <v>No</v>
      </c>
      <c r="AH170" t="str">
        <f>IF(TwitterClean[[#This Row],[photos]]="null","No","Yes")</f>
        <v>Yes</v>
      </c>
      <c r="AI170" t="str">
        <f>IF(TwitterClean[[#This Row],[hashtags]]="null","No","Yes")</f>
        <v>No</v>
      </c>
      <c r="AJ170" t="str">
        <f>IF(TwitterClean[[#This Row],[external_url]]="null","Yes","No")</f>
        <v>No</v>
      </c>
      <c r="AK170">
        <f>LEN(TwitterClean[[#This Row],[description]])</f>
        <v>83</v>
      </c>
      <c r="AL170" t="str">
        <f>IF(TwitterClean[[#This Row],[followers]]&lt;100000,"&lt;100K",IF(TwitterClean[[#This Row],[followers]]&lt;1000000,"100K-1M",IF(TwitterClean[[#This Row],[followers]]&lt;10000000,"1M-10M","10M+")))</f>
        <v>1M-10M</v>
      </c>
    </row>
    <row r="171" spans="1:38">
      <c r="A171">
        <v>1.8684371794347709E+18</v>
      </c>
      <c r="B171" t="s">
        <v>1862</v>
      </c>
      <c r="C171" t="s">
        <v>1863</v>
      </c>
      <c r="D171" t="s">
        <v>2052</v>
      </c>
      <c r="E171" t="s">
        <v>2053</v>
      </c>
      <c r="F171" t="s">
        <v>29</v>
      </c>
      <c r="G171" t="s">
        <v>2054</v>
      </c>
      <c r="H171" t="s">
        <v>29</v>
      </c>
      <c r="I171">
        <v>9</v>
      </c>
      <c r="J171">
        <v>41</v>
      </c>
      <c r="K171">
        <v>325</v>
      </c>
      <c r="L171">
        <v>13861</v>
      </c>
      <c r="M171" t="s">
        <v>52</v>
      </c>
      <c r="N171" t="s">
        <v>1867</v>
      </c>
      <c r="O171">
        <v>13492430</v>
      </c>
      <c r="P171" t="s">
        <v>1868</v>
      </c>
      <c r="Q171">
        <v>314515</v>
      </c>
      <c r="R171" t="s">
        <v>1869</v>
      </c>
      <c r="S171">
        <v>708</v>
      </c>
      <c r="T171" t="b">
        <v>0</v>
      </c>
      <c r="U171">
        <v>5</v>
      </c>
      <c r="V171">
        <v>14</v>
      </c>
      <c r="W171" t="s">
        <v>35</v>
      </c>
      <c r="X171" t="s">
        <v>29</v>
      </c>
      <c r="Y171" t="s">
        <v>2055</v>
      </c>
      <c r="Z171" t="s">
        <v>37</v>
      </c>
      <c r="AA171">
        <f>TwitterClean[[#This Row],[likes]]+TwitterClean[[#This Row],[replies]]+TwitterClean[[#This Row],[reposts]]+TwitterClean[[#This Row],[quotes]]+TwitterClean[[#This Row],[bookmarks]]</f>
        <v>394</v>
      </c>
      <c r="AB171" s="1">
        <f>TwitterClean[[#This Row],[Total_Engagements]]/TwitterClean[[#This Row],[views]]</f>
        <v>2.8425077555731908E-2</v>
      </c>
      <c r="AC171" s="3">
        <f>DATEVALUE(MID(TwitterClean[[#This Row],[date_posted]],2,10))</f>
        <v>45641</v>
      </c>
      <c r="AD171">
        <f>TIMEVALUE(MID(TwitterClean[[#This Row],[date_posted]],13,8))</f>
        <v>0.97583333333333333</v>
      </c>
      <c r="AE171" s="3" t="str">
        <f>TEXT(TwitterClean[[#This Row],[Post_Date]],"dddd")</f>
        <v>Sunday</v>
      </c>
      <c r="AF171">
        <f>HOUR(TwitterClean[[#This Row],[Post_Time]])</f>
        <v>23</v>
      </c>
      <c r="AG171" t="str">
        <f>IF(TwitterClean[[#This Row],[videos]]="Null","No","Yes")</f>
        <v>Yes</v>
      </c>
      <c r="AH171" t="str">
        <f>IF(TwitterClean[[#This Row],[photos]]="null","No","Yes")</f>
        <v>No</v>
      </c>
      <c r="AI171" t="str">
        <f>IF(TwitterClean[[#This Row],[hashtags]]="null","No","Yes")</f>
        <v>Yes</v>
      </c>
      <c r="AJ171" t="str">
        <f>IF(TwitterClean[[#This Row],[external_url]]="null","Yes","No")</f>
        <v>No</v>
      </c>
      <c r="AK171">
        <f>LEN(TwitterClean[[#This Row],[description]])</f>
        <v>54</v>
      </c>
      <c r="AL171" t="str">
        <f>IF(TwitterClean[[#This Row],[followers]]&lt;100000,"&lt;100K",IF(TwitterClean[[#This Row],[followers]]&lt;1000000,"100K-1M",IF(TwitterClean[[#This Row],[followers]]&lt;10000000,"1M-10M","10M+")))</f>
        <v>10M+</v>
      </c>
    </row>
    <row r="172" spans="1:38">
      <c r="A172">
        <v>1.8659594497202138E+18</v>
      </c>
      <c r="B172" t="s">
        <v>547</v>
      </c>
      <c r="C172" t="s">
        <v>548</v>
      </c>
      <c r="D172" t="s">
        <v>549</v>
      </c>
      <c r="E172" t="s">
        <v>550</v>
      </c>
      <c r="F172" t="s">
        <v>551</v>
      </c>
      <c r="G172" t="s">
        <v>552</v>
      </c>
      <c r="H172" t="s">
        <v>553</v>
      </c>
      <c r="I172">
        <v>269</v>
      </c>
      <c r="J172">
        <v>623</v>
      </c>
      <c r="K172">
        <v>5591</v>
      </c>
      <c r="L172">
        <v>231481</v>
      </c>
      <c r="M172" t="s">
        <v>52</v>
      </c>
      <c r="N172" t="s">
        <v>554</v>
      </c>
      <c r="O172">
        <v>4017731</v>
      </c>
      <c r="P172" t="s">
        <v>555</v>
      </c>
      <c r="Q172">
        <v>216529</v>
      </c>
      <c r="R172" t="s">
        <v>556</v>
      </c>
      <c r="S172">
        <v>214</v>
      </c>
      <c r="T172" t="b">
        <v>0</v>
      </c>
      <c r="U172">
        <v>45</v>
      </c>
      <c r="V172">
        <v>48</v>
      </c>
      <c r="W172" t="s">
        <v>35</v>
      </c>
      <c r="X172" t="s">
        <v>29</v>
      </c>
      <c r="Y172" t="s">
        <v>29</v>
      </c>
      <c r="Z172" t="s">
        <v>37</v>
      </c>
      <c r="AA172">
        <f>TwitterClean[[#This Row],[likes]]+TwitterClean[[#This Row],[replies]]+TwitterClean[[#This Row],[reposts]]+TwitterClean[[#This Row],[quotes]]+TwitterClean[[#This Row],[bookmarks]]</f>
        <v>6576</v>
      </c>
      <c r="AB172" s="1">
        <f>TwitterClean[[#This Row],[Total_Engagements]]/TwitterClean[[#This Row],[views]]</f>
        <v>2.8408379089428507E-2</v>
      </c>
      <c r="AC172" s="3">
        <f>DATEVALUE(MID(TwitterClean[[#This Row],[date_posted]],2,10))</f>
        <v>45635</v>
      </c>
      <c r="AD172">
        <f>TIMEVALUE(MID(TwitterClean[[#This Row],[date_posted]],13,8))</f>
        <v>0.13859953703703703</v>
      </c>
      <c r="AE172" s="3" t="str">
        <f>TEXT(TwitterClean[[#This Row],[Post_Date]],"dddd")</f>
        <v>Monday</v>
      </c>
      <c r="AF172">
        <f>HOUR(TwitterClean[[#This Row],[Post_Time]])</f>
        <v>3</v>
      </c>
      <c r="AG172" t="str">
        <f>IF(TwitterClean[[#This Row],[videos]]="Null","No","Yes")</f>
        <v>No</v>
      </c>
      <c r="AH172" t="str">
        <f>IF(TwitterClean[[#This Row],[photos]]="null","No","Yes")</f>
        <v>Yes</v>
      </c>
      <c r="AI172" t="str">
        <f>IF(TwitterClean[[#This Row],[hashtags]]="null","No","Yes")</f>
        <v>Yes</v>
      </c>
      <c r="AJ172" t="str">
        <f>IF(TwitterClean[[#This Row],[external_url]]="null","Yes","No")</f>
        <v>No</v>
      </c>
      <c r="AK172">
        <f>LEN(TwitterClean[[#This Row],[description]])</f>
        <v>179</v>
      </c>
      <c r="AL172" t="str">
        <f>IF(TwitterClean[[#This Row],[followers]]&lt;100000,"&lt;100K",IF(TwitterClean[[#This Row],[followers]]&lt;1000000,"100K-1M",IF(TwitterClean[[#This Row],[followers]]&lt;10000000,"1M-10M","10M+")))</f>
        <v>1M-10M</v>
      </c>
    </row>
    <row r="173" spans="1:38">
      <c r="A173">
        <v>1.8091727912683484E+18</v>
      </c>
      <c r="B173" t="s">
        <v>4159</v>
      </c>
      <c r="C173" t="s">
        <v>4160</v>
      </c>
      <c r="D173" t="s">
        <v>4161</v>
      </c>
      <c r="E173" t="s">
        <v>4162</v>
      </c>
      <c r="F173" t="s">
        <v>4163</v>
      </c>
      <c r="G173" t="s">
        <v>4164</v>
      </c>
      <c r="H173" t="s">
        <v>29</v>
      </c>
      <c r="I173">
        <v>297</v>
      </c>
      <c r="J173">
        <v>1915</v>
      </c>
      <c r="K173">
        <v>31610</v>
      </c>
      <c r="L173">
        <v>1372851</v>
      </c>
      <c r="M173" t="s">
        <v>52</v>
      </c>
      <c r="N173" t="s">
        <v>4165</v>
      </c>
      <c r="O173">
        <v>948415</v>
      </c>
      <c r="P173" t="s">
        <v>4166</v>
      </c>
      <c r="Q173">
        <v>40340</v>
      </c>
      <c r="R173" t="s">
        <v>4167</v>
      </c>
      <c r="S173">
        <v>400</v>
      </c>
      <c r="T173" t="b">
        <v>0</v>
      </c>
      <c r="U173">
        <v>59</v>
      </c>
      <c r="V173">
        <v>4603</v>
      </c>
      <c r="W173" t="s">
        <v>35</v>
      </c>
      <c r="X173" t="s">
        <v>29</v>
      </c>
      <c r="Y173" t="s">
        <v>29</v>
      </c>
      <c r="Z173" t="s">
        <v>37</v>
      </c>
      <c r="AA173">
        <f>TwitterClean[[#This Row],[likes]]+TwitterClean[[#This Row],[replies]]+TwitterClean[[#This Row],[reposts]]+TwitterClean[[#This Row],[quotes]]+TwitterClean[[#This Row],[bookmarks]]</f>
        <v>38484</v>
      </c>
      <c r="AB173" s="1">
        <f>TwitterClean[[#This Row],[Total_Engagements]]/TwitterClean[[#This Row],[views]]</f>
        <v>2.8032175378100026E-2</v>
      </c>
      <c r="AC173" s="3">
        <f>DATEVALUE(MID(TwitterClean[[#This Row],[date_posted]],2,10))</f>
        <v>45478</v>
      </c>
      <c r="AD173">
        <f>TIMEVALUE(MID(TwitterClean[[#This Row],[date_posted]],13,8))</f>
        <v>0.4372685185185185</v>
      </c>
      <c r="AE173" s="3" t="str">
        <f>TEXT(TwitterClean[[#This Row],[Post_Date]],"dddd")</f>
        <v>Friday</v>
      </c>
      <c r="AF173">
        <f>HOUR(TwitterClean[[#This Row],[Post_Time]])</f>
        <v>10</v>
      </c>
      <c r="AG173" t="str">
        <f>IF(TwitterClean[[#This Row],[videos]]="Null","No","Yes")</f>
        <v>No</v>
      </c>
      <c r="AH173" t="str">
        <f>IF(TwitterClean[[#This Row],[photos]]="null","No","Yes")</f>
        <v>Yes</v>
      </c>
      <c r="AI173" t="str">
        <f>IF(TwitterClean[[#This Row],[hashtags]]="null","No","Yes")</f>
        <v>Yes</v>
      </c>
      <c r="AJ173" t="str">
        <f>IF(TwitterClean[[#This Row],[external_url]]="null","Yes","No")</f>
        <v>No</v>
      </c>
      <c r="AK173">
        <f>LEN(TwitterClean[[#This Row],[description]])</f>
        <v>20</v>
      </c>
      <c r="AL173" t="str">
        <f>IF(TwitterClean[[#This Row],[followers]]&lt;100000,"&lt;100K",IF(TwitterClean[[#This Row],[followers]]&lt;1000000,"100K-1M",IF(TwitterClean[[#This Row],[followers]]&lt;10000000,"1M-10M","10M+")))</f>
        <v>100K-1M</v>
      </c>
    </row>
    <row r="174" spans="1:38">
      <c r="A174">
        <v>1.8682773054972805E+18</v>
      </c>
      <c r="B174" t="s">
        <v>3392</v>
      </c>
      <c r="C174" t="s">
        <v>3393</v>
      </c>
      <c r="D174" t="s">
        <v>4668</v>
      </c>
      <c r="E174" t="s">
        <v>4669</v>
      </c>
      <c r="F174" t="s">
        <v>4670</v>
      </c>
      <c r="G174" t="s">
        <v>4671</v>
      </c>
      <c r="H174" t="s">
        <v>29</v>
      </c>
      <c r="I174">
        <v>8</v>
      </c>
      <c r="J174">
        <v>32</v>
      </c>
      <c r="K174">
        <v>959</v>
      </c>
      <c r="L174">
        <v>36130</v>
      </c>
      <c r="M174" t="s">
        <v>52</v>
      </c>
      <c r="N174" t="s">
        <v>3405</v>
      </c>
      <c r="O174">
        <v>1480966</v>
      </c>
      <c r="P174" t="s">
        <v>3399</v>
      </c>
      <c r="Q174">
        <v>103753</v>
      </c>
      <c r="R174" t="s">
        <v>3400</v>
      </c>
      <c r="S174">
        <v>552</v>
      </c>
      <c r="T174" t="b">
        <v>0</v>
      </c>
      <c r="U174">
        <v>10</v>
      </c>
      <c r="V174">
        <v>1</v>
      </c>
      <c r="W174" t="s">
        <v>35</v>
      </c>
      <c r="X174" t="s">
        <v>29</v>
      </c>
      <c r="Y174" t="s">
        <v>29</v>
      </c>
      <c r="Z174" t="s">
        <v>37</v>
      </c>
      <c r="AA174">
        <f>TwitterClean[[#This Row],[likes]]+TwitterClean[[#This Row],[replies]]+TwitterClean[[#This Row],[reposts]]+TwitterClean[[#This Row],[quotes]]+TwitterClean[[#This Row],[bookmarks]]</f>
        <v>1010</v>
      </c>
      <c r="AB174" s="1">
        <f>TwitterClean[[#This Row],[Total_Engagements]]/TwitterClean[[#This Row],[views]]</f>
        <v>2.7954608358704676E-2</v>
      </c>
      <c r="AC174" s="3">
        <f>DATEVALUE(MID(TwitterClean[[#This Row],[date_posted]],2,10))</f>
        <v>45641</v>
      </c>
      <c r="AD174">
        <f>TIMEVALUE(MID(TwitterClean[[#This Row],[date_posted]],13,8))</f>
        <v>0.5346643518518519</v>
      </c>
      <c r="AE174" s="3" t="str">
        <f>TEXT(TwitterClean[[#This Row],[Post_Date]],"dddd")</f>
        <v>Sunday</v>
      </c>
      <c r="AF174">
        <f>HOUR(TwitterClean[[#This Row],[Post_Time]])</f>
        <v>12</v>
      </c>
      <c r="AG174" t="str">
        <f>IF(TwitterClean[[#This Row],[videos]]="Null","No","Yes")</f>
        <v>No</v>
      </c>
      <c r="AH174" t="str">
        <f>IF(TwitterClean[[#This Row],[photos]]="null","No","Yes")</f>
        <v>Yes</v>
      </c>
      <c r="AI174" t="str">
        <f>IF(TwitterClean[[#This Row],[hashtags]]="null","No","Yes")</f>
        <v>Yes</v>
      </c>
      <c r="AJ174" t="str">
        <f>IF(TwitterClean[[#This Row],[external_url]]="null","Yes","No")</f>
        <v>No</v>
      </c>
      <c r="AK174">
        <f>LEN(TwitterClean[[#This Row],[description]])</f>
        <v>51</v>
      </c>
      <c r="AL174" t="str">
        <f>IF(TwitterClean[[#This Row],[followers]]&lt;100000,"&lt;100K",IF(TwitterClean[[#This Row],[followers]]&lt;1000000,"100K-1M",IF(TwitterClean[[#This Row],[followers]]&lt;10000000,"1M-10M","10M+")))</f>
        <v>1M-10M</v>
      </c>
    </row>
    <row r="175" spans="1:38">
      <c r="A175">
        <v>1.8684503677861115E+18</v>
      </c>
      <c r="B175" t="s">
        <v>440</v>
      </c>
      <c r="C175" t="s">
        <v>441</v>
      </c>
      <c r="D175" t="s">
        <v>442</v>
      </c>
      <c r="E175" t="s">
        <v>443</v>
      </c>
      <c r="F175" t="s">
        <v>29</v>
      </c>
      <c r="G175" t="s">
        <v>444</v>
      </c>
      <c r="H175" t="s">
        <v>445</v>
      </c>
      <c r="I175">
        <v>2</v>
      </c>
      <c r="J175">
        <v>2</v>
      </c>
      <c r="K175">
        <v>2</v>
      </c>
      <c r="L175">
        <v>287</v>
      </c>
      <c r="M175" t="s">
        <v>446</v>
      </c>
      <c r="N175" t="s">
        <v>29</v>
      </c>
      <c r="O175">
        <v>16968</v>
      </c>
      <c r="P175" t="s">
        <v>447</v>
      </c>
      <c r="Q175">
        <v>8248</v>
      </c>
      <c r="R175" t="s">
        <v>448</v>
      </c>
      <c r="S175">
        <v>1047</v>
      </c>
      <c r="T175" t="b">
        <v>0</v>
      </c>
      <c r="U175">
        <v>0</v>
      </c>
      <c r="V175">
        <v>2</v>
      </c>
      <c r="W175" t="s">
        <v>35</v>
      </c>
      <c r="X175" t="s">
        <v>449</v>
      </c>
      <c r="Y175" t="s">
        <v>29</v>
      </c>
      <c r="Z175" t="s">
        <v>37</v>
      </c>
      <c r="AA175">
        <f>TwitterClean[[#This Row],[likes]]+TwitterClean[[#This Row],[replies]]+TwitterClean[[#This Row],[reposts]]+TwitterClean[[#This Row],[quotes]]+TwitterClean[[#This Row],[bookmarks]]</f>
        <v>8</v>
      </c>
      <c r="AB175" s="1">
        <f>TwitterClean[[#This Row],[Total_Engagements]]/TwitterClean[[#This Row],[views]]</f>
        <v>2.7874564459930314E-2</v>
      </c>
      <c r="AC175" s="3">
        <f>DATEVALUE(MID(TwitterClean[[#This Row],[date_posted]],2,10))</f>
        <v>45642</v>
      </c>
      <c r="AD175">
        <f>TIMEVALUE(MID(TwitterClean[[#This Row],[date_posted]],13,8))</f>
        <v>1.2222222222222223E-2</v>
      </c>
      <c r="AE175" s="3" t="str">
        <f>TEXT(TwitterClean[[#This Row],[Post_Date]],"dddd")</f>
        <v>Monday</v>
      </c>
      <c r="AF175">
        <f>HOUR(TwitterClean[[#This Row],[Post_Time]])</f>
        <v>0</v>
      </c>
      <c r="AG175" t="str">
        <f>IF(TwitterClean[[#This Row],[videos]]="Null","No","Yes")</f>
        <v>No</v>
      </c>
      <c r="AH175" t="str">
        <f>IF(TwitterClean[[#This Row],[photos]]="null","No","Yes")</f>
        <v>No</v>
      </c>
      <c r="AI175" t="str">
        <f>IF(TwitterClean[[#This Row],[hashtags]]="null","No","Yes")</f>
        <v>No</v>
      </c>
      <c r="AJ175" t="str">
        <f>IF(TwitterClean[[#This Row],[external_url]]="null","Yes","No")</f>
        <v>No</v>
      </c>
      <c r="AK175">
        <f>LEN(TwitterClean[[#This Row],[description]])</f>
        <v>247</v>
      </c>
      <c r="AL175" t="str">
        <f>IF(TwitterClean[[#This Row],[followers]]&lt;100000,"&lt;100K",IF(TwitterClean[[#This Row],[followers]]&lt;1000000,"100K-1M",IF(TwitterClean[[#This Row],[followers]]&lt;10000000,"1M-10M","10M+")))</f>
        <v>&lt;100K</v>
      </c>
    </row>
    <row r="176" spans="1:38">
      <c r="A176">
        <v>1.8684011322607291E+18</v>
      </c>
      <c r="B176" t="s">
        <v>1862</v>
      </c>
      <c r="C176" t="s">
        <v>1863</v>
      </c>
      <c r="D176" t="s">
        <v>2157</v>
      </c>
      <c r="E176" t="s">
        <v>2158</v>
      </c>
      <c r="F176" t="s">
        <v>29</v>
      </c>
      <c r="G176" t="s">
        <v>2159</v>
      </c>
      <c r="H176" t="s">
        <v>29</v>
      </c>
      <c r="I176">
        <v>6</v>
      </c>
      <c r="J176">
        <v>32</v>
      </c>
      <c r="K176">
        <v>276</v>
      </c>
      <c r="L176">
        <v>11985</v>
      </c>
      <c r="M176" t="s">
        <v>52</v>
      </c>
      <c r="N176" t="s">
        <v>1867</v>
      </c>
      <c r="O176">
        <v>13492430</v>
      </c>
      <c r="P176" t="s">
        <v>1868</v>
      </c>
      <c r="Q176">
        <v>314515</v>
      </c>
      <c r="R176" t="s">
        <v>1869</v>
      </c>
      <c r="S176">
        <v>708</v>
      </c>
      <c r="T176" t="b">
        <v>0</v>
      </c>
      <c r="U176">
        <v>7</v>
      </c>
      <c r="V176">
        <v>12</v>
      </c>
      <c r="W176" t="s">
        <v>35</v>
      </c>
      <c r="X176" t="s">
        <v>29</v>
      </c>
      <c r="Y176" t="s">
        <v>2160</v>
      </c>
      <c r="Z176" t="s">
        <v>37</v>
      </c>
      <c r="AA176">
        <f>TwitterClean[[#This Row],[likes]]+TwitterClean[[#This Row],[replies]]+TwitterClean[[#This Row],[reposts]]+TwitterClean[[#This Row],[quotes]]+TwitterClean[[#This Row],[bookmarks]]</f>
        <v>333</v>
      </c>
      <c r="AB176" s="1">
        <f>TwitterClean[[#This Row],[Total_Engagements]]/TwitterClean[[#This Row],[views]]</f>
        <v>2.7784730913642051E-2</v>
      </c>
      <c r="AC176" s="3">
        <f>DATEVALUE(MID(TwitterClean[[#This Row],[date_posted]],2,10))</f>
        <v>45641</v>
      </c>
      <c r="AD176">
        <f>TIMEVALUE(MID(TwitterClean[[#This Row],[date_posted]],13,8))</f>
        <v>0.87635416666666666</v>
      </c>
      <c r="AE176" s="3" t="str">
        <f>TEXT(TwitterClean[[#This Row],[Post_Date]],"dddd")</f>
        <v>Sunday</v>
      </c>
      <c r="AF176">
        <f>HOUR(TwitterClean[[#This Row],[Post_Time]])</f>
        <v>21</v>
      </c>
      <c r="AG176" t="str">
        <f>IF(TwitterClean[[#This Row],[videos]]="Null","No","Yes")</f>
        <v>Yes</v>
      </c>
      <c r="AH176" t="str">
        <f>IF(TwitterClean[[#This Row],[photos]]="null","No","Yes")</f>
        <v>No</v>
      </c>
      <c r="AI176" t="str">
        <f>IF(TwitterClean[[#This Row],[hashtags]]="null","No","Yes")</f>
        <v>Yes</v>
      </c>
      <c r="AJ176" t="str">
        <f>IF(TwitterClean[[#This Row],[external_url]]="null","Yes","No")</f>
        <v>No</v>
      </c>
      <c r="AK176">
        <f>LEN(TwitterClean[[#This Row],[description]])</f>
        <v>131</v>
      </c>
      <c r="AL176" t="str">
        <f>IF(TwitterClean[[#This Row],[followers]]&lt;100000,"&lt;100K",IF(TwitterClean[[#This Row],[followers]]&lt;1000000,"100K-1M",IF(TwitterClean[[#This Row],[followers]]&lt;10000000,"1M-10M","10M+")))</f>
        <v>10M+</v>
      </c>
    </row>
    <row r="177" spans="1:38">
      <c r="A177">
        <v>1.8683739636230231E+18</v>
      </c>
      <c r="B177" t="s">
        <v>3392</v>
      </c>
      <c r="C177" t="s">
        <v>3393</v>
      </c>
      <c r="D177" t="s">
        <v>3394</v>
      </c>
      <c r="E177" t="s">
        <v>3395</v>
      </c>
      <c r="F177" t="s">
        <v>29</v>
      </c>
      <c r="G177" t="s">
        <v>3396</v>
      </c>
      <c r="H177" t="s">
        <v>3397</v>
      </c>
      <c r="I177">
        <v>17</v>
      </c>
      <c r="J177">
        <v>95</v>
      </c>
      <c r="K177">
        <v>1082</v>
      </c>
      <c r="L177">
        <v>45688</v>
      </c>
      <c r="M177" t="s">
        <v>52</v>
      </c>
      <c r="N177" t="s">
        <v>3398</v>
      </c>
      <c r="O177">
        <v>1480964</v>
      </c>
      <c r="P177" t="s">
        <v>3399</v>
      </c>
      <c r="Q177">
        <v>103753</v>
      </c>
      <c r="R177" t="s">
        <v>3400</v>
      </c>
      <c r="S177">
        <v>552</v>
      </c>
      <c r="T177" t="b">
        <v>0</v>
      </c>
      <c r="U177">
        <v>38</v>
      </c>
      <c r="V177">
        <v>37</v>
      </c>
      <c r="W177" t="s">
        <v>35</v>
      </c>
      <c r="X177" t="s">
        <v>29</v>
      </c>
      <c r="Y177" t="s">
        <v>3401</v>
      </c>
      <c r="Z177" t="s">
        <v>37</v>
      </c>
      <c r="AA177">
        <f>TwitterClean[[#This Row],[likes]]+TwitterClean[[#This Row],[replies]]+TwitterClean[[#This Row],[reposts]]+TwitterClean[[#This Row],[quotes]]+TwitterClean[[#This Row],[bookmarks]]</f>
        <v>1269</v>
      </c>
      <c r="AB177" s="1">
        <f>TwitterClean[[#This Row],[Total_Engagements]]/TwitterClean[[#This Row],[views]]</f>
        <v>2.7775345823848711E-2</v>
      </c>
      <c r="AC177" s="3">
        <f>DATEVALUE(MID(TwitterClean[[#This Row],[date_posted]],2,10))</f>
        <v>45641</v>
      </c>
      <c r="AD177">
        <f>TIMEVALUE(MID(TwitterClean[[#This Row],[date_posted]],13,8))</f>
        <v>0.80138888888888893</v>
      </c>
      <c r="AE177" s="3" t="str">
        <f>TEXT(TwitterClean[[#This Row],[Post_Date]],"dddd")</f>
        <v>Sunday</v>
      </c>
      <c r="AF177">
        <f>HOUR(TwitterClean[[#This Row],[Post_Time]])</f>
        <v>19</v>
      </c>
      <c r="AG177" t="str">
        <f>IF(TwitterClean[[#This Row],[videos]]="Null","No","Yes")</f>
        <v>Yes</v>
      </c>
      <c r="AH177" t="str">
        <f>IF(TwitterClean[[#This Row],[photos]]="null","No","Yes")</f>
        <v>No</v>
      </c>
      <c r="AI177" t="str">
        <f>IF(TwitterClean[[#This Row],[hashtags]]="null","No","Yes")</f>
        <v>Yes</v>
      </c>
      <c r="AJ177" t="str">
        <f>IF(TwitterClean[[#This Row],[external_url]]="null","Yes","No")</f>
        <v>No</v>
      </c>
      <c r="AK177">
        <f>LEN(TwitterClean[[#This Row],[description]])</f>
        <v>61</v>
      </c>
      <c r="AL177" t="str">
        <f>IF(TwitterClean[[#This Row],[followers]]&lt;100000,"&lt;100K",IF(TwitterClean[[#This Row],[followers]]&lt;1000000,"100K-1M",IF(TwitterClean[[#This Row],[followers]]&lt;10000000,"1M-10M","10M+")))</f>
        <v>1M-10M</v>
      </c>
    </row>
    <row r="178" spans="1:38">
      <c r="A178">
        <v>1.8681031389197844E+18</v>
      </c>
      <c r="B178" t="s">
        <v>46</v>
      </c>
      <c r="C178" t="s">
        <v>47</v>
      </c>
      <c r="D178" t="s">
        <v>767</v>
      </c>
      <c r="E178" t="s">
        <v>768</v>
      </c>
      <c r="F178" t="s">
        <v>769</v>
      </c>
      <c r="G178" t="s">
        <v>770</v>
      </c>
      <c r="H178" t="s">
        <v>771</v>
      </c>
      <c r="I178">
        <v>14</v>
      </c>
      <c r="J178">
        <v>30</v>
      </c>
      <c r="K178">
        <v>936</v>
      </c>
      <c r="L178">
        <v>36203</v>
      </c>
      <c r="M178" t="s">
        <v>52</v>
      </c>
      <c r="N178" t="s">
        <v>29</v>
      </c>
      <c r="O178">
        <v>8293203</v>
      </c>
      <c r="P178" t="s">
        <v>54</v>
      </c>
      <c r="Q178">
        <v>456734</v>
      </c>
      <c r="R178" t="s">
        <v>55</v>
      </c>
      <c r="S178">
        <v>859</v>
      </c>
      <c r="T178" t="b">
        <v>0</v>
      </c>
      <c r="U178">
        <v>2</v>
      </c>
      <c r="V178">
        <v>23</v>
      </c>
      <c r="W178" t="s">
        <v>35</v>
      </c>
      <c r="X178" t="s">
        <v>29</v>
      </c>
      <c r="Y178" t="s">
        <v>29</v>
      </c>
      <c r="Z178" t="s">
        <v>37</v>
      </c>
      <c r="AA178">
        <f>TwitterClean[[#This Row],[likes]]+TwitterClean[[#This Row],[replies]]+TwitterClean[[#This Row],[reposts]]+TwitterClean[[#This Row],[quotes]]+TwitterClean[[#This Row],[bookmarks]]</f>
        <v>1005</v>
      </c>
      <c r="AB178" s="1">
        <f>TwitterClean[[#This Row],[Total_Engagements]]/TwitterClean[[#This Row],[views]]</f>
        <v>2.7760130375935697E-2</v>
      </c>
      <c r="AC178" s="3">
        <f>DATEVALUE(MID(TwitterClean[[#This Row],[date_posted]],2,10))</f>
        <v>45641</v>
      </c>
      <c r="AD178">
        <f>TIMEVALUE(MID(TwitterClean[[#This Row],[date_posted]],13,8))</f>
        <v>5.4050925925925926E-2</v>
      </c>
      <c r="AE178" s="3" t="str">
        <f>TEXT(TwitterClean[[#This Row],[Post_Date]],"dddd")</f>
        <v>Sunday</v>
      </c>
      <c r="AF178">
        <f>HOUR(TwitterClean[[#This Row],[Post_Time]])</f>
        <v>1</v>
      </c>
      <c r="AG178" t="str">
        <f>IF(TwitterClean[[#This Row],[videos]]="Null","No","Yes")</f>
        <v>No</v>
      </c>
      <c r="AH178" t="str">
        <f>IF(TwitterClean[[#This Row],[photos]]="null","No","Yes")</f>
        <v>Yes</v>
      </c>
      <c r="AI178" t="str">
        <f>IF(TwitterClean[[#This Row],[hashtags]]="null","No","Yes")</f>
        <v>No</v>
      </c>
      <c r="AJ178" t="str">
        <f>IF(TwitterClean[[#This Row],[external_url]]="null","Yes","No")</f>
        <v>No</v>
      </c>
      <c r="AK178">
        <f>LEN(TwitterClean[[#This Row],[description]])</f>
        <v>141</v>
      </c>
      <c r="AL178" t="str">
        <f>IF(TwitterClean[[#This Row],[followers]]&lt;100000,"&lt;100K",IF(TwitterClean[[#This Row],[followers]]&lt;1000000,"100K-1M",IF(TwitterClean[[#This Row],[followers]]&lt;10000000,"1M-10M","10M+")))</f>
        <v>1M-10M</v>
      </c>
    </row>
    <row r="179" spans="1:38">
      <c r="A179">
        <v>1.8682841217613868E+18</v>
      </c>
      <c r="B179" t="s">
        <v>1447</v>
      </c>
      <c r="C179" t="s">
        <v>1448</v>
      </c>
      <c r="D179" t="s">
        <v>1449</v>
      </c>
      <c r="E179" t="s">
        <v>1306</v>
      </c>
      <c r="F179" t="s">
        <v>1450</v>
      </c>
      <c r="G179" t="s">
        <v>1451</v>
      </c>
      <c r="H179" t="s">
        <v>29</v>
      </c>
      <c r="I179">
        <v>38</v>
      </c>
      <c r="J179">
        <v>50</v>
      </c>
      <c r="K179">
        <v>1850</v>
      </c>
      <c r="L179">
        <v>70794</v>
      </c>
      <c r="M179" t="s">
        <v>52</v>
      </c>
      <c r="N179" t="s">
        <v>1452</v>
      </c>
      <c r="O179">
        <v>4240900</v>
      </c>
      <c r="P179" t="s">
        <v>1453</v>
      </c>
      <c r="Q179">
        <v>60308</v>
      </c>
      <c r="R179" t="s">
        <v>1454</v>
      </c>
      <c r="S179">
        <v>26587</v>
      </c>
      <c r="T179" t="b">
        <v>0</v>
      </c>
      <c r="U179">
        <v>6</v>
      </c>
      <c r="V179">
        <v>20</v>
      </c>
      <c r="W179" t="s">
        <v>35</v>
      </c>
      <c r="X179" t="s">
        <v>29</v>
      </c>
      <c r="Y179" t="s">
        <v>29</v>
      </c>
      <c r="Z179" t="s">
        <v>37</v>
      </c>
      <c r="AA179">
        <f>TwitterClean[[#This Row],[likes]]+TwitterClean[[#This Row],[replies]]+TwitterClean[[#This Row],[reposts]]+TwitterClean[[#This Row],[quotes]]+TwitterClean[[#This Row],[bookmarks]]</f>
        <v>1964</v>
      </c>
      <c r="AB179" s="1">
        <f>TwitterClean[[#This Row],[Total_Engagements]]/TwitterClean[[#This Row],[views]]</f>
        <v>2.7742464050625758E-2</v>
      </c>
      <c r="AC179" s="3">
        <f>DATEVALUE(MID(TwitterClean[[#This Row],[date_posted]],2,10))</f>
        <v>45641</v>
      </c>
      <c r="AD179">
        <f>TIMEVALUE(MID(TwitterClean[[#This Row],[date_posted]],13,8))</f>
        <v>0.55347222222222225</v>
      </c>
      <c r="AE179" s="3" t="str">
        <f>TEXT(TwitterClean[[#This Row],[Post_Date]],"dddd")</f>
        <v>Sunday</v>
      </c>
      <c r="AF179">
        <f>HOUR(TwitterClean[[#This Row],[Post_Time]])</f>
        <v>13</v>
      </c>
      <c r="AG179" t="str">
        <f>IF(TwitterClean[[#This Row],[videos]]="Null","No","Yes")</f>
        <v>No</v>
      </c>
      <c r="AH179" t="str">
        <f>IF(TwitterClean[[#This Row],[photos]]="null","No","Yes")</f>
        <v>Yes</v>
      </c>
      <c r="AI179" t="str">
        <f>IF(TwitterClean[[#This Row],[hashtags]]="null","No","Yes")</f>
        <v>Yes</v>
      </c>
      <c r="AJ179" t="str">
        <f>IF(TwitterClean[[#This Row],[external_url]]="null","Yes","No")</f>
        <v>No</v>
      </c>
      <c r="AK179">
        <f>LEN(TwitterClean[[#This Row],[description]])</f>
        <v>56</v>
      </c>
      <c r="AL179" t="str">
        <f>IF(TwitterClean[[#This Row],[followers]]&lt;100000,"&lt;100K",IF(TwitterClean[[#This Row],[followers]]&lt;1000000,"100K-1M",IF(TwitterClean[[#This Row],[followers]]&lt;10000000,"1M-10M","10M+")))</f>
        <v>1M-10M</v>
      </c>
    </row>
    <row r="180" spans="1:38">
      <c r="A180">
        <v>1.8660275382098048E+18</v>
      </c>
      <c r="B180" t="s">
        <v>4839</v>
      </c>
      <c r="C180" t="s">
        <v>4840</v>
      </c>
      <c r="D180" t="s">
        <v>4841</v>
      </c>
      <c r="E180" t="s">
        <v>4842</v>
      </c>
      <c r="F180" t="s">
        <v>4843</v>
      </c>
      <c r="G180" t="s">
        <v>4844</v>
      </c>
      <c r="H180" t="s">
        <v>4845</v>
      </c>
      <c r="I180">
        <v>136</v>
      </c>
      <c r="J180">
        <v>445</v>
      </c>
      <c r="K180">
        <v>7491</v>
      </c>
      <c r="L180">
        <v>292389</v>
      </c>
      <c r="M180" t="s">
        <v>52</v>
      </c>
      <c r="N180" t="s">
        <v>29</v>
      </c>
      <c r="O180">
        <v>45007827</v>
      </c>
      <c r="P180" t="s">
        <v>4846</v>
      </c>
      <c r="Q180">
        <v>163438</v>
      </c>
      <c r="R180" t="s">
        <v>4847</v>
      </c>
      <c r="S180">
        <v>80</v>
      </c>
      <c r="T180" t="b">
        <v>0</v>
      </c>
      <c r="U180">
        <v>14</v>
      </c>
      <c r="V180">
        <v>25</v>
      </c>
      <c r="W180" t="s">
        <v>35</v>
      </c>
      <c r="X180" t="s">
        <v>29</v>
      </c>
      <c r="Y180" t="s">
        <v>29</v>
      </c>
      <c r="Z180" t="s">
        <v>37</v>
      </c>
      <c r="AA180">
        <f>TwitterClean[[#This Row],[likes]]+TwitterClean[[#This Row],[replies]]+TwitterClean[[#This Row],[reposts]]+TwitterClean[[#This Row],[quotes]]+TwitterClean[[#This Row],[bookmarks]]</f>
        <v>8111</v>
      </c>
      <c r="AB180" s="1">
        <f>TwitterClean[[#This Row],[Total_Engagements]]/TwitterClean[[#This Row],[views]]</f>
        <v>2.7740441671882322E-2</v>
      </c>
      <c r="AC180" s="3">
        <f>DATEVALUE(MID(TwitterClean[[#This Row],[date_posted]],2,10))</f>
        <v>45635</v>
      </c>
      <c r="AD180">
        <f>TIMEVALUE(MID(TwitterClean[[#This Row],[date_posted]],13,8))</f>
        <v>0.32648148148148148</v>
      </c>
      <c r="AE180" s="3" t="str">
        <f>TEXT(TwitterClean[[#This Row],[Post_Date]],"dddd")</f>
        <v>Monday</v>
      </c>
      <c r="AF180">
        <f>HOUR(TwitterClean[[#This Row],[Post_Time]])</f>
        <v>7</v>
      </c>
      <c r="AG180" t="str">
        <f>IF(TwitterClean[[#This Row],[videos]]="Null","No","Yes")</f>
        <v>No</v>
      </c>
      <c r="AH180" t="str">
        <f>IF(TwitterClean[[#This Row],[photos]]="null","No","Yes")</f>
        <v>Yes</v>
      </c>
      <c r="AI180" t="str">
        <f>IF(TwitterClean[[#This Row],[hashtags]]="null","No","Yes")</f>
        <v>No</v>
      </c>
      <c r="AJ180" t="str">
        <f>IF(TwitterClean[[#This Row],[external_url]]="null","Yes","No")</f>
        <v>No</v>
      </c>
      <c r="AK180">
        <f>LEN(TwitterClean[[#This Row],[description]])</f>
        <v>97</v>
      </c>
      <c r="AL180" t="str">
        <f>IF(TwitterClean[[#This Row],[followers]]&lt;100000,"&lt;100K",IF(TwitterClean[[#This Row],[followers]]&lt;1000000,"100K-1M",IF(TwitterClean[[#This Row],[followers]]&lt;10000000,"1M-10M","10M+")))</f>
        <v>10M+</v>
      </c>
    </row>
    <row r="181" spans="1:38">
      <c r="A181">
        <v>1.868319362488087E+18</v>
      </c>
      <c r="B181" t="s">
        <v>1267</v>
      </c>
      <c r="C181" t="s">
        <v>1268</v>
      </c>
      <c r="D181" t="s">
        <v>1606</v>
      </c>
      <c r="E181" t="s">
        <v>1607</v>
      </c>
      <c r="F181" t="s">
        <v>1608</v>
      </c>
      <c r="G181" t="s">
        <v>1609</v>
      </c>
      <c r="H181" t="s">
        <v>29</v>
      </c>
      <c r="I181">
        <v>112</v>
      </c>
      <c r="J181">
        <v>348</v>
      </c>
      <c r="K181">
        <v>4164</v>
      </c>
      <c r="L181">
        <v>169903</v>
      </c>
      <c r="M181" t="s">
        <v>52</v>
      </c>
      <c r="N181" t="s">
        <v>1610</v>
      </c>
      <c r="O181">
        <v>17891377</v>
      </c>
      <c r="P181" t="s">
        <v>1274</v>
      </c>
      <c r="Q181">
        <v>168939</v>
      </c>
      <c r="R181" t="s">
        <v>1275</v>
      </c>
      <c r="S181">
        <v>47365</v>
      </c>
      <c r="T181" t="b">
        <v>0</v>
      </c>
      <c r="U181">
        <v>39</v>
      </c>
      <c r="V181">
        <v>32</v>
      </c>
      <c r="W181" t="s">
        <v>35</v>
      </c>
      <c r="X181" t="s">
        <v>29</v>
      </c>
      <c r="Y181" t="s">
        <v>29</v>
      </c>
      <c r="Z181" t="s">
        <v>37</v>
      </c>
      <c r="AA181">
        <f>TwitterClean[[#This Row],[likes]]+TwitterClean[[#This Row],[replies]]+TwitterClean[[#This Row],[reposts]]+TwitterClean[[#This Row],[quotes]]+TwitterClean[[#This Row],[bookmarks]]</f>
        <v>4695</v>
      </c>
      <c r="AB181" s="1">
        <f>TwitterClean[[#This Row],[Total_Engagements]]/TwitterClean[[#This Row],[views]]</f>
        <v>2.7633414359958329E-2</v>
      </c>
      <c r="AC181" s="3">
        <f>DATEVALUE(MID(TwitterClean[[#This Row],[date_posted]],2,10))</f>
        <v>45641</v>
      </c>
      <c r="AD181">
        <f>TIMEVALUE(MID(TwitterClean[[#This Row],[date_posted]],13,8))</f>
        <v>0.65071759259259254</v>
      </c>
      <c r="AE181" s="3" t="str">
        <f>TEXT(TwitterClean[[#This Row],[Post_Date]],"dddd")</f>
        <v>Sunday</v>
      </c>
      <c r="AF181">
        <f>HOUR(TwitterClean[[#This Row],[Post_Time]])</f>
        <v>15</v>
      </c>
      <c r="AG181" t="str">
        <f>IF(TwitterClean[[#This Row],[videos]]="Null","No","Yes")</f>
        <v>No</v>
      </c>
      <c r="AH181" t="str">
        <f>IF(TwitterClean[[#This Row],[photos]]="null","No","Yes")</f>
        <v>Yes</v>
      </c>
      <c r="AI181" t="str">
        <f>IF(TwitterClean[[#This Row],[hashtags]]="null","No","Yes")</f>
        <v>Yes</v>
      </c>
      <c r="AJ181" t="str">
        <f>IF(TwitterClean[[#This Row],[external_url]]="null","Yes","No")</f>
        <v>No</v>
      </c>
      <c r="AK181">
        <f>LEN(TwitterClean[[#This Row],[description]])</f>
        <v>34</v>
      </c>
      <c r="AL181" t="str">
        <f>IF(TwitterClean[[#This Row],[followers]]&lt;100000,"&lt;100K",IF(TwitterClean[[#This Row],[followers]]&lt;1000000,"100K-1M",IF(TwitterClean[[#This Row],[followers]]&lt;10000000,"1M-10M","10M+")))</f>
        <v>10M+</v>
      </c>
    </row>
    <row r="182" spans="1:38">
      <c r="A182">
        <v>1.8682393267249482E+18</v>
      </c>
      <c r="B182" t="s">
        <v>1280</v>
      </c>
      <c r="C182" t="s">
        <v>1281</v>
      </c>
      <c r="D182" t="s">
        <v>1559</v>
      </c>
      <c r="E182" t="s">
        <v>1560</v>
      </c>
      <c r="F182" t="s">
        <v>1561</v>
      </c>
      <c r="G182" t="s">
        <v>1562</v>
      </c>
      <c r="H182" t="s">
        <v>29</v>
      </c>
      <c r="I182">
        <v>170</v>
      </c>
      <c r="J182">
        <v>565</v>
      </c>
      <c r="K182">
        <v>6022</v>
      </c>
      <c r="L182">
        <v>246036</v>
      </c>
      <c r="M182" t="s">
        <v>52</v>
      </c>
      <c r="N182" t="s">
        <v>1286</v>
      </c>
      <c r="O182">
        <v>38439094</v>
      </c>
      <c r="P182" t="s">
        <v>1287</v>
      </c>
      <c r="Q182">
        <v>92455</v>
      </c>
      <c r="R182" t="s">
        <v>1288</v>
      </c>
      <c r="S182">
        <v>145</v>
      </c>
      <c r="T182" t="b">
        <v>0</v>
      </c>
      <c r="U182">
        <v>21</v>
      </c>
      <c r="V182">
        <v>20</v>
      </c>
      <c r="W182" t="s">
        <v>35</v>
      </c>
      <c r="X182" t="s">
        <v>29</v>
      </c>
      <c r="Y182" t="s">
        <v>29</v>
      </c>
      <c r="Z182" t="s">
        <v>37</v>
      </c>
      <c r="AA182">
        <f>TwitterClean[[#This Row],[likes]]+TwitterClean[[#This Row],[replies]]+TwitterClean[[#This Row],[reposts]]+TwitterClean[[#This Row],[quotes]]+TwitterClean[[#This Row],[bookmarks]]</f>
        <v>6798</v>
      </c>
      <c r="AB182" s="1">
        <f>TwitterClean[[#This Row],[Total_Engagements]]/TwitterClean[[#This Row],[views]]</f>
        <v>2.7630102911769011E-2</v>
      </c>
      <c r="AC182" s="3">
        <f>DATEVALUE(MID(TwitterClean[[#This Row],[date_posted]],2,10))</f>
        <v>45641</v>
      </c>
      <c r="AD182">
        <f>TIMEVALUE(MID(TwitterClean[[#This Row],[date_posted]],13,8))</f>
        <v>0.42986111111111114</v>
      </c>
      <c r="AE182" s="3" t="str">
        <f>TEXT(TwitterClean[[#This Row],[Post_Date]],"dddd")</f>
        <v>Sunday</v>
      </c>
      <c r="AF182">
        <f>HOUR(TwitterClean[[#This Row],[Post_Time]])</f>
        <v>10</v>
      </c>
      <c r="AG182" t="str">
        <f>IF(TwitterClean[[#This Row],[videos]]="Null","No","Yes")</f>
        <v>No</v>
      </c>
      <c r="AH182" t="str">
        <f>IF(TwitterClean[[#This Row],[photos]]="null","No","Yes")</f>
        <v>Yes</v>
      </c>
      <c r="AI182" t="str">
        <f>IF(TwitterClean[[#This Row],[hashtags]]="null","No","Yes")</f>
        <v>Yes</v>
      </c>
      <c r="AJ182" t="str">
        <f>IF(TwitterClean[[#This Row],[external_url]]="null","Yes","No")</f>
        <v>No</v>
      </c>
      <c r="AK182">
        <f>LEN(TwitterClean[[#This Row],[description]])</f>
        <v>107</v>
      </c>
      <c r="AL182" t="str">
        <f>IF(TwitterClean[[#This Row],[followers]]&lt;100000,"&lt;100K",IF(TwitterClean[[#This Row],[followers]]&lt;1000000,"100K-1M",IF(TwitterClean[[#This Row],[followers]]&lt;10000000,"1M-10M","10M+")))</f>
        <v>10M+</v>
      </c>
    </row>
    <row r="183" spans="1:38">
      <c r="A183">
        <v>1.8683434426420063E+18</v>
      </c>
      <c r="B183" t="s">
        <v>1455</v>
      </c>
      <c r="C183" t="s">
        <v>1456</v>
      </c>
      <c r="D183" t="s">
        <v>1457</v>
      </c>
      <c r="E183" t="s">
        <v>1458</v>
      </c>
      <c r="F183" t="s">
        <v>1459</v>
      </c>
      <c r="G183" t="s">
        <v>1460</v>
      </c>
      <c r="H183" t="s">
        <v>1461</v>
      </c>
      <c r="I183">
        <v>82</v>
      </c>
      <c r="J183">
        <v>156</v>
      </c>
      <c r="K183">
        <v>3265</v>
      </c>
      <c r="L183">
        <v>128756</v>
      </c>
      <c r="M183" t="s">
        <v>52</v>
      </c>
      <c r="N183" t="s">
        <v>29</v>
      </c>
      <c r="O183">
        <v>592483</v>
      </c>
      <c r="P183" t="s">
        <v>1462</v>
      </c>
      <c r="Q183">
        <v>1456</v>
      </c>
      <c r="R183" t="s">
        <v>1463</v>
      </c>
      <c r="S183">
        <v>255</v>
      </c>
      <c r="T183" t="b">
        <v>0</v>
      </c>
      <c r="U183">
        <v>26</v>
      </c>
      <c r="V183">
        <v>14</v>
      </c>
      <c r="W183" t="s">
        <v>35</v>
      </c>
      <c r="X183" t="s">
        <v>29</v>
      </c>
      <c r="Y183" t="s">
        <v>29</v>
      </c>
      <c r="Z183" t="s">
        <v>37</v>
      </c>
      <c r="AA183">
        <f>TwitterClean[[#This Row],[likes]]+TwitterClean[[#This Row],[replies]]+TwitterClean[[#This Row],[reposts]]+TwitterClean[[#This Row],[quotes]]+TwitterClean[[#This Row],[bookmarks]]</f>
        <v>3543</v>
      </c>
      <c r="AB183" s="1">
        <f>TwitterClean[[#This Row],[Total_Engagements]]/TwitterClean[[#This Row],[views]]</f>
        <v>2.7517164248656373E-2</v>
      </c>
      <c r="AC183" s="3">
        <f>DATEVALUE(MID(TwitterClean[[#This Row],[date_posted]],2,10))</f>
        <v>45641</v>
      </c>
      <c r="AD183">
        <f>TIMEVALUE(MID(TwitterClean[[#This Row],[date_posted]],13,8))</f>
        <v>0.7171643518518519</v>
      </c>
      <c r="AE183" s="3" t="str">
        <f>TEXT(TwitterClean[[#This Row],[Post_Date]],"dddd")</f>
        <v>Sunday</v>
      </c>
      <c r="AF183">
        <f>HOUR(TwitterClean[[#This Row],[Post_Time]])</f>
        <v>17</v>
      </c>
      <c r="AG183" t="str">
        <f>IF(TwitterClean[[#This Row],[videos]]="Null","No","Yes")</f>
        <v>No</v>
      </c>
      <c r="AH183" t="str">
        <f>IF(TwitterClean[[#This Row],[photos]]="null","No","Yes")</f>
        <v>Yes</v>
      </c>
      <c r="AI183" t="str">
        <f>IF(TwitterClean[[#This Row],[hashtags]]="null","No","Yes")</f>
        <v>No</v>
      </c>
      <c r="AJ183" t="str">
        <f>IF(TwitterClean[[#This Row],[external_url]]="null","Yes","No")</f>
        <v>No</v>
      </c>
      <c r="AK183">
        <f>LEN(TwitterClean[[#This Row],[description]])</f>
        <v>55</v>
      </c>
      <c r="AL183" t="str">
        <f>IF(TwitterClean[[#This Row],[followers]]&lt;100000,"&lt;100K",IF(TwitterClean[[#This Row],[followers]]&lt;1000000,"100K-1M",IF(TwitterClean[[#This Row],[followers]]&lt;10000000,"1M-10M","10M+")))</f>
        <v>100K-1M</v>
      </c>
    </row>
    <row r="184" spans="1:38">
      <c r="A184">
        <v>1.866014924918719E+18</v>
      </c>
      <c r="B184" t="s">
        <v>1204</v>
      </c>
      <c r="C184" t="s">
        <v>1205</v>
      </c>
      <c r="D184" t="s">
        <v>4044</v>
      </c>
      <c r="E184" t="s">
        <v>4045</v>
      </c>
      <c r="F184" t="s">
        <v>4046</v>
      </c>
      <c r="G184" t="s">
        <v>4047</v>
      </c>
      <c r="H184" t="s">
        <v>4048</v>
      </c>
      <c r="I184">
        <v>12</v>
      </c>
      <c r="J184">
        <v>51</v>
      </c>
      <c r="K184">
        <v>1013</v>
      </c>
      <c r="L184">
        <v>39620</v>
      </c>
      <c r="M184" t="s">
        <v>52</v>
      </c>
      <c r="N184" t="s">
        <v>1211</v>
      </c>
      <c r="O184">
        <v>12779158</v>
      </c>
      <c r="P184" t="s">
        <v>1212</v>
      </c>
      <c r="Q184">
        <v>190222</v>
      </c>
      <c r="R184" t="s">
        <v>1213</v>
      </c>
      <c r="S184">
        <v>637</v>
      </c>
      <c r="T184" t="b">
        <v>0</v>
      </c>
      <c r="U184">
        <v>3</v>
      </c>
      <c r="V184">
        <v>7</v>
      </c>
      <c r="W184" t="s">
        <v>35</v>
      </c>
      <c r="X184" t="s">
        <v>29</v>
      </c>
      <c r="Y184" t="s">
        <v>29</v>
      </c>
      <c r="Z184" t="s">
        <v>37</v>
      </c>
      <c r="AA184">
        <f>TwitterClean[[#This Row],[likes]]+TwitterClean[[#This Row],[replies]]+TwitterClean[[#This Row],[reposts]]+TwitterClean[[#This Row],[quotes]]+TwitterClean[[#This Row],[bookmarks]]</f>
        <v>1086</v>
      </c>
      <c r="AB184" s="1">
        <f>TwitterClean[[#This Row],[Total_Engagements]]/TwitterClean[[#This Row],[views]]</f>
        <v>2.7410398788490661E-2</v>
      </c>
      <c r="AC184" s="3">
        <f>DATEVALUE(MID(TwitterClean[[#This Row],[date_posted]],2,10))</f>
        <v>45635</v>
      </c>
      <c r="AD184">
        <f>TIMEVALUE(MID(TwitterClean[[#This Row],[date_posted]],13,8))</f>
        <v>0.29167824074074072</v>
      </c>
      <c r="AE184" s="3" t="str">
        <f>TEXT(TwitterClean[[#This Row],[Post_Date]],"dddd")</f>
        <v>Monday</v>
      </c>
      <c r="AF184">
        <f>HOUR(TwitterClean[[#This Row],[Post_Time]])</f>
        <v>7</v>
      </c>
      <c r="AG184" t="str">
        <f>IF(TwitterClean[[#This Row],[videos]]="Null","No","Yes")</f>
        <v>No</v>
      </c>
      <c r="AH184" t="str">
        <f>IF(TwitterClean[[#This Row],[photos]]="null","No","Yes")</f>
        <v>Yes</v>
      </c>
      <c r="AI184" t="str">
        <f>IF(TwitterClean[[#This Row],[hashtags]]="null","No","Yes")</f>
        <v>Yes</v>
      </c>
      <c r="AJ184" t="str">
        <f>IF(TwitterClean[[#This Row],[external_url]]="null","Yes","No")</f>
        <v>No</v>
      </c>
      <c r="AK184">
        <f>LEN(TwitterClean[[#This Row],[description]])</f>
        <v>52</v>
      </c>
      <c r="AL184" t="str">
        <f>IF(TwitterClean[[#This Row],[followers]]&lt;100000,"&lt;100K",IF(TwitterClean[[#This Row],[followers]]&lt;1000000,"100K-1M",IF(TwitterClean[[#This Row],[followers]]&lt;10000000,"1M-10M","10M+")))</f>
        <v>10M+</v>
      </c>
    </row>
    <row r="185" spans="1:38">
      <c r="A185">
        <v>1.868393715091563E+18</v>
      </c>
      <c r="B185" t="s">
        <v>275</v>
      </c>
      <c r="C185" t="s">
        <v>276</v>
      </c>
      <c r="D185" t="s">
        <v>750</v>
      </c>
      <c r="E185" t="s">
        <v>751</v>
      </c>
      <c r="F185" t="s">
        <v>752</v>
      </c>
      <c r="G185" t="s">
        <v>753</v>
      </c>
      <c r="H185" t="s">
        <v>754</v>
      </c>
      <c r="I185">
        <v>27</v>
      </c>
      <c r="J185">
        <v>157</v>
      </c>
      <c r="K185">
        <v>1408</v>
      </c>
      <c r="L185">
        <v>59698</v>
      </c>
      <c r="M185" t="s">
        <v>52</v>
      </c>
      <c r="N185" t="s">
        <v>281</v>
      </c>
      <c r="O185">
        <v>8539604</v>
      </c>
      <c r="P185" t="s">
        <v>282</v>
      </c>
      <c r="Q185">
        <v>75535</v>
      </c>
      <c r="R185" t="s">
        <v>283</v>
      </c>
      <c r="S185">
        <v>117</v>
      </c>
      <c r="T185" t="b">
        <v>0</v>
      </c>
      <c r="U185">
        <v>19</v>
      </c>
      <c r="V185">
        <v>24</v>
      </c>
      <c r="W185" t="s">
        <v>35</v>
      </c>
      <c r="X185" t="s">
        <v>29</v>
      </c>
      <c r="Y185" t="s">
        <v>29</v>
      </c>
      <c r="Z185" t="s">
        <v>37</v>
      </c>
      <c r="AA185">
        <f>TwitterClean[[#This Row],[likes]]+TwitterClean[[#This Row],[replies]]+TwitterClean[[#This Row],[reposts]]+TwitterClean[[#This Row],[quotes]]+TwitterClean[[#This Row],[bookmarks]]</f>
        <v>1635</v>
      </c>
      <c r="AB185" s="1">
        <f>TwitterClean[[#This Row],[Total_Engagements]]/TwitterClean[[#This Row],[views]]</f>
        <v>2.7387852189353076E-2</v>
      </c>
      <c r="AC185" s="3">
        <f>DATEVALUE(MID(TwitterClean[[#This Row],[date_posted]],2,10))</f>
        <v>45641</v>
      </c>
      <c r="AD185">
        <f>TIMEVALUE(MID(TwitterClean[[#This Row],[date_posted]],13,8))</f>
        <v>0.85589120370370375</v>
      </c>
      <c r="AE185" s="3" t="str">
        <f>TEXT(TwitterClean[[#This Row],[Post_Date]],"dddd")</f>
        <v>Sunday</v>
      </c>
      <c r="AF185">
        <f>HOUR(TwitterClean[[#This Row],[Post_Time]])</f>
        <v>20</v>
      </c>
      <c r="AG185" t="str">
        <f>IF(TwitterClean[[#This Row],[videos]]="Null","No","Yes")</f>
        <v>No</v>
      </c>
      <c r="AH185" t="str">
        <f>IF(TwitterClean[[#This Row],[photos]]="null","No","Yes")</f>
        <v>Yes</v>
      </c>
      <c r="AI185" t="str">
        <f>IF(TwitterClean[[#This Row],[hashtags]]="null","No","Yes")</f>
        <v>Yes</v>
      </c>
      <c r="AJ185" t="str">
        <f>IF(TwitterClean[[#This Row],[external_url]]="null","Yes","No")</f>
        <v>No</v>
      </c>
      <c r="AK185">
        <f>LEN(TwitterClean[[#This Row],[description]])</f>
        <v>142</v>
      </c>
      <c r="AL185" t="str">
        <f>IF(TwitterClean[[#This Row],[followers]]&lt;100000,"&lt;100K",IF(TwitterClean[[#This Row],[followers]]&lt;1000000,"100K-1M",IF(TwitterClean[[#This Row],[followers]]&lt;10000000,"1M-10M","10M+")))</f>
        <v>1M-10M</v>
      </c>
    </row>
    <row r="186" spans="1:38">
      <c r="A186">
        <v>1.8680879643429112E+18</v>
      </c>
      <c r="B186" t="s">
        <v>2474</v>
      </c>
      <c r="C186" t="s">
        <v>2475</v>
      </c>
      <c r="D186" t="s">
        <v>5131</v>
      </c>
      <c r="E186" t="s">
        <v>5132</v>
      </c>
      <c r="F186" t="s">
        <v>5133</v>
      </c>
      <c r="G186" t="s">
        <v>5134</v>
      </c>
      <c r="H186" t="s">
        <v>5135</v>
      </c>
      <c r="I186">
        <v>3</v>
      </c>
      <c r="J186">
        <v>10</v>
      </c>
      <c r="K186">
        <v>188</v>
      </c>
      <c r="L186">
        <v>7529</v>
      </c>
      <c r="M186" t="s">
        <v>52</v>
      </c>
      <c r="N186" t="s">
        <v>5022</v>
      </c>
      <c r="O186">
        <v>1511302</v>
      </c>
      <c r="P186" t="s">
        <v>2481</v>
      </c>
      <c r="Q186">
        <v>56647</v>
      </c>
      <c r="R186" t="s">
        <v>2482</v>
      </c>
      <c r="S186">
        <v>80</v>
      </c>
      <c r="T186" t="b">
        <v>0</v>
      </c>
      <c r="U186">
        <v>0</v>
      </c>
      <c r="V186">
        <v>2</v>
      </c>
      <c r="W186" t="s">
        <v>35</v>
      </c>
      <c r="X186" t="s">
        <v>29</v>
      </c>
      <c r="Y186" t="s">
        <v>29</v>
      </c>
      <c r="Z186" t="s">
        <v>37</v>
      </c>
      <c r="AA186">
        <f>TwitterClean[[#This Row],[likes]]+TwitterClean[[#This Row],[replies]]+TwitterClean[[#This Row],[reposts]]+TwitterClean[[#This Row],[quotes]]+TwitterClean[[#This Row],[bookmarks]]</f>
        <v>203</v>
      </c>
      <c r="AB186" s="1">
        <f>TwitterClean[[#This Row],[Total_Engagements]]/TwitterClean[[#This Row],[views]]</f>
        <v>2.6962412006906626E-2</v>
      </c>
      <c r="AC186" s="3">
        <f>DATEVALUE(MID(TwitterClean[[#This Row],[date_posted]],2,10))</f>
        <v>45641</v>
      </c>
      <c r="AD186">
        <f>TIMEVALUE(MID(TwitterClean[[#This Row],[date_posted]],13,8))</f>
        <v>1.2175925925925925E-2</v>
      </c>
      <c r="AE186" s="3" t="str">
        <f>TEXT(TwitterClean[[#This Row],[Post_Date]],"dddd")</f>
        <v>Sunday</v>
      </c>
      <c r="AF186">
        <f>HOUR(TwitterClean[[#This Row],[Post_Time]])</f>
        <v>0</v>
      </c>
      <c r="AG186" t="str">
        <f>IF(TwitterClean[[#This Row],[videos]]="Null","No","Yes")</f>
        <v>No</v>
      </c>
      <c r="AH186" t="str">
        <f>IF(TwitterClean[[#This Row],[photos]]="null","No","Yes")</f>
        <v>Yes</v>
      </c>
      <c r="AI186" t="str">
        <f>IF(TwitterClean[[#This Row],[hashtags]]="null","No","Yes")</f>
        <v>Yes</v>
      </c>
      <c r="AJ186" t="str">
        <f>IF(TwitterClean[[#This Row],[external_url]]="null","Yes","No")</f>
        <v>No</v>
      </c>
      <c r="AK186">
        <f>LEN(TwitterClean[[#This Row],[description]])</f>
        <v>183</v>
      </c>
      <c r="AL186" t="str">
        <f>IF(TwitterClean[[#This Row],[followers]]&lt;100000,"&lt;100K",IF(TwitterClean[[#This Row],[followers]]&lt;1000000,"100K-1M",IF(TwitterClean[[#This Row],[followers]]&lt;10000000,"1M-10M","10M+")))</f>
        <v>1M-10M</v>
      </c>
    </row>
    <row r="187" spans="1:38">
      <c r="A187">
        <v>1.8684202794514601E+18</v>
      </c>
      <c r="B187" t="s">
        <v>1862</v>
      </c>
      <c r="C187" t="s">
        <v>1863</v>
      </c>
      <c r="D187" t="s">
        <v>2024</v>
      </c>
      <c r="E187" t="s">
        <v>2025</v>
      </c>
      <c r="F187" t="s">
        <v>29</v>
      </c>
      <c r="G187" t="s">
        <v>2026</v>
      </c>
      <c r="H187" t="s">
        <v>29</v>
      </c>
      <c r="I187">
        <v>23</v>
      </c>
      <c r="J187">
        <v>60</v>
      </c>
      <c r="K187">
        <v>399</v>
      </c>
      <c r="L187">
        <v>19688</v>
      </c>
      <c r="M187" t="s">
        <v>52</v>
      </c>
      <c r="N187" t="s">
        <v>1867</v>
      </c>
      <c r="O187">
        <v>13492430</v>
      </c>
      <c r="P187" t="s">
        <v>1868</v>
      </c>
      <c r="Q187">
        <v>314515</v>
      </c>
      <c r="R187" t="s">
        <v>1869</v>
      </c>
      <c r="S187">
        <v>708</v>
      </c>
      <c r="T187" t="b">
        <v>0</v>
      </c>
      <c r="U187">
        <v>27</v>
      </c>
      <c r="V187">
        <v>20</v>
      </c>
      <c r="W187" t="s">
        <v>35</v>
      </c>
      <c r="X187" t="s">
        <v>29</v>
      </c>
      <c r="Y187" t="s">
        <v>2027</v>
      </c>
      <c r="Z187" t="s">
        <v>37</v>
      </c>
      <c r="AA187">
        <f>TwitterClean[[#This Row],[likes]]+TwitterClean[[#This Row],[replies]]+TwitterClean[[#This Row],[reposts]]+TwitterClean[[#This Row],[quotes]]+TwitterClean[[#This Row],[bookmarks]]</f>
        <v>529</v>
      </c>
      <c r="AB187" s="1">
        <f>TwitterClean[[#This Row],[Total_Engagements]]/TwitterClean[[#This Row],[views]]</f>
        <v>2.6869158878504672E-2</v>
      </c>
      <c r="AC187" s="3">
        <f>DATEVALUE(MID(TwitterClean[[#This Row],[date_posted]],2,10))</f>
        <v>45641</v>
      </c>
      <c r="AD187">
        <f>TIMEVALUE(MID(TwitterClean[[#This Row],[date_posted]],13,8))</f>
        <v>0.92918981481481477</v>
      </c>
      <c r="AE187" s="3" t="str">
        <f>TEXT(TwitterClean[[#This Row],[Post_Date]],"dddd")</f>
        <v>Sunday</v>
      </c>
      <c r="AF187">
        <f>HOUR(TwitterClean[[#This Row],[Post_Time]])</f>
        <v>22</v>
      </c>
      <c r="AG187" t="str">
        <f>IF(TwitterClean[[#This Row],[videos]]="Null","No","Yes")</f>
        <v>Yes</v>
      </c>
      <c r="AH187" t="str">
        <f>IF(TwitterClean[[#This Row],[photos]]="null","No","Yes")</f>
        <v>No</v>
      </c>
      <c r="AI187" t="str">
        <f>IF(TwitterClean[[#This Row],[hashtags]]="null","No","Yes")</f>
        <v>Yes</v>
      </c>
      <c r="AJ187" t="str">
        <f>IF(TwitterClean[[#This Row],[external_url]]="null","Yes","No")</f>
        <v>No</v>
      </c>
      <c r="AK187">
        <f>LEN(TwitterClean[[#This Row],[description]])</f>
        <v>70</v>
      </c>
      <c r="AL187" t="str">
        <f>IF(TwitterClean[[#This Row],[followers]]&lt;100000,"&lt;100K",IF(TwitterClean[[#This Row],[followers]]&lt;1000000,"100K-1M",IF(TwitterClean[[#This Row],[followers]]&lt;10000000,"1M-10M","10M+")))</f>
        <v>10M+</v>
      </c>
    </row>
    <row r="188" spans="1:38">
      <c r="A188">
        <v>1.8683415302029847E+18</v>
      </c>
      <c r="B188" t="s">
        <v>306</v>
      </c>
      <c r="C188" t="s">
        <v>291</v>
      </c>
      <c r="D188" t="s">
        <v>307</v>
      </c>
      <c r="E188" t="s">
        <v>308</v>
      </c>
      <c r="F188" t="s">
        <v>309</v>
      </c>
      <c r="G188" t="s">
        <v>310</v>
      </c>
      <c r="H188" t="s">
        <v>29</v>
      </c>
      <c r="I188">
        <v>4</v>
      </c>
      <c r="J188">
        <v>2</v>
      </c>
      <c r="K188">
        <v>125</v>
      </c>
      <c r="L188">
        <v>5099</v>
      </c>
      <c r="M188" t="s">
        <v>52</v>
      </c>
      <c r="N188" t="s">
        <v>305</v>
      </c>
      <c r="O188">
        <v>231526</v>
      </c>
      <c r="P188" t="s">
        <v>311</v>
      </c>
      <c r="Q188">
        <v>18314</v>
      </c>
      <c r="R188" t="s">
        <v>312</v>
      </c>
      <c r="S188">
        <v>233</v>
      </c>
      <c r="T188" t="b">
        <v>0</v>
      </c>
      <c r="U188">
        <v>3</v>
      </c>
      <c r="V188">
        <v>2</v>
      </c>
      <c r="W188" t="s">
        <v>35</v>
      </c>
      <c r="X188" t="s">
        <v>29</v>
      </c>
      <c r="Y188" t="s">
        <v>29</v>
      </c>
      <c r="Z188" t="s">
        <v>37</v>
      </c>
      <c r="AA188">
        <f>TwitterClean[[#This Row],[likes]]+TwitterClean[[#This Row],[replies]]+TwitterClean[[#This Row],[reposts]]+TwitterClean[[#This Row],[quotes]]+TwitterClean[[#This Row],[bookmarks]]</f>
        <v>136</v>
      </c>
      <c r="AB188" s="1">
        <f>TwitterClean[[#This Row],[Total_Engagements]]/TwitterClean[[#This Row],[views]]</f>
        <v>2.6671896450284369E-2</v>
      </c>
      <c r="AC188" s="3">
        <f>DATEVALUE(MID(TwitterClean[[#This Row],[date_posted]],2,10))</f>
        <v>45641</v>
      </c>
      <c r="AD188">
        <f>TIMEVALUE(MID(TwitterClean[[#This Row],[date_posted]],13,8))</f>
        <v>0.71188657407407407</v>
      </c>
      <c r="AE188" s="3" t="str">
        <f>TEXT(TwitterClean[[#This Row],[Post_Date]],"dddd")</f>
        <v>Sunday</v>
      </c>
      <c r="AF188">
        <f>HOUR(TwitterClean[[#This Row],[Post_Time]])</f>
        <v>17</v>
      </c>
      <c r="AG188" t="str">
        <f>IF(TwitterClean[[#This Row],[videos]]="Null","No","Yes")</f>
        <v>No</v>
      </c>
      <c r="AH188" t="str">
        <f>IF(TwitterClean[[#This Row],[photos]]="null","No","Yes")</f>
        <v>Yes</v>
      </c>
      <c r="AI188" t="str">
        <f>IF(TwitterClean[[#This Row],[hashtags]]="null","No","Yes")</f>
        <v>Yes</v>
      </c>
      <c r="AJ188" t="str">
        <f>IF(TwitterClean[[#This Row],[external_url]]="null","Yes","No")</f>
        <v>No</v>
      </c>
      <c r="AK188">
        <f>LEN(TwitterClean[[#This Row],[description]])</f>
        <v>46</v>
      </c>
      <c r="AL188" t="str">
        <f>IF(TwitterClean[[#This Row],[followers]]&lt;100000,"&lt;100K",IF(TwitterClean[[#This Row],[followers]]&lt;1000000,"100K-1M",IF(TwitterClean[[#This Row],[followers]]&lt;10000000,"1M-10M","10M+")))</f>
        <v>100K-1M</v>
      </c>
    </row>
    <row r="189" spans="1:38">
      <c r="A189">
        <v>1.8682383197771162E+18</v>
      </c>
      <c r="B189" t="s">
        <v>4400</v>
      </c>
      <c r="C189" t="s">
        <v>4401</v>
      </c>
      <c r="D189" t="s">
        <v>4402</v>
      </c>
      <c r="E189" t="s">
        <v>4403</v>
      </c>
      <c r="F189" t="s">
        <v>4404</v>
      </c>
      <c r="G189" t="s">
        <v>4405</v>
      </c>
      <c r="H189" t="s">
        <v>4406</v>
      </c>
      <c r="I189">
        <v>1</v>
      </c>
      <c r="J189">
        <v>25</v>
      </c>
      <c r="K189">
        <v>398</v>
      </c>
      <c r="L189">
        <v>16527</v>
      </c>
      <c r="M189" t="s">
        <v>52</v>
      </c>
      <c r="N189" t="s">
        <v>4407</v>
      </c>
      <c r="O189">
        <v>433377</v>
      </c>
      <c r="P189" t="s">
        <v>4408</v>
      </c>
      <c r="Q189">
        <v>58051</v>
      </c>
      <c r="R189" t="s">
        <v>4409</v>
      </c>
      <c r="S189">
        <v>322</v>
      </c>
      <c r="T189" t="b">
        <v>0</v>
      </c>
      <c r="U189">
        <v>4</v>
      </c>
      <c r="V189">
        <v>12</v>
      </c>
      <c r="W189" t="s">
        <v>35</v>
      </c>
      <c r="X189" t="s">
        <v>29</v>
      </c>
      <c r="Y189" t="s">
        <v>29</v>
      </c>
      <c r="Z189" t="s">
        <v>37</v>
      </c>
      <c r="AA189">
        <f>TwitterClean[[#This Row],[likes]]+TwitterClean[[#This Row],[replies]]+TwitterClean[[#This Row],[reposts]]+TwitterClean[[#This Row],[quotes]]+TwitterClean[[#This Row],[bookmarks]]</f>
        <v>440</v>
      </c>
      <c r="AB189" s="1">
        <f>TwitterClean[[#This Row],[Total_Engagements]]/TwitterClean[[#This Row],[views]]</f>
        <v>2.662310159133539E-2</v>
      </c>
      <c r="AC189" s="3">
        <f>DATEVALUE(MID(TwitterClean[[#This Row],[date_posted]],2,10))</f>
        <v>45641</v>
      </c>
      <c r="AD189">
        <f>TIMEVALUE(MID(TwitterClean[[#This Row],[date_posted]],13,8))</f>
        <v>0.42708333333333331</v>
      </c>
      <c r="AE189" s="3" t="str">
        <f>TEXT(TwitterClean[[#This Row],[Post_Date]],"dddd")</f>
        <v>Sunday</v>
      </c>
      <c r="AF189">
        <f>HOUR(TwitterClean[[#This Row],[Post_Time]])</f>
        <v>10</v>
      </c>
      <c r="AG189" t="str">
        <f>IF(TwitterClean[[#This Row],[videos]]="Null","No","Yes")</f>
        <v>No</v>
      </c>
      <c r="AH189" t="str">
        <f>IF(TwitterClean[[#This Row],[photos]]="null","No","Yes")</f>
        <v>Yes</v>
      </c>
      <c r="AI189" t="str">
        <f>IF(TwitterClean[[#This Row],[hashtags]]="null","No","Yes")</f>
        <v>Yes</v>
      </c>
      <c r="AJ189" t="str">
        <f>IF(TwitterClean[[#This Row],[external_url]]="null","Yes","No")</f>
        <v>No</v>
      </c>
      <c r="AK189">
        <f>LEN(TwitterClean[[#This Row],[description]])</f>
        <v>153</v>
      </c>
      <c r="AL189" t="str">
        <f>IF(TwitterClean[[#This Row],[followers]]&lt;100000,"&lt;100K",IF(TwitterClean[[#This Row],[followers]]&lt;1000000,"100K-1M",IF(TwitterClean[[#This Row],[followers]]&lt;10000000,"1M-10M","10M+")))</f>
        <v>100K-1M</v>
      </c>
    </row>
    <row r="190" spans="1:38">
      <c r="A190">
        <v>1.8683626084637537E+18</v>
      </c>
      <c r="B190" t="s">
        <v>3168</v>
      </c>
      <c r="C190" t="s">
        <v>3169</v>
      </c>
      <c r="D190" t="s">
        <v>3624</v>
      </c>
      <c r="E190" t="s">
        <v>3625</v>
      </c>
      <c r="F190" t="s">
        <v>29</v>
      </c>
      <c r="G190" t="s">
        <v>3626</v>
      </c>
      <c r="H190" t="s">
        <v>3173</v>
      </c>
      <c r="I190">
        <v>12</v>
      </c>
      <c r="J190">
        <v>77</v>
      </c>
      <c r="K190">
        <v>716</v>
      </c>
      <c r="L190">
        <v>31057</v>
      </c>
      <c r="M190" t="s">
        <v>52</v>
      </c>
      <c r="N190" t="s">
        <v>29</v>
      </c>
      <c r="O190">
        <v>294711</v>
      </c>
      <c r="P190" t="s">
        <v>3175</v>
      </c>
      <c r="Q190">
        <v>66342</v>
      </c>
      <c r="R190" t="s">
        <v>3176</v>
      </c>
      <c r="S190">
        <v>1449</v>
      </c>
      <c r="T190" t="b">
        <v>0</v>
      </c>
      <c r="U190">
        <v>5</v>
      </c>
      <c r="V190">
        <v>14</v>
      </c>
      <c r="W190" t="s">
        <v>35</v>
      </c>
      <c r="X190" t="s">
        <v>29</v>
      </c>
      <c r="Y190" t="s">
        <v>3627</v>
      </c>
      <c r="Z190" t="s">
        <v>37</v>
      </c>
      <c r="AA190">
        <f>TwitterClean[[#This Row],[likes]]+TwitterClean[[#This Row],[replies]]+TwitterClean[[#This Row],[reposts]]+TwitterClean[[#This Row],[quotes]]+TwitterClean[[#This Row],[bookmarks]]</f>
        <v>824</v>
      </c>
      <c r="AB190" s="1">
        <f>TwitterClean[[#This Row],[Total_Engagements]]/TwitterClean[[#This Row],[views]]</f>
        <v>2.6531860772128667E-2</v>
      </c>
      <c r="AC190" s="3">
        <f>DATEVALUE(MID(TwitterClean[[#This Row],[date_posted]],2,10))</f>
        <v>45641</v>
      </c>
      <c r="AD190">
        <f>TIMEVALUE(MID(TwitterClean[[#This Row],[date_posted]],13,8))</f>
        <v>0.77005787037037032</v>
      </c>
      <c r="AE190" s="3" t="str">
        <f>TEXT(TwitterClean[[#This Row],[Post_Date]],"dddd")</f>
        <v>Sunday</v>
      </c>
      <c r="AF190">
        <f>HOUR(TwitterClean[[#This Row],[Post_Time]])</f>
        <v>18</v>
      </c>
      <c r="AG190" t="str">
        <f>IF(TwitterClean[[#This Row],[videos]]="Null","No","Yes")</f>
        <v>Yes</v>
      </c>
      <c r="AH190" t="str">
        <f>IF(TwitterClean[[#This Row],[photos]]="null","No","Yes")</f>
        <v>No</v>
      </c>
      <c r="AI190" t="str">
        <f>IF(TwitterClean[[#This Row],[hashtags]]="null","No","Yes")</f>
        <v>No</v>
      </c>
      <c r="AJ190" t="str">
        <f>IF(TwitterClean[[#This Row],[external_url]]="null","Yes","No")</f>
        <v>No</v>
      </c>
      <c r="AK190">
        <f>LEN(TwitterClean[[#This Row],[description]])</f>
        <v>119</v>
      </c>
      <c r="AL190" t="str">
        <f>IF(TwitterClean[[#This Row],[followers]]&lt;100000,"&lt;100K",IF(TwitterClean[[#This Row],[followers]]&lt;1000000,"100K-1M",IF(TwitterClean[[#This Row],[followers]]&lt;10000000,"1M-10M","10M+")))</f>
        <v>100K-1M</v>
      </c>
    </row>
    <row r="191" spans="1:38">
      <c r="A191">
        <v>1.8682858781306883E+18</v>
      </c>
      <c r="B191" t="s">
        <v>333</v>
      </c>
      <c r="C191" t="s">
        <v>334</v>
      </c>
      <c r="D191" t="s">
        <v>481</v>
      </c>
      <c r="E191" t="s">
        <v>482</v>
      </c>
      <c r="F191" t="s">
        <v>483</v>
      </c>
      <c r="G191" t="s">
        <v>484</v>
      </c>
      <c r="H191" t="s">
        <v>29</v>
      </c>
      <c r="I191">
        <v>25</v>
      </c>
      <c r="J191">
        <v>43</v>
      </c>
      <c r="K191">
        <v>883</v>
      </c>
      <c r="L191">
        <v>36948</v>
      </c>
      <c r="M191" t="s">
        <v>52</v>
      </c>
      <c r="N191" t="s">
        <v>340</v>
      </c>
      <c r="O191">
        <v>337839</v>
      </c>
      <c r="P191" t="s">
        <v>341</v>
      </c>
      <c r="Q191">
        <v>57638</v>
      </c>
      <c r="R191" t="s">
        <v>342</v>
      </c>
      <c r="S191">
        <v>587</v>
      </c>
      <c r="T191" t="b">
        <v>0</v>
      </c>
      <c r="U191">
        <v>25</v>
      </c>
      <c r="V191">
        <v>4</v>
      </c>
      <c r="W191" t="s">
        <v>35</v>
      </c>
      <c r="X191" t="s">
        <v>29</v>
      </c>
      <c r="Y191" t="s">
        <v>29</v>
      </c>
      <c r="Z191" t="s">
        <v>37</v>
      </c>
      <c r="AA191">
        <f>TwitterClean[[#This Row],[likes]]+TwitterClean[[#This Row],[replies]]+TwitterClean[[#This Row],[reposts]]+TwitterClean[[#This Row],[quotes]]+TwitterClean[[#This Row],[bookmarks]]</f>
        <v>980</v>
      </c>
      <c r="AB191" s="1">
        <f>TwitterClean[[#This Row],[Total_Engagements]]/TwitterClean[[#This Row],[views]]</f>
        <v>2.652376312655624E-2</v>
      </c>
      <c r="AC191" s="3">
        <f>DATEVALUE(MID(TwitterClean[[#This Row],[date_posted]],2,10))</f>
        <v>45641</v>
      </c>
      <c r="AD191">
        <f>TIMEVALUE(MID(TwitterClean[[#This Row],[date_posted]],13,8))</f>
        <v>0.55832175925925931</v>
      </c>
      <c r="AE191" s="3" t="str">
        <f>TEXT(TwitterClean[[#This Row],[Post_Date]],"dddd")</f>
        <v>Sunday</v>
      </c>
      <c r="AF191">
        <f>HOUR(TwitterClean[[#This Row],[Post_Time]])</f>
        <v>13</v>
      </c>
      <c r="AG191" t="str">
        <f>IF(TwitterClean[[#This Row],[videos]]="Null","No","Yes")</f>
        <v>No</v>
      </c>
      <c r="AH191" t="str">
        <f>IF(TwitterClean[[#This Row],[photos]]="null","No","Yes")</f>
        <v>Yes</v>
      </c>
      <c r="AI191" t="str">
        <f>IF(TwitterClean[[#This Row],[hashtags]]="null","No","Yes")</f>
        <v>Yes</v>
      </c>
      <c r="AJ191" t="str">
        <f>IF(TwitterClean[[#This Row],[external_url]]="null","Yes","No")</f>
        <v>No</v>
      </c>
      <c r="AK191">
        <f>LEN(TwitterClean[[#This Row],[description]])</f>
        <v>43</v>
      </c>
      <c r="AL191" t="str">
        <f>IF(TwitterClean[[#This Row],[followers]]&lt;100000,"&lt;100K",IF(TwitterClean[[#This Row],[followers]]&lt;1000000,"100K-1M",IF(TwitterClean[[#This Row],[followers]]&lt;10000000,"1M-10M","10M+")))</f>
        <v>100K-1M</v>
      </c>
    </row>
    <row r="192" spans="1:38">
      <c r="A192">
        <v>1.8682345509139579E+18</v>
      </c>
      <c r="B192" t="s">
        <v>1393</v>
      </c>
      <c r="C192" t="s">
        <v>1394</v>
      </c>
      <c r="D192" t="s">
        <v>4233</v>
      </c>
      <c r="E192" t="s">
        <v>3931</v>
      </c>
      <c r="F192" t="s">
        <v>29</v>
      </c>
      <c r="G192" t="s">
        <v>4234</v>
      </c>
      <c r="H192" t="s">
        <v>29</v>
      </c>
      <c r="I192">
        <v>87</v>
      </c>
      <c r="J192">
        <v>463</v>
      </c>
      <c r="K192">
        <v>5209</v>
      </c>
      <c r="L192">
        <v>220444</v>
      </c>
      <c r="M192" t="s">
        <v>52</v>
      </c>
      <c r="N192" t="s">
        <v>4235</v>
      </c>
      <c r="O192">
        <v>24644782</v>
      </c>
      <c r="P192" t="s">
        <v>1400</v>
      </c>
      <c r="Q192">
        <v>122426</v>
      </c>
      <c r="R192" t="s">
        <v>1401</v>
      </c>
      <c r="S192">
        <v>339854</v>
      </c>
      <c r="T192" t="b">
        <v>0</v>
      </c>
      <c r="U192">
        <v>17</v>
      </c>
      <c r="V192">
        <v>64</v>
      </c>
      <c r="W192" t="s">
        <v>35</v>
      </c>
      <c r="X192" t="s">
        <v>29</v>
      </c>
      <c r="Y192" t="s">
        <v>4236</v>
      </c>
      <c r="Z192" t="s">
        <v>37</v>
      </c>
      <c r="AA192">
        <f>TwitterClean[[#This Row],[likes]]+TwitterClean[[#This Row],[replies]]+TwitterClean[[#This Row],[reposts]]+TwitterClean[[#This Row],[quotes]]+TwitterClean[[#This Row],[bookmarks]]</f>
        <v>5840</v>
      </c>
      <c r="AB192" s="1">
        <f>TwitterClean[[#This Row],[Total_Engagements]]/TwitterClean[[#This Row],[views]]</f>
        <v>2.6491988895138902E-2</v>
      </c>
      <c r="AC192" s="3">
        <f>DATEVALUE(MID(TwitterClean[[#This Row],[date_posted]],2,10))</f>
        <v>45641</v>
      </c>
      <c r="AD192">
        <f>TIMEVALUE(MID(TwitterClean[[#This Row],[date_posted]],13,8))</f>
        <v>0.41667824074074072</v>
      </c>
      <c r="AE192" s="3" t="str">
        <f>TEXT(TwitterClean[[#This Row],[Post_Date]],"dddd")</f>
        <v>Sunday</v>
      </c>
      <c r="AF192">
        <f>HOUR(TwitterClean[[#This Row],[Post_Time]])</f>
        <v>10</v>
      </c>
      <c r="AG192" t="str">
        <f>IF(TwitterClean[[#This Row],[videos]]="Null","No","Yes")</f>
        <v>Yes</v>
      </c>
      <c r="AH192" t="str">
        <f>IF(TwitterClean[[#This Row],[photos]]="null","No","Yes")</f>
        <v>No</v>
      </c>
      <c r="AI192" t="str">
        <f>IF(TwitterClean[[#This Row],[hashtags]]="null","No","Yes")</f>
        <v>Yes</v>
      </c>
      <c r="AJ192" t="str">
        <f>IF(TwitterClean[[#This Row],[external_url]]="null","Yes","No")</f>
        <v>No</v>
      </c>
      <c r="AK192">
        <f>LEN(TwitterClean[[#This Row],[description]])</f>
        <v>57</v>
      </c>
      <c r="AL192" t="str">
        <f>IF(TwitterClean[[#This Row],[followers]]&lt;100000,"&lt;100K",IF(TwitterClean[[#This Row],[followers]]&lt;1000000,"100K-1M",IF(TwitterClean[[#This Row],[followers]]&lt;10000000,"1M-10M","10M+")))</f>
        <v>10M+</v>
      </c>
    </row>
    <row r="193" spans="1:38">
      <c r="A193">
        <v>1.8683867041653926E+18</v>
      </c>
      <c r="B193" t="s">
        <v>1862</v>
      </c>
      <c r="C193" t="s">
        <v>1863</v>
      </c>
      <c r="D193" t="s">
        <v>2080</v>
      </c>
      <c r="E193" t="s">
        <v>2081</v>
      </c>
      <c r="F193" t="s">
        <v>29</v>
      </c>
      <c r="G193" t="s">
        <v>2082</v>
      </c>
      <c r="H193" t="s">
        <v>2083</v>
      </c>
      <c r="I193">
        <v>14</v>
      </c>
      <c r="J193">
        <v>38</v>
      </c>
      <c r="K193">
        <v>553</v>
      </c>
      <c r="L193">
        <v>23858</v>
      </c>
      <c r="M193" t="s">
        <v>52</v>
      </c>
      <c r="N193" t="s">
        <v>1867</v>
      </c>
      <c r="O193">
        <v>13492430</v>
      </c>
      <c r="P193" t="s">
        <v>1868</v>
      </c>
      <c r="Q193">
        <v>314515</v>
      </c>
      <c r="R193" t="s">
        <v>1869</v>
      </c>
      <c r="S193">
        <v>708</v>
      </c>
      <c r="T193" t="b">
        <v>0</v>
      </c>
      <c r="U193">
        <v>12</v>
      </c>
      <c r="V193">
        <v>14</v>
      </c>
      <c r="W193" t="s">
        <v>35</v>
      </c>
      <c r="X193" t="s">
        <v>29</v>
      </c>
      <c r="Y193" t="s">
        <v>2084</v>
      </c>
      <c r="Z193" t="s">
        <v>37</v>
      </c>
      <c r="AA193">
        <f>TwitterClean[[#This Row],[likes]]+TwitterClean[[#This Row],[replies]]+TwitterClean[[#This Row],[reposts]]+TwitterClean[[#This Row],[quotes]]+TwitterClean[[#This Row],[bookmarks]]</f>
        <v>631</v>
      </c>
      <c r="AB193" s="1">
        <f>TwitterClean[[#This Row],[Total_Engagements]]/TwitterClean[[#This Row],[views]]</f>
        <v>2.6448151563416882E-2</v>
      </c>
      <c r="AC193" s="3">
        <f>DATEVALUE(MID(TwitterClean[[#This Row],[date_posted]],2,10))</f>
        <v>45641</v>
      </c>
      <c r="AD193">
        <f>TIMEVALUE(MID(TwitterClean[[#This Row],[date_posted]],13,8))</f>
        <v>0.8365393518518518</v>
      </c>
      <c r="AE193" s="3" t="str">
        <f>TEXT(TwitterClean[[#This Row],[Post_Date]],"dddd")</f>
        <v>Sunday</v>
      </c>
      <c r="AF193">
        <f>HOUR(TwitterClean[[#This Row],[Post_Time]])</f>
        <v>20</v>
      </c>
      <c r="AG193" t="str">
        <f>IF(TwitterClean[[#This Row],[videos]]="Null","No","Yes")</f>
        <v>Yes</v>
      </c>
      <c r="AH193" t="str">
        <f>IF(TwitterClean[[#This Row],[photos]]="null","No","Yes")</f>
        <v>No</v>
      </c>
      <c r="AI193" t="str">
        <f>IF(TwitterClean[[#This Row],[hashtags]]="null","No","Yes")</f>
        <v>Yes</v>
      </c>
      <c r="AJ193" t="str">
        <f>IF(TwitterClean[[#This Row],[external_url]]="null","Yes","No")</f>
        <v>No</v>
      </c>
      <c r="AK193">
        <f>LEN(TwitterClean[[#This Row],[description]])</f>
        <v>156</v>
      </c>
      <c r="AL193" t="str">
        <f>IF(TwitterClean[[#This Row],[followers]]&lt;100000,"&lt;100K",IF(TwitterClean[[#This Row],[followers]]&lt;1000000,"100K-1M",IF(TwitterClean[[#This Row],[followers]]&lt;10000000,"1M-10M","10M+")))</f>
        <v>10M+</v>
      </c>
    </row>
    <row r="194" spans="1:38">
      <c r="A194">
        <v>1.8683617662307866E+18</v>
      </c>
      <c r="B194" t="s">
        <v>3837</v>
      </c>
      <c r="C194" t="s">
        <v>3838</v>
      </c>
      <c r="D194" t="s">
        <v>5076</v>
      </c>
      <c r="E194" t="s">
        <v>5077</v>
      </c>
      <c r="F194" t="s">
        <v>4354</v>
      </c>
      <c r="G194" t="s">
        <v>5078</v>
      </c>
      <c r="H194" t="s">
        <v>29</v>
      </c>
      <c r="I194">
        <v>127</v>
      </c>
      <c r="J194">
        <v>1663</v>
      </c>
      <c r="K194">
        <v>7409</v>
      </c>
      <c r="L194">
        <v>356196</v>
      </c>
      <c r="M194" t="s">
        <v>52</v>
      </c>
      <c r="N194" t="s">
        <v>4356</v>
      </c>
      <c r="O194">
        <v>984256</v>
      </c>
      <c r="P194" t="s">
        <v>3844</v>
      </c>
      <c r="Q194">
        <v>136135</v>
      </c>
      <c r="R194" t="s">
        <v>3845</v>
      </c>
      <c r="S194">
        <v>438</v>
      </c>
      <c r="T194" t="b">
        <v>0</v>
      </c>
      <c r="U194">
        <v>191</v>
      </c>
      <c r="V194">
        <v>28</v>
      </c>
      <c r="W194" t="s">
        <v>35</v>
      </c>
      <c r="X194" t="s">
        <v>29</v>
      </c>
      <c r="Y194" t="s">
        <v>29</v>
      </c>
      <c r="Z194" t="s">
        <v>37</v>
      </c>
      <c r="AA194">
        <f>TwitterClean[[#This Row],[likes]]+TwitterClean[[#This Row],[replies]]+TwitterClean[[#This Row],[reposts]]+TwitterClean[[#This Row],[quotes]]+TwitterClean[[#This Row],[bookmarks]]</f>
        <v>9418</v>
      </c>
      <c r="AB194" s="1">
        <f>TwitterClean[[#This Row],[Total_Engagements]]/TwitterClean[[#This Row],[views]]</f>
        <v>2.6440499051084233E-2</v>
      </c>
      <c r="AC194" s="3">
        <f>DATEVALUE(MID(TwitterClean[[#This Row],[date_posted]],2,10))</f>
        <v>45641</v>
      </c>
      <c r="AD194">
        <f>TIMEVALUE(MID(TwitterClean[[#This Row],[date_posted]],13,8))</f>
        <v>0.76773148148148151</v>
      </c>
      <c r="AE194" s="3" t="str">
        <f>TEXT(TwitterClean[[#This Row],[Post_Date]],"dddd")</f>
        <v>Sunday</v>
      </c>
      <c r="AF194">
        <f>HOUR(TwitterClean[[#This Row],[Post_Time]])</f>
        <v>18</v>
      </c>
      <c r="AG194" t="str">
        <f>IF(TwitterClean[[#This Row],[videos]]="Null","No","Yes")</f>
        <v>No</v>
      </c>
      <c r="AH194" t="str">
        <f>IF(TwitterClean[[#This Row],[photos]]="null","No","Yes")</f>
        <v>Yes</v>
      </c>
      <c r="AI194" t="str">
        <f>IF(TwitterClean[[#This Row],[hashtags]]="null","No","Yes")</f>
        <v>Yes</v>
      </c>
      <c r="AJ194" t="str">
        <f>IF(TwitterClean[[#This Row],[external_url]]="null","Yes","No")</f>
        <v>No</v>
      </c>
      <c r="AK194">
        <f>LEN(TwitterClean[[#This Row],[description]])</f>
        <v>127</v>
      </c>
      <c r="AL194" t="str">
        <f>IF(TwitterClean[[#This Row],[followers]]&lt;100000,"&lt;100K",IF(TwitterClean[[#This Row],[followers]]&lt;1000000,"100K-1M",IF(TwitterClean[[#This Row],[followers]]&lt;10000000,"1M-10M","10M+")))</f>
        <v>100K-1M</v>
      </c>
    </row>
    <row r="195" spans="1:38">
      <c r="A195">
        <v>1.8683000562874043E+18</v>
      </c>
      <c r="B195" t="s">
        <v>228</v>
      </c>
      <c r="C195" t="s">
        <v>228</v>
      </c>
      <c r="D195" t="s">
        <v>542</v>
      </c>
      <c r="E195" t="s">
        <v>543</v>
      </c>
      <c r="F195" t="s">
        <v>544</v>
      </c>
      <c r="G195" t="s">
        <v>545</v>
      </c>
      <c r="H195" t="s">
        <v>29</v>
      </c>
      <c r="I195">
        <v>30</v>
      </c>
      <c r="J195">
        <v>13</v>
      </c>
      <c r="K195">
        <v>153</v>
      </c>
      <c r="L195">
        <v>7586</v>
      </c>
      <c r="M195" t="s">
        <v>546</v>
      </c>
      <c r="N195" t="s">
        <v>29</v>
      </c>
      <c r="O195">
        <v>1239617</v>
      </c>
      <c r="P195" t="s">
        <v>235</v>
      </c>
      <c r="Q195">
        <v>402839</v>
      </c>
      <c r="R195" t="s">
        <v>236</v>
      </c>
      <c r="S195">
        <v>1644</v>
      </c>
      <c r="T195" t="b">
        <v>0</v>
      </c>
      <c r="U195">
        <v>3</v>
      </c>
      <c r="V195">
        <v>1</v>
      </c>
      <c r="W195" t="s">
        <v>35</v>
      </c>
      <c r="X195" t="s">
        <v>29</v>
      </c>
      <c r="Y195" t="s">
        <v>29</v>
      </c>
      <c r="Z195" t="s">
        <v>37</v>
      </c>
      <c r="AA195">
        <f>TwitterClean[[#This Row],[likes]]+TwitterClean[[#This Row],[replies]]+TwitterClean[[#This Row],[reposts]]+TwitterClean[[#This Row],[quotes]]+TwitterClean[[#This Row],[bookmarks]]</f>
        <v>200</v>
      </c>
      <c r="AB195" s="1">
        <f>TwitterClean[[#This Row],[Total_Engagements]]/TwitterClean[[#This Row],[views]]</f>
        <v>2.6364355391510677E-2</v>
      </c>
      <c r="AC195" s="3">
        <f>DATEVALUE(MID(TwitterClean[[#This Row],[date_posted]],2,10))</f>
        <v>45641</v>
      </c>
      <c r="AD195">
        <f>TIMEVALUE(MID(TwitterClean[[#This Row],[date_posted]],13,8))</f>
        <v>0.59744212962962961</v>
      </c>
      <c r="AE195" s="3" t="str">
        <f>TEXT(TwitterClean[[#This Row],[Post_Date]],"dddd")</f>
        <v>Sunday</v>
      </c>
      <c r="AF195">
        <f>HOUR(TwitterClean[[#This Row],[Post_Time]])</f>
        <v>14</v>
      </c>
      <c r="AG195" t="str">
        <f>IF(TwitterClean[[#This Row],[videos]]="Null","No","Yes")</f>
        <v>No</v>
      </c>
      <c r="AH195" t="str">
        <f>IF(TwitterClean[[#This Row],[photos]]="null","No","Yes")</f>
        <v>Yes</v>
      </c>
      <c r="AI195" t="str">
        <f>IF(TwitterClean[[#This Row],[hashtags]]="null","No","Yes")</f>
        <v>No</v>
      </c>
      <c r="AJ195" t="str">
        <f>IF(TwitterClean[[#This Row],[external_url]]="null","Yes","No")</f>
        <v>No</v>
      </c>
      <c r="AK195">
        <f>LEN(TwitterClean[[#This Row],[description]])</f>
        <v>208</v>
      </c>
      <c r="AL195" t="str">
        <f>IF(TwitterClean[[#This Row],[followers]]&lt;100000,"&lt;100K",IF(TwitterClean[[#This Row],[followers]]&lt;1000000,"100K-1M",IF(TwitterClean[[#This Row],[followers]]&lt;10000000,"1M-10M","10M+")))</f>
        <v>1M-10M</v>
      </c>
    </row>
    <row r="196" spans="1:38">
      <c r="A196">
        <v>1.868394864259285E+18</v>
      </c>
      <c r="B196" t="s">
        <v>1862</v>
      </c>
      <c r="C196" t="s">
        <v>1863</v>
      </c>
      <c r="D196" t="s">
        <v>1893</v>
      </c>
      <c r="E196" t="s">
        <v>1894</v>
      </c>
      <c r="F196" t="s">
        <v>29</v>
      </c>
      <c r="G196" t="s">
        <v>1895</v>
      </c>
      <c r="H196" t="s">
        <v>29</v>
      </c>
      <c r="I196">
        <v>16</v>
      </c>
      <c r="J196">
        <v>41</v>
      </c>
      <c r="K196">
        <v>357</v>
      </c>
      <c r="L196">
        <v>16887</v>
      </c>
      <c r="M196" t="s">
        <v>52</v>
      </c>
      <c r="N196" t="s">
        <v>1867</v>
      </c>
      <c r="O196">
        <v>13492372</v>
      </c>
      <c r="P196" t="s">
        <v>1868</v>
      </c>
      <c r="Q196">
        <v>314515</v>
      </c>
      <c r="R196" t="s">
        <v>1869</v>
      </c>
      <c r="S196">
        <v>708</v>
      </c>
      <c r="T196" t="b">
        <v>0</v>
      </c>
      <c r="U196">
        <v>18</v>
      </c>
      <c r="V196">
        <v>11</v>
      </c>
      <c r="W196" t="s">
        <v>35</v>
      </c>
      <c r="X196" t="s">
        <v>29</v>
      </c>
      <c r="Y196" t="s">
        <v>1896</v>
      </c>
      <c r="Z196" t="s">
        <v>37</v>
      </c>
      <c r="AA196">
        <f>TwitterClean[[#This Row],[likes]]+TwitterClean[[#This Row],[replies]]+TwitterClean[[#This Row],[reposts]]+TwitterClean[[#This Row],[quotes]]+TwitterClean[[#This Row],[bookmarks]]</f>
        <v>443</v>
      </c>
      <c r="AB196" s="1">
        <f>TwitterClean[[#This Row],[Total_Engagements]]/TwitterClean[[#This Row],[views]]</f>
        <v>2.6233197133889975E-2</v>
      </c>
      <c r="AC196" s="3">
        <f>DATEVALUE(MID(TwitterClean[[#This Row],[date_posted]],2,10))</f>
        <v>45641</v>
      </c>
      <c r="AD196">
        <f>TIMEVALUE(MID(TwitterClean[[#This Row],[date_posted]],13,8))</f>
        <v>0.85906249999999995</v>
      </c>
      <c r="AE196" s="3" t="str">
        <f>TEXT(TwitterClean[[#This Row],[Post_Date]],"dddd")</f>
        <v>Sunday</v>
      </c>
      <c r="AF196">
        <f>HOUR(TwitterClean[[#This Row],[Post_Time]])</f>
        <v>20</v>
      </c>
      <c r="AG196" t="str">
        <f>IF(TwitterClean[[#This Row],[videos]]="Null","No","Yes")</f>
        <v>Yes</v>
      </c>
      <c r="AH196" t="str">
        <f>IF(TwitterClean[[#This Row],[photos]]="null","No","Yes")</f>
        <v>No</v>
      </c>
      <c r="AI196" t="str">
        <f>IF(TwitterClean[[#This Row],[hashtags]]="null","No","Yes")</f>
        <v>Yes</v>
      </c>
      <c r="AJ196" t="str">
        <f>IF(TwitterClean[[#This Row],[external_url]]="null","Yes","No")</f>
        <v>No</v>
      </c>
      <c r="AK196">
        <f>LEN(TwitterClean[[#This Row],[description]])</f>
        <v>74</v>
      </c>
      <c r="AL196" t="str">
        <f>IF(TwitterClean[[#This Row],[followers]]&lt;100000,"&lt;100K",IF(TwitterClean[[#This Row],[followers]]&lt;1000000,"100K-1M",IF(TwitterClean[[#This Row],[followers]]&lt;10000000,"1M-10M","10M+")))</f>
        <v>10M+</v>
      </c>
    </row>
    <row r="197" spans="1:38">
      <c r="A197">
        <v>1.8684041468496407E+18</v>
      </c>
      <c r="B197" t="s">
        <v>1862</v>
      </c>
      <c r="C197" t="s">
        <v>1863</v>
      </c>
      <c r="D197" t="s">
        <v>1888</v>
      </c>
      <c r="E197" t="s">
        <v>1889</v>
      </c>
      <c r="F197" t="s">
        <v>29</v>
      </c>
      <c r="G197" t="s">
        <v>1890</v>
      </c>
      <c r="H197" t="s">
        <v>1891</v>
      </c>
      <c r="I197">
        <v>4</v>
      </c>
      <c r="J197">
        <v>43</v>
      </c>
      <c r="K197">
        <v>231</v>
      </c>
      <c r="L197">
        <v>11412</v>
      </c>
      <c r="M197" t="s">
        <v>52</v>
      </c>
      <c r="N197" t="s">
        <v>1867</v>
      </c>
      <c r="O197">
        <v>13492430</v>
      </c>
      <c r="P197" t="s">
        <v>1868</v>
      </c>
      <c r="Q197">
        <v>314515</v>
      </c>
      <c r="R197" t="s">
        <v>1869</v>
      </c>
      <c r="S197">
        <v>708</v>
      </c>
      <c r="T197" t="b">
        <v>0</v>
      </c>
      <c r="U197">
        <v>11</v>
      </c>
      <c r="V197">
        <v>9</v>
      </c>
      <c r="W197" t="s">
        <v>35</v>
      </c>
      <c r="X197" t="s">
        <v>29</v>
      </c>
      <c r="Y197" t="s">
        <v>1892</v>
      </c>
      <c r="Z197" t="s">
        <v>37</v>
      </c>
      <c r="AA197">
        <f>TwitterClean[[#This Row],[likes]]+TwitterClean[[#This Row],[replies]]+TwitterClean[[#This Row],[reposts]]+TwitterClean[[#This Row],[quotes]]+TwitterClean[[#This Row],[bookmarks]]</f>
        <v>298</v>
      </c>
      <c r="AB197" s="1">
        <f>TwitterClean[[#This Row],[Total_Engagements]]/TwitterClean[[#This Row],[views]]</f>
        <v>2.6112863652295829E-2</v>
      </c>
      <c r="AC197" s="3">
        <f>DATEVALUE(MID(TwitterClean[[#This Row],[date_posted]],2,10))</f>
        <v>45641</v>
      </c>
      <c r="AD197">
        <f>TIMEVALUE(MID(TwitterClean[[#This Row],[date_posted]],13,8))</f>
        <v>0.88467592592592592</v>
      </c>
      <c r="AE197" s="3" t="str">
        <f>TEXT(TwitterClean[[#This Row],[Post_Date]],"dddd")</f>
        <v>Sunday</v>
      </c>
      <c r="AF197">
        <f>HOUR(TwitterClean[[#This Row],[Post_Time]])</f>
        <v>21</v>
      </c>
      <c r="AG197" t="str">
        <f>IF(TwitterClean[[#This Row],[videos]]="Null","No","Yes")</f>
        <v>Yes</v>
      </c>
      <c r="AH197" t="str">
        <f>IF(TwitterClean[[#This Row],[photos]]="null","No","Yes")</f>
        <v>No</v>
      </c>
      <c r="AI197" t="str">
        <f>IF(TwitterClean[[#This Row],[hashtags]]="null","No","Yes")</f>
        <v>Yes</v>
      </c>
      <c r="AJ197" t="str">
        <f>IF(TwitterClean[[#This Row],[external_url]]="null","Yes","No")</f>
        <v>No</v>
      </c>
      <c r="AK197">
        <f>LEN(TwitterClean[[#This Row],[description]])</f>
        <v>101</v>
      </c>
      <c r="AL197" t="str">
        <f>IF(TwitterClean[[#This Row],[followers]]&lt;100000,"&lt;100K",IF(TwitterClean[[#This Row],[followers]]&lt;1000000,"100K-1M",IF(TwitterClean[[#This Row],[followers]]&lt;10000000,"1M-10M","10M+")))</f>
        <v>10M+</v>
      </c>
    </row>
    <row r="198" spans="1:38">
      <c r="A198">
        <v>1.8681155917454095E+18</v>
      </c>
      <c r="B198" t="s">
        <v>3083</v>
      </c>
      <c r="C198" t="s">
        <v>3083</v>
      </c>
      <c r="D198" t="s">
        <v>5208</v>
      </c>
      <c r="E198" t="s">
        <v>5209</v>
      </c>
      <c r="F198" t="s">
        <v>5210</v>
      </c>
      <c r="G198" t="s">
        <v>5211</v>
      </c>
      <c r="H198" t="s">
        <v>5212</v>
      </c>
      <c r="I198">
        <v>359</v>
      </c>
      <c r="J198">
        <v>1075</v>
      </c>
      <c r="K198">
        <v>7324</v>
      </c>
      <c r="L198">
        <v>349721</v>
      </c>
      <c r="M198" t="s">
        <v>52</v>
      </c>
      <c r="N198" t="s">
        <v>3087</v>
      </c>
      <c r="O198">
        <v>14375935</v>
      </c>
      <c r="P198" t="s">
        <v>3088</v>
      </c>
      <c r="Q198">
        <v>346973</v>
      </c>
      <c r="R198" t="s">
        <v>3089</v>
      </c>
      <c r="S198">
        <v>392</v>
      </c>
      <c r="T198" t="b">
        <v>0</v>
      </c>
      <c r="U198">
        <v>112</v>
      </c>
      <c r="V198">
        <v>107</v>
      </c>
      <c r="W198" t="s">
        <v>35</v>
      </c>
      <c r="X198" t="s">
        <v>29</v>
      </c>
      <c r="Y198" t="s">
        <v>29</v>
      </c>
      <c r="Z198" t="s">
        <v>37</v>
      </c>
      <c r="AA198">
        <f>TwitterClean[[#This Row],[likes]]+TwitterClean[[#This Row],[replies]]+TwitterClean[[#This Row],[reposts]]+TwitterClean[[#This Row],[quotes]]+TwitterClean[[#This Row],[bookmarks]]</f>
        <v>8977</v>
      </c>
      <c r="AB198" s="1">
        <f>TwitterClean[[#This Row],[Total_Engagements]]/TwitterClean[[#This Row],[views]]</f>
        <v>2.5669033315128344E-2</v>
      </c>
      <c r="AC198" s="3">
        <f>DATEVALUE(MID(TwitterClean[[#This Row],[date_posted]],2,10))</f>
        <v>45641</v>
      </c>
      <c r="AD198">
        <f>TIMEVALUE(MID(TwitterClean[[#This Row],[date_posted]],13,8))</f>
        <v>8.8414351851851855E-2</v>
      </c>
      <c r="AE198" s="3" t="str">
        <f>TEXT(TwitterClean[[#This Row],[Post_Date]],"dddd")</f>
        <v>Sunday</v>
      </c>
      <c r="AF198">
        <f>HOUR(TwitterClean[[#This Row],[Post_Time]])</f>
        <v>2</v>
      </c>
      <c r="AG198" t="str">
        <f>IF(TwitterClean[[#This Row],[videos]]="Null","No","Yes")</f>
        <v>No</v>
      </c>
      <c r="AH198" t="str">
        <f>IF(TwitterClean[[#This Row],[photos]]="null","No","Yes")</f>
        <v>Yes</v>
      </c>
      <c r="AI198" t="str">
        <f>IF(TwitterClean[[#This Row],[hashtags]]="null","No","Yes")</f>
        <v>Yes</v>
      </c>
      <c r="AJ198" t="str">
        <f>IF(TwitterClean[[#This Row],[external_url]]="null","Yes","No")</f>
        <v>No</v>
      </c>
      <c r="AK198">
        <f>LEN(TwitterClean[[#This Row],[description]])</f>
        <v>81</v>
      </c>
      <c r="AL198" t="str">
        <f>IF(TwitterClean[[#This Row],[followers]]&lt;100000,"&lt;100K",IF(TwitterClean[[#This Row],[followers]]&lt;1000000,"100K-1M",IF(TwitterClean[[#This Row],[followers]]&lt;10000000,"1M-10M","10M+")))</f>
        <v>10M+</v>
      </c>
    </row>
    <row r="199" spans="1:38">
      <c r="A199">
        <v>1.868318120454345E+18</v>
      </c>
      <c r="B199" t="s">
        <v>228</v>
      </c>
      <c r="C199" t="s">
        <v>228</v>
      </c>
      <c r="D199" t="s">
        <v>1189</v>
      </c>
      <c r="E199" t="s">
        <v>1190</v>
      </c>
      <c r="F199" t="s">
        <v>1191</v>
      </c>
      <c r="G199" t="s">
        <v>1192</v>
      </c>
      <c r="H199" t="s">
        <v>29</v>
      </c>
      <c r="I199">
        <v>3</v>
      </c>
      <c r="J199">
        <v>8</v>
      </c>
      <c r="K199">
        <v>107</v>
      </c>
      <c r="L199">
        <v>4720</v>
      </c>
      <c r="M199" t="s">
        <v>1193</v>
      </c>
      <c r="N199" t="s">
        <v>29</v>
      </c>
      <c r="O199">
        <v>1239618</v>
      </c>
      <c r="P199" t="s">
        <v>235</v>
      </c>
      <c r="Q199">
        <v>402839</v>
      </c>
      <c r="R199" t="s">
        <v>236</v>
      </c>
      <c r="S199">
        <v>1644</v>
      </c>
      <c r="T199" t="b">
        <v>0</v>
      </c>
      <c r="U199">
        <v>1</v>
      </c>
      <c r="V199">
        <v>1</v>
      </c>
      <c r="W199" t="s">
        <v>35</v>
      </c>
      <c r="X199" t="s">
        <v>29</v>
      </c>
      <c r="Y199" t="s">
        <v>29</v>
      </c>
      <c r="Z199" t="s">
        <v>37</v>
      </c>
      <c r="AA199">
        <f>TwitterClean[[#This Row],[likes]]+TwitterClean[[#This Row],[replies]]+TwitterClean[[#This Row],[reposts]]+TwitterClean[[#This Row],[quotes]]+TwitterClean[[#This Row],[bookmarks]]</f>
        <v>120</v>
      </c>
      <c r="AB199" s="1">
        <f>TwitterClean[[#This Row],[Total_Engagements]]/TwitterClean[[#This Row],[views]]</f>
        <v>2.5423728813559324E-2</v>
      </c>
      <c r="AC199" s="3">
        <f>DATEVALUE(MID(TwitterClean[[#This Row],[date_posted]],2,10))</f>
        <v>45641</v>
      </c>
      <c r="AD199">
        <f>TIMEVALUE(MID(TwitterClean[[#This Row],[date_posted]],13,8))</f>
        <v>0.64729166666666671</v>
      </c>
      <c r="AE199" s="3" t="str">
        <f>TEXT(TwitterClean[[#This Row],[Post_Date]],"dddd")</f>
        <v>Sunday</v>
      </c>
      <c r="AF199">
        <f>HOUR(TwitterClean[[#This Row],[Post_Time]])</f>
        <v>15</v>
      </c>
      <c r="AG199" t="str">
        <f>IF(TwitterClean[[#This Row],[videos]]="Null","No","Yes")</f>
        <v>No</v>
      </c>
      <c r="AH199" t="str">
        <f>IF(TwitterClean[[#This Row],[photos]]="null","No","Yes")</f>
        <v>Yes</v>
      </c>
      <c r="AI199" t="str">
        <f>IF(TwitterClean[[#This Row],[hashtags]]="null","No","Yes")</f>
        <v>No</v>
      </c>
      <c r="AJ199" t="str">
        <f>IF(TwitterClean[[#This Row],[external_url]]="null","Yes","No")</f>
        <v>No</v>
      </c>
      <c r="AK199">
        <f>LEN(TwitterClean[[#This Row],[description]])</f>
        <v>219</v>
      </c>
      <c r="AL199" t="str">
        <f>IF(TwitterClean[[#This Row],[followers]]&lt;100000,"&lt;100K",IF(TwitterClean[[#This Row],[followers]]&lt;1000000,"100K-1M",IF(TwitterClean[[#This Row],[followers]]&lt;10000000,"1M-10M","10M+")))</f>
        <v>1M-10M</v>
      </c>
    </row>
    <row r="200" spans="1:38">
      <c r="A200">
        <v>1.868424825582027E+18</v>
      </c>
      <c r="B200" t="s">
        <v>1862</v>
      </c>
      <c r="C200" t="s">
        <v>1863</v>
      </c>
      <c r="D200" t="s">
        <v>2089</v>
      </c>
      <c r="E200" t="s">
        <v>2090</v>
      </c>
      <c r="F200" t="s">
        <v>29</v>
      </c>
      <c r="G200" t="s">
        <v>2091</v>
      </c>
      <c r="H200" t="s">
        <v>29</v>
      </c>
      <c r="I200">
        <v>11</v>
      </c>
      <c r="J200">
        <v>51</v>
      </c>
      <c r="K200">
        <v>241</v>
      </c>
      <c r="L200">
        <v>13200</v>
      </c>
      <c r="M200" t="s">
        <v>52</v>
      </c>
      <c r="N200" t="s">
        <v>1867</v>
      </c>
      <c r="O200">
        <v>13492430</v>
      </c>
      <c r="P200" t="s">
        <v>1868</v>
      </c>
      <c r="Q200">
        <v>314515</v>
      </c>
      <c r="R200" t="s">
        <v>1869</v>
      </c>
      <c r="S200">
        <v>708</v>
      </c>
      <c r="T200" t="b">
        <v>0</v>
      </c>
      <c r="U200">
        <v>13</v>
      </c>
      <c r="V200">
        <v>19</v>
      </c>
      <c r="W200" t="s">
        <v>35</v>
      </c>
      <c r="X200" t="s">
        <v>29</v>
      </c>
      <c r="Y200" t="s">
        <v>2092</v>
      </c>
      <c r="Z200" t="s">
        <v>37</v>
      </c>
      <c r="AA200">
        <f>TwitterClean[[#This Row],[likes]]+TwitterClean[[#This Row],[replies]]+TwitterClean[[#This Row],[reposts]]+TwitterClean[[#This Row],[quotes]]+TwitterClean[[#This Row],[bookmarks]]</f>
        <v>335</v>
      </c>
      <c r="AB200" s="1">
        <f>TwitterClean[[#This Row],[Total_Engagements]]/TwitterClean[[#This Row],[views]]</f>
        <v>2.5378787878787879E-2</v>
      </c>
      <c r="AC200" s="3">
        <f>DATEVALUE(MID(TwitterClean[[#This Row],[date_posted]],2,10))</f>
        <v>45641</v>
      </c>
      <c r="AD200">
        <f>TIMEVALUE(MID(TwitterClean[[#This Row],[date_posted]],13,8))</f>
        <v>0.94173611111111111</v>
      </c>
      <c r="AE200" s="3" t="str">
        <f>TEXT(TwitterClean[[#This Row],[Post_Date]],"dddd")</f>
        <v>Sunday</v>
      </c>
      <c r="AF200">
        <f>HOUR(TwitterClean[[#This Row],[Post_Time]])</f>
        <v>22</v>
      </c>
      <c r="AG200" t="str">
        <f>IF(TwitterClean[[#This Row],[videos]]="Null","No","Yes")</f>
        <v>Yes</v>
      </c>
      <c r="AH200" t="str">
        <f>IF(TwitterClean[[#This Row],[photos]]="null","No","Yes")</f>
        <v>No</v>
      </c>
      <c r="AI200" t="str">
        <f>IF(TwitterClean[[#This Row],[hashtags]]="null","No","Yes")</f>
        <v>Yes</v>
      </c>
      <c r="AJ200" t="str">
        <f>IF(TwitterClean[[#This Row],[external_url]]="null","Yes","No")</f>
        <v>No</v>
      </c>
      <c r="AK200">
        <f>LEN(TwitterClean[[#This Row],[description]])</f>
        <v>60</v>
      </c>
      <c r="AL200" t="str">
        <f>IF(TwitterClean[[#This Row],[followers]]&lt;100000,"&lt;100K",IF(TwitterClean[[#This Row],[followers]]&lt;1000000,"100K-1M",IF(TwitterClean[[#This Row],[followers]]&lt;10000000,"1M-10M","10M+")))</f>
        <v>10M+</v>
      </c>
    </row>
    <row r="201" spans="1:38">
      <c r="A201">
        <v>1.8684063350138435E+18</v>
      </c>
      <c r="B201" t="s">
        <v>290</v>
      </c>
      <c r="C201" t="s">
        <v>291</v>
      </c>
      <c r="D201" t="s">
        <v>4420</v>
      </c>
      <c r="E201" t="s">
        <v>4421</v>
      </c>
      <c r="F201" t="s">
        <v>29</v>
      </c>
      <c r="G201" t="s">
        <v>4422</v>
      </c>
      <c r="H201" t="s">
        <v>4423</v>
      </c>
      <c r="I201">
        <v>11</v>
      </c>
      <c r="J201">
        <v>18</v>
      </c>
      <c r="K201">
        <v>404</v>
      </c>
      <c r="L201">
        <v>17259</v>
      </c>
      <c r="M201" t="s">
        <v>52</v>
      </c>
      <c r="N201" t="s">
        <v>305</v>
      </c>
      <c r="O201">
        <v>1906482</v>
      </c>
      <c r="P201" t="s">
        <v>298</v>
      </c>
      <c r="Q201">
        <v>124666</v>
      </c>
      <c r="R201" t="s">
        <v>299</v>
      </c>
      <c r="S201">
        <v>432</v>
      </c>
      <c r="T201" t="b">
        <v>0</v>
      </c>
      <c r="U201">
        <v>0</v>
      </c>
      <c r="V201">
        <v>5</v>
      </c>
      <c r="W201" t="s">
        <v>35</v>
      </c>
      <c r="X201" t="s">
        <v>29</v>
      </c>
      <c r="Y201" t="s">
        <v>4424</v>
      </c>
      <c r="Z201" t="s">
        <v>37</v>
      </c>
      <c r="AA201">
        <f>TwitterClean[[#This Row],[likes]]+TwitterClean[[#This Row],[replies]]+TwitterClean[[#This Row],[reposts]]+TwitterClean[[#This Row],[quotes]]+TwitterClean[[#This Row],[bookmarks]]</f>
        <v>438</v>
      </c>
      <c r="AB201" s="1">
        <f>TwitterClean[[#This Row],[Total_Engagements]]/TwitterClean[[#This Row],[views]]</f>
        <v>2.53780636189814E-2</v>
      </c>
      <c r="AC201" s="3">
        <f>DATEVALUE(MID(TwitterClean[[#This Row],[date_posted]],2,10))</f>
        <v>45641</v>
      </c>
      <c r="AD201">
        <f>TIMEVALUE(MID(TwitterClean[[#This Row],[date_posted]],13,8))</f>
        <v>0.89071759259259264</v>
      </c>
      <c r="AE201" s="3" t="str">
        <f>TEXT(TwitterClean[[#This Row],[Post_Date]],"dddd")</f>
        <v>Sunday</v>
      </c>
      <c r="AF201">
        <f>HOUR(TwitterClean[[#This Row],[Post_Time]])</f>
        <v>21</v>
      </c>
      <c r="AG201" t="str">
        <f>IF(TwitterClean[[#This Row],[videos]]="Null","No","Yes")</f>
        <v>Yes</v>
      </c>
      <c r="AH201" t="str">
        <f>IF(TwitterClean[[#This Row],[photos]]="null","No","Yes")</f>
        <v>No</v>
      </c>
      <c r="AI201" t="str">
        <f>IF(TwitterClean[[#This Row],[hashtags]]="null","No","Yes")</f>
        <v>Yes</v>
      </c>
      <c r="AJ201" t="str">
        <f>IF(TwitterClean[[#This Row],[external_url]]="null","Yes","No")</f>
        <v>No</v>
      </c>
      <c r="AK201">
        <f>LEN(TwitterClean[[#This Row],[description]])</f>
        <v>90</v>
      </c>
      <c r="AL201" t="str">
        <f>IF(TwitterClean[[#This Row],[followers]]&lt;100000,"&lt;100K",IF(TwitterClean[[#This Row],[followers]]&lt;1000000,"100K-1M",IF(TwitterClean[[#This Row],[followers]]&lt;10000000,"1M-10M","10M+")))</f>
        <v>1M-10M</v>
      </c>
    </row>
    <row r="202" spans="1:38">
      <c r="A202">
        <v>1.868285602413609E+18</v>
      </c>
      <c r="B202" t="s">
        <v>333</v>
      </c>
      <c r="C202" t="s">
        <v>334</v>
      </c>
      <c r="D202" t="s">
        <v>4465</v>
      </c>
      <c r="E202" t="s">
        <v>4466</v>
      </c>
      <c r="F202" t="s">
        <v>29</v>
      </c>
      <c r="G202" t="s">
        <v>4467</v>
      </c>
      <c r="H202" t="s">
        <v>489</v>
      </c>
      <c r="I202">
        <v>4</v>
      </c>
      <c r="J202">
        <v>15</v>
      </c>
      <c r="K202">
        <v>209</v>
      </c>
      <c r="L202">
        <v>9112</v>
      </c>
      <c r="M202" t="s">
        <v>52</v>
      </c>
      <c r="N202" t="s">
        <v>340</v>
      </c>
      <c r="O202">
        <v>337839</v>
      </c>
      <c r="P202" t="s">
        <v>341</v>
      </c>
      <c r="Q202">
        <v>57638</v>
      </c>
      <c r="R202" t="s">
        <v>342</v>
      </c>
      <c r="S202">
        <v>587</v>
      </c>
      <c r="T202" t="b">
        <v>0</v>
      </c>
      <c r="U202">
        <v>2</v>
      </c>
      <c r="V202">
        <v>1</v>
      </c>
      <c r="W202" t="s">
        <v>35</v>
      </c>
      <c r="X202" t="s">
        <v>29</v>
      </c>
      <c r="Y202" t="s">
        <v>4468</v>
      </c>
      <c r="Z202" t="s">
        <v>37</v>
      </c>
      <c r="AA202">
        <f>TwitterClean[[#This Row],[likes]]+TwitterClean[[#This Row],[replies]]+TwitterClean[[#This Row],[reposts]]+TwitterClean[[#This Row],[quotes]]+TwitterClean[[#This Row],[bookmarks]]</f>
        <v>231</v>
      </c>
      <c r="AB202" s="1">
        <f>TwitterClean[[#This Row],[Total_Engagements]]/TwitterClean[[#This Row],[views]]</f>
        <v>2.5351185250219489E-2</v>
      </c>
      <c r="AC202" s="3">
        <f>DATEVALUE(MID(TwitterClean[[#This Row],[date_posted]],2,10))</f>
        <v>45641</v>
      </c>
      <c r="AD202">
        <f>TIMEVALUE(MID(TwitterClean[[#This Row],[date_posted]],13,8))</f>
        <v>0.55755787037037041</v>
      </c>
      <c r="AE202" s="3" t="str">
        <f>TEXT(TwitterClean[[#This Row],[Post_Date]],"dddd")</f>
        <v>Sunday</v>
      </c>
      <c r="AF202">
        <f>HOUR(TwitterClean[[#This Row],[Post_Time]])</f>
        <v>13</v>
      </c>
      <c r="AG202" t="str">
        <f>IF(TwitterClean[[#This Row],[videos]]="Null","No","Yes")</f>
        <v>Yes</v>
      </c>
      <c r="AH202" t="str">
        <f>IF(TwitterClean[[#This Row],[photos]]="null","No","Yes")</f>
        <v>No</v>
      </c>
      <c r="AI202" t="str">
        <f>IF(TwitterClean[[#This Row],[hashtags]]="null","No","Yes")</f>
        <v>Yes</v>
      </c>
      <c r="AJ202" t="str">
        <f>IF(TwitterClean[[#This Row],[external_url]]="null","Yes","No")</f>
        <v>No</v>
      </c>
      <c r="AK202">
        <f>LEN(TwitterClean[[#This Row],[description]])</f>
        <v>84</v>
      </c>
      <c r="AL202" t="str">
        <f>IF(TwitterClean[[#This Row],[followers]]&lt;100000,"&lt;100K",IF(TwitterClean[[#This Row],[followers]]&lt;1000000,"100K-1M",IF(TwitterClean[[#This Row],[followers]]&lt;10000000,"1M-10M","10M+")))</f>
        <v>100K-1M</v>
      </c>
    </row>
    <row r="203" spans="1:38">
      <c r="A203">
        <v>1.8684234900946417E+18</v>
      </c>
      <c r="B203" t="s">
        <v>1862</v>
      </c>
      <c r="C203" t="s">
        <v>1863</v>
      </c>
      <c r="D203" t="s">
        <v>2189</v>
      </c>
      <c r="E203" t="s">
        <v>2190</v>
      </c>
      <c r="F203" t="s">
        <v>29</v>
      </c>
      <c r="G203" t="s">
        <v>2191</v>
      </c>
      <c r="H203" t="s">
        <v>29</v>
      </c>
      <c r="I203">
        <v>5</v>
      </c>
      <c r="J203">
        <v>32</v>
      </c>
      <c r="K203">
        <v>269</v>
      </c>
      <c r="L203">
        <v>13069</v>
      </c>
      <c r="M203" t="s">
        <v>52</v>
      </c>
      <c r="N203" t="s">
        <v>1867</v>
      </c>
      <c r="O203">
        <v>13492430</v>
      </c>
      <c r="P203" t="s">
        <v>1868</v>
      </c>
      <c r="Q203">
        <v>314515</v>
      </c>
      <c r="R203" t="s">
        <v>1869</v>
      </c>
      <c r="S203">
        <v>708</v>
      </c>
      <c r="T203" t="b">
        <v>0</v>
      </c>
      <c r="U203">
        <v>5</v>
      </c>
      <c r="V203">
        <v>20</v>
      </c>
      <c r="W203" t="s">
        <v>35</v>
      </c>
      <c r="X203" t="s">
        <v>29</v>
      </c>
      <c r="Y203" t="s">
        <v>2192</v>
      </c>
      <c r="Z203" t="s">
        <v>37</v>
      </c>
      <c r="AA203">
        <f>TwitterClean[[#This Row],[likes]]+TwitterClean[[#This Row],[replies]]+TwitterClean[[#This Row],[reposts]]+TwitterClean[[#This Row],[quotes]]+TwitterClean[[#This Row],[bookmarks]]</f>
        <v>331</v>
      </c>
      <c r="AB203" s="1">
        <f>TwitterClean[[#This Row],[Total_Engagements]]/TwitterClean[[#This Row],[views]]</f>
        <v>2.5327109954855001E-2</v>
      </c>
      <c r="AC203" s="3">
        <f>DATEVALUE(MID(TwitterClean[[#This Row],[date_posted]],2,10))</f>
        <v>45641</v>
      </c>
      <c r="AD203">
        <f>TIMEVALUE(MID(TwitterClean[[#This Row],[date_posted]],13,8))</f>
        <v>0.93805555555555553</v>
      </c>
      <c r="AE203" s="3" t="str">
        <f>TEXT(TwitterClean[[#This Row],[Post_Date]],"dddd")</f>
        <v>Sunday</v>
      </c>
      <c r="AF203">
        <f>HOUR(TwitterClean[[#This Row],[Post_Time]])</f>
        <v>22</v>
      </c>
      <c r="AG203" t="str">
        <f>IF(TwitterClean[[#This Row],[videos]]="Null","No","Yes")</f>
        <v>Yes</v>
      </c>
      <c r="AH203" t="str">
        <f>IF(TwitterClean[[#This Row],[photos]]="null","No","Yes")</f>
        <v>No</v>
      </c>
      <c r="AI203" t="str">
        <f>IF(TwitterClean[[#This Row],[hashtags]]="null","No","Yes")</f>
        <v>Yes</v>
      </c>
      <c r="AJ203" t="str">
        <f>IF(TwitterClean[[#This Row],[external_url]]="null","Yes","No")</f>
        <v>No</v>
      </c>
      <c r="AK203">
        <f>LEN(TwitterClean[[#This Row],[description]])</f>
        <v>42</v>
      </c>
      <c r="AL203" t="str">
        <f>IF(TwitterClean[[#This Row],[followers]]&lt;100000,"&lt;100K",IF(TwitterClean[[#This Row],[followers]]&lt;1000000,"100K-1M",IF(TwitterClean[[#This Row],[followers]]&lt;10000000,"1M-10M","10M+")))</f>
        <v>10M+</v>
      </c>
    </row>
    <row r="204" spans="1:38">
      <c r="A204">
        <v>1.8683283242813197E+18</v>
      </c>
      <c r="B204" t="s">
        <v>1267</v>
      </c>
      <c r="C204" t="s">
        <v>1268</v>
      </c>
      <c r="D204" t="s">
        <v>1602</v>
      </c>
      <c r="E204" t="s">
        <v>1603</v>
      </c>
      <c r="F204" t="s">
        <v>1604</v>
      </c>
      <c r="G204" t="s">
        <v>1605</v>
      </c>
      <c r="H204" t="s">
        <v>29</v>
      </c>
      <c r="I204">
        <v>83</v>
      </c>
      <c r="J204">
        <v>137</v>
      </c>
      <c r="K204">
        <v>2254</v>
      </c>
      <c r="L204">
        <v>99024</v>
      </c>
      <c r="M204" t="s">
        <v>52</v>
      </c>
      <c r="N204" t="s">
        <v>1273</v>
      </c>
      <c r="O204">
        <v>17891301</v>
      </c>
      <c r="P204" t="s">
        <v>1274</v>
      </c>
      <c r="Q204">
        <v>168939</v>
      </c>
      <c r="R204" t="s">
        <v>1275</v>
      </c>
      <c r="S204">
        <v>47365</v>
      </c>
      <c r="T204" t="b">
        <v>0</v>
      </c>
      <c r="U204">
        <v>12</v>
      </c>
      <c r="V204">
        <v>8</v>
      </c>
      <c r="W204" t="s">
        <v>35</v>
      </c>
      <c r="X204" t="s">
        <v>29</v>
      </c>
      <c r="Y204" t="s">
        <v>29</v>
      </c>
      <c r="Z204" t="s">
        <v>37</v>
      </c>
      <c r="AA204">
        <f>TwitterClean[[#This Row],[likes]]+TwitterClean[[#This Row],[replies]]+TwitterClean[[#This Row],[reposts]]+TwitterClean[[#This Row],[quotes]]+TwitterClean[[#This Row],[bookmarks]]</f>
        <v>2494</v>
      </c>
      <c r="AB204" s="1">
        <f>TwitterClean[[#This Row],[Total_Engagements]]/TwitterClean[[#This Row],[views]]</f>
        <v>2.5185813540151883E-2</v>
      </c>
      <c r="AC204" s="3">
        <f>DATEVALUE(MID(TwitterClean[[#This Row],[date_posted]],2,10))</f>
        <v>45641</v>
      </c>
      <c r="AD204">
        <f>TIMEVALUE(MID(TwitterClean[[#This Row],[date_posted]],13,8))</f>
        <v>0.67545138888888889</v>
      </c>
      <c r="AE204" s="3" t="str">
        <f>TEXT(TwitterClean[[#This Row],[Post_Date]],"dddd")</f>
        <v>Sunday</v>
      </c>
      <c r="AF204">
        <f>HOUR(TwitterClean[[#This Row],[Post_Time]])</f>
        <v>16</v>
      </c>
      <c r="AG204" t="str">
        <f>IF(TwitterClean[[#This Row],[videos]]="Null","No","Yes")</f>
        <v>No</v>
      </c>
      <c r="AH204" t="str">
        <f>IF(TwitterClean[[#This Row],[photos]]="null","No","Yes")</f>
        <v>Yes</v>
      </c>
      <c r="AI204" t="str">
        <f>IF(TwitterClean[[#This Row],[hashtags]]="null","No","Yes")</f>
        <v>Yes</v>
      </c>
      <c r="AJ204" t="str">
        <f>IF(TwitterClean[[#This Row],[external_url]]="null","Yes","No")</f>
        <v>No</v>
      </c>
      <c r="AK204">
        <f>LEN(TwitterClean[[#This Row],[description]])</f>
        <v>36</v>
      </c>
      <c r="AL204" t="str">
        <f>IF(TwitterClean[[#This Row],[followers]]&lt;100000,"&lt;100K",IF(TwitterClean[[#This Row],[followers]]&lt;1000000,"100K-1M",IF(TwitterClean[[#This Row],[followers]]&lt;10000000,"1M-10M","10M+")))</f>
        <v>10M+</v>
      </c>
    </row>
    <row r="205" spans="1:38">
      <c r="A205">
        <v>1.8684018118806328E+18</v>
      </c>
      <c r="B205" t="s">
        <v>1862</v>
      </c>
      <c r="C205" t="s">
        <v>1863</v>
      </c>
      <c r="D205" t="s">
        <v>2101</v>
      </c>
      <c r="E205" t="s">
        <v>2102</v>
      </c>
      <c r="F205" t="s">
        <v>29</v>
      </c>
      <c r="G205" t="s">
        <v>2103</v>
      </c>
      <c r="H205" t="s">
        <v>29</v>
      </c>
      <c r="I205">
        <v>10</v>
      </c>
      <c r="J205">
        <v>20</v>
      </c>
      <c r="K205">
        <v>300</v>
      </c>
      <c r="L205">
        <v>14058</v>
      </c>
      <c r="M205" t="s">
        <v>52</v>
      </c>
      <c r="N205" t="s">
        <v>1867</v>
      </c>
      <c r="O205">
        <v>13492430</v>
      </c>
      <c r="P205" t="s">
        <v>1868</v>
      </c>
      <c r="Q205">
        <v>314515</v>
      </c>
      <c r="R205" t="s">
        <v>1869</v>
      </c>
      <c r="S205">
        <v>708</v>
      </c>
      <c r="T205" t="b">
        <v>0</v>
      </c>
      <c r="U205">
        <v>8</v>
      </c>
      <c r="V205">
        <v>16</v>
      </c>
      <c r="W205" t="s">
        <v>35</v>
      </c>
      <c r="X205" t="s">
        <v>29</v>
      </c>
      <c r="Y205" t="s">
        <v>2104</v>
      </c>
      <c r="Z205" t="s">
        <v>37</v>
      </c>
      <c r="AA205">
        <f>TwitterClean[[#This Row],[likes]]+TwitterClean[[#This Row],[replies]]+TwitterClean[[#This Row],[reposts]]+TwitterClean[[#This Row],[quotes]]+TwitterClean[[#This Row],[bookmarks]]</f>
        <v>354</v>
      </c>
      <c r="AB205" s="1">
        <f>TwitterClean[[#This Row],[Total_Engagements]]/TwitterClean[[#This Row],[views]]</f>
        <v>2.5181391378574478E-2</v>
      </c>
      <c r="AC205" s="3">
        <f>DATEVALUE(MID(TwitterClean[[#This Row],[date_posted]],2,10))</f>
        <v>45641</v>
      </c>
      <c r="AD205">
        <f>TIMEVALUE(MID(TwitterClean[[#This Row],[date_posted]],13,8))</f>
        <v>0.87822916666666662</v>
      </c>
      <c r="AE205" s="3" t="str">
        <f>TEXT(TwitterClean[[#This Row],[Post_Date]],"dddd")</f>
        <v>Sunday</v>
      </c>
      <c r="AF205">
        <f>HOUR(TwitterClean[[#This Row],[Post_Time]])</f>
        <v>21</v>
      </c>
      <c r="AG205" t="str">
        <f>IF(TwitterClean[[#This Row],[videos]]="Null","No","Yes")</f>
        <v>Yes</v>
      </c>
      <c r="AH205" t="str">
        <f>IF(TwitterClean[[#This Row],[photos]]="null","No","Yes")</f>
        <v>No</v>
      </c>
      <c r="AI205" t="str">
        <f>IF(TwitterClean[[#This Row],[hashtags]]="null","No","Yes")</f>
        <v>Yes</v>
      </c>
      <c r="AJ205" t="str">
        <f>IF(TwitterClean[[#This Row],[external_url]]="null","Yes","No")</f>
        <v>No</v>
      </c>
      <c r="AK205">
        <f>LEN(TwitterClean[[#This Row],[description]])</f>
        <v>80</v>
      </c>
      <c r="AL205" t="str">
        <f>IF(TwitterClean[[#This Row],[followers]]&lt;100000,"&lt;100K",IF(TwitterClean[[#This Row],[followers]]&lt;1000000,"100K-1M",IF(TwitterClean[[#This Row],[followers]]&lt;10000000,"1M-10M","10M+")))</f>
        <v>10M+</v>
      </c>
    </row>
    <row r="206" spans="1:38">
      <c r="A206">
        <v>1.868393371951039E+18</v>
      </c>
      <c r="B206" t="s">
        <v>1862</v>
      </c>
      <c r="C206" t="s">
        <v>1863</v>
      </c>
      <c r="D206" t="s">
        <v>2032</v>
      </c>
      <c r="E206" t="s">
        <v>2033</v>
      </c>
      <c r="F206" t="s">
        <v>29</v>
      </c>
      <c r="G206" t="s">
        <v>2034</v>
      </c>
      <c r="H206" t="s">
        <v>2035</v>
      </c>
      <c r="I206">
        <v>8</v>
      </c>
      <c r="J206">
        <v>30</v>
      </c>
      <c r="K206">
        <v>163</v>
      </c>
      <c r="L206">
        <v>8633</v>
      </c>
      <c r="M206" t="s">
        <v>52</v>
      </c>
      <c r="N206" t="s">
        <v>1867</v>
      </c>
      <c r="O206">
        <v>13492430</v>
      </c>
      <c r="P206" t="s">
        <v>1868</v>
      </c>
      <c r="Q206">
        <v>314515</v>
      </c>
      <c r="R206" t="s">
        <v>1869</v>
      </c>
      <c r="S206">
        <v>708</v>
      </c>
      <c r="T206" t="b">
        <v>0</v>
      </c>
      <c r="U206">
        <v>7</v>
      </c>
      <c r="V206">
        <v>8</v>
      </c>
      <c r="W206" t="s">
        <v>35</v>
      </c>
      <c r="X206" t="s">
        <v>29</v>
      </c>
      <c r="Y206" t="s">
        <v>2036</v>
      </c>
      <c r="Z206" t="s">
        <v>37</v>
      </c>
      <c r="AA206">
        <f>TwitterClean[[#This Row],[likes]]+TwitterClean[[#This Row],[replies]]+TwitterClean[[#This Row],[reposts]]+TwitterClean[[#This Row],[quotes]]+TwitterClean[[#This Row],[bookmarks]]</f>
        <v>216</v>
      </c>
      <c r="AB206" s="1">
        <f>TwitterClean[[#This Row],[Total_Engagements]]/TwitterClean[[#This Row],[views]]</f>
        <v>2.5020271052936405E-2</v>
      </c>
      <c r="AC206" s="3">
        <f>DATEVALUE(MID(TwitterClean[[#This Row],[date_posted]],2,10))</f>
        <v>45641</v>
      </c>
      <c r="AD206">
        <f>TIMEVALUE(MID(TwitterClean[[#This Row],[date_posted]],13,8))</f>
        <v>0.85494212962962968</v>
      </c>
      <c r="AE206" s="3" t="str">
        <f>TEXT(TwitterClean[[#This Row],[Post_Date]],"dddd")</f>
        <v>Sunday</v>
      </c>
      <c r="AF206">
        <f>HOUR(TwitterClean[[#This Row],[Post_Time]])</f>
        <v>20</v>
      </c>
      <c r="AG206" t="str">
        <f>IF(TwitterClean[[#This Row],[videos]]="Null","No","Yes")</f>
        <v>Yes</v>
      </c>
      <c r="AH206" t="str">
        <f>IF(TwitterClean[[#This Row],[photos]]="null","No","Yes")</f>
        <v>No</v>
      </c>
      <c r="AI206" t="str">
        <f>IF(TwitterClean[[#This Row],[hashtags]]="null","No","Yes")</f>
        <v>Yes</v>
      </c>
      <c r="AJ206" t="str">
        <f>IF(TwitterClean[[#This Row],[external_url]]="null","Yes","No")</f>
        <v>No</v>
      </c>
      <c r="AK206">
        <f>LEN(TwitterClean[[#This Row],[description]])</f>
        <v>98</v>
      </c>
      <c r="AL206" t="str">
        <f>IF(TwitterClean[[#This Row],[followers]]&lt;100000,"&lt;100K",IF(TwitterClean[[#This Row],[followers]]&lt;1000000,"100K-1M",IF(TwitterClean[[#This Row],[followers]]&lt;10000000,"1M-10M","10M+")))</f>
        <v>10M+</v>
      </c>
    </row>
    <row r="207" spans="1:38">
      <c r="A207">
        <v>1.8684076723760581E+18</v>
      </c>
      <c r="B207" t="s">
        <v>26</v>
      </c>
      <c r="C207" t="s">
        <v>26</v>
      </c>
      <c r="D207" t="s">
        <v>102</v>
      </c>
      <c r="E207" t="s">
        <v>103</v>
      </c>
      <c r="F207" t="s">
        <v>29</v>
      </c>
      <c r="G207" t="s">
        <v>104</v>
      </c>
      <c r="H207" t="s">
        <v>29</v>
      </c>
      <c r="I207">
        <v>43</v>
      </c>
      <c r="J207">
        <v>47</v>
      </c>
      <c r="K207">
        <v>247</v>
      </c>
      <c r="L207">
        <v>13987</v>
      </c>
      <c r="M207" t="s">
        <v>31</v>
      </c>
      <c r="N207" t="s">
        <v>66</v>
      </c>
      <c r="O207">
        <v>5771760</v>
      </c>
      <c r="P207" t="s">
        <v>33</v>
      </c>
      <c r="Q207">
        <v>222223</v>
      </c>
      <c r="R207" t="s">
        <v>34</v>
      </c>
      <c r="S207">
        <v>122</v>
      </c>
      <c r="T207" t="b">
        <v>0</v>
      </c>
      <c r="U207">
        <v>2</v>
      </c>
      <c r="V207">
        <v>9</v>
      </c>
      <c r="W207" t="s">
        <v>35</v>
      </c>
      <c r="X207" t="s">
        <v>29</v>
      </c>
      <c r="Y207" t="s">
        <v>105</v>
      </c>
      <c r="Z207" t="s">
        <v>37</v>
      </c>
      <c r="AA207">
        <f>TwitterClean[[#This Row],[likes]]+TwitterClean[[#This Row],[replies]]+TwitterClean[[#This Row],[reposts]]+TwitterClean[[#This Row],[quotes]]+TwitterClean[[#This Row],[bookmarks]]</f>
        <v>348</v>
      </c>
      <c r="AB207" s="1">
        <f>TwitterClean[[#This Row],[Total_Engagements]]/TwitterClean[[#This Row],[views]]</f>
        <v>2.4880245942661042E-2</v>
      </c>
      <c r="AC207" s="3">
        <f>DATEVALUE(MID(TwitterClean[[#This Row],[date_posted]],2,10))</f>
        <v>45641</v>
      </c>
      <c r="AD207">
        <f>TIMEVALUE(MID(TwitterClean[[#This Row],[date_posted]],13,8))</f>
        <v>0.89440972222222226</v>
      </c>
      <c r="AE207" s="3" t="str">
        <f>TEXT(TwitterClean[[#This Row],[Post_Date]],"dddd")</f>
        <v>Sunday</v>
      </c>
      <c r="AF207">
        <f>HOUR(TwitterClean[[#This Row],[Post_Time]])</f>
        <v>21</v>
      </c>
      <c r="AG207" t="str">
        <f>IF(TwitterClean[[#This Row],[videos]]="Null","No","Yes")</f>
        <v>Yes</v>
      </c>
      <c r="AH207" t="str">
        <f>IF(TwitterClean[[#This Row],[photos]]="null","No","Yes")</f>
        <v>No</v>
      </c>
      <c r="AI207" t="str">
        <f>IF(TwitterClean[[#This Row],[hashtags]]="null","No","Yes")</f>
        <v>Yes</v>
      </c>
      <c r="AJ207" t="str">
        <f>IF(TwitterClean[[#This Row],[external_url]]="null","Yes","No")</f>
        <v>No</v>
      </c>
      <c r="AK207">
        <f>LEN(TwitterClean[[#This Row],[description]])</f>
        <v>118</v>
      </c>
      <c r="AL207" t="str">
        <f>IF(TwitterClean[[#This Row],[followers]]&lt;100000,"&lt;100K",IF(TwitterClean[[#This Row],[followers]]&lt;1000000,"100K-1M",IF(TwitterClean[[#This Row],[followers]]&lt;10000000,"1M-10M","10M+")))</f>
        <v>1M-10M</v>
      </c>
    </row>
    <row r="208" spans="1:38">
      <c r="A208">
        <v>1.7977878555464297E+18</v>
      </c>
      <c r="B208" t="s">
        <v>4114</v>
      </c>
      <c r="C208" t="s">
        <v>4115</v>
      </c>
      <c r="D208" t="s">
        <v>4182</v>
      </c>
      <c r="E208" t="s">
        <v>4183</v>
      </c>
      <c r="F208" t="s">
        <v>29</v>
      </c>
      <c r="G208" t="s">
        <v>4184</v>
      </c>
      <c r="H208" t="s">
        <v>29</v>
      </c>
      <c r="I208">
        <v>113</v>
      </c>
      <c r="J208">
        <v>334</v>
      </c>
      <c r="K208">
        <v>1819</v>
      </c>
      <c r="L208">
        <v>98380</v>
      </c>
      <c r="M208" t="s">
        <v>52</v>
      </c>
      <c r="N208" t="s">
        <v>4101</v>
      </c>
      <c r="O208">
        <v>234568</v>
      </c>
      <c r="P208" t="s">
        <v>4121</v>
      </c>
      <c r="Q208">
        <v>102643</v>
      </c>
      <c r="R208" t="s">
        <v>4122</v>
      </c>
      <c r="S208">
        <v>5173</v>
      </c>
      <c r="T208" t="b">
        <v>0</v>
      </c>
      <c r="U208">
        <v>18</v>
      </c>
      <c r="V208">
        <v>159</v>
      </c>
      <c r="W208" t="s">
        <v>35</v>
      </c>
      <c r="X208" t="s">
        <v>29</v>
      </c>
      <c r="Y208" t="s">
        <v>4185</v>
      </c>
      <c r="Z208" t="s">
        <v>37</v>
      </c>
      <c r="AA208">
        <f>TwitterClean[[#This Row],[likes]]+TwitterClean[[#This Row],[replies]]+TwitterClean[[#This Row],[reposts]]+TwitterClean[[#This Row],[quotes]]+TwitterClean[[#This Row],[bookmarks]]</f>
        <v>2443</v>
      </c>
      <c r="AB208" s="1">
        <f>TwitterClean[[#This Row],[Total_Engagements]]/TwitterClean[[#This Row],[views]]</f>
        <v>2.4832282984346411E-2</v>
      </c>
      <c r="AC208" s="3">
        <f>DATEVALUE(MID(TwitterClean[[#This Row],[date_posted]],2,10))</f>
        <v>45447</v>
      </c>
      <c r="AD208">
        <f>TIMEVALUE(MID(TwitterClean[[#This Row],[date_posted]],13,8))</f>
        <v>2.0833333333333332E-2</v>
      </c>
      <c r="AE208" s="3" t="str">
        <f>TEXT(TwitterClean[[#This Row],[Post_Date]],"dddd")</f>
        <v>Tuesday</v>
      </c>
      <c r="AF208">
        <f>HOUR(TwitterClean[[#This Row],[Post_Time]])</f>
        <v>0</v>
      </c>
      <c r="AG208" t="str">
        <f>IF(TwitterClean[[#This Row],[videos]]="Null","No","Yes")</f>
        <v>Yes</v>
      </c>
      <c r="AH208" t="str">
        <f>IF(TwitterClean[[#This Row],[photos]]="null","No","Yes")</f>
        <v>No</v>
      </c>
      <c r="AI208" t="str">
        <f>IF(TwitterClean[[#This Row],[hashtags]]="null","No","Yes")</f>
        <v>Yes</v>
      </c>
      <c r="AJ208" t="str">
        <f>IF(TwitterClean[[#This Row],[external_url]]="null","Yes","No")</f>
        <v>No</v>
      </c>
      <c r="AK208">
        <f>LEN(TwitterClean[[#This Row],[description]])</f>
        <v>94</v>
      </c>
      <c r="AL208" t="str">
        <f>IF(TwitterClean[[#This Row],[followers]]&lt;100000,"&lt;100K",IF(TwitterClean[[#This Row],[followers]]&lt;1000000,"100K-1M",IF(TwitterClean[[#This Row],[followers]]&lt;10000000,"1M-10M","10M+")))</f>
        <v>100K-1M</v>
      </c>
    </row>
    <row r="209" spans="1:38">
      <c r="A209">
        <v>1.8682570984272038E+18</v>
      </c>
      <c r="B209" t="s">
        <v>290</v>
      </c>
      <c r="C209" t="s">
        <v>291</v>
      </c>
      <c r="D209" t="s">
        <v>855</v>
      </c>
      <c r="E209" t="s">
        <v>856</v>
      </c>
      <c r="F209" t="s">
        <v>857</v>
      </c>
      <c r="G209" t="s">
        <v>858</v>
      </c>
      <c r="H209" t="s">
        <v>29</v>
      </c>
      <c r="I209">
        <v>2</v>
      </c>
      <c r="J209">
        <v>8</v>
      </c>
      <c r="K209">
        <v>94</v>
      </c>
      <c r="L209">
        <v>4313</v>
      </c>
      <c r="M209" t="s">
        <v>52</v>
      </c>
      <c r="N209" t="s">
        <v>859</v>
      </c>
      <c r="O209">
        <v>1906482</v>
      </c>
      <c r="P209" t="s">
        <v>298</v>
      </c>
      <c r="Q209">
        <v>124666</v>
      </c>
      <c r="R209" t="s">
        <v>299</v>
      </c>
      <c r="S209">
        <v>432</v>
      </c>
      <c r="T209" t="b">
        <v>0</v>
      </c>
      <c r="U209">
        <v>2</v>
      </c>
      <c r="V209">
        <v>1</v>
      </c>
      <c r="W209" t="s">
        <v>860</v>
      </c>
      <c r="X209" t="s">
        <v>29</v>
      </c>
      <c r="Y209" t="s">
        <v>29</v>
      </c>
      <c r="Z209" t="s">
        <v>37</v>
      </c>
      <c r="AA209">
        <f>TwitterClean[[#This Row],[likes]]+TwitterClean[[#This Row],[replies]]+TwitterClean[[#This Row],[reposts]]+TwitterClean[[#This Row],[quotes]]+TwitterClean[[#This Row],[bookmarks]]</f>
        <v>107</v>
      </c>
      <c r="AB209" s="1">
        <f>TwitterClean[[#This Row],[Total_Engagements]]/TwitterClean[[#This Row],[views]]</f>
        <v>2.4808717829816834E-2</v>
      </c>
      <c r="AC209" s="3">
        <f>DATEVALUE(MID(TwitterClean[[#This Row],[date_posted]],2,10))</f>
        <v>45641</v>
      </c>
      <c r="AD209">
        <f>TIMEVALUE(MID(TwitterClean[[#This Row],[date_posted]],13,8))</f>
        <v>0.47890046296296296</v>
      </c>
      <c r="AE209" s="3" t="str">
        <f>TEXT(TwitterClean[[#This Row],[Post_Date]],"dddd")</f>
        <v>Sunday</v>
      </c>
      <c r="AF209">
        <f>HOUR(TwitterClean[[#This Row],[Post_Time]])</f>
        <v>11</v>
      </c>
      <c r="AG209" t="str">
        <f>IF(TwitterClean[[#This Row],[videos]]="Null","No","Yes")</f>
        <v>No</v>
      </c>
      <c r="AH209" t="str">
        <f>IF(TwitterClean[[#This Row],[photos]]="null","No","Yes")</f>
        <v>Yes</v>
      </c>
      <c r="AI209" t="str">
        <f>IF(TwitterClean[[#This Row],[hashtags]]="null","No","Yes")</f>
        <v>Yes</v>
      </c>
      <c r="AJ209" t="str">
        <f>IF(TwitterClean[[#This Row],[external_url]]="null","Yes","No")</f>
        <v>No</v>
      </c>
      <c r="AK209">
        <f>LEN(TwitterClean[[#This Row],[description]])</f>
        <v>90</v>
      </c>
      <c r="AL209" t="str">
        <f>IF(TwitterClean[[#This Row],[followers]]&lt;100000,"&lt;100K",IF(TwitterClean[[#This Row],[followers]]&lt;1000000,"100K-1M",IF(TwitterClean[[#This Row],[followers]]&lt;10000000,"1M-10M","10M+")))</f>
        <v>1M-10M</v>
      </c>
    </row>
    <row r="210" spans="1:38">
      <c r="A210">
        <v>1.8683683001342774E+18</v>
      </c>
      <c r="B210" t="s">
        <v>290</v>
      </c>
      <c r="C210" t="s">
        <v>291</v>
      </c>
      <c r="D210" t="s">
        <v>866</v>
      </c>
      <c r="E210" t="s">
        <v>867</v>
      </c>
      <c r="F210" t="s">
        <v>868</v>
      </c>
      <c r="G210" t="s">
        <v>869</v>
      </c>
      <c r="H210" t="s">
        <v>29</v>
      </c>
      <c r="I210">
        <v>19</v>
      </c>
      <c r="J210">
        <v>20</v>
      </c>
      <c r="K210">
        <v>474</v>
      </c>
      <c r="L210">
        <v>20926</v>
      </c>
      <c r="M210" t="s">
        <v>52</v>
      </c>
      <c r="N210" t="s">
        <v>305</v>
      </c>
      <c r="O210">
        <v>1906482</v>
      </c>
      <c r="P210" t="s">
        <v>298</v>
      </c>
      <c r="Q210">
        <v>124666</v>
      </c>
      <c r="R210" t="s">
        <v>299</v>
      </c>
      <c r="S210">
        <v>432</v>
      </c>
      <c r="T210" t="b">
        <v>0</v>
      </c>
      <c r="U210">
        <v>2</v>
      </c>
      <c r="V210">
        <v>3</v>
      </c>
      <c r="W210" t="s">
        <v>35</v>
      </c>
      <c r="X210" t="s">
        <v>29</v>
      </c>
      <c r="Y210" t="s">
        <v>29</v>
      </c>
      <c r="Z210" t="s">
        <v>37</v>
      </c>
      <c r="AA210">
        <f>TwitterClean[[#This Row],[likes]]+TwitterClean[[#This Row],[replies]]+TwitterClean[[#This Row],[reposts]]+TwitterClean[[#This Row],[quotes]]+TwitterClean[[#This Row],[bookmarks]]</f>
        <v>518</v>
      </c>
      <c r="AB210" s="1">
        <f>TwitterClean[[#This Row],[Total_Engagements]]/TwitterClean[[#This Row],[views]]</f>
        <v>2.4753894676479021E-2</v>
      </c>
      <c r="AC210" s="3">
        <f>DATEVALUE(MID(TwitterClean[[#This Row],[date_posted]],2,10))</f>
        <v>45641</v>
      </c>
      <c r="AD210">
        <f>TIMEVALUE(MID(TwitterClean[[#This Row],[date_posted]],13,8))</f>
        <v>0.78576388888888893</v>
      </c>
      <c r="AE210" s="3" t="str">
        <f>TEXT(TwitterClean[[#This Row],[Post_Date]],"dddd")</f>
        <v>Sunday</v>
      </c>
      <c r="AF210">
        <f>HOUR(TwitterClean[[#This Row],[Post_Time]])</f>
        <v>18</v>
      </c>
      <c r="AG210" t="str">
        <f>IF(TwitterClean[[#This Row],[videos]]="Null","No","Yes")</f>
        <v>No</v>
      </c>
      <c r="AH210" t="str">
        <f>IF(TwitterClean[[#This Row],[photos]]="null","No","Yes")</f>
        <v>Yes</v>
      </c>
      <c r="AI210" t="str">
        <f>IF(TwitterClean[[#This Row],[hashtags]]="null","No","Yes")</f>
        <v>Yes</v>
      </c>
      <c r="AJ210" t="str">
        <f>IF(TwitterClean[[#This Row],[external_url]]="null","Yes","No")</f>
        <v>No</v>
      </c>
      <c r="AK210">
        <f>LEN(TwitterClean[[#This Row],[description]])</f>
        <v>59</v>
      </c>
      <c r="AL210" t="str">
        <f>IF(TwitterClean[[#This Row],[followers]]&lt;100000,"&lt;100K",IF(TwitterClean[[#This Row],[followers]]&lt;1000000,"100K-1M",IF(TwitterClean[[#This Row],[followers]]&lt;10000000,"1M-10M","10M+")))</f>
        <v>1M-10M</v>
      </c>
    </row>
    <row r="211" spans="1:38">
      <c r="A211">
        <v>1.8683593673488922E+18</v>
      </c>
      <c r="B211" t="s">
        <v>3392</v>
      </c>
      <c r="C211" t="s">
        <v>3393</v>
      </c>
      <c r="D211" t="s">
        <v>4672</v>
      </c>
      <c r="E211" t="s">
        <v>4673</v>
      </c>
      <c r="F211" t="s">
        <v>4674</v>
      </c>
      <c r="G211" t="s">
        <v>4675</v>
      </c>
      <c r="H211" t="s">
        <v>29</v>
      </c>
      <c r="I211">
        <v>9</v>
      </c>
      <c r="J211">
        <v>13</v>
      </c>
      <c r="K211">
        <v>424</v>
      </c>
      <c r="L211">
        <v>18300</v>
      </c>
      <c r="M211" t="s">
        <v>52</v>
      </c>
      <c r="N211" t="s">
        <v>3405</v>
      </c>
      <c r="O211">
        <v>1480966</v>
      </c>
      <c r="P211" t="s">
        <v>3399</v>
      </c>
      <c r="Q211">
        <v>103753</v>
      </c>
      <c r="R211" t="s">
        <v>3400</v>
      </c>
      <c r="S211">
        <v>552</v>
      </c>
      <c r="T211" t="b">
        <v>0</v>
      </c>
      <c r="U211">
        <v>2</v>
      </c>
      <c r="V211">
        <v>2</v>
      </c>
      <c r="W211" t="s">
        <v>35</v>
      </c>
      <c r="X211" t="s">
        <v>29</v>
      </c>
      <c r="Y211" t="s">
        <v>29</v>
      </c>
      <c r="Z211" t="s">
        <v>37</v>
      </c>
      <c r="AA211">
        <f>TwitterClean[[#This Row],[likes]]+TwitterClean[[#This Row],[replies]]+TwitterClean[[#This Row],[reposts]]+TwitterClean[[#This Row],[quotes]]+TwitterClean[[#This Row],[bookmarks]]</f>
        <v>450</v>
      </c>
      <c r="AB211" s="1">
        <f>TwitterClean[[#This Row],[Total_Engagements]]/TwitterClean[[#This Row],[views]]</f>
        <v>2.4590163934426229E-2</v>
      </c>
      <c r="AC211" s="3">
        <f>DATEVALUE(MID(TwitterClean[[#This Row],[date_posted]],2,10))</f>
        <v>45641</v>
      </c>
      <c r="AD211">
        <f>TIMEVALUE(MID(TwitterClean[[#This Row],[date_posted]],13,8))</f>
        <v>0.76111111111111107</v>
      </c>
      <c r="AE211" s="3" t="str">
        <f>TEXT(TwitterClean[[#This Row],[Post_Date]],"dddd")</f>
        <v>Sunday</v>
      </c>
      <c r="AF211">
        <f>HOUR(TwitterClean[[#This Row],[Post_Time]])</f>
        <v>18</v>
      </c>
      <c r="AG211" t="str">
        <f>IF(TwitterClean[[#This Row],[videos]]="Null","No","Yes")</f>
        <v>No</v>
      </c>
      <c r="AH211" t="str">
        <f>IF(TwitterClean[[#This Row],[photos]]="null","No","Yes")</f>
        <v>Yes</v>
      </c>
      <c r="AI211" t="str">
        <f>IF(TwitterClean[[#This Row],[hashtags]]="null","No","Yes")</f>
        <v>Yes</v>
      </c>
      <c r="AJ211" t="str">
        <f>IF(TwitterClean[[#This Row],[external_url]]="null","Yes","No")</f>
        <v>No</v>
      </c>
      <c r="AK211">
        <f>LEN(TwitterClean[[#This Row],[description]])</f>
        <v>79</v>
      </c>
      <c r="AL211" t="str">
        <f>IF(TwitterClean[[#This Row],[followers]]&lt;100000,"&lt;100K",IF(TwitterClean[[#This Row],[followers]]&lt;1000000,"100K-1M",IF(TwitterClean[[#This Row],[followers]]&lt;10000000,"1M-10M","10M+")))</f>
        <v>1M-10M</v>
      </c>
    </row>
    <row r="212" spans="1:38">
      <c r="A212">
        <v>1.8681265111962337E+18</v>
      </c>
      <c r="B212" t="s">
        <v>2474</v>
      </c>
      <c r="C212" t="s">
        <v>2475</v>
      </c>
      <c r="D212" t="s">
        <v>5280</v>
      </c>
      <c r="E212" t="s">
        <v>5281</v>
      </c>
      <c r="F212" t="s">
        <v>5282</v>
      </c>
      <c r="G212" t="s">
        <v>5283</v>
      </c>
      <c r="H212" t="s">
        <v>4930</v>
      </c>
      <c r="I212">
        <v>54</v>
      </c>
      <c r="J212">
        <v>105</v>
      </c>
      <c r="K212">
        <v>469</v>
      </c>
      <c r="L212">
        <v>25972</v>
      </c>
      <c r="M212" t="s">
        <v>52</v>
      </c>
      <c r="N212" t="s">
        <v>5284</v>
      </c>
      <c r="O212">
        <v>1511302</v>
      </c>
      <c r="P212" t="s">
        <v>2481</v>
      </c>
      <c r="Q212">
        <v>56647</v>
      </c>
      <c r="R212" t="s">
        <v>2482</v>
      </c>
      <c r="S212">
        <v>80</v>
      </c>
      <c r="T212" t="b">
        <v>0</v>
      </c>
      <c r="U212">
        <v>8</v>
      </c>
      <c r="V212">
        <v>2</v>
      </c>
      <c r="W212" t="s">
        <v>35</v>
      </c>
      <c r="X212" t="s">
        <v>29</v>
      </c>
      <c r="Y212" t="s">
        <v>29</v>
      </c>
      <c r="Z212" t="s">
        <v>37</v>
      </c>
      <c r="AA212">
        <f>TwitterClean[[#This Row],[likes]]+TwitterClean[[#This Row],[replies]]+TwitterClean[[#This Row],[reposts]]+TwitterClean[[#This Row],[quotes]]+TwitterClean[[#This Row],[bookmarks]]</f>
        <v>638</v>
      </c>
      <c r="AB212" s="1">
        <f>TwitterClean[[#This Row],[Total_Engagements]]/TwitterClean[[#This Row],[views]]</f>
        <v>2.456491606345295E-2</v>
      </c>
      <c r="AC212" s="3">
        <f>DATEVALUE(MID(TwitterClean[[#This Row],[date_posted]],2,10))</f>
        <v>45641</v>
      </c>
      <c r="AD212">
        <f>TIMEVALUE(MID(TwitterClean[[#This Row],[date_posted]],13,8))</f>
        <v>0.11855324074074074</v>
      </c>
      <c r="AE212" s="3" t="str">
        <f>TEXT(TwitterClean[[#This Row],[Post_Date]],"dddd")</f>
        <v>Sunday</v>
      </c>
      <c r="AF212">
        <f>HOUR(TwitterClean[[#This Row],[Post_Time]])</f>
        <v>2</v>
      </c>
      <c r="AG212" t="str">
        <f>IF(TwitterClean[[#This Row],[videos]]="Null","No","Yes")</f>
        <v>No</v>
      </c>
      <c r="AH212" t="str">
        <f>IF(TwitterClean[[#This Row],[photos]]="null","No","Yes")</f>
        <v>Yes</v>
      </c>
      <c r="AI212" t="str">
        <f>IF(TwitterClean[[#This Row],[hashtags]]="null","No","Yes")</f>
        <v>Yes</v>
      </c>
      <c r="AJ212" t="str">
        <f>IF(TwitterClean[[#This Row],[external_url]]="null","Yes","No")</f>
        <v>No</v>
      </c>
      <c r="AK212">
        <f>LEN(TwitterClean[[#This Row],[description]])</f>
        <v>226</v>
      </c>
      <c r="AL212" t="str">
        <f>IF(TwitterClean[[#This Row],[followers]]&lt;100000,"&lt;100K",IF(TwitterClean[[#This Row],[followers]]&lt;1000000,"100K-1M",IF(TwitterClean[[#This Row],[followers]]&lt;10000000,"1M-10M","10M+")))</f>
        <v>1M-10M</v>
      </c>
    </row>
    <row r="213" spans="1:38">
      <c r="A213">
        <v>1.8684237413460997E+18</v>
      </c>
      <c r="B213" t="s">
        <v>1862</v>
      </c>
      <c r="C213" t="s">
        <v>1863</v>
      </c>
      <c r="D213" t="s">
        <v>1880</v>
      </c>
      <c r="E213" t="s">
        <v>1881</v>
      </c>
      <c r="F213" t="s">
        <v>29</v>
      </c>
      <c r="G213" t="s">
        <v>1882</v>
      </c>
      <c r="H213" t="s">
        <v>29</v>
      </c>
      <c r="I213">
        <v>33</v>
      </c>
      <c r="J213">
        <v>68</v>
      </c>
      <c r="K213">
        <v>437</v>
      </c>
      <c r="L213">
        <v>25553</v>
      </c>
      <c r="M213" t="s">
        <v>52</v>
      </c>
      <c r="N213" t="s">
        <v>1867</v>
      </c>
      <c r="O213">
        <v>13492430</v>
      </c>
      <c r="P213" t="s">
        <v>1868</v>
      </c>
      <c r="Q213">
        <v>314515</v>
      </c>
      <c r="R213" t="s">
        <v>1869</v>
      </c>
      <c r="S213">
        <v>708</v>
      </c>
      <c r="T213" t="b">
        <v>0</v>
      </c>
      <c r="U213">
        <v>65</v>
      </c>
      <c r="V213">
        <v>24</v>
      </c>
      <c r="W213" t="s">
        <v>35</v>
      </c>
      <c r="X213" t="s">
        <v>29</v>
      </c>
      <c r="Y213" t="s">
        <v>1883</v>
      </c>
      <c r="Z213" t="s">
        <v>37</v>
      </c>
      <c r="AA213">
        <f>TwitterClean[[#This Row],[likes]]+TwitterClean[[#This Row],[replies]]+TwitterClean[[#This Row],[reposts]]+TwitterClean[[#This Row],[quotes]]+TwitterClean[[#This Row],[bookmarks]]</f>
        <v>627</v>
      </c>
      <c r="AB213" s="1">
        <f>TwitterClean[[#This Row],[Total_Engagements]]/TwitterClean[[#This Row],[views]]</f>
        <v>2.4537236332328884E-2</v>
      </c>
      <c r="AC213" s="3">
        <f>DATEVALUE(MID(TwitterClean[[#This Row],[date_posted]],2,10))</f>
        <v>45641</v>
      </c>
      <c r="AD213">
        <f>TIMEVALUE(MID(TwitterClean[[#This Row],[date_posted]],13,8))</f>
        <v>0.93874999999999997</v>
      </c>
      <c r="AE213" s="3" t="str">
        <f>TEXT(TwitterClean[[#This Row],[Post_Date]],"dddd")</f>
        <v>Sunday</v>
      </c>
      <c r="AF213">
        <f>HOUR(TwitterClean[[#This Row],[Post_Time]])</f>
        <v>22</v>
      </c>
      <c r="AG213" t="str">
        <f>IF(TwitterClean[[#This Row],[videos]]="Null","No","Yes")</f>
        <v>Yes</v>
      </c>
      <c r="AH213" t="str">
        <f>IF(TwitterClean[[#This Row],[photos]]="null","No","Yes")</f>
        <v>No</v>
      </c>
      <c r="AI213" t="str">
        <f>IF(TwitterClean[[#This Row],[hashtags]]="null","No","Yes")</f>
        <v>Yes</v>
      </c>
      <c r="AJ213" t="str">
        <f>IF(TwitterClean[[#This Row],[external_url]]="null","Yes","No")</f>
        <v>No</v>
      </c>
      <c r="AK213">
        <f>LEN(TwitterClean[[#This Row],[description]])</f>
        <v>85</v>
      </c>
      <c r="AL213" t="str">
        <f>IF(TwitterClean[[#This Row],[followers]]&lt;100000,"&lt;100K",IF(TwitterClean[[#This Row],[followers]]&lt;1000000,"100K-1M",IF(TwitterClean[[#This Row],[followers]]&lt;10000000,"1M-10M","10M+")))</f>
        <v>10M+</v>
      </c>
    </row>
    <row r="214" spans="1:38">
      <c r="A214">
        <v>1.8683103807092946E+18</v>
      </c>
      <c r="B214" t="s">
        <v>228</v>
      </c>
      <c r="C214" t="s">
        <v>228</v>
      </c>
      <c r="D214" t="s">
        <v>1199</v>
      </c>
      <c r="E214" t="s">
        <v>1200</v>
      </c>
      <c r="F214" t="s">
        <v>1201</v>
      </c>
      <c r="G214" t="s">
        <v>1202</v>
      </c>
      <c r="H214" t="s">
        <v>233</v>
      </c>
      <c r="I214">
        <v>174</v>
      </c>
      <c r="J214">
        <v>8</v>
      </c>
      <c r="K214">
        <v>103</v>
      </c>
      <c r="L214">
        <v>11793</v>
      </c>
      <c r="M214" t="s">
        <v>1203</v>
      </c>
      <c r="N214" t="s">
        <v>29</v>
      </c>
      <c r="O214">
        <v>1239617</v>
      </c>
      <c r="P214" t="s">
        <v>235</v>
      </c>
      <c r="Q214">
        <v>402839</v>
      </c>
      <c r="R214" t="s">
        <v>236</v>
      </c>
      <c r="S214">
        <v>1644</v>
      </c>
      <c r="T214" t="b">
        <v>0</v>
      </c>
      <c r="U214">
        <v>4</v>
      </c>
      <c r="V214">
        <v>0</v>
      </c>
      <c r="W214" t="s">
        <v>35</v>
      </c>
      <c r="X214" t="s">
        <v>29</v>
      </c>
      <c r="Y214" t="s">
        <v>29</v>
      </c>
      <c r="Z214" t="s">
        <v>37</v>
      </c>
      <c r="AA214">
        <f>TwitterClean[[#This Row],[likes]]+TwitterClean[[#This Row],[replies]]+TwitterClean[[#This Row],[reposts]]+TwitterClean[[#This Row],[quotes]]+TwitterClean[[#This Row],[bookmarks]]</f>
        <v>289</v>
      </c>
      <c r="AB214" s="1">
        <f>TwitterClean[[#This Row],[Total_Engagements]]/TwitterClean[[#This Row],[views]]</f>
        <v>2.4506062918680575E-2</v>
      </c>
      <c r="AC214" s="3">
        <f>DATEVALUE(MID(TwitterClean[[#This Row],[date_posted]],2,10))</f>
        <v>45641</v>
      </c>
      <c r="AD214">
        <f>TIMEVALUE(MID(TwitterClean[[#This Row],[date_posted]],13,8))</f>
        <v>0.62592592592592589</v>
      </c>
      <c r="AE214" s="3" t="str">
        <f>TEXT(TwitterClean[[#This Row],[Post_Date]],"dddd")</f>
        <v>Sunday</v>
      </c>
      <c r="AF214">
        <f>HOUR(TwitterClean[[#This Row],[Post_Time]])</f>
        <v>15</v>
      </c>
      <c r="AG214" t="str">
        <f>IF(TwitterClean[[#This Row],[videos]]="Null","No","Yes")</f>
        <v>No</v>
      </c>
      <c r="AH214" t="str">
        <f>IF(TwitterClean[[#This Row],[photos]]="null","No","Yes")</f>
        <v>Yes</v>
      </c>
      <c r="AI214" t="str">
        <f>IF(TwitterClean[[#This Row],[hashtags]]="null","No","Yes")</f>
        <v>No</v>
      </c>
      <c r="AJ214" t="str">
        <f>IF(TwitterClean[[#This Row],[external_url]]="null","Yes","No")</f>
        <v>No</v>
      </c>
      <c r="AK214">
        <f>LEN(TwitterClean[[#This Row],[description]])</f>
        <v>243</v>
      </c>
      <c r="AL214" t="str">
        <f>IF(TwitterClean[[#This Row],[followers]]&lt;100000,"&lt;100K",IF(TwitterClean[[#This Row],[followers]]&lt;1000000,"100K-1M",IF(TwitterClean[[#This Row],[followers]]&lt;10000000,"1M-10M","10M+")))</f>
        <v>1M-10M</v>
      </c>
    </row>
    <row r="215" spans="1:38">
      <c r="A215">
        <v>1.86833710523313E+18</v>
      </c>
      <c r="B215" t="s">
        <v>978</v>
      </c>
      <c r="C215" t="s">
        <v>979</v>
      </c>
      <c r="D215" t="s">
        <v>980</v>
      </c>
      <c r="E215" t="s">
        <v>981</v>
      </c>
      <c r="F215" t="s">
        <v>29</v>
      </c>
      <c r="G215" t="s">
        <v>982</v>
      </c>
      <c r="H215" t="s">
        <v>983</v>
      </c>
      <c r="I215">
        <v>5</v>
      </c>
      <c r="J215">
        <v>11</v>
      </c>
      <c r="K215">
        <v>20</v>
      </c>
      <c r="L215">
        <v>1512</v>
      </c>
      <c r="M215" t="s">
        <v>984</v>
      </c>
      <c r="N215" t="s">
        <v>985</v>
      </c>
      <c r="O215">
        <v>128940</v>
      </c>
      <c r="P215" t="s">
        <v>986</v>
      </c>
      <c r="Q215">
        <v>3420</v>
      </c>
      <c r="R215" t="s">
        <v>987</v>
      </c>
      <c r="S215">
        <v>298</v>
      </c>
      <c r="T215" t="b">
        <v>0</v>
      </c>
      <c r="U215">
        <v>0</v>
      </c>
      <c r="V215">
        <v>1</v>
      </c>
      <c r="W215" t="s">
        <v>35</v>
      </c>
      <c r="X215" t="s">
        <v>988</v>
      </c>
      <c r="Y215" t="s">
        <v>29</v>
      </c>
      <c r="Z215" t="s">
        <v>37</v>
      </c>
      <c r="AA215">
        <f>TwitterClean[[#This Row],[likes]]+TwitterClean[[#This Row],[replies]]+TwitterClean[[#This Row],[reposts]]+TwitterClean[[#This Row],[quotes]]+TwitterClean[[#This Row],[bookmarks]]</f>
        <v>37</v>
      </c>
      <c r="AB215" s="1">
        <f>TwitterClean[[#This Row],[Total_Engagements]]/TwitterClean[[#This Row],[views]]</f>
        <v>2.447089947089947E-2</v>
      </c>
      <c r="AC215" s="3">
        <f>DATEVALUE(MID(TwitterClean[[#This Row],[date_posted]],2,10))</f>
        <v>45641</v>
      </c>
      <c r="AD215">
        <f>TIMEVALUE(MID(TwitterClean[[#This Row],[date_posted]],13,8))</f>
        <v>0.69967592592592598</v>
      </c>
      <c r="AE215" s="3" t="str">
        <f>TEXT(TwitterClean[[#This Row],[Post_Date]],"dddd")</f>
        <v>Sunday</v>
      </c>
      <c r="AF215">
        <f>HOUR(TwitterClean[[#This Row],[Post_Time]])</f>
        <v>16</v>
      </c>
      <c r="AG215" t="str">
        <f>IF(TwitterClean[[#This Row],[videos]]="Null","No","Yes")</f>
        <v>No</v>
      </c>
      <c r="AH215" t="str">
        <f>IF(TwitterClean[[#This Row],[photos]]="null","No","Yes")</f>
        <v>No</v>
      </c>
      <c r="AI215" t="str">
        <f>IF(TwitterClean[[#This Row],[hashtags]]="null","No","Yes")</f>
        <v>Yes</v>
      </c>
      <c r="AJ215" t="str">
        <f>IF(TwitterClean[[#This Row],[external_url]]="null","Yes","No")</f>
        <v>No</v>
      </c>
      <c r="AK215">
        <f>LEN(TwitterClean[[#This Row],[description]])</f>
        <v>230</v>
      </c>
      <c r="AL215" t="str">
        <f>IF(TwitterClean[[#This Row],[followers]]&lt;100000,"&lt;100K",IF(TwitterClean[[#This Row],[followers]]&lt;1000000,"100K-1M",IF(TwitterClean[[#This Row],[followers]]&lt;10000000,"1M-10M","10M+")))</f>
        <v>100K-1M</v>
      </c>
    </row>
    <row r="216" spans="1:38">
      <c r="A216">
        <v>1.8683933611256056E+18</v>
      </c>
      <c r="B216" t="s">
        <v>1862</v>
      </c>
      <c r="C216" t="s">
        <v>1863</v>
      </c>
      <c r="D216" t="s">
        <v>2161</v>
      </c>
      <c r="E216" t="s">
        <v>2162</v>
      </c>
      <c r="F216" t="s">
        <v>29</v>
      </c>
      <c r="G216" t="s">
        <v>2163</v>
      </c>
      <c r="H216" t="s">
        <v>29</v>
      </c>
      <c r="I216">
        <v>11</v>
      </c>
      <c r="J216">
        <v>27</v>
      </c>
      <c r="K216">
        <v>271</v>
      </c>
      <c r="L216">
        <v>13614</v>
      </c>
      <c r="M216" t="s">
        <v>52</v>
      </c>
      <c r="N216" t="s">
        <v>1867</v>
      </c>
      <c r="O216">
        <v>13492430</v>
      </c>
      <c r="P216" t="s">
        <v>1868</v>
      </c>
      <c r="Q216">
        <v>314515</v>
      </c>
      <c r="R216" t="s">
        <v>1869</v>
      </c>
      <c r="S216">
        <v>708</v>
      </c>
      <c r="T216" t="b">
        <v>0</v>
      </c>
      <c r="U216">
        <v>9</v>
      </c>
      <c r="V216">
        <v>14</v>
      </c>
      <c r="W216" t="s">
        <v>35</v>
      </c>
      <c r="X216" t="s">
        <v>29</v>
      </c>
      <c r="Y216" t="s">
        <v>2164</v>
      </c>
      <c r="Z216" t="s">
        <v>37</v>
      </c>
      <c r="AA216">
        <f>TwitterClean[[#This Row],[likes]]+TwitterClean[[#This Row],[replies]]+TwitterClean[[#This Row],[reposts]]+TwitterClean[[#This Row],[quotes]]+TwitterClean[[#This Row],[bookmarks]]</f>
        <v>332</v>
      </c>
      <c r="AB216" s="1">
        <f>TwitterClean[[#This Row],[Total_Engagements]]/TwitterClean[[#This Row],[views]]</f>
        <v>2.4386660790362863E-2</v>
      </c>
      <c r="AC216" s="3">
        <f>DATEVALUE(MID(TwitterClean[[#This Row],[date_posted]],2,10))</f>
        <v>45641</v>
      </c>
      <c r="AD216">
        <f>TIMEVALUE(MID(TwitterClean[[#This Row],[date_posted]],13,8))</f>
        <v>0.85491898148148149</v>
      </c>
      <c r="AE216" s="3" t="str">
        <f>TEXT(TwitterClean[[#This Row],[Post_Date]],"dddd")</f>
        <v>Sunday</v>
      </c>
      <c r="AF216">
        <f>HOUR(TwitterClean[[#This Row],[Post_Time]])</f>
        <v>20</v>
      </c>
      <c r="AG216" t="str">
        <f>IF(TwitterClean[[#This Row],[videos]]="Null","No","Yes")</f>
        <v>Yes</v>
      </c>
      <c r="AH216" t="str">
        <f>IF(TwitterClean[[#This Row],[photos]]="null","No","Yes")</f>
        <v>No</v>
      </c>
      <c r="AI216" t="str">
        <f>IF(TwitterClean[[#This Row],[hashtags]]="null","No","Yes")</f>
        <v>Yes</v>
      </c>
      <c r="AJ216" t="str">
        <f>IF(TwitterClean[[#This Row],[external_url]]="null","Yes","No")</f>
        <v>No</v>
      </c>
      <c r="AK216">
        <f>LEN(TwitterClean[[#This Row],[description]])</f>
        <v>63</v>
      </c>
      <c r="AL216" t="str">
        <f>IF(TwitterClean[[#This Row],[followers]]&lt;100000,"&lt;100K",IF(TwitterClean[[#This Row],[followers]]&lt;1000000,"100K-1M",IF(TwitterClean[[#This Row],[followers]]&lt;10000000,"1M-10M","10M+")))</f>
        <v>10M+</v>
      </c>
    </row>
    <row r="217" spans="1:38">
      <c r="A217">
        <v>1.8682838698391964E+18</v>
      </c>
      <c r="B217" t="s">
        <v>4777</v>
      </c>
      <c r="C217" t="s">
        <v>4778</v>
      </c>
      <c r="D217" t="s">
        <v>5050</v>
      </c>
      <c r="E217" t="s">
        <v>5051</v>
      </c>
      <c r="F217" t="s">
        <v>5052</v>
      </c>
      <c r="G217" t="s">
        <v>5053</v>
      </c>
      <c r="H217" t="s">
        <v>29</v>
      </c>
      <c r="I217">
        <v>91</v>
      </c>
      <c r="J217">
        <v>687</v>
      </c>
      <c r="K217">
        <v>9263</v>
      </c>
      <c r="L217">
        <v>418833</v>
      </c>
      <c r="M217" t="s">
        <v>52</v>
      </c>
      <c r="N217" t="s">
        <v>742</v>
      </c>
      <c r="O217">
        <v>10795968</v>
      </c>
      <c r="P217" t="s">
        <v>4783</v>
      </c>
      <c r="Q217">
        <v>95508</v>
      </c>
      <c r="R217" t="s">
        <v>4784</v>
      </c>
      <c r="S217">
        <v>98</v>
      </c>
      <c r="T217" t="b">
        <v>0</v>
      </c>
      <c r="U217">
        <v>25</v>
      </c>
      <c r="V217">
        <v>135</v>
      </c>
      <c r="W217" t="s">
        <v>35</v>
      </c>
      <c r="X217" t="s">
        <v>29</v>
      </c>
      <c r="Y217" t="s">
        <v>29</v>
      </c>
      <c r="Z217" t="s">
        <v>37</v>
      </c>
      <c r="AA217">
        <f>TwitterClean[[#This Row],[likes]]+TwitterClean[[#This Row],[replies]]+TwitterClean[[#This Row],[reposts]]+TwitterClean[[#This Row],[quotes]]+TwitterClean[[#This Row],[bookmarks]]</f>
        <v>10201</v>
      </c>
      <c r="AB217" s="1">
        <f>TwitterClean[[#This Row],[Total_Engagements]]/TwitterClean[[#This Row],[views]]</f>
        <v>2.4355769483302415E-2</v>
      </c>
      <c r="AC217" s="3">
        <f>DATEVALUE(MID(TwitterClean[[#This Row],[date_posted]],2,10))</f>
        <v>45641</v>
      </c>
      <c r="AD217">
        <f>TIMEVALUE(MID(TwitterClean[[#This Row],[date_posted]],13,8))</f>
        <v>0.55277777777777781</v>
      </c>
      <c r="AE217" s="3" t="str">
        <f>TEXT(TwitterClean[[#This Row],[Post_Date]],"dddd")</f>
        <v>Sunday</v>
      </c>
      <c r="AF217">
        <f>HOUR(TwitterClean[[#This Row],[Post_Time]])</f>
        <v>13</v>
      </c>
      <c r="AG217" t="str">
        <f>IF(TwitterClean[[#This Row],[videos]]="Null","No","Yes")</f>
        <v>No</v>
      </c>
      <c r="AH217" t="str">
        <f>IF(TwitterClean[[#This Row],[photos]]="null","No","Yes")</f>
        <v>Yes</v>
      </c>
      <c r="AI217" t="str">
        <f>IF(TwitterClean[[#This Row],[hashtags]]="null","No","Yes")</f>
        <v>Yes</v>
      </c>
      <c r="AJ217" t="str">
        <f>IF(TwitterClean[[#This Row],[external_url]]="null","Yes","No")</f>
        <v>No</v>
      </c>
      <c r="AK217">
        <f>LEN(TwitterClean[[#This Row],[description]])</f>
        <v>57</v>
      </c>
      <c r="AL217" t="str">
        <f>IF(TwitterClean[[#This Row],[followers]]&lt;100000,"&lt;100K",IF(TwitterClean[[#This Row],[followers]]&lt;1000000,"100K-1M",IF(TwitterClean[[#This Row],[followers]]&lt;10000000,"1M-10M","10M+")))</f>
        <v>10M+</v>
      </c>
    </row>
    <row r="218" spans="1:38">
      <c r="A218">
        <v>1.6188377652690985E+18</v>
      </c>
      <c r="B218" t="s">
        <v>4266</v>
      </c>
      <c r="C218" t="s">
        <v>4267</v>
      </c>
      <c r="D218" t="s">
        <v>4268</v>
      </c>
      <c r="E218" t="s">
        <v>4269</v>
      </c>
      <c r="F218" t="s">
        <v>4270</v>
      </c>
      <c r="G218" t="s">
        <v>4271</v>
      </c>
      <c r="H218" t="s">
        <v>4272</v>
      </c>
      <c r="I218">
        <v>7780</v>
      </c>
      <c r="J218">
        <v>87730</v>
      </c>
      <c r="K218">
        <v>418491</v>
      </c>
      <c r="L218">
        <v>21603909</v>
      </c>
      <c r="M218" t="s">
        <v>4273</v>
      </c>
      <c r="N218" t="s">
        <v>29</v>
      </c>
      <c r="O218">
        <v>94676198</v>
      </c>
      <c r="P218" t="s">
        <v>4274</v>
      </c>
      <c r="Q218">
        <v>860</v>
      </c>
      <c r="R218" t="s">
        <v>4275</v>
      </c>
      <c r="S218">
        <v>0</v>
      </c>
      <c r="T218" t="b">
        <v>0</v>
      </c>
      <c r="U218">
        <v>9920</v>
      </c>
      <c r="V218">
        <v>1991</v>
      </c>
      <c r="W218" t="s">
        <v>35</v>
      </c>
      <c r="X218" t="s">
        <v>29</v>
      </c>
      <c r="Y218" t="s">
        <v>29</v>
      </c>
      <c r="Z218" t="s">
        <v>37</v>
      </c>
      <c r="AA218">
        <f>TwitterClean[[#This Row],[likes]]+TwitterClean[[#This Row],[replies]]+TwitterClean[[#This Row],[reposts]]+TwitterClean[[#This Row],[quotes]]+TwitterClean[[#This Row],[bookmarks]]</f>
        <v>525912</v>
      </c>
      <c r="AB218" s="1">
        <f>TwitterClean[[#This Row],[Total_Engagements]]/TwitterClean[[#This Row],[views]]</f>
        <v>2.4343372303595612E-2</v>
      </c>
      <c r="AC218" s="3">
        <f>DATEVALUE(MID(TwitterClean[[#This Row],[date_posted]],2,10))</f>
        <v>44953</v>
      </c>
      <c r="AD218">
        <f>TIMEVALUE(MID(TwitterClean[[#This Row],[date_posted]],13,8))</f>
        <v>0.21266203703703704</v>
      </c>
      <c r="AE218" s="3" t="str">
        <f>TEXT(TwitterClean[[#This Row],[Post_Date]],"dddd")</f>
        <v>Friday</v>
      </c>
      <c r="AF218">
        <f>HOUR(TwitterClean[[#This Row],[Post_Time]])</f>
        <v>5</v>
      </c>
      <c r="AG218" t="str">
        <f>IF(TwitterClean[[#This Row],[videos]]="Null","No","Yes")</f>
        <v>No</v>
      </c>
      <c r="AH218" t="str">
        <f>IF(TwitterClean[[#This Row],[photos]]="null","No","Yes")</f>
        <v>Yes</v>
      </c>
      <c r="AI218" t="str">
        <f>IF(TwitterClean[[#This Row],[hashtags]]="null","No","Yes")</f>
        <v>No</v>
      </c>
      <c r="AJ218" t="str">
        <f>IF(TwitterClean[[#This Row],[external_url]]="null","Yes","No")</f>
        <v>No</v>
      </c>
      <c r="AK218">
        <f>LEN(TwitterClean[[#This Row],[description]])</f>
        <v>167</v>
      </c>
      <c r="AL218" t="str">
        <f>IF(TwitterClean[[#This Row],[followers]]&lt;100000,"&lt;100K",IF(TwitterClean[[#This Row],[followers]]&lt;1000000,"100K-1M",IF(TwitterClean[[#This Row],[followers]]&lt;10000000,"1M-10M","10M+")))</f>
        <v>10M+</v>
      </c>
    </row>
    <row r="219" spans="1:38">
      <c r="A219">
        <v>1.8684230036057006E+18</v>
      </c>
      <c r="B219" t="s">
        <v>1862</v>
      </c>
      <c r="C219" t="s">
        <v>1863</v>
      </c>
      <c r="D219" t="s">
        <v>2141</v>
      </c>
      <c r="E219" t="s">
        <v>2142</v>
      </c>
      <c r="F219" t="s">
        <v>29</v>
      </c>
      <c r="G219" t="s">
        <v>2143</v>
      </c>
      <c r="H219" t="s">
        <v>29</v>
      </c>
      <c r="I219">
        <v>6</v>
      </c>
      <c r="J219">
        <v>27</v>
      </c>
      <c r="K219">
        <v>204</v>
      </c>
      <c r="L219">
        <v>10437</v>
      </c>
      <c r="M219" t="s">
        <v>52</v>
      </c>
      <c r="N219" t="s">
        <v>1867</v>
      </c>
      <c r="O219">
        <v>13492430</v>
      </c>
      <c r="P219" t="s">
        <v>1868</v>
      </c>
      <c r="Q219">
        <v>314515</v>
      </c>
      <c r="R219" t="s">
        <v>1869</v>
      </c>
      <c r="S219">
        <v>708</v>
      </c>
      <c r="T219" t="b">
        <v>0</v>
      </c>
      <c r="U219">
        <v>6</v>
      </c>
      <c r="V219">
        <v>11</v>
      </c>
      <c r="W219" t="s">
        <v>35</v>
      </c>
      <c r="X219" t="s">
        <v>29</v>
      </c>
      <c r="Y219" t="s">
        <v>2144</v>
      </c>
      <c r="Z219" t="s">
        <v>37</v>
      </c>
      <c r="AA219">
        <f>TwitterClean[[#This Row],[likes]]+TwitterClean[[#This Row],[replies]]+TwitterClean[[#This Row],[reposts]]+TwitterClean[[#This Row],[quotes]]+TwitterClean[[#This Row],[bookmarks]]</f>
        <v>254</v>
      </c>
      <c r="AB219" s="1">
        <f>TwitterClean[[#This Row],[Total_Engagements]]/TwitterClean[[#This Row],[views]]</f>
        <v>2.4336495161444861E-2</v>
      </c>
      <c r="AC219" s="3">
        <f>DATEVALUE(MID(TwitterClean[[#This Row],[date_posted]],2,10))</f>
        <v>45641</v>
      </c>
      <c r="AD219">
        <f>TIMEVALUE(MID(TwitterClean[[#This Row],[date_posted]],13,8))</f>
        <v>0.93671296296296291</v>
      </c>
      <c r="AE219" s="3" t="str">
        <f>TEXT(TwitterClean[[#This Row],[Post_Date]],"dddd")</f>
        <v>Sunday</v>
      </c>
      <c r="AF219">
        <f>HOUR(TwitterClean[[#This Row],[Post_Time]])</f>
        <v>22</v>
      </c>
      <c r="AG219" t="str">
        <f>IF(TwitterClean[[#This Row],[videos]]="Null","No","Yes")</f>
        <v>Yes</v>
      </c>
      <c r="AH219" t="str">
        <f>IF(TwitterClean[[#This Row],[photos]]="null","No","Yes")</f>
        <v>No</v>
      </c>
      <c r="AI219" t="str">
        <f>IF(TwitterClean[[#This Row],[hashtags]]="null","No","Yes")</f>
        <v>Yes</v>
      </c>
      <c r="AJ219" t="str">
        <f>IF(TwitterClean[[#This Row],[external_url]]="null","Yes","No")</f>
        <v>No</v>
      </c>
      <c r="AK219">
        <f>LEN(TwitterClean[[#This Row],[description]])</f>
        <v>86</v>
      </c>
      <c r="AL219" t="str">
        <f>IF(TwitterClean[[#This Row],[followers]]&lt;100000,"&lt;100K",IF(TwitterClean[[#This Row],[followers]]&lt;1000000,"100K-1M",IF(TwitterClean[[#This Row],[followers]]&lt;10000000,"1M-10M","10M+")))</f>
        <v>10M+</v>
      </c>
    </row>
    <row r="220" spans="1:38">
      <c r="A220">
        <v>1.8684042165256973E+18</v>
      </c>
      <c r="B220" t="s">
        <v>275</v>
      </c>
      <c r="C220" t="s">
        <v>276</v>
      </c>
      <c r="D220" t="s">
        <v>851</v>
      </c>
      <c r="E220" t="s">
        <v>852</v>
      </c>
      <c r="F220" t="s">
        <v>853</v>
      </c>
      <c r="G220" t="s">
        <v>854</v>
      </c>
      <c r="H220" t="s">
        <v>29</v>
      </c>
      <c r="I220">
        <v>16</v>
      </c>
      <c r="J220">
        <v>86</v>
      </c>
      <c r="K220">
        <v>1036</v>
      </c>
      <c r="L220">
        <v>47934</v>
      </c>
      <c r="M220" t="s">
        <v>52</v>
      </c>
      <c r="N220" t="s">
        <v>281</v>
      </c>
      <c r="O220">
        <v>8539601</v>
      </c>
      <c r="P220" t="s">
        <v>282</v>
      </c>
      <c r="Q220">
        <v>75535</v>
      </c>
      <c r="R220" t="s">
        <v>283</v>
      </c>
      <c r="S220">
        <v>117</v>
      </c>
      <c r="T220" t="b">
        <v>0</v>
      </c>
      <c r="U220">
        <v>7</v>
      </c>
      <c r="V220">
        <v>21</v>
      </c>
      <c r="W220" t="s">
        <v>35</v>
      </c>
      <c r="X220" t="s">
        <v>29</v>
      </c>
      <c r="Y220" t="s">
        <v>29</v>
      </c>
      <c r="Z220" t="s">
        <v>37</v>
      </c>
      <c r="AA220">
        <f>TwitterClean[[#This Row],[likes]]+TwitterClean[[#This Row],[replies]]+TwitterClean[[#This Row],[reposts]]+TwitterClean[[#This Row],[quotes]]+TwitterClean[[#This Row],[bookmarks]]</f>
        <v>1166</v>
      </c>
      <c r="AB220" s="1">
        <f>TwitterClean[[#This Row],[Total_Engagements]]/TwitterClean[[#This Row],[views]]</f>
        <v>2.4325113698001419E-2</v>
      </c>
      <c r="AC220" s="3">
        <f>DATEVALUE(MID(TwitterClean[[#This Row],[date_posted]],2,10))</f>
        <v>45641</v>
      </c>
      <c r="AD220">
        <f>TIMEVALUE(MID(TwitterClean[[#This Row],[date_posted]],13,8))</f>
        <v>0.88487268518518514</v>
      </c>
      <c r="AE220" s="3" t="str">
        <f>TEXT(TwitterClean[[#This Row],[Post_Date]],"dddd")</f>
        <v>Sunday</v>
      </c>
      <c r="AF220">
        <f>HOUR(TwitterClean[[#This Row],[Post_Time]])</f>
        <v>21</v>
      </c>
      <c r="AG220" t="str">
        <f>IF(TwitterClean[[#This Row],[videos]]="Null","No","Yes")</f>
        <v>No</v>
      </c>
      <c r="AH220" t="str">
        <f>IF(TwitterClean[[#This Row],[photos]]="null","No","Yes")</f>
        <v>Yes</v>
      </c>
      <c r="AI220" t="str">
        <f>IF(TwitterClean[[#This Row],[hashtags]]="null","No","Yes")</f>
        <v>Yes</v>
      </c>
      <c r="AJ220" t="str">
        <f>IF(TwitterClean[[#This Row],[external_url]]="null","Yes","No")</f>
        <v>No</v>
      </c>
      <c r="AK220">
        <f>LEN(TwitterClean[[#This Row],[description]])</f>
        <v>99</v>
      </c>
      <c r="AL220" t="str">
        <f>IF(TwitterClean[[#This Row],[followers]]&lt;100000,"&lt;100K",IF(TwitterClean[[#This Row],[followers]]&lt;1000000,"100K-1M",IF(TwitterClean[[#This Row],[followers]]&lt;10000000,"1M-10M","10M+")))</f>
        <v>1M-10M</v>
      </c>
    </row>
    <row r="221" spans="1:38">
      <c r="A221">
        <v>1.8683620112533015E+18</v>
      </c>
      <c r="B221" t="s">
        <v>26</v>
      </c>
      <c r="C221" t="s">
        <v>26</v>
      </c>
      <c r="D221" t="s">
        <v>78</v>
      </c>
      <c r="E221" t="s">
        <v>79</v>
      </c>
      <c r="F221" t="s">
        <v>29</v>
      </c>
      <c r="G221" t="s">
        <v>80</v>
      </c>
      <c r="H221" t="s">
        <v>29</v>
      </c>
      <c r="I221">
        <v>23</v>
      </c>
      <c r="J221">
        <v>28</v>
      </c>
      <c r="K221">
        <v>208</v>
      </c>
      <c r="L221">
        <v>11057</v>
      </c>
      <c r="M221" t="s">
        <v>31</v>
      </c>
      <c r="N221" t="s">
        <v>71</v>
      </c>
      <c r="O221">
        <v>5771762</v>
      </c>
      <c r="P221" t="s">
        <v>33</v>
      </c>
      <c r="Q221">
        <v>222223</v>
      </c>
      <c r="R221" t="s">
        <v>34</v>
      </c>
      <c r="S221">
        <v>122</v>
      </c>
      <c r="T221" t="b">
        <v>0</v>
      </c>
      <c r="U221">
        <v>1</v>
      </c>
      <c r="V221">
        <v>6</v>
      </c>
      <c r="W221" t="s">
        <v>35</v>
      </c>
      <c r="X221" t="s">
        <v>29</v>
      </c>
      <c r="Y221" t="s">
        <v>81</v>
      </c>
      <c r="Z221" t="s">
        <v>37</v>
      </c>
      <c r="AA221">
        <f>TwitterClean[[#This Row],[likes]]+TwitterClean[[#This Row],[replies]]+TwitterClean[[#This Row],[reposts]]+TwitterClean[[#This Row],[quotes]]+TwitterClean[[#This Row],[bookmarks]]</f>
        <v>266</v>
      </c>
      <c r="AB221" s="1">
        <f>TwitterClean[[#This Row],[Total_Engagements]]/TwitterClean[[#This Row],[views]]</f>
        <v>2.4057158361219137E-2</v>
      </c>
      <c r="AC221" s="3">
        <f>DATEVALUE(MID(TwitterClean[[#This Row],[date_posted]],2,10))</f>
        <v>45641</v>
      </c>
      <c r="AD221">
        <f>TIMEVALUE(MID(TwitterClean[[#This Row],[date_posted]],13,8))</f>
        <v>0.76840277777777777</v>
      </c>
      <c r="AE221" s="3" t="str">
        <f>TEXT(TwitterClean[[#This Row],[Post_Date]],"dddd")</f>
        <v>Sunday</v>
      </c>
      <c r="AF221">
        <f>HOUR(TwitterClean[[#This Row],[Post_Time]])</f>
        <v>18</v>
      </c>
      <c r="AG221" t="str">
        <f>IF(TwitterClean[[#This Row],[videos]]="Null","No","Yes")</f>
        <v>Yes</v>
      </c>
      <c r="AH221" t="str">
        <f>IF(TwitterClean[[#This Row],[photos]]="null","No","Yes")</f>
        <v>No</v>
      </c>
      <c r="AI221" t="str">
        <f>IF(TwitterClean[[#This Row],[hashtags]]="null","No","Yes")</f>
        <v>Yes</v>
      </c>
      <c r="AJ221" t="str">
        <f>IF(TwitterClean[[#This Row],[external_url]]="null","Yes","No")</f>
        <v>No</v>
      </c>
      <c r="AK221">
        <f>LEN(TwitterClean[[#This Row],[description]])</f>
        <v>219</v>
      </c>
      <c r="AL221" t="str">
        <f>IF(TwitterClean[[#This Row],[followers]]&lt;100000,"&lt;100K",IF(TwitterClean[[#This Row],[followers]]&lt;1000000,"100K-1M",IF(TwitterClean[[#This Row],[followers]]&lt;10000000,"1M-10M","10M+")))</f>
        <v>1M-10M</v>
      </c>
    </row>
    <row r="222" spans="1:38">
      <c r="A222">
        <v>1.8683377663603348E+18</v>
      </c>
      <c r="B222" t="s">
        <v>1280</v>
      </c>
      <c r="C222" t="s">
        <v>1281</v>
      </c>
      <c r="D222" t="s">
        <v>1578</v>
      </c>
      <c r="E222" t="s">
        <v>1579</v>
      </c>
      <c r="F222" t="s">
        <v>1580</v>
      </c>
      <c r="G222" t="s">
        <v>1581</v>
      </c>
      <c r="H222" t="s">
        <v>1387</v>
      </c>
      <c r="I222">
        <v>138</v>
      </c>
      <c r="J222">
        <v>355</v>
      </c>
      <c r="K222">
        <v>4310</v>
      </c>
      <c r="L222">
        <v>201230</v>
      </c>
      <c r="M222" t="s">
        <v>52</v>
      </c>
      <c r="N222" t="s">
        <v>1286</v>
      </c>
      <c r="O222">
        <v>38439077</v>
      </c>
      <c r="P222" t="s">
        <v>1287</v>
      </c>
      <c r="Q222">
        <v>92455</v>
      </c>
      <c r="R222" t="s">
        <v>1288</v>
      </c>
      <c r="S222">
        <v>145</v>
      </c>
      <c r="T222" t="b">
        <v>0</v>
      </c>
      <c r="U222">
        <v>6</v>
      </c>
      <c r="V222">
        <v>18</v>
      </c>
      <c r="W222" t="s">
        <v>35</v>
      </c>
      <c r="X222" t="s">
        <v>29</v>
      </c>
      <c r="Y222" t="s">
        <v>29</v>
      </c>
      <c r="Z222" t="s">
        <v>37</v>
      </c>
      <c r="AA222">
        <f>TwitterClean[[#This Row],[likes]]+TwitterClean[[#This Row],[replies]]+TwitterClean[[#This Row],[reposts]]+TwitterClean[[#This Row],[quotes]]+TwitterClean[[#This Row],[bookmarks]]</f>
        <v>4827</v>
      </c>
      <c r="AB222" s="1">
        <f>TwitterClean[[#This Row],[Total_Engagements]]/TwitterClean[[#This Row],[views]]</f>
        <v>2.398747701634945E-2</v>
      </c>
      <c r="AC222" s="3">
        <f>DATEVALUE(MID(TwitterClean[[#This Row],[date_posted]],2,10))</f>
        <v>45641</v>
      </c>
      <c r="AD222">
        <f>TIMEVALUE(MID(TwitterClean[[#This Row],[date_posted]],13,8))</f>
        <v>0.70150462962962967</v>
      </c>
      <c r="AE222" s="3" t="str">
        <f>TEXT(TwitterClean[[#This Row],[Post_Date]],"dddd")</f>
        <v>Sunday</v>
      </c>
      <c r="AF222">
        <f>HOUR(TwitterClean[[#This Row],[Post_Time]])</f>
        <v>16</v>
      </c>
      <c r="AG222" t="str">
        <f>IF(TwitterClean[[#This Row],[videos]]="Null","No","Yes")</f>
        <v>No</v>
      </c>
      <c r="AH222" t="str">
        <f>IF(TwitterClean[[#This Row],[photos]]="null","No","Yes")</f>
        <v>Yes</v>
      </c>
      <c r="AI222" t="str">
        <f>IF(TwitterClean[[#This Row],[hashtags]]="null","No","Yes")</f>
        <v>Yes</v>
      </c>
      <c r="AJ222" t="str">
        <f>IF(TwitterClean[[#This Row],[external_url]]="null","Yes","No")</f>
        <v>No</v>
      </c>
      <c r="AK222">
        <f>LEN(TwitterClean[[#This Row],[description]])</f>
        <v>66</v>
      </c>
      <c r="AL222" t="str">
        <f>IF(TwitterClean[[#This Row],[followers]]&lt;100000,"&lt;100K",IF(TwitterClean[[#This Row],[followers]]&lt;1000000,"100K-1M",IF(TwitterClean[[#This Row],[followers]]&lt;10000000,"1M-10M","10M+")))</f>
        <v>10M+</v>
      </c>
    </row>
    <row r="223" spans="1:38">
      <c r="A223">
        <v>1.8683627905845906E+18</v>
      </c>
      <c r="B223" t="s">
        <v>1267</v>
      </c>
      <c r="C223" t="s">
        <v>1268</v>
      </c>
      <c r="D223" t="s">
        <v>1329</v>
      </c>
      <c r="E223" t="s">
        <v>1330</v>
      </c>
      <c r="F223" t="s">
        <v>1331</v>
      </c>
      <c r="G223" t="s">
        <v>1332</v>
      </c>
      <c r="H223" t="s">
        <v>1333</v>
      </c>
      <c r="I223">
        <v>5659</v>
      </c>
      <c r="J223">
        <v>3671</v>
      </c>
      <c r="K223">
        <v>42031</v>
      </c>
      <c r="L223">
        <v>2264412</v>
      </c>
      <c r="M223" t="s">
        <v>52</v>
      </c>
      <c r="N223" t="s">
        <v>1273</v>
      </c>
      <c r="O223">
        <v>17891377</v>
      </c>
      <c r="P223" t="s">
        <v>1274</v>
      </c>
      <c r="Q223">
        <v>168939</v>
      </c>
      <c r="R223" t="s">
        <v>1275</v>
      </c>
      <c r="S223">
        <v>47365</v>
      </c>
      <c r="T223" t="b">
        <v>0</v>
      </c>
      <c r="U223">
        <v>2520</v>
      </c>
      <c r="V223">
        <v>398</v>
      </c>
      <c r="W223" t="s">
        <v>35</v>
      </c>
      <c r="X223" t="s">
        <v>29</v>
      </c>
      <c r="Y223" t="s">
        <v>29</v>
      </c>
      <c r="Z223" t="s">
        <v>37</v>
      </c>
      <c r="AA223">
        <f>TwitterClean[[#This Row],[likes]]+TwitterClean[[#This Row],[replies]]+TwitterClean[[#This Row],[reposts]]+TwitterClean[[#This Row],[quotes]]+TwitterClean[[#This Row],[bookmarks]]</f>
        <v>54279</v>
      </c>
      <c r="AB223" s="1">
        <f>TwitterClean[[#This Row],[Total_Engagements]]/TwitterClean[[#This Row],[views]]</f>
        <v>2.3970461205822968E-2</v>
      </c>
      <c r="AC223" s="3">
        <f>DATEVALUE(MID(TwitterClean[[#This Row],[date_posted]],2,10))</f>
        <v>45641</v>
      </c>
      <c r="AD223">
        <f>TIMEVALUE(MID(TwitterClean[[#This Row],[date_posted]],13,8))</f>
        <v>0.77055555555555555</v>
      </c>
      <c r="AE223" s="3" t="str">
        <f>TEXT(TwitterClean[[#This Row],[Post_Date]],"dddd")</f>
        <v>Sunday</v>
      </c>
      <c r="AF223">
        <f>HOUR(TwitterClean[[#This Row],[Post_Time]])</f>
        <v>18</v>
      </c>
      <c r="AG223" t="str">
        <f>IF(TwitterClean[[#This Row],[videos]]="Null","No","Yes")</f>
        <v>No</v>
      </c>
      <c r="AH223" t="str">
        <f>IF(TwitterClean[[#This Row],[photos]]="null","No","Yes")</f>
        <v>Yes</v>
      </c>
      <c r="AI223" t="str">
        <f>IF(TwitterClean[[#This Row],[hashtags]]="null","No","Yes")</f>
        <v>Yes</v>
      </c>
      <c r="AJ223" t="str">
        <f>IF(TwitterClean[[#This Row],[external_url]]="null","Yes","No")</f>
        <v>No</v>
      </c>
      <c r="AK223">
        <f>LEN(TwitterClean[[#This Row],[description]])</f>
        <v>58</v>
      </c>
      <c r="AL223" t="str">
        <f>IF(TwitterClean[[#This Row],[followers]]&lt;100000,"&lt;100K",IF(TwitterClean[[#This Row],[followers]]&lt;1000000,"100K-1M",IF(TwitterClean[[#This Row],[followers]]&lt;10000000,"1M-10M","10M+")))</f>
        <v>10M+</v>
      </c>
    </row>
    <row r="224" spans="1:38">
      <c r="A224">
        <v>1.8683860786859052E+18</v>
      </c>
      <c r="B224" t="s">
        <v>1862</v>
      </c>
      <c r="C224" t="s">
        <v>1863</v>
      </c>
      <c r="D224" t="s">
        <v>1901</v>
      </c>
      <c r="E224" t="s">
        <v>1902</v>
      </c>
      <c r="F224" t="s">
        <v>1903</v>
      </c>
      <c r="G224" t="s">
        <v>1904</v>
      </c>
      <c r="H224" t="s">
        <v>1891</v>
      </c>
      <c r="I224">
        <v>8</v>
      </c>
      <c r="J224">
        <v>19</v>
      </c>
      <c r="K224">
        <v>192</v>
      </c>
      <c r="L224">
        <v>9508</v>
      </c>
      <c r="M224" t="s">
        <v>52</v>
      </c>
      <c r="N224" t="s">
        <v>1867</v>
      </c>
      <c r="O224">
        <v>13492430</v>
      </c>
      <c r="P224" t="s">
        <v>1868</v>
      </c>
      <c r="Q224">
        <v>314515</v>
      </c>
      <c r="R224" t="s">
        <v>1869</v>
      </c>
      <c r="S224">
        <v>708</v>
      </c>
      <c r="T224" t="b">
        <v>0</v>
      </c>
      <c r="U224">
        <v>1</v>
      </c>
      <c r="V224">
        <v>4</v>
      </c>
      <c r="W224" t="s">
        <v>35</v>
      </c>
      <c r="X224" t="s">
        <v>29</v>
      </c>
      <c r="Y224" t="s">
        <v>29</v>
      </c>
      <c r="Z224" t="s">
        <v>37</v>
      </c>
      <c r="AA224">
        <f>TwitterClean[[#This Row],[likes]]+TwitterClean[[#This Row],[replies]]+TwitterClean[[#This Row],[reposts]]+TwitterClean[[#This Row],[quotes]]+TwitterClean[[#This Row],[bookmarks]]</f>
        <v>224</v>
      </c>
      <c r="AB224" s="1">
        <f>TwitterClean[[#This Row],[Total_Engagements]]/TwitterClean[[#This Row],[views]]</f>
        <v>2.3559108119478336E-2</v>
      </c>
      <c r="AC224" s="3">
        <f>DATEVALUE(MID(TwitterClean[[#This Row],[date_posted]],2,10))</f>
        <v>45641</v>
      </c>
      <c r="AD224">
        <f>TIMEVALUE(MID(TwitterClean[[#This Row],[date_posted]],13,8))</f>
        <v>0.83481481481481479</v>
      </c>
      <c r="AE224" s="3" t="str">
        <f>TEXT(TwitterClean[[#This Row],[Post_Date]],"dddd")</f>
        <v>Sunday</v>
      </c>
      <c r="AF224">
        <f>HOUR(TwitterClean[[#This Row],[Post_Time]])</f>
        <v>20</v>
      </c>
      <c r="AG224" t="str">
        <f>IF(TwitterClean[[#This Row],[videos]]="Null","No","Yes")</f>
        <v>No</v>
      </c>
      <c r="AH224" t="str">
        <f>IF(TwitterClean[[#This Row],[photos]]="null","No","Yes")</f>
        <v>Yes</v>
      </c>
      <c r="AI224" t="str">
        <f>IF(TwitterClean[[#This Row],[hashtags]]="null","No","Yes")</f>
        <v>Yes</v>
      </c>
      <c r="AJ224" t="str">
        <f>IF(TwitterClean[[#This Row],[external_url]]="null","Yes","No")</f>
        <v>No</v>
      </c>
      <c r="AK224">
        <f>LEN(TwitterClean[[#This Row],[description]])</f>
        <v>81</v>
      </c>
      <c r="AL224" t="str">
        <f>IF(TwitterClean[[#This Row],[followers]]&lt;100000,"&lt;100K",IF(TwitterClean[[#This Row],[followers]]&lt;1000000,"100K-1M",IF(TwitterClean[[#This Row],[followers]]&lt;10000000,"1M-10M","10M+")))</f>
        <v>10M+</v>
      </c>
    </row>
    <row r="225" spans="1:38">
      <c r="A225">
        <v>1.8683998456327949E+18</v>
      </c>
      <c r="B225" t="s">
        <v>1862</v>
      </c>
      <c r="C225" t="s">
        <v>1863</v>
      </c>
      <c r="D225" t="s">
        <v>2061</v>
      </c>
      <c r="E225" t="s">
        <v>2062</v>
      </c>
      <c r="F225" t="s">
        <v>29</v>
      </c>
      <c r="G225" t="s">
        <v>2063</v>
      </c>
      <c r="H225" t="s">
        <v>2064</v>
      </c>
      <c r="I225">
        <v>16</v>
      </c>
      <c r="J225">
        <v>29</v>
      </c>
      <c r="K225">
        <v>168</v>
      </c>
      <c r="L225">
        <v>9901</v>
      </c>
      <c r="M225" t="s">
        <v>52</v>
      </c>
      <c r="N225" t="s">
        <v>1867</v>
      </c>
      <c r="O225">
        <v>13492430</v>
      </c>
      <c r="P225" t="s">
        <v>1868</v>
      </c>
      <c r="Q225">
        <v>314515</v>
      </c>
      <c r="R225" t="s">
        <v>1869</v>
      </c>
      <c r="S225">
        <v>708</v>
      </c>
      <c r="T225" t="b">
        <v>0</v>
      </c>
      <c r="U225">
        <v>12</v>
      </c>
      <c r="V225">
        <v>8</v>
      </c>
      <c r="W225" t="s">
        <v>35</v>
      </c>
      <c r="X225" t="s">
        <v>29</v>
      </c>
      <c r="Y225" t="s">
        <v>2065</v>
      </c>
      <c r="Z225" t="s">
        <v>37</v>
      </c>
      <c r="AA225">
        <f>TwitterClean[[#This Row],[likes]]+TwitterClean[[#This Row],[replies]]+TwitterClean[[#This Row],[reposts]]+TwitterClean[[#This Row],[quotes]]+TwitterClean[[#This Row],[bookmarks]]</f>
        <v>233</v>
      </c>
      <c r="AB225" s="1">
        <f>TwitterClean[[#This Row],[Total_Engagements]]/TwitterClean[[#This Row],[views]]</f>
        <v>2.3532976467023532E-2</v>
      </c>
      <c r="AC225" s="3">
        <f>DATEVALUE(MID(TwitterClean[[#This Row],[date_posted]],2,10))</f>
        <v>45641</v>
      </c>
      <c r="AD225">
        <f>TIMEVALUE(MID(TwitterClean[[#This Row],[date_posted]],13,8))</f>
        <v>0.87281249999999999</v>
      </c>
      <c r="AE225" s="3" t="str">
        <f>TEXT(TwitterClean[[#This Row],[Post_Date]],"dddd")</f>
        <v>Sunday</v>
      </c>
      <c r="AF225">
        <f>HOUR(TwitterClean[[#This Row],[Post_Time]])</f>
        <v>20</v>
      </c>
      <c r="AG225" t="str">
        <f>IF(TwitterClean[[#This Row],[videos]]="Null","No","Yes")</f>
        <v>Yes</v>
      </c>
      <c r="AH225" t="str">
        <f>IF(TwitterClean[[#This Row],[photos]]="null","No","Yes")</f>
        <v>No</v>
      </c>
      <c r="AI225" t="str">
        <f>IF(TwitterClean[[#This Row],[hashtags]]="null","No","Yes")</f>
        <v>Yes</v>
      </c>
      <c r="AJ225" t="str">
        <f>IF(TwitterClean[[#This Row],[external_url]]="null","Yes","No")</f>
        <v>No</v>
      </c>
      <c r="AK225">
        <f>LEN(TwitterClean[[#This Row],[description]])</f>
        <v>104</v>
      </c>
      <c r="AL225" t="str">
        <f>IF(TwitterClean[[#This Row],[followers]]&lt;100000,"&lt;100K",IF(TwitterClean[[#This Row],[followers]]&lt;1000000,"100K-1M",IF(TwitterClean[[#This Row],[followers]]&lt;10000000,"1M-10M","10M+")))</f>
        <v>10M+</v>
      </c>
    </row>
    <row r="226" spans="1:38">
      <c r="A226">
        <v>1.8682273333685128E+18</v>
      </c>
      <c r="B226" t="s">
        <v>1393</v>
      </c>
      <c r="C226" t="s">
        <v>1394</v>
      </c>
      <c r="D226" t="s">
        <v>1395</v>
      </c>
      <c r="E226" t="s">
        <v>1396</v>
      </c>
      <c r="F226" t="s">
        <v>29</v>
      </c>
      <c r="G226" t="s">
        <v>1397</v>
      </c>
      <c r="H226" t="s">
        <v>29</v>
      </c>
      <c r="I226">
        <v>70</v>
      </c>
      <c r="J226">
        <v>197</v>
      </c>
      <c r="K226">
        <v>2994</v>
      </c>
      <c r="L226">
        <v>139744</v>
      </c>
      <c r="M226" t="s">
        <v>1398</v>
      </c>
      <c r="N226" t="s">
        <v>1399</v>
      </c>
      <c r="O226">
        <v>24644781</v>
      </c>
      <c r="P226" t="s">
        <v>1400</v>
      </c>
      <c r="Q226">
        <v>122426</v>
      </c>
      <c r="R226" t="s">
        <v>1401</v>
      </c>
      <c r="S226">
        <v>339854</v>
      </c>
      <c r="T226" t="b">
        <v>0</v>
      </c>
      <c r="U226">
        <v>6</v>
      </c>
      <c r="V226">
        <v>11</v>
      </c>
      <c r="W226" t="s">
        <v>35</v>
      </c>
      <c r="X226" t="s">
        <v>29</v>
      </c>
      <c r="Y226" t="s">
        <v>29</v>
      </c>
      <c r="Z226" t="s">
        <v>37</v>
      </c>
      <c r="AA226">
        <f>TwitterClean[[#This Row],[likes]]+TwitterClean[[#This Row],[replies]]+TwitterClean[[#This Row],[reposts]]+TwitterClean[[#This Row],[quotes]]+TwitterClean[[#This Row],[bookmarks]]</f>
        <v>3278</v>
      </c>
      <c r="AB226" s="1">
        <f>TwitterClean[[#This Row],[Total_Engagements]]/TwitterClean[[#This Row],[views]]</f>
        <v>2.3457178841309823E-2</v>
      </c>
      <c r="AC226" s="3">
        <f>DATEVALUE(MID(TwitterClean[[#This Row],[date_posted]],2,10))</f>
        <v>45641</v>
      </c>
      <c r="AD226">
        <f>TIMEVALUE(MID(TwitterClean[[#This Row],[date_posted]],13,8))</f>
        <v>0.39675925925925926</v>
      </c>
      <c r="AE226" s="3" t="str">
        <f>TEXT(TwitterClean[[#This Row],[Post_Date]],"dddd")</f>
        <v>Sunday</v>
      </c>
      <c r="AF226">
        <f>HOUR(TwitterClean[[#This Row],[Post_Time]])</f>
        <v>9</v>
      </c>
      <c r="AG226" t="str">
        <f>IF(TwitterClean[[#This Row],[videos]]="Null","No","Yes")</f>
        <v>No</v>
      </c>
      <c r="AH226" t="str">
        <f>IF(TwitterClean[[#This Row],[photos]]="null","No","Yes")</f>
        <v>No</v>
      </c>
      <c r="AI226" t="str">
        <f>IF(TwitterClean[[#This Row],[hashtags]]="null","No","Yes")</f>
        <v>Yes</v>
      </c>
      <c r="AJ226" t="str">
        <f>IF(TwitterClean[[#This Row],[external_url]]="null","Yes","No")</f>
        <v>No</v>
      </c>
      <c r="AK226">
        <f>LEN(TwitterClean[[#This Row],[description]])</f>
        <v>59</v>
      </c>
      <c r="AL226" t="str">
        <f>IF(TwitterClean[[#This Row],[followers]]&lt;100000,"&lt;100K",IF(TwitterClean[[#This Row],[followers]]&lt;1000000,"100K-1M",IF(TwitterClean[[#This Row],[followers]]&lt;10000000,"1M-10M","10M+")))</f>
        <v>10M+</v>
      </c>
    </row>
    <row r="227" spans="1:38">
      <c r="A227">
        <v>1.8683077303496054E+18</v>
      </c>
      <c r="B227" t="s">
        <v>3392</v>
      </c>
      <c r="C227" t="s">
        <v>3393</v>
      </c>
      <c r="D227" t="s">
        <v>4660</v>
      </c>
      <c r="E227" t="s">
        <v>4661</v>
      </c>
      <c r="F227" t="s">
        <v>29</v>
      </c>
      <c r="G227" t="s">
        <v>4662</v>
      </c>
      <c r="H227" t="s">
        <v>29</v>
      </c>
      <c r="I227">
        <v>34</v>
      </c>
      <c r="J227">
        <v>25</v>
      </c>
      <c r="K227">
        <v>536</v>
      </c>
      <c r="L227">
        <v>25964</v>
      </c>
      <c r="M227" t="s">
        <v>4663</v>
      </c>
      <c r="N227" t="s">
        <v>3405</v>
      </c>
      <c r="O227">
        <v>1480966</v>
      </c>
      <c r="P227" t="s">
        <v>3399</v>
      </c>
      <c r="Q227">
        <v>103753</v>
      </c>
      <c r="R227" t="s">
        <v>3400</v>
      </c>
      <c r="S227">
        <v>552</v>
      </c>
      <c r="T227" t="b">
        <v>0</v>
      </c>
      <c r="U227">
        <v>12</v>
      </c>
      <c r="V227">
        <v>1</v>
      </c>
      <c r="W227" t="s">
        <v>35</v>
      </c>
      <c r="X227" t="s">
        <v>29</v>
      </c>
      <c r="Y227" t="s">
        <v>29</v>
      </c>
      <c r="Z227" t="s">
        <v>37</v>
      </c>
      <c r="AA227">
        <f>TwitterClean[[#This Row],[likes]]+TwitterClean[[#This Row],[replies]]+TwitterClean[[#This Row],[reposts]]+TwitterClean[[#This Row],[quotes]]+TwitterClean[[#This Row],[bookmarks]]</f>
        <v>608</v>
      </c>
      <c r="AB227" s="1">
        <f>TwitterClean[[#This Row],[Total_Engagements]]/TwitterClean[[#This Row],[views]]</f>
        <v>2.341703897704514E-2</v>
      </c>
      <c r="AC227" s="3">
        <f>DATEVALUE(MID(TwitterClean[[#This Row],[date_posted]],2,10))</f>
        <v>45641</v>
      </c>
      <c r="AD227">
        <f>TIMEVALUE(MID(TwitterClean[[#This Row],[date_posted]],13,8))</f>
        <v>0.61862268518518515</v>
      </c>
      <c r="AE227" s="3" t="str">
        <f>TEXT(TwitterClean[[#This Row],[Post_Date]],"dddd")</f>
        <v>Sunday</v>
      </c>
      <c r="AF227">
        <f>HOUR(TwitterClean[[#This Row],[Post_Time]])</f>
        <v>14</v>
      </c>
      <c r="AG227" t="str">
        <f>IF(TwitterClean[[#This Row],[videos]]="Null","No","Yes")</f>
        <v>No</v>
      </c>
      <c r="AH227" t="str">
        <f>IF(TwitterClean[[#This Row],[photos]]="null","No","Yes")</f>
        <v>No</v>
      </c>
      <c r="AI227" t="str">
        <f>IF(TwitterClean[[#This Row],[hashtags]]="null","No","Yes")</f>
        <v>Yes</v>
      </c>
      <c r="AJ227" t="str">
        <f>IF(TwitterClean[[#This Row],[external_url]]="null","Yes","No")</f>
        <v>No</v>
      </c>
      <c r="AK227">
        <f>LEN(TwitterClean[[#This Row],[description]])</f>
        <v>34</v>
      </c>
      <c r="AL227" t="str">
        <f>IF(TwitterClean[[#This Row],[followers]]&lt;100000,"&lt;100K",IF(TwitterClean[[#This Row],[followers]]&lt;1000000,"100K-1M",IF(TwitterClean[[#This Row],[followers]]&lt;10000000,"1M-10M","10M+")))</f>
        <v>1M-10M</v>
      </c>
    </row>
    <row r="228" spans="1:38">
      <c r="A228">
        <v>1.868258857828672E+18</v>
      </c>
      <c r="B228" t="s">
        <v>4710</v>
      </c>
      <c r="C228" t="s">
        <v>4711</v>
      </c>
      <c r="D228" t="s">
        <v>5221</v>
      </c>
      <c r="E228" t="s">
        <v>5222</v>
      </c>
      <c r="F228" t="s">
        <v>5223</v>
      </c>
      <c r="G228" t="s">
        <v>5224</v>
      </c>
      <c r="H228" t="s">
        <v>5225</v>
      </c>
      <c r="I228">
        <v>16</v>
      </c>
      <c r="J228">
        <v>16</v>
      </c>
      <c r="K228">
        <v>216</v>
      </c>
      <c r="L228">
        <v>11085</v>
      </c>
      <c r="M228" t="s">
        <v>52</v>
      </c>
      <c r="N228" t="s">
        <v>4716</v>
      </c>
      <c r="O228">
        <v>551401</v>
      </c>
      <c r="P228" t="s">
        <v>4717</v>
      </c>
      <c r="Q228">
        <v>40407</v>
      </c>
      <c r="R228" t="s">
        <v>4718</v>
      </c>
      <c r="S228">
        <v>282</v>
      </c>
      <c r="T228" t="b">
        <v>0</v>
      </c>
      <c r="U228">
        <v>8</v>
      </c>
      <c r="V228">
        <v>1</v>
      </c>
      <c r="W228" t="s">
        <v>35</v>
      </c>
      <c r="X228" t="s">
        <v>29</v>
      </c>
      <c r="Y228" t="s">
        <v>29</v>
      </c>
      <c r="Z228" t="s">
        <v>37</v>
      </c>
      <c r="AA228">
        <f>TwitterClean[[#This Row],[likes]]+TwitterClean[[#This Row],[replies]]+TwitterClean[[#This Row],[reposts]]+TwitterClean[[#This Row],[quotes]]+TwitterClean[[#This Row],[bookmarks]]</f>
        <v>257</v>
      </c>
      <c r="AB228" s="1">
        <f>TwitterClean[[#This Row],[Total_Engagements]]/TwitterClean[[#This Row],[views]]</f>
        <v>2.3184483536310328E-2</v>
      </c>
      <c r="AC228" s="3">
        <f>DATEVALUE(MID(TwitterClean[[#This Row],[date_posted]],2,10))</f>
        <v>45641</v>
      </c>
      <c r="AD228">
        <f>TIMEVALUE(MID(TwitterClean[[#This Row],[date_posted]],13,8))</f>
        <v>0.48375000000000001</v>
      </c>
      <c r="AE228" s="3" t="str">
        <f>TEXT(TwitterClean[[#This Row],[Post_Date]],"dddd")</f>
        <v>Sunday</v>
      </c>
      <c r="AF228">
        <f>HOUR(TwitterClean[[#This Row],[Post_Time]])</f>
        <v>11</v>
      </c>
      <c r="AG228" t="str">
        <f>IF(TwitterClean[[#This Row],[videos]]="Null","No","Yes")</f>
        <v>No</v>
      </c>
      <c r="AH228" t="str">
        <f>IF(TwitterClean[[#This Row],[photos]]="null","No","Yes")</f>
        <v>Yes</v>
      </c>
      <c r="AI228" t="str">
        <f>IF(TwitterClean[[#This Row],[hashtags]]="null","No","Yes")</f>
        <v>Yes</v>
      </c>
      <c r="AJ228" t="str">
        <f>IF(TwitterClean[[#This Row],[external_url]]="null","Yes","No")</f>
        <v>No</v>
      </c>
      <c r="AK228">
        <f>LEN(TwitterClean[[#This Row],[description]])</f>
        <v>88</v>
      </c>
      <c r="AL228" t="str">
        <f>IF(TwitterClean[[#This Row],[followers]]&lt;100000,"&lt;100K",IF(TwitterClean[[#This Row],[followers]]&lt;1000000,"100K-1M",IF(TwitterClean[[#This Row],[followers]]&lt;10000000,"1M-10M","10M+")))</f>
        <v>100K-1M</v>
      </c>
    </row>
    <row r="229" spans="1:38">
      <c r="A229">
        <v>1.8684240439189466E+18</v>
      </c>
      <c r="B229" t="s">
        <v>1280</v>
      </c>
      <c r="C229" t="s">
        <v>1281</v>
      </c>
      <c r="D229" t="s">
        <v>1622</v>
      </c>
      <c r="E229" t="s">
        <v>1623</v>
      </c>
      <c r="F229" t="s">
        <v>29</v>
      </c>
      <c r="G229" t="s">
        <v>1624</v>
      </c>
      <c r="H229" t="s">
        <v>29</v>
      </c>
      <c r="I229">
        <v>76</v>
      </c>
      <c r="J229">
        <v>253</v>
      </c>
      <c r="K229">
        <v>3502</v>
      </c>
      <c r="L229">
        <v>166039</v>
      </c>
      <c r="M229" t="s">
        <v>1625</v>
      </c>
      <c r="N229" t="s">
        <v>1286</v>
      </c>
      <c r="O229">
        <v>38439078</v>
      </c>
      <c r="P229" t="s">
        <v>1287</v>
      </c>
      <c r="Q229">
        <v>92455</v>
      </c>
      <c r="R229" t="s">
        <v>1288</v>
      </c>
      <c r="S229">
        <v>145</v>
      </c>
      <c r="T229" t="b">
        <v>0</v>
      </c>
      <c r="U229">
        <v>1</v>
      </c>
      <c r="V229">
        <v>7</v>
      </c>
      <c r="W229" t="s">
        <v>35</v>
      </c>
      <c r="X229" t="s">
        <v>29</v>
      </c>
      <c r="Y229" t="s">
        <v>29</v>
      </c>
      <c r="Z229" t="s">
        <v>37</v>
      </c>
      <c r="AA229">
        <f>TwitterClean[[#This Row],[likes]]+TwitterClean[[#This Row],[replies]]+TwitterClean[[#This Row],[reposts]]+TwitterClean[[#This Row],[quotes]]+TwitterClean[[#This Row],[bookmarks]]</f>
        <v>3839</v>
      </c>
      <c r="AB229" s="1">
        <f>TwitterClean[[#This Row],[Total_Engagements]]/TwitterClean[[#This Row],[views]]</f>
        <v>2.3121073964550497E-2</v>
      </c>
      <c r="AC229" s="3">
        <f>DATEVALUE(MID(TwitterClean[[#This Row],[date_posted]],2,10))</f>
        <v>45641</v>
      </c>
      <c r="AD229">
        <f>TIMEVALUE(MID(TwitterClean[[#This Row],[date_posted]],13,8))</f>
        <v>0.93958333333333333</v>
      </c>
      <c r="AE229" s="3" t="str">
        <f>TEXT(TwitterClean[[#This Row],[Post_Date]],"dddd")</f>
        <v>Sunday</v>
      </c>
      <c r="AF229">
        <f>HOUR(TwitterClean[[#This Row],[Post_Time]])</f>
        <v>22</v>
      </c>
      <c r="AG229" t="str">
        <f>IF(TwitterClean[[#This Row],[videos]]="Null","No","Yes")</f>
        <v>No</v>
      </c>
      <c r="AH229" t="str">
        <f>IF(TwitterClean[[#This Row],[photos]]="null","No","Yes")</f>
        <v>No</v>
      </c>
      <c r="AI229" t="str">
        <f>IF(TwitterClean[[#This Row],[hashtags]]="null","No","Yes")</f>
        <v>Yes</v>
      </c>
      <c r="AJ229" t="str">
        <f>IF(TwitterClean[[#This Row],[external_url]]="null","Yes","No")</f>
        <v>No</v>
      </c>
      <c r="AK229">
        <f>LEN(TwitterClean[[#This Row],[description]])</f>
        <v>45</v>
      </c>
      <c r="AL229" t="str">
        <f>IF(TwitterClean[[#This Row],[followers]]&lt;100000,"&lt;100K",IF(TwitterClean[[#This Row],[followers]]&lt;1000000,"100K-1M",IF(TwitterClean[[#This Row],[followers]]&lt;10000000,"1M-10M","10M+")))</f>
        <v>10M+</v>
      </c>
    </row>
    <row r="230" spans="1:38">
      <c r="A230">
        <v>1.8681867703341755E+18</v>
      </c>
      <c r="B230" t="s">
        <v>4710</v>
      </c>
      <c r="C230" t="s">
        <v>4711</v>
      </c>
      <c r="D230" t="s">
        <v>4719</v>
      </c>
      <c r="E230" t="s">
        <v>4720</v>
      </c>
      <c r="F230" t="s">
        <v>4721</v>
      </c>
      <c r="G230" t="s">
        <v>4722</v>
      </c>
      <c r="H230" t="s">
        <v>29</v>
      </c>
      <c r="I230">
        <v>8</v>
      </c>
      <c r="J230">
        <v>16</v>
      </c>
      <c r="K230">
        <v>485</v>
      </c>
      <c r="L230">
        <v>22312</v>
      </c>
      <c r="M230" t="s">
        <v>52</v>
      </c>
      <c r="N230" t="s">
        <v>4716</v>
      </c>
      <c r="O230">
        <v>551402</v>
      </c>
      <c r="P230" t="s">
        <v>4717</v>
      </c>
      <c r="Q230">
        <v>40407</v>
      </c>
      <c r="R230" t="s">
        <v>4718</v>
      </c>
      <c r="S230">
        <v>282</v>
      </c>
      <c r="T230" t="b">
        <v>0</v>
      </c>
      <c r="U230">
        <v>3</v>
      </c>
      <c r="V230">
        <v>3</v>
      </c>
      <c r="W230" t="s">
        <v>35</v>
      </c>
      <c r="X230" t="s">
        <v>29</v>
      </c>
      <c r="Y230" t="s">
        <v>29</v>
      </c>
      <c r="Z230" t="s">
        <v>37</v>
      </c>
      <c r="AA230">
        <f>TwitterClean[[#This Row],[likes]]+TwitterClean[[#This Row],[replies]]+TwitterClean[[#This Row],[reposts]]+TwitterClean[[#This Row],[quotes]]+TwitterClean[[#This Row],[bookmarks]]</f>
        <v>515</v>
      </c>
      <c r="AB230" s="1">
        <f>TwitterClean[[#This Row],[Total_Engagements]]/TwitterClean[[#This Row],[views]]</f>
        <v>2.3081749731086412E-2</v>
      </c>
      <c r="AC230" s="3">
        <f>DATEVALUE(MID(TwitterClean[[#This Row],[date_posted]],2,10))</f>
        <v>45641</v>
      </c>
      <c r="AD230">
        <f>TIMEVALUE(MID(TwitterClean[[#This Row],[date_posted]],13,8))</f>
        <v>0.28482638888888889</v>
      </c>
      <c r="AE230" s="3" t="str">
        <f>TEXT(TwitterClean[[#This Row],[Post_Date]],"dddd")</f>
        <v>Sunday</v>
      </c>
      <c r="AF230">
        <f>HOUR(TwitterClean[[#This Row],[Post_Time]])</f>
        <v>6</v>
      </c>
      <c r="AG230" t="str">
        <f>IF(TwitterClean[[#This Row],[videos]]="Null","No","Yes")</f>
        <v>No</v>
      </c>
      <c r="AH230" t="str">
        <f>IF(TwitterClean[[#This Row],[photos]]="null","No","Yes")</f>
        <v>Yes</v>
      </c>
      <c r="AI230" t="str">
        <f>IF(TwitterClean[[#This Row],[hashtags]]="null","No","Yes")</f>
        <v>Yes</v>
      </c>
      <c r="AJ230" t="str">
        <f>IF(TwitterClean[[#This Row],[external_url]]="null","Yes","No")</f>
        <v>No</v>
      </c>
      <c r="AK230">
        <f>LEN(TwitterClean[[#This Row],[description]])</f>
        <v>55</v>
      </c>
      <c r="AL230" t="str">
        <f>IF(TwitterClean[[#This Row],[followers]]&lt;100000,"&lt;100K",IF(TwitterClean[[#This Row],[followers]]&lt;1000000,"100K-1M",IF(TwitterClean[[#This Row],[followers]]&lt;10000000,"1M-10M","10M+")))</f>
        <v>100K-1M</v>
      </c>
    </row>
    <row r="231" spans="1:38">
      <c r="A231">
        <v>1.868284814136095E+18</v>
      </c>
      <c r="B231" t="s">
        <v>333</v>
      </c>
      <c r="C231" t="s">
        <v>334</v>
      </c>
      <c r="D231" t="s">
        <v>4525</v>
      </c>
      <c r="E231" t="s">
        <v>4526</v>
      </c>
      <c r="F231" t="s">
        <v>29</v>
      </c>
      <c r="G231" t="s">
        <v>4527</v>
      </c>
      <c r="H231" t="s">
        <v>1411</v>
      </c>
      <c r="I231">
        <v>7</v>
      </c>
      <c r="J231">
        <v>52</v>
      </c>
      <c r="K231">
        <v>298</v>
      </c>
      <c r="L231">
        <v>16479</v>
      </c>
      <c r="M231" t="s">
        <v>52</v>
      </c>
      <c r="N231" t="s">
        <v>340</v>
      </c>
      <c r="O231">
        <v>337839</v>
      </c>
      <c r="P231" t="s">
        <v>341</v>
      </c>
      <c r="Q231">
        <v>57638</v>
      </c>
      <c r="R231" t="s">
        <v>342</v>
      </c>
      <c r="S231">
        <v>587</v>
      </c>
      <c r="T231" t="b">
        <v>0</v>
      </c>
      <c r="U231">
        <v>14</v>
      </c>
      <c r="V231">
        <v>8</v>
      </c>
      <c r="W231" t="s">
        <v>35</v>
      </c>
      <c r="X231" t="s">
        <v>29</v>
      </c>
      <c r="Y231" t="s">
        <v>4528</v>
      </c>
      <c r="Z231" t="s">
        <v>37</v>
      </c>
      <c r="AA231">
        <f>TwitterClean[[#This Row],[likes]]+TwitterClean[[#This Row],[replies]]+TwitterClean[[#This Row],[reposts]]+TwitterClean[[#This Row],[quotes]]+TwitterClean[[#This Row],[bookmarks]]</f>
        <v>379</v>
      </c>
      <c r="AB231" s="1">
        <f>TwitterClean[[#This Row],[Total_Engagements]]/TwitterClean[[#This Row],[views]]</f>
        <v>2.2998968384003882E-2</v>
      </c>
      <c r="AC231" s="3">
        <f>DATEVALUE(MID(TwitterClean[[#This Row],[date_posted]],2,10))</f>
        <v>45641</v>
      </c>
      <c r="AD231">
        <f>TIMEVALUE(MID(TwitterClean[[#This Row],[date_posted]],13,8))</f>
        <v>0.55538194444444444</v>
      </c>
      <c r="AE231" s="3" t="str">
        <f>TEXT(TwitterClean[[#This Row],[Post_Date]],"dddd")</f>
        <v>Sunday</v>
      </c>
      <c r="AF231">
        <f>HOUR(TwitterClean[[#This Row],[Post_Time]])</f>
        <v>13</v>
      </c>
      <c r="AG231" t="str">
        <f>IF(TwitterClean[[#This Row],[videos]]="Null","No","Yes")</f>
        <v>Yes</v>
      </c>
      <c r="AH231" t="str">
        <f>IF(TwitterClean[[#This Row],[photos]]="null","No","Yes")</f>
        <v>No</v>
      </c>
      <c r="AI231" t="str">
        <f>IF(TwitterClean[[#This Row],[hashtags]]="null","No","Yes")</f>
        <v>Yes</v>
      </c>
      <c r="AJ231" t="str">
        <f>IF(TwitterClean[[#This Row],[external_url]]="null","Yes","No")</f>
        <v>No</v>
      </c>
      <c r="AK231">
        <f>LEN(TwitterClean[[#This Row],[description]])</f>
        <v>56</v>
      </c>
      <c r="AL231" t="str">
        <f>IF(TwitterClean[[#This Row],[followers]]&lt;100000,"&lt;100K",IF(TwitterClean[[#This Row],[followers]]&lt;1000000,"100K-1M",IF(TwitterClean[[#This Row],[followers]]&lt;10000000,"1M-10M","10M+")))</f>
        <v>100K-1M</v>
      </c>
    </row>
    <row r="232" spans="1:38">
      <c r="A232">
        <v>1.8684061815567857E+18</v>
      </c>
      <c r="B232" t="s">
        <v>1862</v>
      </c>
      <c r="C232" t="s">
        <v>1863</v>
      </c>
      <c r="D232" t="s">
        <v>2153</v>
      </c>
      <c r="E232" t="s">
        <v>2154</v>
      </c>
      <c r="F232" t="s">
        <v>29</v>
      </c>
      <c r="G232" t="s">
        <v>2155</v>
      </c>
      <c r="H232" t="s">
        <v>29</v>
      </c>
      <c r="I232">
        <v>11</v>
      </c>
      <c r="J232">
        <v>37</v>
      </c>
      <c r="K232">
        <v>292</v>
      </c>
      <c r="L232">
        <v>16662</v>
      </c>
      <c r="M232" t="s">
        <v>52</v>
      </c>
      <c r="N232" t="s">
        <v>1867</v>
      </c>
      <c r="O232">
        <v>13492372</v>
      </c>
      <c r="P232" t="s">
        <v>1868</v>
      </c>
      <c r="Q232">
        <v>314515</v>
      </c>
      <c r="R232" t="s">
        <v>1869</v>
      </c>
      <c r="S232">
        <v>708</v>
      </c>
      <c r="T232" t="b">
        <v>0</v>
      </c>
      <c r="U232">
        <v>29</v>
      </c>
      <c r="V232">
        <v>13</v>
      </c>
      <c r="W232" t="s">
        <v>35</v>
      </c>
      <c r="X232" t="s">
        <v>29</v>
      </c>
      <c r="Y232" t="s">
        <v>2156</v>
      </c>
      <c r="Z232" t="s">
        <v>37</v>
      </c>
      <c r="AA232">
        <f>TwitterClean[[#This Row],[likes]]+TwitterClean[[#This Row],[replies]]+TwitterClean[[#This Row],[reposts]]+TwitterClean[[#This Row],[quotes]]+TwitterClean[[#This Row],[bookmarks]]</f>
        <v>382</v>
      </c>
      <c r="AB232" s="1">
        <f>TwitterClean[[#This Row],[Total_Engagements]]/TwitterClean[[#This Row],[views]]</f>
        <v>2.2926419397431282E-2</v>
      </c>
      <c r="AC232" s="3">
        <f>DATEVALUE(MID(TwitterClean[[#This Row],[date_posted]],2,10))</f>
        <v>45641</v>
      </c>
      <c r="AD232">
        <f>TIMEVALUE(MID(TwitterClean[[#This Row],[date_posted]],13,8))</f>
        <v>0.89028935185185187</v>
      </c>
      <c r="AE232" s="3" t="str">
        <f>TEXT(TwitterClean[[#This Row],[Post_Date]],"dddd")</f>
        <v>Sunday</v>
      </c>
      <c r="AF232">
        <f>HOUR(TwitterClean[[#This Row],[Post_Time]])</f>
        <v>21</v>
      </c>
      <c r="AG232" t="str">
        <f>IF(TwitterClean[[#This Row],[videos]]="Null","No","Yes")</f>
        <v>Yes</v>
      </c>
      <c r="AH232" t="str">
        <f>IF(TwitterClean[[#This Row],[photos]]="null","No","Yes")</f>
        <v>No</v>
      </c>
      <c r="AI232" t="str">
        <f>IF(TwitterClean[[#This Row],[hashtags]]="null","No","Yes")</f>
        <v>Yes</v>
      </c>
      <c r="AJ232" t="str">
        <f>IF(TwitterClean[[#This Row],[external_url]]="null","Yes","No")</f>
        <v>No</v>
      </c>
      <c r="AK232">
        <f>LEN(TwitterClean[[#This Row],[description]])</f>
        <v>83</v>
      </c>
      <c r="AL232" t="str">
        <f>IF(TwitterClean[[#This Row],[followers]]&lt;100000,"&lt;100K",IF(TwitterClean[[#This Row],[followers]]&lt;1000000,"100K-1M",IF(TwitterClean[[#This Row],[followers]]&lt;10000000,"1M-10M","10M+")))</f>
        <v>10M+</v>
      </c>
    </row>
    <row r="233" spans="1:38">
      <c r="A233">
        <v>1.8681209214094953E+18</v>
      </c>
      <c r="B233" t="s">
        <v>3083</v>
      </c>
      <c r="C233" t="s">
        <v>3083</v>
      </c>
      <c r="D233" t="s">
        <v>3084</v>
      </c>
      <c r="E233" t="s">
        <v>3085</v>
      </c>
      <c r="F233" t="s">
        <v>29</v>
      </c>
      <c r="G233" t="s">
        <v>3086</v>
      </c>
      <c r="H233" t="s">
        <v>29</v>
      </c>
      <c r="I233">
        <v>372</v>
      </c>
      <c r="J233">
        <v>2606</v>
      </c>
      <c r="K233">
        <v>21292</v>
      </c>
      <c r="L233">
        <v>1107429</v>
      </c>
      <c r="M233" t="s">
        <v>52</v>
      </c>
      <c r="N233" t="s">
        <v>3087</v>
      </c>
      <c r="O233">
        <v>14375935</v>
      </c>
      <c r="P233" t="s">
        <v>3088</v>
      </c>
      <c r="Q233">
        <v>346973</v>
      </c>
      <c r="R233" t="s">
        <v>3089</v>
      </c>
      <c r="S233">
        <v>392</v>
      </c>
      <c r="T233" t="b">
        <v>0</v>
      </c>
      <c r="U233">
        <v>285</v>
      </c>
      <c r="V233">
        <v>784</v>
      </c>
      <c r="W233" t="s">
        <v>35</v>
      </c>
      <c r="X233" t="s">
        <v>29</v>
      </c>
      <c r="Y233" t="s">
        <v>3090</v>
      </c>
      <c r="Z233" t="s">
        <v>37</v>
      </c>
      <c r="AA233">
        <f>TwitterClean[[#This Row],[likes]]+TwitterClean[[#This Row],[replies]]+TwitterClean[[#This Row],[reposts]]+TwitterClean[[#This Row],[quotes]]+TwitterClean[[#This Row],[bookmarks]]</f>
        <v>25339</v>
      </c>
      <c r="AB233" s="1">
        <f>TwitterClean[[#This Row],[Total_Engagements]]/TwitterClean[[#This Row],[views]]</f>
        <v>2.2880925097681207E-2</v>
      </c>
      <c r="AC233" s="3">
        <f>DATEVALUE(MID(TwitterClean[[#This Row],[date_posted]],2,10))</f>
        <v>45641</v>
      </c>
      <c r="AD233">
        <f>TIMEVALUE(MID(TwitterClean[[#This Row],[date_posted]],13,8))</f>
        <v>0.10312499999999999</v>
      </c>
      <c r="AE233" s="3" t="str">
        <f>TEXT(TwitterClean[[#This Row],[Post_Date]],"dddd")</f>
        <v>Sunday</v>
      </c>
      <c r="AF233">
        <f>HOUR(TwitterClean[[#This Row],[Post_Time]])</f>
        <v>2</v>
      </c>
      <c r="AG233" t="str">
        <f>IF(TwitterClean[[#This Row],[videos]]="Null","No","Yes")</f>
        <v>Yes</v>
      </c>
      <c r="AH233" t="str">
        <f>IF(TwitterClean[[#This Row],[photos]]="null","No","Yes")</f>
        <v>No</v>
      </c>
      <c r="AI233" t="str">
        <f>IF(TwitterClean[[#This Row],[hashtags]]="null","No","Yes")</f>
        <v>Yes</v>
      </c>
      <c r="AJ233" t="str">
        <f>IF(TwitterClean[[#This Row],[external_url]]="null","Yes","No")</f>
        <v>No</v>
      </c>
      <c r="AK233">
        <f>LEN(TwitterClean[[#This Row],[description]])</f>
        <v>23</v>
      </c>
      <c r="AL233" t="str">
        <f>IF(TwitterClean[[#This Row],[followers]]&lt;100000,"&lt;100K",IF(TwitterClean[[#This Row],[followers]]&lt;1000000,"100K-1M",IF(TwitterClean[[#This Row],[followers]]&lt;10000000,"1M-10M","10M+")))</f>
        <v>10M+</v>
      </c>
    </row>
    <row r="234" spans="1:38">
      <c r="A234">
        <v>1.8682043531544125E+18</v>
      </c>
      <c r="B234" t="s">
        <v>275</v>
      </c>
      <c r="C234" t="s">
        <v>276</v>
      </c>
      <c r="D234" t="s">
        <v>1226</v>
      </c>
      <c r="E234" t="s">
        <v>1227</v>
      </c>
      <c r="F234" t="s">
        <v>1228</v>
      </c>
      <c r="G234" t="s">
        <v>1229</v>
      </c>
      <c r="H234" t="s">
        <v>29</v>
      </c>
      <c r="I234">
        <v>12</v>
      </c>
      <c r="J234">
        <v>69</v>
      </c>
      <c r="K234">
        <v>710</v>
      </c>
      <c r="L234">
        <v>34902</v>
      </c>
      <c r="M234" t="s">
        <v>52</v>
      </c>
      <c r="N234" t="s">
        <v>1230</v>
      </c>
      <c r="O234">
        <v>8539601</v>
      </c>
      <c r="P234" t="s">
        <v>282</v>
      </c>
      <c r="Q234">
        <v>75535</v>
      </c>
      <c r="R234" t="s">
        <v>283</v>
      </c>
      <c r="S234">
        <v>117</v>
      </c>
      <c r="T234" t="b">
        <v>0</v>
      </c>
      <c r="U234">
        <v>4</v>
      </c>
      <c r="V234">
        <v>3</v>
      </c>
      <c r="W234" t="s">
        <v>35</v>
      </c>
      <c r="X234" t="s">
        <v>29</v>
      </c>
      <c r="Y234" t="s">
        <v>29</v>
      </c>
      <c r="Z234" t="s">
        <v>37</v>
      </c>
      <c r="AA234">
        <f>TwitterClean[[#This Row],[likes]]+TwitterClean[[#This Row],[replies]]+TwitterClean[[#This Row],[reposts]]+TwitterClean[[#This Row],[quotes]]+TwitterClean[[#This Row],[bookmarks]]</f>
        <v>798</v>
      </c>
      <c r="AB234" s="1">
        <f>TwitterClean[[#This Row],[Total_Engagements]]/TwitterClean[[#This Row],[views]]</f>
        <v>2.2864019253910951E-2</v>
      </c>
      <c r="AC234" s="3">
        <f>DATEVALUE(MID(TwitterClean[[#This Row],[date_posted]],2,10))</f>
        <v>45641</v>
      </c>
      <c r="AD234">
        <f>TIMEVALUE(MID(TwitterClean[[#This Row],[date_posted]],13,8))</f>
        <v>0.3333564814814815</v>
      </c>
      <c r="AE234" s="3" t="str">
        <f>TEXT(TwitterClean[[#This Row],[Post_Date]],"dddd")</f>
        <v>Sunday</v>
      </c>
      <c r="AF234">
        <f>HOUR(TwitterClean[[#This Row],[Post_Time]])</f>
        <v>8</v>
      </c>
      <c r="AG234" t="str">
        <f>IF(TwitterClean[[#This Row],[videos]]="Null","No","Yes")</f>
        <v>No</v>
      </c>
      <c r="AH234" t="str">
        <f>IF(TwitterClean[[#This Row],[photos]]="null","No","Yes")</f>
        <v>Yes</v>
      </c>
      <c r="AI234" t="str">
        <f>IF(TwitterClean[[#This Row],[hashtags]]="null","No","Yes")</f>
        <v>Yes</v>
      </c>
      <c r="AJ234" t="str">
        <f>IF(TwitterClean[[#This Row],[external_url]]="null","Yes","No")</f>
        <v>No</v>
      </c>
      <c r="AK234">
        <f>LEN(TwitterClean[[#This Row],[description]])</f>
        <v>68</v>
      </c>
      <c r="AL234" t="str">
        <f>IF(TwitterClean[[#This Row],[followers]]&lt;100000,"&lt;100K",IF(TwitterClean[[#This Row],[followers]]&lt;1000000,"100K-1M",IF(TwitterClean[[#This Row],[followers]]&lt;10000000,"1M-10M","10M+")))</f>
        <v>1M-10M</v>
      </c>
    </row>
    <row r="235" spans="1:38">
      <c r="A235">
        <v>1.8682673312958469E+18</v>
      </c>
      <c r="B235" t="s">
        <v>4710</v>
      </c>
      <c r="C235" t="s">
        <v>4711</v>
      </c>
      <c r="D235" t="s">
        <v>4805</v>
      </c>
      <c r="E235" t="s">
        <v>4806</v>
      </c>
      <c r="F235" t="s">
        <v>4807</v>
      </c>
      <c r="G235" t="s">
        <v>4808</v>
      </c>
      <c r="H235" t="s">
        <v>29</v>
      </c>
      <c r="I235">
        <v>6</v>
      </c>
      <c r="J235">
        <v>13</v>
      </c>
      <c r="K235">
        <v>177</v>
      </c>
      <c r="L235">
        <v>8763</v>
      </c>
      <c r="M235" t="s">
        <v>52</v>
      </c>
      <c r="N235" t="s">
        <v>4809</v>
      </c>
      <c r="O235">
        <v>551402</v>
      </c>
      <c r="P235" t="s">
        <v>4717</v>
      </c>
      <c r="Q235">
        <v>40407</v>
      </c>
      <c r="R235" t="s">
        <v>4718</v>
      </c>
      <c r="S235">
        <v>282</v>
      </c>
      <c r="T235" t="b">
        <v>0</v>
      </c>
      <c r="U235">
        <v>1</v>
      </c>
      <c r="V235">
        <v>3</v>
      </c>
      <c r="W235" t="s">
        <v>35</v>
      </c>
      <c r="X235" t="s">
        <v>29</v>
      </c>
      <c r="Y235" t="s">
        <v>29</v>
      </c>
      <c r="Z235" t="s">
        <v>37</v>
      </c>
      <c r="AA235">
        <f>TwitterClean[[#This Row],[likes]]+TwitterClean[[#This Row],[replies]]+TwitterClean[[#This Row],[reposts]]+TwitterClean[[#This Row],[quotes]]+TwitterClean[[#This Row],[bookmarks]]</f>
        <v>200</v>
      </c>
      <c r="AB235" s="1">
        <f>TwitterClean[[#This Row],[Total_Engagements]]/TwitterClean[[#This Row],[views]]</f>
        <v>2.2823234052265207E-2</v>
      </c>
      <c r="AC235" s="3">
        <f>DATEVALUE(MID(TwitterClean[[#This Row],[date_posted]],2,10))</f>
        <v>45641</v>
      </c>
      <c r="AD235">
        <f>TIMEVALUE(MID(TwitterClean[[#This Row],[date_posted]],13,8))</f>
        <v>0.50714120370370375</v>
      </c>
      <c r="AE235" s="3" t="str">
        <f>TEXT(TwitterClean[[#This Row],[Post_Date]],"dddd")</f>
        <v>Sunday</v>
      </c>
      <c r="AF235">
        <f>HOUR(TwitterClean[[#This Row],[Post_Time]])</f>
        <v>12</v>
      </c>
      <c r="AG235" t="str">
        <f>IF(TwitterClean[[#This Row],[videos]]="Null","No","Yes")</f>
        <v>No</v>
      </c>
      <c r="AH235" t="str">
        <f>IF(TwitterClean[[#This Row],[photos]]="null","No","Yes")</f>
        <v>Yes</v>
      </c>
      <c r="AI235" t="str">
        <f>IF(TwitterClean[[#This Row],[hashtags]]="null","No","Yes")</f>
        <v>Yes</v>
      </c>
      <c r="AJ235" t="str">
        <f>IF(TwitterClean[[#This Row],[external_url]]="null","Yes","No")</f>
        <v>No</v>
      </c>
      <c r="AK235">
        <f>LEN(TwitterClean[[#This Row],[description]])</f>
        <v>106</v>
      </c>
      <c r="AL235" t="str">
        <f>IF(TwitterClean[[#This Row],[followers]]&lt;100000,"&lt;100K",IF(TwitterClean[[#This Row],[followers]]&lt;1000000,"100K-1M",IF(TwitterClean[[#This Row],[followers]]&lt;10000000,"1M-10M","10M+")))</f>
        <v>100K-1M</v>
      </c>
    </row>
    <row r="236" spans="1:38">
      <c r="A236">
        <v>1.8684148112869996E+18</v>
      </c>
      <c r="B236" t="s">
        <v>1862</v>
      </c>
      <c r="C236" t="s">
        <v>1863</v>
      </c>
      <c r="D236" t="s">
        <v>2093</v>
      </c>
      <c r="E236" t="s">
        <v>2094</v>
      </c>
      <c r="F236" t="s">
        <v>29</v>
      </c>
      <c r="G236" t="s">
        <v>2095</v>
      </c>
      <c r="H236" t="s">
        <v>29</v>
      </c>
      <c r="I236">
        <v>23</v>
      </c>
      <c r="J236">
        <v>22</v>
      </c>
      <c r="K236">
        <v>225</v>
      </c>
      <c r="L236">
        <v>12492</v>
      </c>
      <c r="M236" t="s">
        <v>52</v>
      </c>
      <c r="N236" t="s">
        <v>1867</v>
      </c>
      <c r="O236">
        <v>13492430</v>
      </c>
      <c r="P236" t="s">
        <v>1868</v>
      </c>
      <c r="Q236">
        <v>314515</v>
      </c>
      <c r="R236" t="s">
        <v>1869</v>
      </c>
      <c r="S236">
        <v>708</v>
      </c>
      <c r="T236" t="b">
        <v>0</v>
      </c>
      <c r="U236">
        <v>10</v>
      </c>
      <c r="V236">
        <v>5</v>
      </c>
      <c r="W236" t="s">
        <v>35</v>
      </c>
      <c r="X236" t="s">
        <v>29</v>
      </c>
      <c r="Y236" t="s">
        <v>2096</v>
      </c>
      <c r="Z236" t="s">
        <v>37</v>
      </c>
      <c r="AA236">
        <f>TwitterClean[[#This Row],[likes]]+TwitterClean[[#This Row],[replies]]+TwitterClean[[#This Row],[reposts]]+TwitterClean[[#This Row],[quotes]]+TwitterClean[[#This Row],[bookmarks]]</f>
        <v>285</v>
      </c>
      <c r="AB236" s="1">
        <f>TwitterClean[[#This Row],[Total_Engagements]]/TwitterClean[[#This Row],[views]]</f>
        <v>2.281460134486071E-2</v>
      </c>
      <c r="AC236" s="3">
        <f>DATEVALUE(MID(TwitterClean[[#This Row],[date_posted]],2,10))</f>
        <v>45641</v>
      </c>
      <c r="AD236">
        <f>TIMEVALUE(MID(TwitterClean[[#This Row],[date_posted]],13,8))</f>
        <v>0.91410879629629627</v>
      </c>
      <c r="AE236" s="3" t="str">
        <f>TEXT(TwitterClean[[#This Row],[Post_Date]],"dddd")</f>
        <v>Sunday</v>
      </c>
      <c r="AF236">
        <f>HOUR(TwitterClean[[#This Row],[Post_Time]])</f>
        <v>21</v>
      </c>
      <c r="AG236" t="str">
        <f>IF(TwitterClean[[#This Row],[videos]]="Null","No","Yes")</f>
        <v>Yes</v>
      </c>
      <c r="AH236" t="str">
        <f>IF(TwitterClean[[#This Row],[photos]]="null","No","Yes")</f>
        <v>No</v>
      </c>
      <c r="AI236" t="str">
        <f>IF(TwitterClean[[#This Row],[hashtags]]="null","No","Yes")</f>
        <v>Yes</v>
      </c>
      <c r="AJ236" t="str">
        <f>IF(TwitterClean[[#This Row],[external_url]]="null","Yes","No")</f>
        <v>No</v>
      </c>
      <c r="AK236">
        <f>LEN(TwitterClean[[#This Row],[description]])</f>
        <v>80</v>
      </c>
      <c r="AL236" t="str">
        <f>IF(TwitterClean[[#This Row],[followers]]&lt;100000,"&lt;100K",IF(TwitterClean[[#This Row],[followers]]&lt;1000000,"100K-1M",IF(TwitterClean[[#This Row],[followers]]&lt;10000000,"1M-10M","10M+")))</f>
        <v>10M+</v>
      </c>
    </row>
    <row r="237" spans="1:38">
      <c r="A237">
        <v>1.8682873931677821E+18</v>
      </c>
      <c r="B237" t="s">
        <v>1267</v>
      </c>
      <c r="C237" t="s">
        <v>1268</v>
      </c>
      <c r="D237" t="s">
        <v>1497</v>
      </c>
      <c r="E237" t="s">
        <v>969</v>
      </c>
      <c r="F237" t="s">
        <v>1498</v>
      </c>
      <c r="G237" t="s">
        <v>1499</v>
      </c>
      <c r="H237" t="s">
        <v>1358</v>
      </c>
      <c r="I237">
        <v>129</v>
      </c>
      <c r="J237">
        <v>322</v>
      </c>
      <c r="K237">
        <v>4475</v>
      </c>
      <c r="L237">
        <v>219157</v>
      </c>
      <c r="M237" t="s">
        <v>52</v>
      </c>
      <c r="N237" t="s">
        <v>1273</v>
      </c>
      <c r="O237">
        <v>17891377</v>
      </c>
      <c r="P237" t="s">
        <v>1274</v>
      </c>
      <c r="Q237">
        <v>168939</v>
      </c>
      <c r="R237" t="s">
        <v>1275</v>
      </c>
      <c r="S237">
        <v>47365</v>
      </c>
      <c r="T237" t="b">
        <v>0</v>
      </c>
      <c r="U237">
        <v>42</v>
      </c>
      <c r="V237">
        <v>14</v>
      </c>
      <c r="W237" t="s">
        <v>35</v>
      </c>
      <c r="X237" t="s">
        <v>29</v>
      </c>
      <c r="Y237" t="s">
        <v>29</v>
      </c>
      <c r="Z237" t="s">
        <v>37</v>
      </c>
      <c r="AA237">
        <f>TwitterClean[[#This Row],[likes]]+TwitterClean[[#This Row],[replies]]+TwitterClean[[#This Row],[reposts]]+TwitterClean[[#This Row],[quotes]]+TwitterClean[[#This Row],[bookmarks]]</f>
        <v>4982</v>
      </c>
      <c r="AB237" s="1">
        <f>TwitterClean[[#This Row],[Total_Engagements]]/TwitterClean[[#This Row],[views]]</f>
        <v>2.2732561588267773E-2</v>
      </c>
      <c r="AC237" s="3">
        <f>DATEVALUE(MID(TwitterClean[[#This Row],[date_posted]],2,10))</f>
        <v>45641</v>
      </c>
      <c r="AD237">
        <f>TIMEVALUE(MID(TwitterClean[[#This Row],[date_posted]],13,8))</f>
        <v>0.5625</v>
      </c>
      <c r="AE237" s="3" t="str">
        <f>TEXT(TwitterClean[[#This Row],[Post_Date]],"dddd")</f>
        <v>Sunday</v>
      </c>
      <c r="AF237">
        <f>HOUR(TwitterClean[[#This Row],[Post_Time]])</f>
        <v>13</v>
      </c>
      <c r="AG237" t="str">
        <f>IF(TwitterClean[[#This Row],[videos]]="Null","No","Yes")</f>
        <v>No</v>
      </c>
      <c r="AH237" t="str">
        <f>IF(TwitterClean[[#This Row],[photos]]="null","No","Yes")</f>
        <v>Yes</v>
      </c>
      <c r="AI237" t="str">
        <f>IF(TwitterClean[[#This Row],[hashtags]]="null","No","Yes")</f>
        <v>Yes</v>
      </c>
      <c r="AJ237" t="str">
        <f>IF(TwitterClean[[#This Row],[external_url]]="null","Yes","No")</f>
        <v>No</v>
      </c>
      <c r="AK237">
        <f>LEN(TwitterClean[[#This Row],[description]])</f>
        <v>51</v>
      </c>
      <c r="AL237" t="str">
        <f>IF(TwitterClean[[#This Row],[followers]]&lt;100000,"&lt;100K",IF(TwitterClean[[#This Row],[followers]]&lt;1000000,"100K-1M",IF(TwitterClean[[#This Row],[followers]]&lt;10000000,"1M-10M","10M+")))</f>
        <v>10M+</v>
      </c>
    </row>
    <row r="238" spans="1:38">
      <c r="A238">
        <v>1.8684223950458145E+18</v>
      </c>
      <c r="B238" t="s">
        <v>1862</v>
      </c>
      <c r="C238" t="s">
        <v>1863</v>
      </c>
      <c r="D238" t="s">
        <v>2145</v>
      </c>
      <c r="E238" t="s">
        <v>2146</v>
      </c>
      <c r="F238" t="s">
        <v>29</v>
      </c>
      <c r="G238" t="s">
        <v>2147</v>
      </c>
      <c r="H238" t="s">
        <v>29</v>
      </c>
      <c r="I238">
        <v>4</v>
      </c>
      <c r="J238">
        <v>28</v>
      </c>
      <c r="K238">
        <v>183</v>
      </c>
      <c r="L238">
        <v>10233</v>
      </c>
      <c r="M238" t="s">
        <v>52</v>
      </c>
      <c r="N238" t="s">
        <v>1867</v>
      </c>
      <c r="O238">
        <v>13492430</v>
      </c>
      <c r="P238" t="s">
        <v>1868</v>
      </c>
      <c r="Q238">
        <v>314515</v>
      </c>
      <c r="R238" t="s">
        <v>1869</v>
      </c>
      <c r="S238">
        <v>708</v>
      </c>
      <c r="T238" t="b">
        <v>0</v>
      </c>
      <c r="U238">
        <v>5</v>
      </c>
      <c r="V238">
        <v>12</v>
      </c>
      <c r="W238" t="s">
        <v>35</v>
      </c>
      <c r="X238" t="s">
        <v>29</v>
      </c>
      <c r="Y238" t="s">
        <v>2148</v>
      </c>
      <c r="Z238" t="s">
        <v>37</v>
      </c>
      <c r="AA238">
        <f>TwitterClean[[#This Row],[likes]]+TwitterClean[[#This Row],[replies]]+TwitterClean[[#This Row],[reposts]]+TwitterClean[[#This Row],[quotes]]+TwitterClean[[#This Row],[bookmarks]]</f>
        <v>232</v>
      </c>
      <c r="AB238" s="1">
        <f>TwitterClean[[#This Row],[Total_Engagements]]/TwitterClean[[#This Row],[views]]</f>
        <v>2.2671748265415813E-2</v>
      </c>
      <c r="AC238" s="3">
        <f>DATEVALUE(MID(TwitterClean[[#This Row],[date_posted]],2,10))</f>
        <v>45641</v>
      </c>
      <c r="AD238">
        <f>TIMEVALUE(MID(TwitterClean[[#This Row],[date_posted]],13,8))</f>
        <v>0.93503472222222217</v>
      </c>
      <c r="AE238" s="3" t="str">
        <f>TEXT(TwitterClean[[#This Row],[Post_Date]],"dddd")</f>
        <v>Sunday</v>
      </c>
      <c r="AF238">
        <f>HOUR(TwitterClean[[#This Row],[Post_Time]])</f>
        <v>22</v>
      </c>
      <c r="AG238" t="str">
        <f>IF(TwitterClean[[#This Row],[videos]]="Null","No","Yes")</f>
        <v>Yes</v>
      </c>
      <c r="AH238" t="str">
        <f>IF(TwitterClean[[#This Row],[photos]]="null","No","Yes")</f>
        <v>No</v>
      </c>
      <c r="AI238" t="str">
        <f>IF(TwitterClean[[#This Row],[hashtags]]="null","No","Yes")</f>
        <v>Yes</v>
      </c>
      <c r="AJ238" t="str">
        <f>IF(TwitterClean[[#This Row],[external_url]]="null","Yes","No")</f>
        <v>No</v>
      </c>
      <c r="AK238">
        <f>LEN(TwitterClean[[#This Row],[description]])</f>
        <v>109</v>
      </c>
      <c r="AL238" t="str">
        <f>IF(TwitterClean[[#This Row],[followers]]&lt;100000,"&lt;100K",IF(TwitterClean[[#This Row],[followers]]&lt;1000000,"100K-1M",IF(TwitterClean[[#This Row],[followers]]&lt;10000000,"1M-10M","10M+")))</f>
        <v>10M+</v>
      </c>
    </row>
    <row r="239" spans="1:38">
      <c r="A239">
        <v>1.868349552853451E+18</v>
      </c>
      <c r="B239" t="s">
        <v>333</v>
      </c>
      <c r="C239" t="s">
        <v>334</v>
      </c>
      <c r="D239" t="s">
        <v>1407</v>
      </c>
      <c r="E239" t="s">
        <v>1408</v>
      </c>
      <c r="F239" t="s">
        <v>1409</v>
      </c>
      <c r="G239" t="s">
        <v>1410</v>
      </c>
      <c r="H239" t="s">
        <v>1411</v>
      </c>
      <c r="I239">
        <v>2</v>
      </c>
      <c r="J239">
        <v>11</v>
      </c>
      <c r="K239">
        <v>231</v>
      </c>
      <c r="L239">
        <v>11020</v>
      </c>
      <c r="M239" t="s">
        <v>52</v>
      </c>
      <c r="N239" t="s">
        <v>340</v>
      </c>
      <c r="O239">
        <v>337839</v>
      </c>
      <c r="P239" t="s">
        <v>341</v>
      </c>
      <c r="Q239">
        <v>57638</v>
      </c>
      <c r="R239" t="s">
        <v>342</v>
      </c>
      <c r="S239">
        <v>587</v>
      </c>
      <c r="T239" t="b">
        <v>0</v>
      </c>
      <c r="U239">
        <v>0</v>
      </c>
      <c r="V239">
        <v>3</v>
      </c>
      <c r="W239" t="s">
        <v>35</v>
      </c>
      <c r="X239" t="s">
        <v>29</v>
      </c>
      <c r="Y239" t="s">
        <v>29</v>
      </c>
      <c r="Z239" t="s">
        <v>37</v>
      </c>
      <c r="AA239">
        <f>TwitterClean[[#This Row],[likes]]+TwitterClean[[#This Row],[replies]]+TwitterClean[[#This Row],[reposts]]+TwitterClean[[#This Row],[quotes]]+TwitterClean[[#This Row],[bookmarks]]</f>
        <v>247</v>
      </c>
      <c r="AB239" s="1">
        <f>TwitterClean[[#This Row],[Total_Engagements]]/TwitterClean[[#This Row],[views]]</f>
        <v>2.2413793103448276E-2</v>
      </c>
      <c r="AC239" s="3">
        <f>DATEVALUE(MID(TwitterClean[[#This Row],[date_posted]],2,10))</f>
        <v>45641</v>
      </c>
      <c r="AD239">
        <f>TIMEVALUE(MID(TwitterClean[[#This Row],[date_posted]],13,8))</f>
        <v>0.73402777777777772</v>
      </c>
      <c r="AE239" s="3" t="str">
        <f>TEXT(TwitterClean[[#This Row],[Post_Date]],"dddd")</f>
        <v>Sunday</v>
      </c>
      <c r="AF239">
        <f>HOUR(TwitterClean[[#This Row],[Post_Time]])</f>
        <v>17</v>
      </c>
      <c r="AG239" t="str">
        <f>IF(TwitterClean[[#This Row],[videos]]="Null","No","Yes")</f>
        <v>No</v>
      </c>
      <c r="AH239" t="str">
        <f>IF(TwitterClean[[#This Row],[photos]]="null","No","Yes")</f>
        <v>Yes</v>
      </c>
      <c r="AI239" t="str">
        <f>IF(TwitterClean[[#This Row],[hashtags]]="null","No","Yes")</f>
        <v>Yes</v>
      </c>
      <c r="AJ239" t="str">
        <f>IF(TwitterClean[[#This Row],[external_url]]="null","Yes","No")</f>
        <v>No</v>
      </c>
      <c r="AK239">
        <f>LEN(TwitterClean[[#This Row],[description]])</f>
        <v>100</v>
      </c>
      <c r="AL239" t="str">
        <f>IF(TwitterClean[[#This Row],[followers]]&lt;100000,"&lt;100K",IF(TwitterClean[[#This Row],[followers]]&lt;1000000,"100K-1M",IF(TwitterClean[[#This Row],[followers]]&lt;10000000,"1M-10M","10M+")))</f>
        <v>100K-1M</v>
      </c>
    </row>
    <row r="240" spans="1:38">
      <c r="A240">
        <v>1.868219446138999E+18</v>
      </c>
      <c r="B240" t="s">
        <v>717</v>
      </c>
      <c r="C240" t="s">
        <v>718</v>
      </c>
      <c r="D240" t="s">
        <v>719</v>
      </c>
      <c r="E240" t="s">
        <v>720</v>
      </c>
      <c r="F240" t="s">
        <v>721</v>
      </c>
      <c r="G240" t="s">
        <v>722</v>
      </c>
      <c r="H240" t="s">
        <v>723</v>
      </c>
      <c r="I240">
        <v>51</v>
      </c>
      <c r="J240">
        <v>262</v>
      </c>
      <c r="K240">
        <v>2758</v>
      </c>
      <c r="L240">
        <v>138654</v>
      </c>
      <c r="M240" t="s">
        <v>52</v>
      </c>
      <c r="N240" t="s">
        <v>29</v>
      </c>
      <c r="O240">
        <v>756191</v>
      </c>
      <c r="P240" t="s">
        <v>724</v>
      </c>
      <c r="Q240">
        <v>32997</v>
      </c>
      <c r="R240" t="s">
        <v>725</v>
      </c>
      <c r="S240">
        <v>303</v>
      </c>
      <c r="T240" t="b">
        <v>0</v>
      </c>
      <c r="U240">
        <v>27</v>
      </c>
      <c r="V240">
        <v>8</v>
      </c>
      <c r="W240" t="s">
        <v>35</v>
      </c>
      <c r="X240" t="s">
        <v>29</v>
      </c>
      <c r="Y240" t="s">
        <v>29</v>
      </c>
      <c r="Z240" t="s">
        <v>37</v>
      </c>
      <c r="AA240">
        <f>TwitterClean[[#This Row],[likes]]+TwitterClean[[#This Row],[replies]]+TwitterClean[[#This Row],[reposts]]+TwitterClean[[#This Row],[quotes]]+TwitterClean[[#This Row],[bookmarks]]</f>
        <v>3106</v>
      </c>
      <c r="AB240" s="1">
        <f>TwitterClean[[#This Row],[Total_Engagements]]/TwitterClean[[#This Row],[views]]</f>
        <v>2.2401084714469111E-2</v>
      </c>
      <c r="AC240" s="3">
        <f>DATEVALUE(MID(TwitterClean[[#This Row],[date_posted]],2,10))</f>
        <v>45641</v>
      </c>
      <c r="AD240">
        <f>TIMEVALUE(MID(TwitterClean[[#This Row],[date_posted]],13,8))</f>
        <v>0.375</v>
      </c>
      <c r="AE240" s="3" t="str">
        <f>TEXT(TwitterClean[[#This Row],[Post_Date]],"dddd")</f>
        <v>Sunday</v>
      </c>
      <c r="AF240">
        <f>HOUR(TwitterClean[[#This Row],[Post_Time]])</f>
        <v>9</v>
      </c>
      <c r="AG240" t="str">
        <f>IF(TwitterClean[[#This Row],[videos]]="Null","No","Yes")</f>
        <v>No</v>
      </c>
      <c r="AH240" t="str">
        <f>IF(TwitterClean[[#This Row],[photos]]="null","No","Yes")</f>
        <v>Yes</v>
      </c>
      <c r="AI240" t="str">
        <f>IF(TwitterClean[[#This Row],[hashtags]]="null","No","Yes")</f>
        <v>No</v>
      </c>
      <c r="AJ240" t="str">
        <f>IF(TwitterClean[[#This Row],[external_url]]="null","Yes","No")</f>
        <v>No</v>
      </c>
      <c r="AK240">
        <f>LEN(TwitterClean[[#This Row],[description]])</f>
        <v>75</v>
      </c>
      <c r="AL240" t="str">
        <f>IF(TwitterClean[[#This Row],[followers]]&lt;100000,"&lt;100K",IF(TwitterClean[[#This Row],[followers]]&lt;1000000,"100K-1M",IF(TwitterClean[[#This Row],[followers]]&lt;10000000,"1M-10M","10M+")))</f>
        <v>100K-1M</v>
      </c>
    </row>
    <row r="241" spans="1:38">
      <c r="A241">
        <v>1.8683598706401733E+18</v>
      </c>
      <c r="B241" t="s">
        <v>333</v>
      </c>
      <c r="C241" t="s">
        <v>334</v>
      </c>
      <c r="D241" t="s">
        <v>640</v>
      </c>
      <c r="E241" t="s">
        <v>641</v>
      </c>
      <c r="F241" t="s">
        <v>642</v>
      </c>
      <c r="G241" t="s">
        <v>643</v>
      </c>
      <c r="H241" t="s">
        <v>489</v>
      </c>
      <c r="I241">
        <v>1</v>
      </c>
      <c r="J241">
        <v>15</v>
      </c>
      <c r="K241">
        <v>179</v>
      </c>
      <c r="L241">
        <v>8779</v>
      </c>
      <c r="M241" t="s">
        <v>52</v>
      </c>
      <c r="N241" t="s">
        <v>340</v>
      </c>
      <c r="O241">
        <v>337839</v>
      </c>
      <c r="P241" t="s">
        <v>341</v>
      </c>
      <c r="Q241">
        <v>57638</v>
      </c>
      <c r="R241" t="s">
        <v>342</v>
      </c>
      <c r="S241">
        <v>587</v>
      </c>
      <c r="T241" t="b">
        <v>0</v>
      </c>
      <c r="U241">
        <v>1</v>
      </c>
      <c r="V241">
        <v>0</v>
      </c>
      <c r="W241" t="s">
        <v>35</v>
      </c>
      <c r="X241" t="s">
        <v>29</v>
      </c>
      <c r="Y241" t="s">
        <v>29</v>
      </c>
      <c r="Z241" t="s">
        <v>37</v>
      </c>
      <c r="AA241">
        <f>TwitterClean[[#This Row],[likes]]+TwitterClean[[#This Row],[replies]]+TwitterClean[[#This Row],[reposts]]+TwitterClean[[#This Row],[quotes]]+TwitterClean[[#This Row],[bookmarks]]</f>
        <v>196</v>
      </c>
      <c r="AB241" s="1">
        <f>TwitterClean[[#This Row],[Total_Engagements]]/TwitterClean[[#This Row],[views]]</f>
        <v>2.232600523977674E-2</v>
      </c>
      <c r="AC241" s="3">
        <f>DATEVALUE(MID(TwitterClean[[#This Row],[date_posted]],2,10))</f>
        <v>45641</v>
      </c>
      <c r="AD241">
        <f>TIMEVALUE(MID(TwitterClean[[#This Row],[date_posted]],13,8))</f>
        <v>0.76249999999999996</v>
      </c>
      <c r="AE241" s="3" t="str">
        <f>TEXT(TwitterClean[[#This Row],[Post_Date]],"dddd")</f>
        <v>Sunday</v>
      </c>
      <c r="AF241">
        <f>HOUR(TwitterClean[[#This Row],[Post_Time]])</f>
        <v>18</v>
      </c>
      <c r="AG241" t="str">
        <f>IF(TwitterClean[[#This Row],[videos]]="Null","No","Yes")</f>
        <v>No</v>
      </c>
      <c r="AH241" t="str">
        <f>IF(TwitterClean[[#This Row],[photos]]="null","No","Yes")</f>
        <v>Yes</v>
      </c>
      <c r="AI241" t="str">
        <f>IF(TwitterClean[[#This Row],[hashtags]]="null","No","Yes")</f>
        <v>Yes</v>
      </c>
      <c r="AJ241" t="str">
        <f>IF(TwitterClean[[#This Row],[external_url]]="null","Yes","No")</f>
        <v>No</v>
      </c>
      <c r="AK241">
        <f>LEN(TwitterClean[[#This Row],[description]])</f>
        <v>71</v>
      </c>
      <c r="AL241" t="str">
        <f>IF(TwitterClean[[#This Row],[followers]]&lt;100000,"&lt;100K",IF(TwitterClean[[#This Row],[followers]]&lt;1000000,"100K-1M",IF(TwitterClean[[#This Row],[followers]]&lt;10000000,"1M-10M","10M+")))</f>
        <v>100K-1M</v>
      </c>
    </row>
    <row r="242" spans="1:38">
      <c r="A242">
        <v>1.8683935984225487E+18</v>
      </c>
      <c r="B242" t="s">
        <v>2230</v>
      </c>
      <c r="C242" t="s">
        <v>2231</v>
      </c>
      <c r="D242" t="s">
        <v>2509</v>
      </c>
      <c r="E242" t="s">
        <v>2510</v>
      </c>
      <c r="F242" t="s">
        <v>2511</v>
      </c>
      <c r="G242" t="s">
        <v>2512</v>
      </c>
      <c r="H242" t="s">
        <v>29</v>
      </c>
      <c r="I242">
        <v>148</v>
      </c>
      <c r="J242">
        <v>195</v>
      </c>
      <c r="K242">
        <v>949</v>
      </c>
      <c r="L242">
        <v>60809</v>
      </c>
      <c r="M242" t="s">
        <v>2513</v>
      </c>
      <c r="N242" t="s">
        <v>29</v>
      </c>
      <c r="O242">
        <v>3313887</v>
      </c>
      <c r="P242" t="s">
        <v>2237</v>
      </c>
      <c r="Q242">
        <v>706459</v>
      </c>
      <c r="R242" t="s">
        <v>2238</v>
      </c>
      <c r="S242">
        <v>10308</v>
      </c>
      <c r="T242" t="b">
        <v>0</v>
      </c>
      <c r="U242">
        <v>15</v>
      </c>
      <c r="V242">
        <v>33</v>
      </c>
      <c r="W242" t="s">
        <v>35</v>
      </c>
      <c r="X242" t="s">
        <v>29</v>
      </c>
      <c r="Y242" t="s">
        <v>29</v>
      </c>
      <c r="Z242" t="s">
        <v>37</v>
      </c>
      <c r="AA242">
        <f>TwitterClean[[#This Row],[likes]]+TwitterClean[[#This Row],[replies]]+TwitterClean[[#This Row],[reposts]]+TwitterClean[[#This Row],[quotes]]+TwitterClean[[#This Row],[bookmarks]]</f>
        <v>1340</v>
      </c>
      <c r="AB242" s="1">
        <f>TwitterClean[[#This Row],[Total_Engagements]]/TwitterClean[[#This Row],[views]]</f>
        <v>2.2036211744971963E-2</v>
      </c>
      <c r="AC242" s="3">
        <f>DATEVALUE(MID(TwitterClean[[#This Row],[date_posted]],2,10))</f>
        <v>45641</v>
      </c>
      <c r="AD242">
        <f>TIMEVALUE(MID(TwitterClean[[#This Row],[date_posted]],13,8))</f>
        <v>0.85556712962962966</v>
      </c>
      <c r="AE242" s="3" t="str">
        <f>TEXT(TwitterClean[[#This Row],[Post_Date]],"dddd")</f>
        <v>Sunday</v>
      </c>
      <c r="AF242">
        <f>HOUR(TwitterClean[[#This Row],[Post_Time]])</f>
        <v>20</v>
      </c>
      <c r="AG242" t="str">
        <f>IF(TwitterClean[[#This Row],[videos]]="Null","No","Yes")</f>
        <v>No</v>
      </c>
      <c r="AH242" t="str">
        <f>IF(TwitterClean[[#This Row],[photos]]="null","No","Yes")</f>
        <v>Yes</v>
      </c>
      <c r="AI242" t="str">
        <f>IF(TwitterClean[[#This Row],[hashtags]]="null","No","Yes")</f>
        <v>No</v>
      </c>
      <c r="AJ242" t="str">
        <f>IF(TwitterClean[[#This Row],[external_url]]="null","Yes","No")</f>
        <v>No</v>
      </c>
      <c r="AK242">
        <f>LEN(TwitterClean[[#This Row],[description]])</f>
        <v>134</v>
      </c>
      <c r="AL242" t="str">
        <f>IF(TwitterClean[[#This Row],[followers]]&lt;100000,"&lt;100K",IF(TwitterClean[[#This Row],[followers]]&lt;1000000,"100K-1M",IF(TwitterClean[[#This Row],[followers]]&lt;10000000,"1M-10M","10M+")))</f>
        <v>1M-10M</v>
      </c>
    </row>
    <row r="243" spans="1:38">
      <c r="A243">
        <v>1.8684187074179197E+18</v>
      </c>
      <c r="B243" t="s">
        <v>1646</v>
      </c>
      <c r="C243" t="s">
        <v>1647</v>
      </c>
      <c r="D243" t="s">
        <v>1741</v>
      </c>
      <c r="E243" t="s">
        <v>1742</v>
      </c>
      <c r="F243" t="s">
        <v>29</v>
      </c>
      <c r="G243" t="s">
        <v>1743</v>
      </c>
      <c r="H243" t="s">
        <v>29</v>
      </c>
      <c r="I243">
        <v>14</v>
      </c>
      <c r="J243">
        <v>8</v>
      </c>
      <c r="K243">
        <v>201</v>
      </c>
      <c r="L243">
        <v>10256</v>
      </c>
      <c r="M243" t="s">
        <v>1744</v>
      </c>
      <c r="N243" t="s">
        <v>1652</v>
      </c>
      <c r="O243">
        <v>3768943</v>
      </c>
      <c r="P243" t="s">
        <v>1653</v>
      </c>
      <c r="Q243">
        <v>897934</v>
      </c>
      <c r="R243" t="s">
        <v>1654</v>
      </c>
      <c r="S243">
        <v>28</v>
      </c>
      <c r="T243" t="b">
        <v>0</v>
      </c>
      <c r="U243">
        <v>2</v>
      </c>
      <c r="V243">
        <v>1</v>
      </c>
      <c r="W243" t="s">
        <v>35</v>
      </c>
      <c r="X243" t="s">
        <v>1745</v>
      </c>
      <c r="Y243" t="s">
        <v>29</v>
      </c>
      <c r="Z243" t="s">
        <v>37</v>
      </c>
      <c r="AA243">
        <f>TwitterClean[[#This Row],[likes]]+TwitterClean[[#This Row],[replies]]+TwitterClean[[#This Row],[reposts]]+TwitterClean[[#This Row],[quotes]]+TwitterClean[[#This Row],[bookmarks]]</f>
        <v>226</v>
      </c>
      <c r="AB243" s="1">
        <f>TwitterClean[[#This Row],[Total_Engagements]]/TwitterClean[[#This Row],[views]]</f>
        <v>2.203588143525741E-2</v>
      </c>
      <c r="AC243" s="3">
        <f>DATEVALUE(MID(TwitterClean[[#This Row],[date_posted]],2,10))</f>
        <v>45641</v>
      </c>
      <c r="AD243">
        <f>TIMEVALUE(MID(TwitterClean[[#This Row],[date_posted]],13,8))</f>
        <v>0.92486111111111113</v>
      </c>
      <c r="AE243" s="3" t="str">
        <f>TEXT(TwitterClean[[#This Row],[Post_Date]],"dddd")</f>
        <v>Sunday</v>
      </c>
      <c r="AF243">
        <f>HOUR(TwitterClean[[#This Row],[Post_Time]])</f>
        <v>22</v>
      </c>
      <c r="AG243" t="str">
        <f>IF(TwitterClean[[#This Row],[videos]]="Null","No","Yes")</f>
        <v>No</v>
      </c>
      <c r="AH243" t="str">
        <f>IF(TwitterClean[[#This Row],[photos]]="null","No","Yes")</f>
        <v>No</v>
      </c>
      <c r="AI243" t="str">
        <f>IF(TwitterClean[[#This Row],[hashtags]]="null","No","Yes")</f>
        <v>Yes</v>
      </c>
      <c r="AJ243" t="str">
        <f>IF(TwitterClean[[#This Row],[external_url]]="null","Yes","No")</f>
        <v>No</v>
      </c>
      <c r="AK243">
        <f>LEN(TwitterClean[[#This Row],[description]])</f>
        <v>117</v>
      </c>
      <c r="AL243" t="str">
        <f>IF(TwitterClean[[#This Row],[followers]]&lt;100000,"&lt;100K",IF(TwitterClean[[#This Row],[followers]]&lt;1000000,"100K-1M",IF(TwitterClean[[#This Row],[followers]]&lt;10000000,"1M-10M","10M+")))</f>
        <v>1M-10M</v>
      </c>
    </row>
    <row r="244" spans="1:38">
      <c r="A244">
        <v>1.800369714662871E+18</v>
      </c>
      <c r="B244" t="s">
        <v>4138</v>
      </c>
      <c r="C244" t="s">
        <v>4139</v>
      </c>
      <c r="D244" t="s">
        <v>4126</v>
      </c>
      <c r="E244" t="s">
        <v>4596</v>
      </c>
      <c r="F244" t="s">
        <v>4597</v>
      </c>
      <c r="G244" t="s">
        <v>4598</v>
      </c>
      <c r="H244" t="s">
        <v>29</v>
      </c>
      <c r="I244">
        <v>35</v>
      </c>
      <c r="J244">
        <v>20</v>
      </c>
      <c r="K244">
        <v>590</v>
      </c>
      <c r="L244">
        <v>30286</v>
      </c>
      <c r="M244" t="s">
        <v>52</v>
      </c>
      <c r="N244" t="s">
        <v>4130</v>
      </c>
      <c r="O244">
        <v>11185</v>
      </c>
      <c r="P244" t="s">
        <v>4143</v>
      </c>
      <c r="Q244">
        <v>22677</v>
      </c>
      <c r="R244" t="s">
        <v>4144</v>
      </c>
      <c r="S244">
        <v>2557</v>
      </c>
      <c r="T244" t="b">
        <v>0</v>
      </c>
      <c r="U244">
        <v>3</v>
      </c>
      <c r="V244">
        <v>16</v>
      </c>
      <c r="W244" t="s">
        <v>35</v>
      </c>
      <c r="X244" t="s">
        <v>29</v>
      </c>
      <c r="Y244" t="s">
        <v>29</v>
      </c>
      <c r="Z244" t="s">
        <v>37</v>
      </c>
      <c r="AA244">
        <f>TwitterClean[[#This Row],[likes]]+TwitterClean[[#This Row],[replies]]+TwitterClean[[#This Row],[reposts]]+TwitterClean[[#This Row],[quotes]]+TwitterClean[[#This Row],[bookmarks]]</f>
        <v>664</v>
      </c>
      <c r="AB244" s="1">
        <f>TwitterClean[[#This Row],[Total_Engagements]]/TwitterClean[[#This Row],[views]]</f>
        <v>2.1924321468665391E-2</v>
      </c>
      <c r="AC244" s="3">
        <f>DATEVALUE(MID(TwitterClean[[#This Row],[date_posted]],2,10))</f>
        <v>45454</v>
      </c>
      <c r="AD244">
        <f>TIMEVALUE(MID(TwitterClean[[#This Row],[date_posted]],13,8))</f>
        <v>0.1454050925925926</v>
      </c>
      <c r="AE244" s="3" t="str">
        <f>TEXT(TwitterClean[[#This Row],[Post_Date]],"dddd")</f>
        <v>Tuesday</v>
      </c>
      <c r="AF244">
        <f>HOUR(TwitterClean[[#This Row],[Post_Time]])</f>
        <v>3</v>
      </c>
      <c r="AG244" t="str">
        <f>IF(TwitterClean[[#This Row],[videos]]="Null","No","Yes")</f>
        <v>No</v>
      </c>
      <c r="AH244" t="str">
        <f>IF(TwitterClean[[#This Row],[photos]]="null","No","Yes")</f>
        <v>Yes</v>
      </c>
      <c r="AI244" t="str">
        <f>IF(TwitterClean[[#This Row],[hashtags]]="null","No","Yes")</f>
        <v>Yes</v>
      </c>
      <c r="AJ244" t="str">
        <f>IF(TwitterClean[[#This Row],[external_url]]="null","Yes","No")</f>
        <v>No</v>
      </c>
      <c r="AK244">
        <f>LEN(TwitterClean[[#This Row],[description]])</f>
        <v>7</v>
      </c>
      <c r="AL244" t="str">
        <f>IF(TwitterClean[[#This Row],[followers]]&lt;100000,"&lt;100K",IF(TwitterClean[[#This Row],[followers]]&lt;1000000,"100K-1M",IF(TwitterClean[[#This Row],[followers]]&lt;10000000,"1M-10M","10M+")))</f>
        <v>&lt;100K</v>
      </c>
    </row>
    <row r="245" spans="1:38">
      <c r="A245">
        <v>1.8684317008054769E+18</v>
      </c>
      <c r="B245" t="s">
        <v>1862</v>
      </c>
      <c r="C245" t="s">
        <v>1863</v>
      </c>
      <c r="D245" t="s">
        <v>1920</v>
      </c>
      <c r="E245" t="s">
        <v>1921</v>
      </c>
      <c r="F245" t="s">
        <v>29</v>
      </c>
      <c r="G245" t="s">
        <v>1922</v>
      </c>
      <c r="H245" t="s">
        <v>29</v>
      </c>
      <c r="I245">
        <v>18</v>
      </c>
      <c r="J245">
        <v>58</v>
      </c>
      <c r="K245">
        <v>280</v>
      </c>
      <c r="L245">
        <v>18157</v>
      </c>
      <c r="M245" t="s">
        <v>52</v>
      </c>
      <c r="N245" t="s">
        <v>1923</v>
      </c>
      <c r="O245">
        <v>13492430</v>
      </c>
      <c r="P245" t="s">
        <v>1868</v>
      </c>
      <c r="Q245">
        <v>314515</v>
      </c>
      <c r="R245" t="s">
        <v>1869</v>
      </c>
      <c r="S245">
        <v>708</v>
      </c>
      <c r="T245" t="b">
        <v>0</v>
      </c>
      <c r="U245">
        <v>27</v>
      </c>
      <c r="V245">
        <v>15</v>
      </c>
      <c r="W245" t="s">
        <v>35</v>
      </c>
      <c r="X245" t="s">
        <v>29</v>
      </c>
      <c r="Y245" t="s">
        <v>1924</v>
      </c>
      <c r="Z245" t="s">
        <v>37</v>
      </c>
      <c r="AA245">
        <f>TwitterClean[[#This Row],[likes]]+TwitterClean[[#This Row],[replies]]+TwitterClean[[#This Row],[reposts]]+TwitterClean[[#This Row],[quotes]]+TwitterClean[[#This Row],[bookmarks]]</f>
        <v>398</v>
      </c>
      <c r="AB245" s="1">
        <f>TwitterClean[[#This Row],[Total_Engagements]]/TwitterClean[[#This Row],[views]]</f>
        <v>2.191992069174423E-2</v>
      </c>
      <c r="AC245" s="3">
        <f>DATEVALUE(MID(TwitterClean[[#This Row],[date_posted]],2,10))</f>
        <v>45641</v>
      </c>
      <c r="AD245">
        <f>TIMEVALUE(MID(TwitterClean[[#This Row],[date_posted]],13,8))</f>
        <v>0.96070601851851856</v>
      </c>
      <c r="AE245" s="3" t="str">
        <f>TEXT(TwitterClean[[#This Row],[Post_Date]],"dddd")</f>
        <v>Sunday</v>
      </c>
      <c r="AF245">
        <f>HOUR(TwitterClean[[#This Row],[Post_Time]])</f>
        <v>23</v>
      </c>
      <c r="AG245" t="str">
        <f>IF(TwitterClean[[#This Row],[videos]]="Null","No","Yes")</f>
        <v>Yes</v>
      </c>
      <c r="AH245" t="str">
        <f>IF(TwitterClean[[#This Row],[photos]]="null","No","Yes")</f>
        <v>No</v>
      </c>
      <c r="AI245" t="str">
        <f>IF(TwitterClean[[#This Row],[hashtags]]="null","No","Yes")</f>
        <v>Yes</v>
      </c>
      <c r="AJ245" t="str">
        <f>IF(TwitterClean[[#This Row],[external_url]]="null","Yes","No")</f>
        <v>No</v>
      </c>
      <c r="AK245">
        <f>LEN(TwitterClean[[#This Row],[description]])</f>
        <v>85</v>
      </c>
      <c r="AL245" t="str">
        <f>IF(TwitterClean[[#This Row],[followers]]&lt;100000,"&lt;100K",IF(TwitterClean[[#This Row],[followers]]&lt;1000000,"100K-1M",IF(TwitterClean[[#This Row],[followers]]&lt;10000000,"1M-10M","10M+")))</f>
        <v>10M+</v>
      </c>
    </row>
    <row r="246" spans="1:38">
      <c r="A246">
        <v>1.8684231927856008E+18</v>
      </c>
      <c r="B246" t="s">
        <v>3638</v>
      </c>
      <c r="C246" t="s">
        <v>3639</v>
      </c>
      <c r="D246" t="s">
        <v>3730</v>
      </c>
      <c r="E246" t="s">
        <v>3731</v>
      </c>
      <c r="F246" t="s">
        <v>29</v>
      </c>
      <c r="G246" t="s">
        <v>3732</v>
      </c>
      <c r="H246" t="s">
        <v>3733</v>
      </c>
      <c r="I246">
        <v>21</v>
      </c>
      <c r="J246">
        <v>79</v>
      </c>
      <c r="K246">
        <v>1510</v>
      </c>
      <c r="L246">
        <v>75711</v>
      </c>
      <c r="M246" t="s">
        <v>52</v>
      </c>
      <c r="N246" t="s">
        <v>29</v>
      </c>
      <c r="O246">
        <v>8885749</v>
      </c>
      <c r="P246" t="s">
        <v>3643</v>
      </c>
      <c r="Q246">
        <v>115852</v>
      </c>
      <c r="R246" t="s">
        <v>3644</v>
      </c>
      <c r="S246">
        <v>469</v>
      </c>
      <c r="T246" t="b">
        <v>0</v>
      </c>
      <c r="U246">
        <v>17</v>
      </c>
      <c r="V246">
        <v>31</v>
      </c>
      <c r="W246" t="s">
        <v>35</v>
      </c>
      <c r="X246" t="s">
        <v>29</v>
      </c>
      <c r="Y246" t="s">
        <v>3734</v>
      </c>
      <c r="Z246" t="s">
        <v>37</v>
      </c>
      <c r="AA246">
        <f>TwitterClean[[#This Row],[likes]]+TwitterClean[[#This Row],[replies]]+TwitterClean[[#This Row],[reposts]]+TwitterClean[[#This Row],[quotes]]+TwitterClean[[#This Row],[bookmarks]]</f>
        <v>1658</v>
      </c>
      <c r="AB246" s="1">
        <f>TwitterClean[[#This Row],[Total_Engagements]]/TwitterClean[[#This Row],[views]]</f>
        <v>2.1899063544267017E-2</v>
      </c>
      <c r="AC246" s="3">
        <f>DATEVALUE(MID(TwitterClean[[#This Row],[date_posted]],2,10))</f>
        <v>45641</v>
      </c>
      <c r="AD246">
        <f>TIMEVALUE(MID(TwitterClean[[#This Row],[date_posted]],13,8))</f>
        <v>0.93723379629629633</v>
      </c>
      <c r="AE246" s="3" t="str">
        <f>TEXT(TwitterClean[[#This Row],[Post_Date]],"dddd")</f>
        <v>Sunday</v>
      </c>
      <c r="AF246">
        <f>HOUR(TwitterClean[[#This Row],[Post_Time]])</f>
        <v>22</v>
      </c>
      <c r="AG246" t="str">
        <f>IF(TwitterClean[[#This Row],[videos]]="Null","No","Yes")</f>
        <v>Yes</v>
      </c>
      <c r="AH246" t="str">
        <f>IF(TwitterClean[[#This Row],[photos]]="null","No","Yes")</f>
        <v>No</v>
      </c>
      <c r="AI246" t="str">
        <f>IF(TwitterClean[[#This Row],[hashtags]]="null","No","Yes")</f>
        <v>No</v>
      </c>
      <c r="AJ246" t="str">
        <f>IF(TwitterClean[[#This Row],[external_url]]="null","Yes","No")</f>
        <v>No</v>
      </c>
      <c r="AK246">
        <f>LEN(TwitterClean[[#This Row],[description]])</f>
        <v>29</v>
      </c>
      <c r="AL246" t="str">
        <f>IF(TwitterClean[[#This Row],[followers]]&lt;100000,"&lt;100K",IF(TwitterClean[[#This Row],[followers]]&lt;1000000,"100K-1M",IF(TwitterClean[[#This Row],[followers]]&lt;10000000,"1M-10M","10M+")))</f>
        <v>1M-10M</v>
      </c>
    </row>
    <row r="247" spans="1:38">
      <c r="A247">
        <v>1.8684320089735334E+18</v>
      </c>
      <c r="B247" t="s">
        <v>1862</v>
      </c>
      <c r="C247" t="s">
        <v>1863</v>
      </c>
      <c r="D247" t="s">
        <v>2185</v>
      </c>
      <c r="E247" t="s">
        <v>2186</v>
      </c>
      <c r="F247" t="s">
        <v>29</v>
      </c>
      <c r="G247" t="s">
        <v>2187</v>
      </c>
      <c r="H247" t="s">
        <v>29</v>
      </c>
      <c r="I247">
        <v>5</v>
      </c>
      <c r="J247">
        <v>43</v>
      </c>
      <c r="K247">
        <v>295</v>
      </c>
      <c r="L247">
        <v>16633</v>
      </c>
      <c r="M247" t="s">
        <v>52</v>
      </c>
      <c r="N247" t="s">
        <v>1867</v>
      </c>
      <c r="O247">
        <v>13492430</v>
      </c>
      <c r="P247" t="s">
        <v>1868</v>
      </c>
      <c r="Q247">
        <v>314515</v>
      </c>
      <c r="R247" t="s">
        <v>1869</v>
      </c>
      <c r="S247">
        <v>708</v>
      </c>
      <c r="T247" t="b">
        <v>0</v>
      </c>
      <c r="U247">
        <v>7</v>
      </c>
      <c r="V247">
        <v>14</v>
      </c>
      <c r="W247" t="s">
        <v>35</v>
      </c>
      <c r="X247" t="s">
        <v>29</v>
      </c>
      <c r="Y247" t="s">
        <v>2188</v>
      </c>
      <c r="Z247" t="s">
        <v>37</v>
      </c>
      <c r="AA247">
        <f>TwitterClean[[#This Row],[likes]]+TwitterClean[[#This Row],[replies]]+TwitterClean[[#This Row],[reposts]]+TwitterClean[[#This Row],[quotes]]+TwitterClean[[#This Row],[bookmarks]]</f>
        <v>364</v>
      </c>
      <c r="AB247" s="1">
        <f>TwitterClean[[#This Row],[Total_Engagements]]/TwitterClean[[#This Row],[views]]</f>
        <v>2.1884206096314557E-2</v>
      </c>
      <c r="AC247" s="3">
        <f>DATEVALUE(MID(TwitterClean[[#This Row],[date_posted]],2,10))</f>
        <v>45641</v>
      </c>
      <c r="AD247">
        <f>TIMEVALUE(MID(TwitterClean[[#This Row],[date_posted]],13,8))</f>
        <v>0.96156249999999999</v>
      </c>
      <c r="AE247" s="3" t="str">
        <f>TEXT(TwitterClean[[#This Row],[Post_Date]],"dddd")</f>
        <v>Sunday</v>
      </c>
      <c r="AF247">
        <f>HOUR(TwitterClean[[#This Row],[Post_Time]])</f>
        <v>23</v>
      </c>
      <c r="AG247" t="str">
        <f>IF(TwitterClean[[#This Row],[videos]]="Null","No","Yes")</f>
        <v>Yes</v>
      </c>
      <c r="AH247" t="str">
        <f>IF(TwitterClean[[#This Row],[photos]]="null","No","Yes")</f>
        <v>No</v>
      </c>
      <c r="AI247" t="str">
        <f>IF(TwitterClean[[#This Row],[hashtags]]="null","No","Yes")</f>
        <v>Yes</v>
      </c>
      <c r="AJ247" t="str">
        <f>IF(TwitterClean[[#This Row],[external_url]]="null","Yes","No")</f>
        <v>No</v>
      </c>
      <c r="AK247">
        <f>LEN(TwitterClean[[#This Row],[description]])</f>
        <v>51</v>
      </c>
      <c r="AL247" t="str">
        <f>IF(TwitterClean[[#This Row],[followers]]&lt;100000,"&lt;100K",IF(TwitterClean[[#This Row],[followers]]&lt;1000000,"100K-1M",IF(TwitterClean[[#This Row],[followers]]&lt;10000000,"1M-10M","10M+")))</f>
        <v>10M+</v>
      </c>
    </row>
    <row r="248" spans="1:38">
      <c r="A248">
        <v>1.8683847947210427E+18</v>
      </c>
      <c r="B248" t="s">
        <v>1862</v>
      </c>
      <c r="C248" t="s">
        <v>1863</v>
      </c>
      <c r="D248" t="s">
        <v>2165</v>
      </c>
      <c r="E248" t="s">
        <v>2166</v>
      </c>
      <c r="F248" t="s">
        <v>29</v>
      </c>
      <c r="G248" t="s">
        <v>2167</v>
      </c>
      <c r="H248" t="s">
        <v>2168</v>
      </c>
      <c r="I248">
        <v>13</v>
      </c>
      <c r="J248">
        <v>37</v>
      </c>
      <c r="K248">
        <v>217</v>
      </c>
      <c r="L248">
        <v>13569</v>
      </c>
      <c r="M248" t="s">
        <v>52</v>
      </c>
      <c r="N248" t="s">
        <v>1867</v>
      </c>
      <c r="O248">
        <v>13492430</v>
      </c>
      <c r="P248" t="s">
        <v>1868</v>
      </c>
      <c r="Q248">
        <v>314515</v>
      </c>
      <c r="R248" t="s">
        <v>1869</v>
      </c>
      <c r="S248">
        <v>708</v>
      </c>
      <c r="T248" t="b">
        <v>0</v>
      </c>
      <c r="U248">
        <v>16</v>
      </c>
      <c r="V248">
        <v>13</v>
      </c>
      <c r="W248" t="s">
        <v>35</v>
      </c>
      <c r="X248" t="s">
        <v>29</v>
      </c>
      <c r="Y248" t="s">
        <v>2169</v>
      </c>
      <c r="Z248" t="s">
        <v>37</v>
      </c>
      <c r="AA248">
        <f>TwitterClean[[#This Row],[likes]]+TwitterClean[[#This Row],[replies]]+TwitterClean[[#This Row],[reposts]]+TwitterClean[[#This Row],[quotes]]+TwitterClean[[#This Row],[bookmarks]]</f>
        <v>296</v>
      </c>
      <c r="AB248" s="1">
        <f>TwitterClean[[#This Row],[Total_Engagements]]/TwitterClean[[#This Row],[views]]</f>
        <v>2.1814429950622743E-2</v>
      </c>
      <c r="AC248" s="3">
        <f>DATEVALUE(MID(TwitterClean[[#This Row],[date_posted]],2,10))</f>
        <v>45641</v>
      </c>
      <c r="AD248">
        <f>TIMEVALUE(MID(TwitterClean[[#This Row],[date_posted]],13,8))</f>
        <v>0.83127314814814812</v>
      </c>
      <c r="AE248" s="3" t="str">
        <f>TEXT(TwitterClean[[#This Row],[Post_Date]],"dddd")</f>
        <v>Sunday</v>
      </c>
      <c r="AF248">
        <f>HOUR(TwitterClean[[#This Row],[Post_Time]])</f>
        <v>19</v>
      </c>
      <c r="AG248" t="str">
        <f>IF(TwitterClean[[#This Row],[videos]]="Null","No","Yes")</f>
        <v>Yes</v>
      </c>
      <c r="AH248" t="str">
        <f>IF(TwitterClean[[#This Row],[photos]]="null","No","Yes")</f>
        <v>No</v>
      </c>
      <c r="AI248" t="str">
        <f>IF(TwitterClean[[#This Row],[hashtags]]="null","No","Yes")</f>
        <v>Yes</v>
      </c>
      <c r="AJ248" t="str">
        <f>IF(TwitterClean[[#This Row],[external_url]]="null","Yes","No")</f>
        <v>No</v>
      </c>
      <c r="AK248">
        <f>LEN(TwitterClean[[#This Row],[description]])</f>
        <v>113</v>
      </c>
      <c r="AL248" t="str">
        <f>IF(TwitterClean[[#This Row],[followers]]&lt;100000,"&lt;100K",IF(TwitterClean[[#This Row],[followers]]&lt;1000000,"100K-1M",IF(TwitterClean[[#This Row],[followers]]&lt;10000000,"1M-10M","10M+")))</f>
        <v>10M+</v>
      </c>
    </row>
    <row r="249" spans="1:38">
      <c r="A249">
        <v>1.8657614062319621E+18</v>
      </c>
      <c r="B249" t="s">
        <v>2714</v>
      </c>
      <c r="C249" t="s">
        <v>2715</v>
      </c>
      <c r="D249" t="s">
        <v>2819</v>
      </c>
      <c r="E249" t="s">
        <v>2820</v>
      </c>
      <c r="F249" t="s">
        <v>29</v>
      </c>
      <c r="G249" t="s">
        <v>2821</v>
      </c>
      <c r="H249" t="s">
        <v>29</v>
      </c>
      <c r="I249">
        <v>13</v>
      </c>
      <c r="J249">
        <v>41</v>
      </c>
      <c r="K249">
        <v>946</v>
      </c>
      <c r="L249">
        <v>48707</v>
      </c>
      <c r="M249" t="s">
        <v>52</v>
      </c>
      <c r="N249" t="s">
        <v>2822</v>
      </c>
      <c r="O249">
        <v>182895</v>
      </c>
      <c r="P249" t="s">
        <v>2720</v>
      </c>
      <c r="Q249">
        <v>30781</v>
      </c>
      <c r="R249" t="s">
        <v>2721</v>
      </c>
      <c r="S249">
        <v>559</v>
      </c>
      <c r="T249" t="b">
        <v>0</v>
      </c>
      <c r="U249">
        <v>11</v>
      </c>
      <c r="V249">
        <v>44</v>
      </c>
      <c r="W249" t="s">
        <v>35</v>
      </c>
      <c r="X249" t="s">
        <v>29</v>
      </c>
      <c r="Y249" t="s">
        <v>2823</v>
      </c>
      <c r="Z249" t="s">
        <v>37</v>
      </c>
      <c r="AA249">
        <f>TwitterClean[[#This Row],[likes]]+TwitterClean[[#This Row],[replies]]+TwitterClean[[#This Row],[reposts]]+TwitterClean[[#This Row],[quotes]]+TwitterClean[[#This Row],[bookmarks]]</f>
        <v>1055</v>
      </c>
      <c r="AB249" s="1">
        <f>TwitterClean[[#This Row],[Total_Engagements]]/TwitterClean[[#This Row],[views]]</f>
        <v>2.1660130987332417E-2</v>
      </c>
      <c r="AC249" s="3">
        <f>DATEVALUE(MID(TwitterClean[[#This Row],[date_posted]],2,10))</f>
        <v>45634</v>
      </c>
      <c r="AD249">
        <f>TIMEVALUE(MID(TwitterClean[[#This Row],[date_posted]],13,8))</f>
        <v>0.59210648148148148</v>
      </c>
      <c r="AE249" s="3" t="str">
        <f>TEXT(TwitterClean[[#This Row],[Post_Date]],"dddd")</f>
        <v>Sunday</v>
      </c>
      <c r="AF249">
        <f>HOUR(TwitterClean[[#This Row],[Post_Time]])</f>
        <v>14</v>
      </c>
      <c r="AG249" t="str">
        <f>IF(TwitterClean[[#This Row],[videos]]="Null","No","Yes")</f>
        <v>Yes</v>
      </c>
      <c r="AH249" t="str">
        <f>IF(TwitterClean[[#This Row],[photos]]="null","No","Yes")</f>
        <v>No</v>
      </c>
      <c r="AI249" t="str">
        <f>IF(TwitterClean[[#This Row],[hashtags]]="null","No","Yes")</f>
        <v>Yes</v>
      </c>
      <c r="AJ249" t="str">
        <f>IF(TwitterClean[[#This Row],[external_url]]="null","Yes","No")</f>
        <v>No</v>
      </c>
      <c r="AK249">
        <f>LEN(TwitterClean[[#This Row],[description]])</f>
        <v>52</v>
      </c>
      <c r="AL249" t="str">
        <f>IF(TwitterClean[[#This Row],[followers]]&lt;100000,"&lt;100K",IF(TwitterClean[[#This Row],[followers]]&lt;1000000,"100K-1M",IF(TwitterClean[[#This Row],[followers]]&lt;10000000,"1M-10M","10M+")))</f>
        <v>100K-1M</v>
      </c>
    </row>
    <row r="250" spans="1:38">
      <c r="A250">
        <v>1.8683011597079183E+18</v>
      </c>
      <c r="B250" t="s">
        <v>1646</v>
      </c>
      <c r="C250" t="s">
        <v>1647</v>
      </c>
      <c r="D250" t="s">
        <v>1773</v>
      </c>
      <c r="E250" t="s">
        <v>1774</v>
      </c>
      <c r="F250" t="s">
        <v>29</v>
      </c>
      <c r="G250" t="s">
        <v>1775</v>
      </c>
      <c r="H250" t="s">
        <v>29</v>
      </c>
      <c r="I250">
        <v>3</v>
      </c>
      <c r="J250">
        <v>18</v>
      </c>
      <c r="K250">
        <v>279</v>
      </c>
      <c r="L250">
        <v>14168</v>
      </c>
      <c r="M250" t="s">
        <v>1776</v>
      </c>
      <c r="N250" t="s">
        <v>1652</v>
      </c>
      <c r="O250">
        <v>3768943</v>
      </c>
      <c r="P250" t="s">
        <v>1653</v>
      </c>
      <c r="Q250">
        <v>897934</v>
      </c>
      <c r="R250" t="s">
        <v>1654</v>
      </c>
      <c r="S250">
        <v>28</v>
      </c>
      <c r="T250" t="b">
        <v>0</v>
      </c>
      <c r="U250">
        <v>4</v>
      </c>
      <c r="V250">
        <v>1</v>
      </c>
      <c r="W250" t="s">
        <v>35</v>
      </c>
      <c r="X250" t="s">
        <v>1777</v>
      </c>
      <c r="Y250" t="s">
        <v>29</v>
      </c>
      <c r="Z250" t="s">
        <v>37</v>
      </c>
      <c r="AA250">
        <f>TwitterClean[[#This Row],[likes]]+TwitterClean[[#This Row],[replies]]+TwitterClean[[#This Row],[reposts]]+TwitterClean[[#This Row],[quotes]]+TwitterClean[[#This Row],[bookmarks]]</f>
        <v>305</v>
      </c>
      <c r="AB250" s="1">
        <f>TwitterClean[[#This Row],[Total_Engagements]]/TwitterClean[[#This Row],[views]]</f>
        <v>2.152738565782044E-2</v>
      </c>
      <c r="AC250" s="3">
        <f>DATEVALUE(MID(TwitterClean[[#This Row],[date_posted]],2,10))</f>
        <v>45641</v>
      </c>
      <c r="AD250">
        <f>TIMEVALUE(MID(TwitterClean[[#This Row],[date_posted]],13,8))</f>
        <v>0.60048611111111116</v>
      </c>
      <c r="AE250" s="3" t="str">
        <f>TEXT(TwitterClean[[#This Row],[Post_Date]],"dddd")</f>
        <v>Sunday</v>
      </c>
      <c r="AF250">
        <f>HOUR(TwitterClean[[#This Row],[Post_Time]])</f>
        <v>14</v>
      </c>
      <c r="AG250" t="str">
        <f>IF(TwitterClean[[#This Row],[videos]]="Null","No","Yes")</f>
        <v>No</v>
      </c>
      <c r="AH250" t="str">
        <f>IF(TwitterClean[[#This Row],[photos]]="null","No","Yes")</f>
        <v>No</v>
      </c>
      <c r="AI250" t="str">
        <f>IF(TwitterClean[[#This Row],[hashtags]]="null","No","Yes")</f>
        <v>Yes</v>
      </c>
      <c r="AJ250" t="str">
        <f>IF(TwitterClean[[#This Row],[external_url]]="null","Yes","No")</f>
        <v>No</v>
      </c>
      <c r="AK250">
        <f>LEN(TwitterClean[[#This Row],[description]])</f>
        <v>103</v>
      </c>
      <c r="AL250" t="str">
        <f>IF(TwitterClean[[#This Row],[followers]]&lt;100000,"&lt;100K",IF(TwitterClean[[#This Row],[followers]]&lt;1000000,"100K-1M",IF(TwitterClean[[#This Row],[followers]]&lt;10000000,"1M-10M","10M+")))</f>
        <v>1M-10M</v>
      </c>
    </row>
    <row r="251" spans="1:38">
      <c r="A251">
        <v>1.8683369281242115E+18</v>
      </c>
      <c r="B251" t="s">
        <v>2230</v>
      </c>
      <c r="C251" t="s">
        <v>2231</v>
      </c>
      <c r="D251" t="s">
        <v>2593</v>
      </c>
      <c r="E251" t="s">
        <v>2594</v>
      </c>
      <c r="F251" t="s">
        <v>2595</v>
      </c>
      <c r="G251" t="s">
        <v>2596</v>
      </c>
      <c r="H251" t="s">
        <v>29</v>
      </c>
      <c r="I251">
        <v>37</v>
      </c>
      <c r="J251">
        <v>91</v>
      </c>
      <c r="K251">
        <v>433</v>
      </c>
      <c r="L251">
        <v>26764</v>
      </c>
      <c r="M251" t="s">
        <v>2597</v>
      </c>
      <c r="N251" t="s">
        <v>29</v>
      </c>
      <c r="O251">
        <v>3313888</v>
      </c>
      <c r="P251" t="s">
        <v>2237</v>
      </c>
      <c r="Q251">
        <v>706459</v>
      </c>
      <c r="R251" t="s">
        <v>2238</v>
      </c>
      <c r="S251">
        <v>10308</v>
      </c>
      <c r="T251" t="b">
        <v>0</v>
      </c>
      <c r="U251">
        <v>4</v>
      </c>
      <c r="V251">
        <v>9</v>
      </c>
      <c r="W251" t="s">
        <v>35</v>
      </c>
      <c r="X251" t="s">
        <v>29</v>
      </c>
      <c r="Y251" t="s">
        <v>29</v>
      </c>
      <c r="Z251" t="s">
        <v>37</v>
      </c>
      <c r="AA251">
        <f>TwitterClean[[#This Row],[likes]]+TwitterClean[[#This Row],[replies]]+TwitterClean[[#This Row],[reposts]]+TwitterClean[[#This Row],[quotes]]+TwitterClean[[#This Row],[bookmarks]]</f>
        <v>574</v>
      </c>
      <c r="AB251" s="1">
        <f>TwitterClean[[#This Row],[Total_Engagements]]/TwitterClean[[#This Row],[views]]</f>
        <v>2.1446719473920191E-2</v>
      </c>
      <c r="AC251" s="3">
        <f>DATEVALUE(MID(TwitterClean[[#This Row],[date_posted]],2,10))</f>
        <v>45641</v>
      </c>
      <c r="AD251">
        <f>TIMEVALUE(MID(TwitterClean[[#This Row],[date_posted]],13,8))</f>
        <v>0.69918981481481479</v>
      </c>
      <c r="AE251" s="3" t="str">
        <f>TEXT(TwitterClean[[#This Row],[Post_Date]],"dddd")</f>
        <v>Sunday</v>
      </c>
      <c r="AF251">
        <f>HOUR(TwitterClean[[#This Row],[Post_Time]])</f>
        <v>16</v>
      </c>
      <c r="AG251" t="str">
        <f>IF(TwitterClean[[#This Row],[videos]]="Null","No","Yes")</f>
        <v>No</v>
      </c>
      <c r="AH251" t="str">
        <f>IF(TwitterClean[[#This Row],[photos]]="null","No","Yes")</f>
        <v>Yes</v>
      </c>
      <c r="AI251" t="str">
        <f>IF(TwitterClean[[#This Row],[hashtags]]="null","No","Yes")</f>
        <v>No</v>
      </c>
      <c r="AJ251" t="str">
        <f>IF(TwitterClean[[#This Row],[external_url]]="null","Yes","No")</f>
        <v>No</v>
      </c>
      <c r="AK251">
        <f>LEN(TwitterClean[[#This Row],[description]])</f>
        <v>93</v>
      </c>
      <c r="AL251" t="str">
        <f>IF(TwitterClean[[#This Row],[followers]]&lt;100000,"&lt;100K",IF(TwitterClean[[#This Row],[followers]]&lt;1000000,"100K-1M",IF(TwitterClean[[#This Row],[followers]]&lt;10000000,"1M-10M","10M+")))</f>
        <v>1M-10M</v>
      </c>
    </row>
    <row r="252" spans="1:38">
      <c r="A252">
        <v>1.8683175932215995E+18</v>
      </c>
      <c r="B252" t="s">
        <v>1421</v>
      </c>
      <c r="C252" t="s">
        <v>1421</v>
      </c>
      <c r="D252" t="s">
        <v>1422</v>
      </c>
      <c r="E252" t="s">
        <v>1423</v>
      </c>
      <c r="F252" t="s">
        <v>1424</v>
      </c>
      <c r="G252" t="s">
        <v>1425</v>
      </c>
      <c r="H252" t="s">
        <v>29</v>
      </c>
      <c r="I252">
        <v>3</v>
      </c>
      <c r="J252">
        <v>32</v>
      </c>
      <c r="K252">
        <v>331</v>
      </c>
      <c r="L252">
        <v>17351</v>
      </c>
      <c r="M252" t="s">
        <v>1426</v>
      </c>
      <c r="N252" t="s">
        <v>1427</v>
      </c>
      <c r="O252">
        <v>498014</v>
      </c>
      <c r="P252" t="s">
        <v>1428</v>
      </c>
      <c r="Q252">
        <v>18941</v>
      </c>
      <c r="R252" t="s">
        <v>1429</v>
      </c>
      <c r="S252">
        <v>410</v>
      </c>
      <c r="T252" t="b">
        <v>0</v>
      </c>
      <c r="U252">
        <v>0</v>
      </c>
      <c r="V252">
        <v>5</v>
      </c>
      <c r="W252" t="s">
        <v>35</v>
      </c>
      <c r="X252" t="s">
        <v>29</v>
      </c>
      <c r="Y252" t="s">
        <v>29</v>
      </c>
      <c r="Z252" t="s">
        <v>37</v>
      </c>
      <c r="AA252">
        <f>TwitterClean[[#This Row],[likes]]+TwitterClean[[#This Row],[replies]]+TwitterClean[[#This Row],[reposts]]+TwitterClean[[#This Row],[quotes]]+TwitterClean[[#This Row],[bookmarks]]</f>
        <v>371</v>
      </c>
      <c r="AB252" s="1">
        <f>TwitterClean[[#This Row],[Total_Engagements]]/TwitterClean[[#This Row],[views]]</f>
        <v>2.1382052907613393E-2</v>
      </c>
      <c r="AC252" s="3">
        <f>DATEVALUE(MID(TwitterClean[[#This Row],[date_posted]],2,10))</f>
        <v>45641</v>
      </c>
      <c r="AD252">
        <f>TIMEVALUE(MID(TwitterClean[[#This Row],[date_posted]],13,8))</f>
        <v>0.64583333333333337</v>
      </c>
      <c r="AE252" s="3" t="str">
        <f>TEXT(TwitterClean[[#This Row],[Post_Date]],"dddd")</f>
        <v>Sunday</v>
      </c>
      <c r="AF252">
        <f>HOUR(TwitterClean[[#This Row],[Post_Time]])</f>
        <v>15</v>
      </c>
      <c r="AG252" t="str">
        <f>IF(TwitterClean[[#This Row],[videos]]="Null","No","Yes")</f>
        <v>No</v>
      </c>
      <c r="AH252" t="str">
        <f>IF(TwitterClean[[#This Row],[photos]]="null","No","Yes")</f>
        <v>Yes</v>
      </c>
      <c r="AI252" t="str">
        <f>IF(TwitterClean[[#This Row],[hashtags]]="null","No","Yes")</f>
        <v>Yes</v>
      </c>
      <c r="AJ252" t="str">
        <f>IF(TwitterClean[[#This Row],[external_url]]="null","Yes","No")</f>
        <v>No</v>
      </c>
      <c r="AK252">
        <f>LEN(TwitterClean[[#This Row],[description]])</f>
        <v>69</v>
      </c>
      <c r="AL252" t="str">
        <f>IF(TwitterClean[[#This Row],[followers]]&lt;100000,"&lt;100K",IF(TwitterClean[[#This Row],[followers]]&lt;1000000,"100K-1M",IF(TwitterClean[[#This Row],[followers]]&lt;10000000,"1M-10M","10M+")))</f>
        <v>100K-1M</v>
      </c>
    </row>
    <row r="253" spans="1:38">
      <c r="A253">
        <v>1.8683767484815652E+18</v>
      </c>
      <c r="B253" t="s">
        <v>1862</v>
      </c>
      <c r="C253" t="s">
        <v>1863</v>
      </c>
      <c r="D253" t="s">
        <v>1905</v>
      </c>
      <c r="E253" t="s">
        <v>1906</v>
      </c>
      <c r="F253" t="s">
        <v>1907</v>
      </c>
      <c r="G253" t="s">
        <v>1908</v>
      </c>
      <c r="H253" t="s">
        <v>1909</v>
      </c>
      <c r="I253">
        <v>11</v>
      </c>
      <c r="J253">
        <v>17</v>
      </c>
      <c r="K253">
        <v>211</v>
      </c>
      <c r="L253">
        <v>11435</v>
      </c>
      <c r="M253" t="s">
        <v>52</v>
      </c>
      <c r="N253" t="s">
        <v>1867</v>
      </c>
      <c r="O253">
        <v>13492430</v>
      </c>
      <c r="P253" t="s">
        <v>1868</v>
      </c>
      <c r="Q253">
        <v>314515</v>
      </c>
      <c r="R253" t="s">
        <v>1869</v>
      </c>
      <c r="S253">
        <v>708</v>
      </c>
      <c r="T253" t="b">
        <v>0</v>
      </c>
      <c r="U253">
        <v>1</v>
      </c>
      <c r="V253">
        <v>4</v>
      </c>
      <c r="W253" t="s">
        <v>35</v>
      </c>
      <c r="X253" t="s">
        <v>29</v>
      </c>
      <c r="Y253" t="s">
        <v>29</v>
      </c>
      <c r="Z253" t="s">
        <v>37</v>
      </c>
      <c r="AA253">
        <f>TwitterClean[[#This Row],[likes]]+TwitterClean[[#This Row],[replies]]+TwitterClean[[#This Row],[reposts]]+TwitterClean[[#This Row],[quotes]]+TwitterClean[[#This Row],[bookmarks]]</f>
        <v>244</v>
      </c>
      <c r="AB253" s="1">
        <f>TwitterClean[[#This Row],[Total_Engagements]]/TwitterClean[[#This Row],[views]]</f>
        <v>2.1337997376475733E-2</v>
      </c>
      <c r="AC253" s="3">
        <f>DATEVALUE(MID(TwitterClean[[#This Row],[date_posted]],2,10))</f>
        <v>45641</v>
      </c>
      <c r="AD253">
        <f>TIMEVALUE(MID(TwitterClean[[#This Row],[date_posted]],13,8))</f>
        <v>0.80907407407407406</v>
      </c>
      <c r="AE253" s="3" t="str">
        <f>TEXT(TwitterClean[[#This Row],[Post_Date]],"dddd")</f>
        <v>Sunday</v>
      </c>
      <c r="AF253">
        <f>HOUR(TwitterClean[[#This Row],[Post_Time]])</f>
        <v>19</v>
      </c>
      <c r="AG253" t="str">
        <f>IF(TwitterClean[[#This Row],[videos]]="Null","No","Yes")</f>
        <v>No</v>
      </c>
      <c r="AH253" t="str">
        <f>IF(TwitterClean[[#This Row],[photos]]="null","No","Yes")</f>
        <v>Yes</v>
      </c>
      <c r="AI253" t="str">
        <f>IF(TwitterClean[[#This Row],[hashtags]]="null","No","Yes")</f>
        <v>Yes</v>
      </c>
      <c r="AJ253" t="str">
        <f>IF(TwitterClean[[#This Row],[external_url]]="null","Yes","No")</f>
        <v>No</v>
      </c>
      <c r="AK253">
        <f>LEN(TwitterClean[[#This Row],[description]])</f>
        <v>102</v>
      </c>
      <c r="AL253" t="str">
        <f>IF(TwitterClean[[#This Row],[followers]]&lt;100000,"&lt;100K",IF(TwitterClean[[#This Row],[followers]]&lt;1000000,"100K-1M",IF(TwitterClean[[#This Row],[followers]]&lt;10000000,"1M-10M","10M+")))</f>
        <v>10M+</v>
      </c>
    </row>
    <row r="254" spans="1:38">
      <c r="A254">
        <v>1.8682498964252713E+18</v>
      </c>
      <c r="B254" t="s">
        <v>3024</v>
      </c>
      <c r="C254" t="s">
        <v>3025</v>
      </c>
      <c r="D254" t="s">
        <v>4968</v>
      </c>
      <c r="E254" t="s">
        <v>4969</v>
      </c>
      <c r="F254" t="s">
        <v>4970</v>
      </c>
      <c r="G254" t="s">
        <v>4971</v>
      </c>
      <c r="H254" t="s">
        <v>4972</v>
      </c>
      <c r="I254">
        <v>5</v>
      </c>
      <c r="J254">
        <v>16</v>
      </c>
      <c r="K254">
        <v>310</v>
      </c>
      <c r="L254">
        <v>16003</v>
      </c>
      <c r="M254" t="s">
        <v>52</v>
      </c>
      <c r="N254" t="s">
        <v>3030</v>
      </c>
      <c r="O254">
        <v>1076244</v>
      </c>
      <c r="P254" t="s">
        <v>3031</v>
      </c>
      <c r="Q254">
        <v>55798</v>
      </c>
      <c r="R254" t="s">
        <v>3032</v>
      </c>
      <c r="S254">
        <v>1771</v>
      </c>
      <c r="T254" t="b">
        <v>0</v>
      </c>
      <c r="U254">
        <v>6</v>
      </c>
      <c r="V254">
        <v>2</v>
      </c>
      <c r="W254" t="s">
        <v>35</v>
      </c>
      <c r="X254" t="s">
        <v>29</v>
      </c>
      <c r="Y254" t="s">
        <v>29</v>
      </c>
      <c r="Z254" t="s">
        <v>37</v>
      </c>
      <c r="AA254">
        <f>TwitterClean[[#This Row],[likes]]+TwitterClean[[#This Row],[replies]]+TwitterClean[[#This Row],[reposts]]+TwitterClean[[#This Row],[quotes]]+TwitterClean[[#This Row],[bookmarks]]</f>
        <v>339</v>
      </c>
      <c r="AB254" s="1">
        <f>TwitterClean[[#This Row],[Total_Engagements]]/TwitterClean[[#This Row],[views]]</f>
        <v>2.1183528088483408E-2</v>
      </c>
      <c r="AC254" s="3">
        <f>DATEVALUE(MID(TwitterClean[[#This Row],[date_posted]],2,10))</f>
        <v>45641</v>
      </c>
      <c r="AD254">
        <f>TIMEVALUE(MID(TwitterClean[[#This Row],[date_posted]],13,8))</f>
        <v>0.45902777777777776</v>
      </c>
      <c r="AE254" s="3" t="str">
        <f>TEXT(TwitterClean[[#This Row],[Post_Date]],"dddd")</f>
        <v>Sunday</v>
      </c>
      <c r="AF254">
        <f>HOUR(TwitterClean[[#This Row],[Post_Time]])</f>
        <v>11</v>
      </c>
      <c r="AG254" t="str">
        <f>IF(TwitterClean[[#This Row],[videos]]="Null","No","Yes")</f>
        <v>No</v>
      </c>
      <c r="AH254" t="str">
        <f>IF(TwitterClean[[#This Row],[photos]]="null","No","Yes")</f>
        <v>Yes</v>
      </c>
      <c r="AI254" t="str">
        <f>IF(TwitterClean[[#This Row],[hashtags]]="null","No","Yes")</f>
        <v>Yes</v>
      </c>
      <c r="AJ254" t="str">
        <f>IF(TwitterClean[[#This Row],[external_url]]="null","Yes","No")</f>
        <v>No</v>
      </c>
      <c r="AK254">
        <f>LEN(TwitterClean[[#This Row],[description]])</f>
        <v>42</v>
      </c>
      <c r="AL254" t="str">
        <f>IF(TwitterClean[[#This Row],[followers]]&lt;100000,"&lt;100K",IF(TwitterClean[[#This Row],[followers]]&lt;1000000,"100K-1M",IF(TwitterClean[[#This Row],[followers]]&lt;10000000,"1M-10M","10M+")))</f>
        <v>1M-10M</v>
      </c>
    </row>
    <row r="255" spans="1:38">
      <c r="A255">
        <v>1.8684692946713029E+18</v>
      </c>
      <c r="B255" t="s">
        <v>228</v>
      </c>
      <c r="C255" t="s">
        <v>228</v>
      </c>
      <c r="D255" t="s">
        <v>410</v>
      </c>
      <c r="E255" t="s">
        <v>411</v>
      </c>
      <c r="F255" t="s">
        <v>412</v>
      </c>
      <c r="G255" t="s">
        <v>413</v>
      </c>
      <c r="H255" t="s">
        <v>29</v>
      </c>
      <c r="I255">
        <v>55</v>
      </c>
      <c r="J255">
        <v>12</v>
      </c>
      <c r="K255">
        <v>132</v>
      </c>
      <c r="L255">
        <v>9738</v>
      </c>
      <c r="M255" t="s">
        <v>414</v>
      </c>
      <c r="N255" t="s">
        <v>29</v>
      </c>
      <c r="O255">
        <v>1239615</v>
      </c>
      <c r="P255" t="s">
        <v>235</v>
      </c>
      <c r="Q255">
        <v>402839</v>
      </c>
      <c r="R255" t="s">
        <v>236</v>
      </c>
      <c r="S255">
        <v>1644</v>
      </c>
      <c r="T255" t="b">
        <v>0</v>
      </c>
      <c r="U255">
        <v>4</v>
      </c>
      <c r="V255">
        <v>3</v>
      </c>
      <c r="W255" t="s">
        <v>35</v>
      </c>
      <c r="X255" t="s">
        <v>29</v>
      </c>
      <c r="Y255" t="s">
        <v>29</v>
      </c>
      <c r="Z255" t="s">
        <v>37</v>
      </c>
      <c r="AA255">
        <f>TwitterClean[[#This Row],[likes]]+TwitterClean[[#This Row],[replies]]+TwitterClean[[#This Row],[reposts]]+TwitterClean[[#This Row],[quotes]]+TwitterClean[[#This Row],[bookmarks]]</f>
        <v>206</v>
      </c>
      <c r="AB255" s="1">
        <f>TwitterClean[[#This Row],[Total_Engagements]]/TwitterClean[[#This Row],[views]]</f>
        <v>2.115424111727254E-2</v>
      </c>
      <c r="AC255" s="3">
        <f>DATEVALUE(MID(TwitterClean[[#This Row],[date_posted]],2,10))</f>
        <v>45642</v>
      </c>
      <c r="AD255">
        <f>TIMEVALUE(MID(TwitterClean[[#This Row],[date_posted]],13,8))</f>
        <v>6.4444444444444443E-2</v>
      </c>
      <c r="AE255" s="3" t="str">
        <f>TEXT(TwitterClean[[#This Row],[Post_Date]],"dddd")</f>
        <v>Monday</v>
      </c>
      <c r="AF255">
        <f>HOUR(TwitterClean[[#This Row],[Post_Time]])</f>
        <v>1</v>
      </c>
      <c r="AG255" t="str">
        <f>IF(TwitterClean[[#This Row],[videos]]="Null","No","Yes")</f>
        <v>No</v>
      </c>
      <c r="AH255" t="str">
        <f>IF(TwitterClean[[#This Row],[photos]]="null","No","Yes")</f>
        <v>Yes</v>
      </c>
      <c r="AI255" t="str">
        <f>IF(TwitterClean[[#This Row],[hashtags]]="null","No","Yes")</f>
        <v>No</v>
      </c>
      <c r="AJ255" t="str">
        <f>IF(TwitterClean[[#This Row],[external_url]]="null","Yes","No")</f>
        <v>No</v>
      </c>
      <c r="AK255">
        <f>LEN(TwitterClean[[#This Row],[description]])</f>
        <v>213</v>
      </c>
      <c r="AL255" t="str">
        <f>IF(TwitterClean[[#This Row],[followers]]&lt;100000,"&lt;100K",IF(TwitterClean[[#This Row],[followers]]&lt;1000000,"100K-1M",IF(TwitterClean[[#This Row],[followers]]&lt;10000000,"1M-10M","10M+")))</f>
        <v>1M-10M</v>
      </c>
    </row>
    <row r="256" spans="1:38">
      <c r="A256">
        <v>1.8682508101630241E+18</v>
      </c>
      <c r="B256" t="s">
        <v>609</v>
      </c>
      <c r="C256" t="s">
        <v>610</v>
      </c>
      <c r="D256" t="s">
        <v>4611</v>
      </c>
      <c r="E256" t="s">
        <v>4612</v>
      </c>
      <c r="F256" t="s">
        <v>29</v>
      </c>
      <c r="G256" t="s">
        <v>4613</v>
      </c>
      <c r="H256" t="s">
        <v>4614</v>
      </c>
      <c r="I256">
        <v>9</v>
      </c>
      <c r="J256">
        <v>42</v>
      </c>
      <c r="K256">
        <v>812</v>
      </c>
      <c r="L256">
        <v>41296</v>
      </c>
      <c r="M256" t="s">
        <v>52</v>
      </c>
      <c r="N256" t="s">
        <v>29</v>
      </c>
      <c r="O256">
        <v>277178</v>
      </c>
      <c r="P256" t="s">
        <v>617</v>
      </c>
      <c r="Q256">
        <v>20340</v>
      </c>
      <c r="R256" t="s">
        <v>618</v>
      </c>
      <c r="S256">
        <v>346</v>
      </c>
      <c r="T256" t="b">
        <v>0</v>
      </c>
      <c r="U256">
        <v>3</v>
      </c>
      <c r="V256">
        <v>4</v>
      </c>
      <c r="W256" t="s">
        <v>35</v>
      </c>
      <c r="X256" t="s">
        <v>29</v>
      </c>
      <c r="Y256" t="s">
        <v>4615</v>
      </c>
      <c r="Z256" t="s">
        <v>37</v>
      </c>
      <c r="AA256">
        <f>TwitterClean[[#This Row],[likes]]+TwitterClean[[#This Row],[replies]]+TwitterClean[[#This Row],[reposts]]+TwitterClean[[#This Row],[quotes]]+TwitterClean[[#This Row],[bookmarks]]</f>
        <v>870</v>
      </c>
      <c r="AB256" s="1">
        <f>TwitterClean[[#This Row],[Total_Engagements]]/TwitterClean[[#This Row],[views]]</f>
        <v>2.1067415730337078E-2</v>
      </c>
      <c r="AC256" s="3">
        <f>DATEVALUE(MID(TwitterClean[[#This Row],[date_posted]],2,10))</f>
        <v>45641</v>
      </c>
      <c r="AD256">
        <f>TIMEVALUE(MID(TwitterClean[[#This Row],[date_posted]],13,8))</f>
        <v>0.46155092592592595</v>
      </c>
      <c r="AE256" s="3" t="str">
        <f>TEXT(TwitterClean[[#This Row],[Post_Date]],"dddd")</f>
        <v>Sunday</v>
      </c>
      <c r="AF256">
        <f>HOUR(TwitterClean[[#This Row],[Post_Time]])</f>
        <v>11</v>
      </c>
      <c r="AG256" t="str">
        <f>IF(TwitterClean[[#This Row],[videos]]="Null","No","Yes")</f>
        <v>Yes</v>
      </c>
      <c r="AH256" t="str">
        <f>IF(TwitterClean[[#This Row],[photos]]="null","No","Yes")</f>
        <v>No</v>
      </c>
      <c r="AI256" t="str">
        <f>IF(TwitterClean[[#This Row],[hashtags]]="null","No","Yes")</f>
        <v>No</v>
      </c>
      <c r="AJ256" t="str">
        <f>IF(TwitterClean[[#This Row],[external_url]]="null","Yes","No")</f>
        <v>No</v>
      </c>
      <c r="AK256">
        <f>LEN(TwitterClean[[#This Row],[description]])</f>
        <v>30</v>
      </c>
      <c r="AL256" t="str">
        <f>IF(TwitterClean[[#This Row],[followers]]&lt;100000,"&lt;100K",IF(TwitterClean[[#This Row],[followers]]&lt;1000000,"100K-1M",IF(TwitterClean[[#This Row],[followers]]&lt;10000000,"1M-10M","10M+")))</f>
        <v>100K-1M</v>
      </c>
    </row>
    <row r="257" spans="1:38">
      <c r="A257">
        <v>1.8681313828928678E+18</v>
      </c>
      <c r="B257" t="s">
        <v>3083</v>
      </c>
      <c r="C257" t="s">
        <v>3083</v>
      </c>
      <c r="D257" t="s">
        <v>3960</v>
      </c>
      <c r="E257" t="s">
        <v>3961</v>
      </c>
      <c r="F257" t="s">
        <v>29</v>
      </c>
      <c r="G257" t="s">
        <v>3962</v>
      </c>
      <c r="H257" t="s">
        <v>29</v>
      </c>
      <c r="I257">
        <v>213</v>
      </c>
      <c r="J257">
        <v>755</v>
      </c>
      <c r="K257">
        <v>5394</v>
      </c>
      <c r="L257">
        <v>316035</v>
      </c>
      <c r="M257" t="s">
        <v>52</v>
      </c>
      <c r="N257" t="s">
        <v>3087</v>
      </c>
      <c r="O257">
        <v>14376037</v>
      </c>
      <c r="P257" t="s">
        <v>3088</v>
      </c>
      <c r="Q257">
        <v>346973</v>
      </c>
      <c r="R257" t="s">
        <v>3089</v>
      </c>
      <c r="S257">
        <v>392</v>
      </c>
      <c r="T257" t="b">
        <v>0</v>
      </c>
      <c r="U257">
        <v>33</v>
      </c>
      <c r="V257">
        <v>254</v>
      </c>
      <c r="W257" t="s">
        <v>35</v>
      </c>
      <c r="X257" t="s">
        <v>29</v>
      </c>
      <c r="Y257" t="s">
        <v>3963</v>
      </c>
      <c r="Z257" t="s">
        <v>37</v>
      </c>
      <c r="AA257">
        <f>TwitterClean[[#This Row],[likes]]+TwitterClean[[#This Row],[replies]]+TwitterClean[[#This Row],[reposts]]+TwitterClean[[#This Row],[quotes]]+TwitterClean[[#This Row],[bookmarks]]</f>
        <v>6649</v>
      </c>
      <c r="AB257" s="1">
        <f>TwitterClean[[#This Row],[Total_Engagements]]/TwitterClean[[#This Row],[views]]</f>
        <v>2.1038808992674862E-2</v>
      </c>
      <c r="AC257" s="3">
        <f>DATEVALUE(MID(TwitterClean[[#This Row],[date_posted]],2,10))</f>
        <v>45641</v>
      </c>
      <c r="AD257">
        <f>TIMEVALUE(MID(TwitterClean[[#This Row],[date_posted]],13,8))</f>
        <v>0.13199074074074074</v>
      </c>
      <c r="AE257" s="3" t="str">
        <f>TEXT(TwitterClean[[#This Row],[Post_Date]],"dddd")</f>
        <v>Sunday</v>
      </c>
      <c r="AF257">
        <f>HOUR(TwitterClean[[#This Row],[Post_Time]])</f>
        <v>3</v>
      </c>
      <c r="AG257" t="str">
        <f>IF(TwitterClean[[#This Row],[videos]]="Null","No","Yes")</f>
        <v>Yes</v>
      </c>
      <c r="AH257" t="str">
        <f>IF(TwitterClean[[#This Row],[photos]]="null","No","Yes")</f>
        <v>No</v>
      </c>
      <c r="AI257" t="str">
        <f>IF(TwitterClean[[#This Row],[hashtags]]="null","No","Yes")</f>
        <v>Yes</v>
      </c>
      <c r="AJ257" t="str">
        <f>IF(TwitterClean[[#This Row],[external_url]]="null","Yes","No")</f>
        <v>No</v>
      </c>
      <c r="AK257">
        <f>LEN(TwitterClean[[#This Row],[description]])</f>
        <v>24</v>
      </c>
      <c r="AL257" t="str">
        <f>IF(TwitterClean[[#This Row],[followers]]&lt;100000,"&lt;100K",IF(TwitterClean[[#This Row],[followers]]&lt;1000000,"100K-1M",IF(TwitterClean[[#This Row],[followers]]&lt;10000000,"1M-10M","10M+")))</f>
        <v>10M+</v>
      </c>
    </row>
    <row r="258" spans="1:38">
      <c r="A258">
        <v>1.8680930416781066E+18</v>
      </c>
      <c r="B258" t="s">
        <v>228</v>
      </c>
      <c r="C258" t="s">
        <v>228</v>
      </c>
      <c r="D258" t="s">
        <v>435</v>
      </c>
      <c r="E258" t="s">
        <v>436</v>
      </c>
      <c r="F258" t="s">
        <v>437</v>
      </c>
      <c r="G258" t="s">
        <v>438</v>
      </c>
      <c r="H258" t="s">
        <v>29</v>
      </c>
      <c r="I258">
        <v>258</v>
      </c>
      <c r="J258">
        <v>126</v>
      </c>
      <c r="K258">
        <v>1201</v>
      </c>
      <c r="L258">
        <v>79371</v>
      </c>
      <c r="M258" t="s">
        <v>439</v>
      </c>
      <c r="N258" t="s">
        <v>29</v>
      </c>
      <c r="O258">
        <v>1239618</v>
      </c>
      <c r="P258" t="s">
        <v>235</v>
      </c>
      <c r="Q258">
        <v>402839</v>
      </c>
      <c r="R258" t="s">
        <v>236</v>
      </c>
      <c r="S258">
        <v>1644</v>
      </c>
      <c r="T258" t="b">
        <v>0</v>
      </c>
      <c r="U258">
        <v>44</v>
      </c>
      <c r="V258">
        <v>38</v>
      </c>
      <c r="W258" t="s">
        <v>35</v>
      </c>
      <c r="X258" t="s">
        <v>29</v>
      </c>
      <c r="Y258" t="s">
        <v>29</v>
      </c>
      <c r="Z258" t="s">
        <v>37</v>
      </c>
      <c r="AA258">
        <f>TwitterClean[[#This Row],[likes]]+TwitterClean[[#This Row],[replies]]+TwitterClean[[#This Row],[reposts]]+TwitterClean[[#This Row],[quotes]]+TwitterClean[[#This Row],[bookmarks]]</f>
        <v>1667</v>
      </c>
      <c r="AB258" s="1">
        <f>TwitterClean[[#This Row],[Total_Engagements]]/TwitterClean[[#This Row],[views]]</f>
        <v>2.1002633203563013E-2</v>
      </c>
      <c r="AC258" s="3">
        <f>DATEVALUE(MID(TwitterClean[[#This Row],[date_posted]],2,10))</f>
        <v>45641</v>
      </c>
      <c r="AD258">
        <f>TIMEVALUE(MID(TwitterClean[[#This Row],[date_posted]],13,8))</f>
        <v>2.6192129629629631E-2</v>
      </c>
      <c r="AE258" s="3" t="str">
        <f>TEXT(TwitterClean[[#This Row],[Post_Date]],"dddd")</f>
        <v>Sunday</v>
      </c>
      <c r="AF258">
        <f>HOUR(TwitterClean[[#This Row],[Post_Time]])</f>
        <v>0</v>
      </c>
      <c r="AG258" t="str">
        <f>IF(TwitterClean[[#This Row],[videos]]="Null","No","Yes")</f>
        <v>No</v>
      </c>
      <c r="AH258" t="str">
        <f>IF(TwitterClean[[#This Row],[photos]]="null","No","Yes")</f>
        <v>Yes</v>
      </c>
      <c r="AI258" t="str">
        <f>IF(TwitterClean[[#This Row],[hashtags]]="null","No","Yes")</f>
        <v>No</v>
      </c>
      <c r="AJ258" t="str">
        <f>IF(TwitterClean[[#This Row],[external_url]]="null","Yes","No")</f>
        <v>No</v>
      </c>
      <c r="AK258">
        <f>LEN(TwitterClean[[#This Row],[description]])</f>
        <v>205</v>
      </c>
      <c r="AL258" t="str">
        <f>IF(TwitterClean[[#This Row],[followers]]&lt;100000,"&lt;100K",IF(TwitterClean[[#This Row],[followers]]&lt;1000000,"100K-1M",IF(TwitterClean[[#This Row],[followers]]&lt;10000000,"1M-10M","10M+")))</f>
        <v>1M-10M</v>
      </c>
    </row>
    <row r="259" spans="1:38">
      <c r="A259">
        <v>1.8684232912888914E+18</v>
      </c>
      <c r="B259" t="s">
        <v>3392</v>
      </c>
      <c r="C259" t="s">
        <v>3393</v>
      </c>
      <c r="D259" t="s">
        <v>3520</v>
      </c>
      <c r="E259" t="s">
        <v>1797</v>
      </c>
      <c r="F259" t="s">
        <v>29</v>
      </c>
      <c r="G259" t="s">
        <v>3521</v>
      </c>
      <c r="H259" t="s">
        <v>29</v>
      </c>
      <c r="I259">
        <v>6</v>
      </c>
      <c r="J259">
        <v>19</v>
      </c>
      <c r="K259">
        <v>421</v>
      </c>
      <c r="L259">
        <v>21886</v>
      </c>
      <c r="M259" t="s">
        <v>52</v>
      </c>
      <c r="N259" t="s">
        <v>3398</v>
      </c>
      <c r="O259">
        <v>1480966</v>
      </c>
      <c r="P259" t="s">
        <v>3399</v>
      </c>
      <c r="Q259">
        <v>103753</v>
      </c>
      <c r="R259" t="s">
        <v>3400</v>
      </c>
      <c r="S259">
        <v>552</v>
      </c>
      <c r="T259" t="b">
        <v>0</v>
      </c>
      <c r="U259">
        <v>5</v>
      </c>
      <c r="V259">
        <v>6</v>
      </c>
      <c r="W259" t="s">
        <v>35</v>
      </c>
      <c r="X259" t="s">
        <v>29</v>
      </c>
      <c r="Y259" t="s">
        <v>3522</v>
      </c>
      <c r="Z259" t="s">
        <v>37</v>
      </c>
      <c r="AA259">
        <f>TwitterClean[[#This Row],[likes]]+TwitterClean[[#This Row],[replies]]+TwitterClean[[#This Row],[reposts]]+TwitterClean[[#This Row],[quotes]]+TwitterClean[[#This Row],[bookmarks]]</f>
        <v>457</v>
      </c>
      <c r="AB259" s="1">
        <f>TwitterClean[[#This Row],[Total_Engagements]]/TwitterClean[[#This Row],[views]]</f>
        <v>2.0880928447409304E-2</v>
      </c>
      <c r="AC259" s="3">
        <f>DATEVALUE(MID(TwitterClean[[#This Row],[date_posted]],2,10))</f>
        <v>45641</v>
      </c>
      <c r="AD259">
        <f>TIMEVALUE(MID(TwitterClean[[#This Row],[date_posted]],13,8))</f>
        <v>0.9375</v>
      </c>
      <c r="AE259" s="3" t="str">
        <f>TEXT(TwitterClean[[#This Row],[Post_Date]],"dddd")</f>
        <v>Sunday</v>
      </c>
      <c r="AF259">
        <f>HOUR(TwitterClean[[#This Row],[Post_Time]])</f>
        <v>22</v>
      </c>
      <c r="AG259" t="str">
        <f>IF(TwitterClean[[#This Row],[videos]]="Null","No","Yes")</f>
        <v>Yes</v>
      </c>
      <c r="AH259" t="str">
        <f>IF(TwitterClean[[#This Row],[photos]]="null","No","Yes")</f>
        <v>No</v>
      </c>
      <c r="AI259" t="str">
        <f>IF(TwitterClean[[#This Row],[hashtags]]="null","No","Yes")</f>
        <v>Yes</v>
      </c>
      <c r="AJ259" t="str">
        <f>IF(TwitterClean[[#This Row],[external_url]]="null","Yes","No")</f>
        <v>No</v>
      </c>
      <c r="AK259">
        <f>LEN(TwitterClean[[#This Row],[description]])</f>
        <v>38</v>
      </c>
      <c r="AL259" t="str">
        <f>IF(TwitterClean[[#This Row],[followers]]&lt;100000,"&lt;100K",IF(TwitterClean[[#This Row],[followers]]&lt;1000000,"100K-1M",IF(TwitterClean[[#This Row],[followers]]&lt;10000000,"1M-10M","10M+")))</f>
        <v>1M-10M</v>
      </c>
    </row>
    <row r="260" spans="1:38">
      <c r="A260">
        <v>1.8683226724149619E+18</v>
      </c>
      <c r="B260" t="s">
        <v>628</v>
      </c>
      <c r="C260" t="s">
        <v>629</v>
      </c>
      <c r="D260" t="s">
        <v>630</v>
      </c>
      <c r="E260" t="s">
        <v>631</v>
      </c>
      <c r="F260" t="s">
        <v>632</v>
      </c>
      <c r="G260" t="s">
        <v>633</v>
      </c>
      <c r="H260" t="s">
        <v>29</v>
      </c>
      <c r="I260">
        <v>4</v>
      </c>
      <c r="J260">
        <v>3</v>
      </c>
      <c r="K260">
        <v>116</v>
      </c>
      <c r="L260">
        <v>6342</v>
      </c>
      <c r="M260" t="s">
        <v>52</v>
      </c>
      <c r="N260" t="s">
        <v>340</v>
      </c>
      <c r="O260">
        <v>66296</v>
      </c>
      <c r="P260" t="s">
        <v>634</v>
      </c>
      <c r="Q260">
        <v>23738</v>
      </c>
      <c r="R260" t="s">
        <v>635</v>
      </c>
      <c r="S260">
        <v>115</v>
      </c>
      <c r="T260" t="b">
        <v>0</v>
      </c>
      <c r="U260">
        <v>8</v>
      </c>
      <c r="V260">
        <v>1</v>
      </c>
      <c r="W260" t="s">
        <v>35</v>
      </c>
      <c r="X260" t="s">
        <v>29</v>
      </c>
      <c r="Y260" t="s">
        <v>29</v>
      </c>
      <c r="Z260" t="s">
        <v>37</v>
      </c>
      <c r="AA260">
        <f>TwitterClean[[#This Row],[likes]]+TwitterClean[[#This Row],[replies]]+TwitterClean[[#This Row],[reposts]]+TwitterClean[[#This Row],[quotes]]+TwitterClean[[#This Row],[bookmarks]]</f>
        <v>132</v>
      </c>
      <c r="AB260" s="1">
        <f>TwitterClean[[#This Row],[Total_Engagements]]/TwitterClean[[#This Row],[views]]</f>
        <v>2.0813623462630087E-2</v>
      </c>
      <c r="AC260" s="3">
        <f>DATEVALUE(MID(TwitterClean[[#This Row],[date_posted]],2,10))</f>
        <v>45641</v>
      </c>
      <c r="AD260">
        <f>TIMEVALUE(MID(TwitterClean[[#This Row],[date_posted]],13,8))</f>
        <v>0.65984953703703708</v>
      </c>
      <c r="AE260" s="3" t="str">
        <f>TEXT(TwitterClean[[#This Row],[Post_Date]],"dddd")</f>
        <v>Sunday</v>
      </c>
      <c r="AF260">
        <f>HOUR(TwitterClean[[#This Row],[Post_Time]])</f>
        <v>15</v>
      </c>
      <c r="AG260" t="str">
        <f>IF(TwitterClean[[#This Row],[videos]]="Null","No","Yes")</f>
        <v>No</v>
      </c>
      <c r="AH260" t="str">
        <f>IF(TwitterClean[[#This Row],[photos]]="null","No","Yes")</f>
        <v>Yes</v>
      </c>
      <c r="AI260" t="str">
        <f>IF(TwitterClean[[#This Row],[hashtags]]="null","No","Yes")</f>
        <v>Yes</v>
      </c>
      <c r="AJ260" t="str">
        <f>IF(TwitterClean[[#This Row],[external_url]]="null","Yes","No")</f>
        <v>No</v>
      </c>
      <c r="AK260">
        <f>LEN(TwitterClean[[#This Row],[description]])</f>
        <v>45</v>
      </c>
      <c r="AL260" t="str">
        <f>IF(TwitterClean[[#This Row],[followers]]&lt;100000,"&lt;100K",IF(TwitterClean[[#This Row],[followers]]&lt;1000000,"100K-1M",IF(TwitterClean[[#This Row],[followers]]&lt;10000000,"1M-10M","10M+")))</f>
        <v>&lt;100K</v>
      </c>
    </row>
    <row r="261" spans="1:38">
      <c r="A261">
        <v>1.8683830139624412E+18</v>
      </c>
      <c r="B261" t="s">
        <v>275</v>
      </c>
      <c r="C261" t="s">
        <v>276</v>
      </c>
      <c r="D261" t="s">
        <v>1214</v>
      </c>
      <c r="E261" t="s">
        <v>1215</v>
      </c>
      <c r="F261" t="s">
        <v>1216</v>
      </c>
      <c r="G261" t="s">
        <v>1217</v>
      </c>
      <c r="H261" t="s">
        <v>754</v>
      </c>
      <c r="I261">
        <v>14</v>
      </c>
      <c r="J261">
        <v>66</v>
      </c>
      <c r="K261">
        <v>514</v>
      </c>
      <c r="L261">
        <v>29246</v>
      </c>
      <c r="M261" t="s">
        <v>52</v>
      </c>
      <c r="N261" t="s">
        <v>281</v>
      </c>
      <c r="O261">
        <v>8539601</v>
      </c>
      <c r="P261" t="s">
        <v>282</v>
      </c>
      <c r="Q261">
        <v>75535</v>
      </c>
      <c r="R261" t="s">
        <v>283</v>
      </c>
      <c r="S261">
        <v>117</v>
      </c>
      <c r="T261" t="b">
        <v>0</v>
      </c>
      <c r="U261">
        <v>4</v>
      </c>
      <c r="V261">
        <v>6</v>
      </c>
      <c r="W261" t="s">
        <v>35</v>
      </c>
      <c r="X261" t="s">
        <v>29</v>
      </c>
      <c r="Y261" t="s">
        <v>29</v>
      </c>
      <c r="Z261" t="s">
        <v>37</v>
      </c>
      <c r="AA261">
        <f>TwitterClean[[#This Row],[likes]]+TwitterClean[[#This Row],[replies]]+TwitterClean[[#This Row],[reposts]]+TwitterClean[[#This Row],[quotes]]+TwitterClean[[#This Row],[bookmarks]]</f>
        <v>604</v>
      </c>
      <c r="AB261" s="1">
        <f>TwitterClean[[#This Row],[Total_Engagements]]/TwitterClean[[#This Row],[views]]</f>
        <v>2.0652396908979007E-2</v>
      </c>
      <c r="AC261" s="3">
        <f>DATEVALUE(MID(TwitterClean[[#This Row],[date_posted]],2,10))</f>
        <v>45641</v>
      </c>
      <c r="AD261">
        <f>TIMEVALUE(MID(TwitterClean[[#This Row],[date_posted]],13,8))</f>
        <v>0.82636574074074076</v>
      </c>
      <c r="AE261" s="3" t="str">
        <f>TEXT(TwitterClean[[#This Row],[Post_Date]],"dddd")</f>
        <v>Sunday</v>
      </c>
      <c r="AF261">
        <f>HOUR(TwitterClean[[#This Row],[Post_Time]])</f>
        <v>19</v>
      </c>
      <c r="AG261" t="str">
        <f>IF(TwitterClean[[#This Row],[videos]]="Null","No","Yes")</f>
        <v>No</v>
      </c>
      <c r="AH261" t="str">
        <f>IF(TwitterClean[[#This Row],[photos]]="null","No","Yes")</f>
        <v>Yes</v>
      </c>
      <c r="AI261" t="str">
        <f>IF(TwitterClean[[#This Row],[hashtags]]="null","No","Yes")</f>
        <v>Yes</v>
      </c>
      <c r="AJ261" t="str">
        <f>IF(TwitterClean[[#This Row],[external_url]]="null","Yes","No")</f>
        <v>No</v>
      </c>
      <c r="AK261">
        <f>LEN(TwitterClean[[#This Row],[description]])</f>
        <v>131</v>
      </c>
      <c r="AL261" t="str">
        <f>IF(TwitterClean[[#This Row],[followers]]&lt;100000,"&lt;100K",IF(TwitterClean[[#This Row],[followers]]&lt;1000000,"100K-1M",IF(TwitterClean[[#This Row],[followers]]&lt;10000000,"1M-10M","10M+")))</f>
        <v>1M-10M</v>
      </c>
    </row>
    <row r="262" spans="1:38">
      <c r="A262">
        <v>1.8683206622822318E+18</v>
      </c>
      <c r="B262" t="s">
        <v>3392</v>
      </c>
      <c r="C262" t="s">
        <v>3393</v>
      </c>
      <c r="D262" t="s">
        <v>3523</v>
      </c>
      <c r="E262" t="s">
        <v>3524</v>
      </c>
      <c r="F262" t="s">
        <v>29</v>
      </c>
      <c r="G262" t="s">
        <v>3525</v>
      </c>
      <c r="H262" t="s">
        <v>29</v>
      </c>
      <c r="I262">
        <v>11</v>
      </c>
      <c r="J262">
        <v>19</v>
      </c>
      <c r="K262">
        <v>395</v>
      </c>
      <c r="L262">
        <v>20785</v>
      </c>
      <c r="M262" t="s">
        <v>52</v>
      </c>
      <c r="N262" t="s">
        <v>3405</v>
      </c>
      <c r="O262">
        <v>1480966</v>
      </c>
      <c r="P262" t="s">
        <v>3399</v>
      </c>
      <c r="Q262">
        <v>103753</v>
      </c>
      <c r="R262" t="s">
        <v>3400</v>
      </c>
      <c r="S262">
        <v>552</v>
      </c>
      <c r="T262" t="b">
        <v>0</v>
      </c>
      <c r="U262">
        <v>2</v>
      </c>
      <c r="V262">
        <v>2</v>
      </c>
      <c r="W262" t="s">
        <v>35</v>
      </c>
      <c r="X262" t="s">
        <v>29</v>
      </c>
      <c r="Y262" t="s">
        <v>3526</v>
      </c>
      <c r="Z262" t="s">
        <v>37</v>
      </c>
      <c r="AA262">
        <f>TwitterClean[[#This Row],[likes]]+TwitterClean[[#This Row],[replies]]+TwitterClean[[#This Row],[reposts]]+TwitterClean[[#This Row],[quotes]]+TwitterClean[[#This Row],[bookmarks]]</f>
        <v>429</v>
      </c>
      <c r="AB262" s="1">
        <f>TwitterClean[[#This Row],[Total_Engagements]]/TwitterClean[[#This Row],[views]]</f>
        <v>2.0639884532114506E-2</v>
      </c>
      <c r="AC262" s="3">
        <f>DATEVALUE(MID(TwitterClean[[#This Row],[date_posted]],2,10))</f>
        <v>45641</v>
      </c>
      <c r="AD262">
        <f>TIMEVALUE(MID(TwitterClean[[#This Row],[date_posted]],13,8))</f>
        <v>0.65430555555555558</v>
      </c>
      <c r="AE262" s="3" t="str">
        <f>TEXT(TwitterClean[[#This Row],[Post_Date]],"dddd")</f>
        <v>Sunday</v>
      </c>
      <c r="AF262">
        <f>HOUR(TwitterClean[[#This Row],[Post_Time]])</f>
        <v>15</v>
      </c>
      <c r="AG262" t="str">
        <f>IF(TwitterClean[[#This Row],[videos]]="Null","No","Yes")</f>
        <v>Yes</v>
      </c>
      <c r="AH262" t="str">
        <f>IF(TwitterClean[[#This Row],[photos]]="null","No","Yes")</f>
        <v>No</v>
      </c>
      <c r="AI262" t="str">
        <f>IF(TwitterClean[[#This Row],[hashtags]]="null","No","Yes")</f>
        <v>Yes</v>
      </c>
      <c r="AJ262" t="str">
        <f>IF(TwitterClean[[#This Row],[external_url]]="null","Yes","No")</f>
        <v>No</v>
      </c>
      <c r="AK262">
        <f>LEN(TwitterClean[[#This Row],[description]])</f>
        <v>20</v>
      </c>
      <c r="AL262" t="str">
        <f>IF(TwitterClean[[#This Row],[followers]]&lt;100000,"&lt;100K",IF(TwitterClean[[#This Row],[followers]]&lt;1000000,"100K-1M",IF(TwitterClean[[#This Row],[followers]]&lt;10000000,"1M-10M","10M+")))</f>
        <v>1M-10M</v>
      </c>
    </row>
    <row r="263" spans="1:38">
      <c r="A263">
        <v>1.8684120927739786E+18</v>
      </c>
      <c r="B263" t="s">
        <v>1862</v>
      </c>
      <c r="C263" t="s">
        <v>1863</v>
      </c>
      <c r="D263" t="s">
        <v>2149</v>
      </c>
      <c r="E263" t="s">
        <v>2150</v>
      </c>
      <c r="F263" t="s">
        <v>29</v>
      </c>
      <c r="G263" t="s">
        <v>2151</v>
      </c>
      <c r="H263" t="s">
        <v>29</v>
      </c>
      <c r="I263">
        <v>6</v>
      </c>
      <c r="J263">
        <v>22</v>
      </c>
      <c r="K263">
        <v>156</v>
      </c>
      <c r="L263">
        <v>9837</v>
      </c>
      <c r="M263" t="s">
        <v>52</v>
      </c>
      <c r="N263" t="s">
        <v>1867</v>
      </c>
      <c r="O263">
        <v>13492430</v>
      </c>
      <c r="P263" t="s">
        <v>1868</v>
      </c>
      <c r="Q263">
        <v>314515</v>
      </c>
      <c r="R263" t="s">
        <v>1869</v>
      </c>
      <c r="S263">
        <v>708</v>
      </c>
      <c r="T263" t="b">
        <v>0</v>
      </c>
      <c r="U263">
        <v>8</v>
      </c>
      <c r="V263">
        <v>11</v>
      </c>
      <c r="W263" t="s">
        <v>35</v>
      </c>
      <c r="X263" t="s">
        <v>29</v>
      </c>
      <c r="Y263" t="s">
        <v>2152</v>
      </c>
      <c r="Z263" t="s">
        <v>37</v>
      </c>
      <c r="AA263">
        <f>TwitterClean[[#This Row],[likes]]+TwitterClean[[#This Row],[replies]]+TwitterClean[[#This Row],[reposts]]+TwitterClean[[#This Row],[quotes]]+TwitterClean[[#This Row],[bookmarks]]</f>
        <v>203</v>
      </c>
      <c r="AB263" s="1">
        <f>TwitterClean[[#This Row],[Total_Engagements]]/TwitterClean[[#This Row],[views]]</f>
        <v>2.0636372877909932E-2</v>
      </c>
      <c r="AC263" s="3">
        <f>DATEVALUE(MID(TwitterClean[[#This Row],[date_posted]],2,10))</f>
        <v>45641</v>
      </c>
      <c r="AD263">
        <f>TIMEVALUE(MID(TwitterClean[[#This Row],[date_posted]],13,8))</f>
        <v>0.90659722222222228</v>
      </c>
      <c r="AE263" s="3" t="str">
        <f>TEXT(TwitterClean[[#This Row],[Post_Date]],"dddd")</f>
        <v>Sunday</v>
      </c>
      <c r="AF263">
        <f>HOUR(TwitterClean[[#This Row],[Post_Time]])</f>
        <v>21</v>
      </c>
      <c r="AG263" t="str">
        <f>IF(TwitterClean[[#This Row],[videos]]="Null","No","Yes")</f>
        <v>Yes</v>
      </c>
      <c r="AH263" t="str">
        <f>IF(TwitterClean[[#This Row],[photos]]="null","No","Yes")</f>
        <v>No</v>
      </c>
      <c r="AI263" t="str">
        <f>IF(TwitterClean[[#This Row],[hashtags]]="null","No","Yes")</f>
        <v>Yes</v>
      </c>
      <c r="AJ263" t="str">
        <f>IF(TwitterClean[[#This Row],[external_url]]="null","Yes","No")</f>
        <v>No</v>
      </c>
      <c r="AK263">
        <f>LEN(TwitterClean[[#This Row],[description]])</f>
        <v>82</v>
      </c>
      <c r="AL263" t="str">
        <f>IF(TwitterClean[[#This Row],[followers]]&lt;100000,"&lt;100K",IF(TwitterClean[[#This Row],[followers]]&lt;1000000,"100K-1M",IF(TwitterClean[[#This Row],[followers]]&lt;10000000,"1M-10M","10M+")))</f>
        <v>10M+</v>
      </c>
    </row>
    <row r="264" spans="1:38">
      <c r="A264">
        <v>1.8683618304075284E+18</v>
      </c>
      <c r="B264" t="s">
        <v>1280</v>
      </c>
      <c r="C264" t="s">
        <v>1281</v>
      </c>
      <c r="D264" t="s">
        <v>1546</v>
      </c>
      <c r="E264" t="s">
        <v>1547</v>
      </c>
      <c r="F264" t="s">
        <v>1548</v>
      </c>
      <c r="G264" t="s">
        <v>1549</v>
      </c>
      <c r="H264" t="s">
        <v>1387</v>
      </c>
      <c r="I264">
        <v>122</v>
      </c>
      <c r="J264">
        <v>395</v>
      </c>
      <c r="K264">
        <v>5538</v>
      </c>
      <c r="L264">
        <v>298665</v>
      </c>
      <c r="M264" t="s">
        <v>52</v>
      </c>
      <c r="N264" t="s">
        <v>1286</v>
      </c>
      <c r="O264">
        <v>38439077</v>
      </c>
      <c r="P264" t="s">
        <v>1287</v>
      </c>
      <c r="Q264">
        <v>92455</v>
      </c>
      <c r="R264" t="s">
        <v>1288</v>
      </c>
      <c r="S264">
        <v>145</v>
      </c>
      <c r="T264" t="b">
        <v>0</v>
      </c>
      <c r="U264">
        <v>13</v>
      </c>
      <c r="V264">
        <v>17</v>
      </c>
      <c r="W264" t="s">
        <v>35</v>
      </c>
      <c r="X264" t="s">
        <v>29</v>
      </c>
      <c r="Y264" t="s">
        <v>29</v>
      </c>
      <c r="Z264" t="s">
        <v>37</v>
      </c>
      <c r="AA264">
        <f>TwitterClean[[#This Row],[likes]]+TwitterClean[[#This Row],[replies]]+TwitterClean[[#This Row],[reposts]]+TwitterClean[[#This Row],[quotes]]+TwitterClean[[#This Row],[bookmarks]]</f>
        <v>6085</v>
      </c>
      <c r="AB264" s="1">
        <f>TwitterClean[[#This Row],[Total_Engagements]]/TwitterClean[[#This Row],[views]]</f>
        <v>2.0373997622754592E-2</v>
      </c>
      <c r="AC264" s="3">
        <f>DATEVALUE(MID(TwitterClean[[#This Row],[date_posted]],2,10))</f>
        <v>45641</v>
      </c>
      <c r="AD264">
        <f>TIMEVALUE(MID(TwitterClean[[#This Row],[date_posted]],13,8))</f>
        <v>0.76790509259259254</v>
      </c>
      <c r="AE264" s="3" t="str">
        <f>TEXT(TwitterClean[[#This Row],[Post_Date]],"dddd")</f>
        <v>Sunday</v>
      </c>
      <c r="AF264">
        <f>HOUR(TwitterClean[[#This Row],[Post_Time]])</f>
        <v>18</v>
      </c>
      <c r="AG264" t="str">
        <f>IF(TwitterClean[[#This Row],[videos]]="Null","No","Yes")</f>
        <v>No</v>
      </c>
      <c r="AH264" t="str">
        <f>IF(TwitterClean[[#This Row],[photos]]="null","No","Yes")</f>
        <v>Yes</v>
      </c>
      <c r="AI264" t="str">
        <f>IF(TwitterClean[[#This Row],[hashtags]]="null","No","Yes")</f>
        <v>Yes</v>
      </c>
      <c r="AJ264" t="str">
        <f>IF(TwitterClean[[#This Row],[external_url]]="null","Yes","No")</f>
        <v>No</v>
      </c>
      <c r="AK264">
        <f>LEN(TwitterClean[[#This Row],[description]])</f>
        <v>100</v>
      </c>
      <c r="AL264" t="str">
        <f>IF(TwitterClean[[#This Row],[followers]]&lt;100000,"&lt;100K",IF(TwitterClean[[#This Row],[followers]]&lt;1000000,"100K-1M",IF(TwitterClean[[#This Row],[followers]]&lt;10000000,"1M-10M","10M+")))</f>
        <v>10M+</v>
      </c>
    </row>
    <row r="265" spans="1:38">
      <c r="A265">
        <v>1.8683952884796416E+18</v>
      </c>
      <c r="B265" t="s">
        <v>1862</v>
      </c>
      <c r="C265" t="s">
        <v>1863</v>
      </c>
      <c r="D265" t="s">
        <v>2028</v>
      </c>
      <c r="E265" t="s">
        <v>2029</v>
      </c>
      <c r="F265" t="s">
        <v>29</v>
      </c>
      <c r="G265" t="s">
        <v>2030</v>
      </c>
      <c r="H265" t="s">
        <v>29</v>
      </c>
      <c r="I265">
        <v>4</v>
      </c>
      <c r="J265">
        <v>20</v>
      </c>
      <c r="K265">
        <v>151</v>
      </c>
      <c r="L265">
        <v>9038</v>
      </c>
      <c r="M265" t="s">
        <v>52</v>
      </c>
      <c r="N265" t="s">
        <v>1867</v>
      </c>
      <c r="O265">
        <v>13492430</v>
      </c>
      <c r="P265" t="s">
        <v>1868</v>
      </c>
      <c r="Q265">
        <v>314515</v>
      </c>
      <c r="R265" t="s">
        <v>1869</v>
      </c>
      <c r="S265">
        <v>708</v>
      </c>
      <c r="T265" t="b">
        <v>0</v>
      </c>
      <c r="U265">
        <v>6</v>
      </c>
      <c r="V265">
        <v>3</v>
      </c>
      <c r="W265" t="s">
        <v>35</v>
      </c>
      <c r="X265" t="s">
        <v>29</v>
      </c>
      <c r="Y265" t="s">
        <v>2031</v>
      </c>
      <c r="Z265" t="s">
        <v>37</v>
      </c>
      <c r="AA265">
        <f>TwitterClean[[#This Row],[likes]]+TwitterClean[[#This Row],[replies]]+TwitterClean[[#This Row],[reposts]]+TwitterClean[[#This Row],[quotes]]+TwitterClean[[#This Row],[bookmarks]]</f>
        <v>184</v>
      </c>
      <c r="AB265" s="1">
        <f>TwitterClean[[#This Row],[Total_Engagements]]/TwitterClean[[#This Row],[views]]</f>
        <v>2.0358486390794423E-2</v>
      </c>
      <c r="AC265" s="3">
        <f>DATEVALUE(MID(TwitterClean[[#This Row],[date_posted]],2,10))</f>
        <v>45641</v>
      </c>
      <c r="AD265">
        <f>TIMEVALUE(MID(TwitterClean[[#This Row],[date_posted]],13,8))</f>
        <v>0.86023148148148143</v>
      </c>
      <c r="AE265" s="3" t="str">
        <f>TEXT(TwitterClean[[#This Row],[Post_Date]],"dddd")</f>
        <v>Sunday</v>
      </c>
      <c r="AF265">
        <f>HOUR(TwitterClean[[#This Row],[Post_Time]])</f>
        <v>20</v>
      </c>
      <c r="AG265" t="str">
        <f>IF(TwitterClean[[#This Row],[videos]]="Null","No","Yes")</f>
        <v>Yes</v>
      </c>
      <c r="AH265" t="str">
        <f>IF(TwitterClean[[#This Row],[photos]]="null","No","Yes")</f>
        <v>No</v>
      </c>
      <c r="AI265" t="str">
        <f>IF(TwitterClean[[#This Row],[hashtags]]="null","No","Yes")</f>
        <v>Yes</v>
      </c>
      <c r="AJ265" t="str">
        <f>IF(TwitterClean[[#This Row],[external_url]]="null","Yes","No")</f>
        <v>No</v>
      </c>
      <c r="AK265">
        <f>LEN(TwitterClean[[#This Row],[description]])</f>
        <v>68</v>
      </c>
      <c r="AL265" t="str">
        <f>IF(TwitterClean[[#This Row],[followers]]&lt;100000,"&lt;100K",IF(TwitterClean[[#This Row],[followers]]&lt;1000000,"100K-1M",IF(TwitterClean[[#This Row],[followers]]&lt;10000000,"1M-10M","10M+")))</f>
        <v>10M+</v>
      </c>
    </row>
    <row r="266" spans="1:38">
      <c r="A266">
        <v>1.8683813223825697E+18</v>
      </c>
      <c r="B266" t="s">
        <v>2230</v>
      </c>
      <c r="C266" t="s">
        <v>2231</v>
      </c>
      <c r="D266" t="s">
        <v>2519</v>
      </c>
      <c r="E266" t="s">
        <v>2520</v>
      </c>
      <c r="F266" t="s">
        <v>2521</v>
      </c>
      <c r="G266" t="s">
        <v>2522</v>
      </c>
      <c r="H266" t="s">
        <v>29</v>
      </c>
      <c r="I266">
        <v>41</v>
      </c>
      <c r="J266">
        <v>92</v>
      </c>
      <c r="K266">
        <v>429</v>
      </c>
      <c r="L266">
        <v>28149</v>
      </c>
      <c r="M266" t="s">
        <v>2523</v>
      </c>
      <c r="N266" t="s">
        <v>29</v>
      </c>
      <c r="O266">
        <v>3313887</v>
      </c>
      <c r="P266" t="s">
        <v>2237</v>
      </c>
      <c r="Q266">
        <v>706459</v>
      </c>
      <c r="R266" t="s">
        <v>2238</v>
      </c>
      <c r="S266">
        <v>10308</v>
      </c>
      <c r="T266" t="b">
        <v>0</v>
      </c>
      <c r="U266">
        <v>5</v>
      </c>
      <c r="V266">
        <v>5</v>
      </c>
      <c r="W266" t="s">
        <v>35</v>
      </c>
      <c r="X266" t="s">
        <v>29</v>
      </c>
      <c r="Y266" t="s">
        <v>29</v>
      </c>
      <c r="Z266" t="s">
        <v>37</v>
      </c>
      <c r="AA266">
        <f>TwitterClean[[#This Row],[likes]]+TwitterClean[[#This Row],[replies]]+TwitterClean[[#This Row],[reposts]]+TwitterClean[[#This Row],[quotes]]+TwitterClean[[#This Row],[bookmarks]]</f>
        <v>572</v>
      </c>
      <c r="AB266" s="1">
        <f>TwitterClean[[#This Row],[Total_Engagements]]/TwitterClean[[#This Row],[views]]</f>
        <v>2.0320437670965221E-2</v>
      </c>
      <c r="AC266" s="3">
        <f>DATEVALUE(MID(TwitterClean[[#This Row],[date_posted]],2,10))</f>
        <v>45641</v>
      </c>
      <c r="AD266">
        <f>TIMEVALUE(MID(TwitterClean[[#This Row],[date_posted]],13,8))</f>
        <v>0.82168981481481485</v>
      </c>
      <c r="AE266" s="3" t="str">
        <f>TEXT(TwitterClean[[#This Row],[Post_Date]],"dddd")</f>
        <v>Sunday</v>
      </c>
      <c r="AF266">
        <f>HOUR(TwitterClean[[#This Row],[Post_Time]])</f>
        <v>19</v>
      </c>
      <c r="AG266" t="str">
        <f>IF(TwitterClean[[#This Row],[videos]]="Null","No","Yes")</f>
        <v>No</v>
      </c>
      <c r="AH266" t="str">
        <f>IF(TwitterClean[[#This Row],[photos]]="null","No","Yes")</f>
        <v>Yes</v>
      </c>
      <c r="AI266" t="str">
        <f>IF(TwitterClean[[#This Row],[hashtags]]="null","No","Yes")</f>
        <v>No</v>
      </c>
      <c r="AJ266" t="str">
        <f>IF(TwitterClean[[#This Row],[external_url]]="null","Yes","No")</f>
        <v>No</v>
      </c>
      <c r="AK266">
        <f>LEN(TwitterClean[[#This Row],[description]])</f>
        <v>96</v>
      </c>
      <c r="AL266" t="str">
        <f>IF(TwitterClean[[#This Row],[followers]]&lt;100000,"&lt;100K",IF(TwitterClean[[#This Row],[followers]]&lt;1000000,"100K-1M",IF(TwitterClean[[#This Row],[followers]]&lt;10000000,"1M-10M","10M+")))</f>
        <v>1M-10M</v>
      </c>
    </row>
    <row r="267" spans="1:38">
      <c r="A267">
        <v>1.8683116876460649E+18</v>
      </c>
      <c r="B267" t="s">
        <v>1363</v>
      </c>
      <c r="C267" t="s">
        <v>1364</v>
      </c>
      <c r="D267" t="s">
        <v>1634</v>
      </c>
      <c r="E267" t="s">
        <v>1635</v>
      </c>
      <c r="F267" t="s">
        <v>29</v>
      </c>
      <c r="G267" t="s">
        <v>1636</v>
      </c>
      <c r="H267" t="s">
        <v>29</v>
      </c>
      <c r="I267">
        <v>2</v>
      </c>
      <c r="J267">
        <v>15</v>
      </c>
      <c r="K267">
        <v>256</v>
      </c>
      <c r="L267">
        <v>13624</v>
      </c>
      <c r="M267" t="s">
        <v>1368</v>
      </c>
      <c r="N267" t="s">
        <v>1369</v>
      </c>
      <c r="O267">
        <v>462263</v>
      </c>
      <c r="P267" t="s">
        <v>1370</v>
      </c>
      <c r="Q267">
        <v>16271</v>
      </c>
      <c r="R267" t="s">
        <v>1371</v>
      </c>
      <c r="S267">
        <v>38</v>
      </c>
      <c r="T267" t="b">
        <v>0</v>
      </c>
      <c r="U267">
        <v>1</v>
      </c>
      <c r="V267">
        <v>1</v>
      </c>
      <c r="W267" t="s">
        <v>35</v>
      </c>
      <c r="X267" t="s">
        <v>29</v>
      </c>
      <c r="Y267" t="s">
        <v>29</v>
      </c>
      <c r="Z267" t="s">
        <v>37</v>
      </c>
      <c r="AA267">
        <f>TwitterClean[[#This Row],[likes]]+TwitterClean[[#This Row],[replies]]+TwitterClean[[#This Row],[reposts]]+TwitterClean[[#This Row],[quotes]]+TwitterClean[[#This Row],[bookmarks]]</f>
        <v>275</v>
      </c>
      <c r="AB267" s="1">
        <f>TwitterClean[[#This Row],[Total_Engagements]]/TwitterClean[[#This Row],[views]]</f>
        <v>2.0184967704051673E-2</v>
      </c>
      <c r="AC267" s="3">
        <f>DATEVALUE(MID(TwitterClean[[#This Row],[date_posted]],2,10))</f>
        <v>45641</v>
      </c>
      <c r="AD267">
        <f>TIMEVALUE(MID(TwitterClean[[#This Row],[date_posted]],13,8))</f>
        <v>0.62953703703703701</v>
      </c>
      <c r="AE267" s="3" t="str">
        <f>TEXT(TwitterClean[[#This Row],[Post_Date]],"dddd")</f>
        <v>Sunday</v>
      </c>
      <c r="AF267">
        <f>HOUR(TwitterClean[[#This Row],[Post_Time]])</f>
        <v>15</v>
      </c>
      <c r="AG267" t="str">
        <f>IF(TwitterClean[[#This Row],[videos]]="Null","No","Yes")</f>
        <v>No</v>
      </c>
      <c r="AH267" t="str">
        <f>IF(TwitterClean[[#This Row],[photos]]="null","No","Yes")</f>
        <v>No</v>
      </c>
      <c r="AI267" t="str">
        <f>IF(TwitterClean[[#This Row],[hashtags]]="null","No","Yes")</f>
        <v>Yes</v>
      </c>
      <c r="AJ267" t="str">
        <f>IF(TwitterClean[[#This Row],[external_url]]="null","Yes","No")</f>
        <v>No</v>
      </c>
      <c r="AK267">
        <f>LEN(TwitterClean[[#This Row],[description]])</f>
        <v>46</v>
      </c>
      <c r="AL267" t="str">
        <f>IF(TwitterClean[[#This Row],[followers]]&lt;100000,"&lt;100K",IF(TwitterClean[[#This Row],[followers]]&lt;1000000,"100K-1M",IF(TwitterClean[[#This Row],[followers]]&lt;10000000,"1M-10M","10M+")))</f>
        <v>100K-1M</v>
      </c>
    </row>
    <row r="268" spans="1:38">
      <c r="A268">
        <v>1.8682345541606239E+18</v>
      </c>
      <c r="B268" t="s">
        <v>468</v>
      </c>
      <c r="C268" t="s">
        <v>469</v>
      </c>
      <c r="D268" t="s">
        <v>470</v>
      </c>
      <c r="E268" t="s">
        <v>471</v>
      </c>
      <c r="F268" t="s">
        <v>472</v>
      </c>
      <c r="G268" t="s">
        <v>473</v>
      </c>
      <c r="H268" t="s">
        <v>474</v>
      </c>
      <c r="I268">
        <v>2</v>
      </c>
      <c r="J268">
        <v>1</v>
      </c>
      <c r="K268">
        <v>69</v>
      </c>
      <c r="L268">
        <v>4022</v>
      </c>
      <c r="M268" t="s">
        <v>52</v>
      </c>
      <c r="N268" t="s">
        <v>29</v>
      </c>
      <c r="O268">
        <v>12165</v>
      </c>
      <c r="P268" t="s">
        <v>475</v>
      </c>
      <c r="Q268">
        <v>294</v>
      </c>
      <c r="R268" t="s">
        <v>476</v>
      </c>
      <c r="S268">
        <v>378</v>
      </c>
      <c r="T268" t="b">
        <v>0</v>
      </c>
      <c r="U268">
        <v>6</v>
      </c>
      <c r="V268">
        <v>3</v>
      </c>
      <c r="W268" t="s">
        <v>35</v>
      </c>
      <c r="X268" t="s">
        <v>29</v>
      </c>
      <c r="Y268" t="s">
        <v>29</v>
      </c>
      <c r="Z268" t="s">
        <v>37</v>
      </c>
      <c r="AA268">
        <f>TwitterClean[[#This Row],[likes]]+TwitterClean[[#This Row],[replies]]+TwitterClean[[#This Row],[reposts]]+TwitterClean[[#This Row],[quotes]]+TwitterClean[[#This Row],[bookmarks]]</f>
        <v>81</v>
      </c>
      <c r="AB268" s="1">
        <f>TwitterClean[[#This Row],[Total_Engagements]]/TwitterClean[[#This Row],[views]]</f>
        <v>2.013923421183491E-2</v>
      </c>
      <c r="AC268" s="3">
        <f>DATEVALUE(MID(TwitterClean[[#This Row],[date_posted]],2,10))</f>
        <v>45641</v>
      </c>
      <c r="AD268">
        <f>TIMEVALUE(MID(TwitterClean[[#This Row],[date_posted]],13,8))</f>
        <v>0.41668981481481482</v>
      </c>
      <c r="AE268" s="3" t="str">
        <f>TEXT(TwitterClean[[#This Row],[Post_Date]],"dddd")</f>
        <v>Sunday</v>
      </c>
      <c r="AF268">
        <f>HOUR(TwitterClean[[#This Row],[Post_Time]])</f>
        <v>10</v>
      </c>
      <c r="AG268" t="str">
        <f>IF(TwitterClean[[#This Row],[videos]]="Null","No","Yes")</f>
        <v>No</v>
      </c>
      <c r="AH268" t="str">
        <f>IF(TwitterClean[[#This Row],[photos]]="null","No","Yes")</f>
        <v>Yes</v>
      </c>
      <c r="AI268" t="str">
        <f>IF(TwitterClean[[#This Row],[hashtags]]="null","No","Yes")</f>
        <v>No</v>
      </c>
      <c r="AJ268" t="str">
        <f>IF(TwitterClean[[#This Row],[external_url]]="null","Yes","No")</f>
        <v>No</v>
      </c>
      <c r="AK268">
        <f>LEN(TwitterClean[[#This Row],[description]])</f>
        <v>65</v>
      </c>
      <c r="AL268" t="str">
        <f>IF(TwitterClean[[#This Row],[followers]]&lt;100000,"&lt;100K",IF(TwitterClean[[#This Row],[followers]]&lt;1000000,"100K-1M",IF(TwitterClean[[#This Row],[followers]]&lt;10000000,"1M-10M","10M+")))</f>
        <v>&lt;100K</v>
      </c>
    </row>
    <row r="269" spans="1:38">
      <c r="A269">
        <v>1.8682744609371302E+18</v>
      </c>
      <c r="B269" t="s">
        <v>1656</v>
      </c>
      <c r="C269" t="s">
        <v>1657</v>
      </c>
      <c r="D269" t="s">
        <v>2122</v>
      </c>
      <c r="E269" t="s">
        <v>2123</v>
      </c>
      <c r="F269" t="s">
        <v>29</v>
      </c>
      <c r="G269" t="s">
        <v>2124</v>
      </c>
      <c r="H269" t="s">
        <v>29</v>
      </c>
      <c r="I269">
        <v>73</v>
      </c>
      <c r="J269">
        <v>22</v>
      </c>
      <c r="K269">
        <v>174</v>
      </c>
      <c r="L269">
        <v>13779</v>
      </c>
      <c r="M269" t="s">
        <v>52</v>
      </c>
      <c r="N269" t="s">
        <v>1765</v>
      </c>
      <c r="O269">
        <v>2819409</v>
      </c>
      <c r="P269" t="s">
        <v>1662</v>
      </c>
      <c r="Q269">
        <v>286269</v>
      </c>
      <c r="R269" t="s">
        <v>1663</v>
      </c>
      <c r="S269">
        <v>4</v>
      </c>
      <c r="T269" t="b">
        <v>0</v>
      </c>
      <c r="U269">
        <v>5</v>
      </c>
      <c r="V269">
        <v>1</v>
      </c>
      <c r="W269" t="s">
        <v>35</v>
      </c>
      <c r="X269" t="s">
        <v>29</v>
      </c>
      <c r="Y269" t="s">
        <v>2125</v>
      </c>
      <c r="Z269" t="s">
        <v>37</v>
      </c>
      <c r="AA269">
        <f>TwitterClean[[#This Row],[likes]]+TwitterClean[[#This Row],[replies]]+TwitterClean[[#This Row],[reposts]]+TwitterClean[[#This Row],[quotes]]+TwitterClean[[#This Row],[bookmarks]]</f>
        <v>275</v>
      </c>
      <c r="AB269" s="1">
        <f>TwitterClean[[#This Row],[Total_Engagements]]/TwitterClean[[#This Row],[views]]</f>
        <v>1.9957906959866465E-2</v>
      </c>
      <c r="AC269" s="3">
        <f>DATEVALUE(MID(TwitterClean[[#This Row],[date_posted]],2,10))</f>
        <v>45641</v>
      </c>
      <c r="AD269">
        <f>TIMEVALUE(MID(TwitterClean[[#This Row],[date_posted]],13,8))</f>
        <v>0.52681712962962968</v>
      </c>
      <c r="AE269" s="3" t="str">
        <f>TEXT(TwitterClean[[#This Row],[Post_Date]],"dddd")</f>
        <v>Sunday</v>
      </c>
      <c r="AF269">
        <f>HOUR(TwitterClean[[#This Row],[Post_Time]])</f>
        <v>12</v>
      </c>
      <c r="AG269" t="str">
        <f>IF(TwitterClean[[#This Row],[videos]]="Null","No","Yes")</f>
        <v>Yes</v>
      </c>
      <c r="AH269" t="str">
        <f>IF(TwitterClean[[#This Row],[photos]]="null","No","Yes")</f>
        <v>No</v>
      </c>
      <c r="AI269" t="str">
        <f>IF(TwitterClean[[#This Row],[hashtags]]="null","No","Yes")</f>
        <v>Yes</v>
      </c>
      <c r="AJ269" t="str">
        <f>IF(TwitterClean[[#This Row],[external_url]]="null","Yes","No")</f>
        <v>No</v>
      </c>
      <c r="AK269">
        <f>LEN(TwitterClean[[#This Row],[description]])</f>
        <v>272</v>
      </c>
      <c r="AL269" t="str">
        <f>IF(TwitterClean[[#This Row],[followers]]&lt;100000,"&lt;100K",IF(TwitterClean[[#This Row],[followers]]&lt;1000000,"100K-1M",IF(TwitterClean[[#This Row],[followers]]&lt;10000000,"1M-10M","10M+")))</f>
        <v>1M-10M</v>
      </c>
    </row>
    <row r="270" spans="1:38">
      <c r="A270">
        <v>1.8683230426378696E+18</v>
      </c>
      <c r="B270" t="s">
        <v>3392</v>
      </c>
      <c r="C270" t="s">
        <v>3393</v>
      </c>
      <c r="D270" t="s">
        <v>4769</v>
      </c>
      <c r="E270" t="s">
        <v>4770</v>
      </c>
      <c r="F270" t="s">
        <v>4771</v>
      </c>
      <c r="G270" t="s">
        <v>4772</v>
      </c>
      <c r="H270" t="s">
        <v>29</v>
      </c>
      <c r="I270">
        <v>11</v>
      </c>
      <c r="J270">
        <v>17</v>
      </c>
      <c r="K270">
        <v>409</v>
      </c>
      <c r="L270">
        <v>22304</v>
      </c>
      <c r="M270" t="s">
        <v>52</v>
      </c>
      <c r="N270" t="s">
        <v>3405</v>
      </c>
      <c r="O270">
        <v>1480966</v>
      </c>
      <c r="P270" t="s">
        <v>3399</v>
      </c>
      <c r="Q270">
        <v>103753</v>
      </c>
      <c r="R270" t="s">
        <v>3400</v>
      </c>
      <c r="S270">
        <v>552</v>
      </c>
      <c r="T270" t="b">
        <v>0</v>
      </c>
      <c r="U270">
        <v>4</v>
      </c>
      <c r="V270">
        <v>3</v>
      </c>
      <c r="W270" t="s">
        <v>35</v>
      </c>
      <c r="X270" t="s">
        <v>29</v>
      </c>
      <c r="Y270" t="s">
        <v>29</v>
      </c>
      <c r="Z270" t="s">
        <v>37</v>
      </c>
      <c r="AA270">
        <f>TwitterClean[[#This Row],[likes]]+TwitterClean[[#This Row],[replies]]+TwitterClean[[#This Row],[reposts]]+TwitterClean[[#This Row],[quotes]]+TwitterClean[[#This Row],[bookmarks]]</f>
        <v>444</v>
      </c>
      <c r="AB270" s="1">
        <f>TwitterClean[[#This Row],[Total_Engagements]]/TwitterClean[[#This Row],[views]]</f>
        <v>1.9906743185078908E-2</v>
      </c>
      <c r="AC270" s="3">
        <f>DATEVALUE(MID(TwitterClean[[#This Row],[date_posted]],2,10))</f>
        <v>45641</v>
      </c>
      <c r="AD270">
        <f>TIMEVALUE(MID(TwitterClean[[#This Row],[date_posted]],13,8))</f>
        <v>0.6608680555555555</v>
      </c>
      <c r="AE270" s="3" t="str">
        <f>TEXT(TwitterClean[[#This Row],[Post_Date]],"dddd")</f>
        <v>Sunday</v>
      </c>
      <c r="AF270">
        <f>HOUR(TwitterClean[[#This Row],[Post_Time]])</f>
        <v>15</v>
      </c>
      <c r="AG270" t="str">
        <f>IF(TwitterClean[[#This Row],[videos]]="Null","No","Yes")</f>
        <v>No</v>
      </c>
      <c r="AH270" t="str">
        <f>IF(TwitterClean[[#This Row],[photos]]="null","No","Yes")</f>
        <v>Yes</v>
      </c>
      <c r="AI270" t="str">
        <f>IF(TwitterClean[[#This Row],[hashtags]]="null","No","Yes")</f>
        <v>Yes</v>
      </c>
      <c r="AJ270" t="str">
        <f>IF(TwitterClean[[#This Row],[external_url]]="null","Yes","No")</f>
        <v>No</v>
      </c>
      <c r="AK270">
        <f>LEN(TwitterClean[[#This Row],[description]])</f>
        <v>19</v>
      </c>
      <c r="AL270" t="str">
        <f>IF(TwitterClean[[#This Row],[followers]]&lt;100000,"&lt;100K",IF(TwitterClean[[#This Row],[followers]]&lt;1000000,"100K-1M",IF(TwitterClean[[#This Row],[followers]]&lt;10000000,"1M-10M","10M+")))</f>
        <v>1M-10M</v>
      </c>
    </row>
    <row r="271" spans="1:38">
      <c r="A271">
        <v>1.8682517614896991E+18</v>
      </c>
      <c r="B271" t="s">
        <v>3503</v>
      </c>
      <c r="C271" t="s">
        <v>3504</v>
      </c>
      <c r="D271" t="s">
        <v>3505</v>
      </c>
      <c r="E271" t="s">
        <v>3506</v>
      </c>
      <c r="F271" t="s">
        <v>29</v>
      </c>
      <c r="G271" t="s">
        <v>3507</v>
      </c>
      <c r="H271" t="s">
        <v>3508</v>
      </c>
      <c r="I271">
        <v>2</v>
      </c>
      <c r="J271">
        <v>7</v>
      </c>
      <c r="K271">
        <v>116</v>
      </c>
      <c r="L271">
        <v>6492</v>
      </c>
      <c r="M271" t="s">
        <v>52</v>
      </c>
      <c r="N271" t="s">
        <v>29</v>
      </c>
      <c r="O271">
        <v>78295</v>
      </c>
      <c r="P271" t="s">
        <v>3509</v>
      </c>
      <c r="Q271">
        <v>47736</v>
      </c>
      <c r="R271" t="s">
        <v>3510</v>
      </c>
      <c r="S271">
        <v>489</v>
      </c>
      <c r="T271" t="b">
        <v>0</v>
      </c>
      <c r="U271">
        <v>2</v>
      </c>
      <c r="V271">
        <v>2</v>
      </c>
      <c r="W271" t="s">
        <v>35</v>
      </c>
      <c r="X271" t="s">
        <v>29</v>
      </c>
      <c r="Y271" t="s">
        <v>3511</v>
      </c>
      <c r="Z271" t="s">
        <v>37</v>
      </c>
      <c r="AA271">
        <f>TwitterClean[[#This Row],[likes]]+TwitterClean[[#This Row],[replies]]+TwitterClean[[#This Row],[reposts]]+TwitterClean[[#This Row],[quotes]]+TwitterClean[[#This Row],[bookmarks]]</f>
        <v>129</v>
      </c>
      <c r="AB271" s="1">
        <f>TwitterClean[[#This Row],[Total_Engagements]]/TwitterClean[[#This Row],[views]]</f>
        <v>1.9870609981515713E-2</v>
      </c>
      <c r="AC271" s="3">
        <f>DATEVALUE(MID(TwitterClean[[#This Row],[date_posted]],2,10))</f>
        <v>45641</v>
      </c>
      <c r="AD271">
        <f>TIMEVALUE(MID(TwitterClean[[#This Row],[date_posted]],13,8))</f>
        <v>0.46417824074074077</v>
      </c>
      <c r="AE271" s="3" t="str">
        <f>TEXT(TwitterClean[[#This Row],[Post_Date]],"dddd")</f>
        <v>Sunday</v>
      </c>
      <c r="AF271">
        <f>HOUR(TwitterClean[[#This Row],[Post_Time]])</f>
        <v>11</v>
      </c>
      <c r="AG271" t="str">
        <f>IF(TwitterClean[[#This Row],[videos]]="Null","No","Yes")</f>
        <v>Yes</v>
      </c>
      <c r="AH271" t="str">
        <f>IF(TwitterClean[[#This Row],[photos]]="null","No","Yes")</f>
        <v>No</v>
      </c>
      <c r="AI271" t="str">
        <f>IF(TwitterClean[[#This Row],[hashtags]]="null","No","Yes")</f>
        <v>No</v>
      </c>
      <c r="AJ271" t="str">
        <f>IF(TwitterClean[[#This Row],[external_url]]="null","Yes","No")</f>
        <v>No</v>
      </c>
      <c r="AK271">
        <f>LEN(TwitterClean[[#This Row],[description]])</f>
        <v>99</v>
      </c>
      <c r="AL271" t="str">
        <f>IF(TwitterClean[[#This Row],[followers]]&lt;100000,"&lt;100K",IF(TwitterClean[[#This Row],[followers]]&lt;1000000,"100K-1M",IF(TwitterClean[[#This Row],[followers]]&lt;10000000,"1M-10M","10M+")))</f>
        <v>&lt;100K</v>
      </c>
    </row>
    <row r="272" spans="1:38">
      <c r="A272">
        <v>1.8683818493843256E+18</v>
      </c>
      <c r="B272" t="s">
        <v>1656</v>
      </c>
      <c r="C272" t="s">
        <v>1657</v>
      </c>
      <c r="D272" t="s">
        <v>1762</v>
      </c>
      <c r="E272" t="s">
        <v>1763</v>
      </c>
      <c r="F272" t="s">
        <v>29</v>
      </c>
      <c r="G272" t="s">
        <v>1764</v>
      </c>
      <c r="H272" t="s">
        <v>29</v>
      </c>
      <c r="I272">
        <v>12</v>
      </c>
      <c r="J272">
        <v>31</v>
      </c>
      <c r="K272">
        <v>126</v>
      </c>
      <c r="L272">
        <v>8807</v>
      </c>
      <c r="M272" t="s">
        <v>52</v>
      </c>
      <c r="N272" t="s">
        <v>1765</v>
      </c>
      <c r="O272">
        <v>2819406</v>
      </c>
      <c r="P272" t="s">
        <v>1662</v>
      </c>
      <c r="Q272">
        <v>286268</v>
      </c>
      <c r="R272" t="s">
        <v>1663</v>
      </c>
      <c r="S272">
        <v>4</v>
      </c>
      <c r="T272" t="b">
        <v>0</v>
      </c>
      <c r="U272">
        <v>4</v>
      </c>
      <c r="V272">
        <v>2</v>
      </c>
      <c r="W272" t="s">
        <v>35</v>
      </c>
      <c r="X272" t="s">
        <v>29</v>
      </c>
      <c r="Y272" t="s">
        <v>1766</v>
      </c>
      <c r="Z272" t="s">
        <v>37</v>
      </c>
      <c r="AA272">
        <f>TwitterClean[[#This Row],[likes]]+TwitterClean[[#This Row],[replies]]+TwitterClean[[#This Row],[reposts]]+TwitterClean[[#This Row],[quotes]]+TwitterClean[[#This Row],[bookmarks]]</f>
        <v>175</v>
      </c>
      <c r="AB272" s="1">
        <f>TwitterClean[[#This Row],[Total_Engagements]]/TwitterClean[[#This Row],[views]]</f>
        <v>1.9870557511070738E-2</v>
      </c>
      <c r="AC272" s="3">
        <f>DATEVALUE(MID(TwitterClean[[#This Row],[date_posted]],2,10))</f>
        <v>45641</v>
      </c>
      <c r="AD272">
        <f>TIMEVALUE(MID(TwitterClean[[#This Row],[date_posted]],13,8))</f>
        <v>0.82314814814814818</v>
      </c>
      <c r="AE272" s="3" t="str">
        <f>TEXT(TwitterClean[[#This Row],[Post_Date]],"dddd")</f>
        <v>Sunday</v>
      </c>
      <c r="AF272">
        <f>HOUR(TwitterClean[[#This Row],[Post_Time]])</f>
        <v>19</v>
      </c>
      <c r="AG272" t="str">
        <f>IF(TwitterClean[[#This Row],[videos]]="Null","No","Yes")</f>
        <v>Yes</v>
      </c>
      <c r="AH272" t="str">
        <f>IF(TwitterClean[[#This Row],[photos]]="null","No","Yes")</f>
        <v>No</v>
      </c>
      <c r="AI272" t="str">
        <f>IF(TwitterClean[[#This Row],[hashtags]]="null","No","Yes")</f>
        <v>Yes</v>
      </c>
      <c r="AJ272" t="str">
        <f>IF(TwitterClean[[#This Row],[external_url]]="null","Yes","No")</f>
        <v>No</v>
      </c>
      <c r="AK272">
        <f>LEN(TwitterClean[[#This Row],[description]])</f>
        <v>158</v>
      </c>
      <c r="AL272" t="str">
        <f>IF(TwitterClean[[#This Row],[followers]]&lt;100000,"&lt;100K",IF(TwitterClean[[#This Row],[followers]]&lt;1000000,"100K-1M",IF(TwitterClean[[#This Row],[followers]]&lt;10000000,"1M-10M","10M+")))</f>
        <v>1M-10M</v>
      </c>
    </row>
    <row r="273" spans="1:38">
      <c r="A273">
        <v>1.8684218496269394E+18</v>
      </c>
      <c r="B273" t="s">
        <v>1862</v>
      </c>
      <c r="C273" t="s">
        <v>1863</v>
      </c>
      <c r="D273" t="s">
        <v>1946</v>
      </c>
      <c r="E273" t="s">
        <v>1947</v>
      </c>
      <c r="F273" t="s">
        <v>29</v>
      </c>
      <c r="G273" t="s">
        <v>1948</v>
      </c>
      <c r="H273" t="s">
        <v>29</v>
      </c>
      <c r="I273">
        <v>95</v>
      </c>
      <c r="J273">
        <v>64</v>
      </c>
      <c r="K273">
        <v>934</v>
      </c>
      <c r="L273">
        <v>60599</v>
      </c>
      <c r="M273" t="s">
        <v>52</v>
      </c>
      <c r="N273" t="s">
        <v>1867</v>
      </c>
      <c r="O273">
        <v>13492430</v>
      </c>
      <c r="P273" t="s">
        <v>1868</v>
      </c>
      <c r="Q273">
        <v>314515</v>
      </c>
      <c r="R273" t="s">
        <v>1869</v>
      </c>
      <c r="S273">
        <v>708</v>
      </c>
      <c r="T273" t="b">
        <v>0</v>
      </c>
      <c r="U273">
        <v>83</v>
      </c>
      <c r="V273">
        <v>28</v>
      </c>
      <c r="W273" t="s">
        <v>35</v>
      </c>
      <c r="X273" t="s">
        <v>29</v>
      </c>
      <c r="Y273" t="s">
        <v>1949</v>
      </c>
      <c r="Z273" t="s">
        <v>37</v>
      </c>
      <c r="AA273">
        <f>TwitterClean[[#This Row],[likes]]+TwitterClean[[#This Row],[replies]]+TwitterClean[[#This Row],[reposts]]+TwitterClean[[#This Row],[quotes]]+TwitterClean[[#This Row],[bookmarks]]</f>
        <v>1204</v>
      </c>
      <c r="AB273" s="1">
        <f>TwitterClean[[#This Row],[Total_Engagements]]/TwitterClean[[#This Row],[views]]</f>
        <v>1.9868314658657734E-2</v>
      </c>
      <c r="AC273" s="3">
        <f>DATEVALUE(MID(TwitterClean[[#This Row],[date_posted]],2,10))</f>
        <v>45641</v>
      </c>
      <c r="AD273">
        <f>TIMEVALUE(MID(TwitterClean[[#This Row],[date_posted]],13,8))</f>
        <v>0.93353009259259256</v>
      </c>
      <c r="AE273" s="3" t="str">
        <f>TEXT(TwitterClean[[#This Row],[Post_Date]],"dddd")</f>
        <v>Sunday</v>
      </c>
      <c r="AF273">
        <f>HOUR(TwitterClean[[#This Row],[Post_Time]])</f>
        <v>22</v>
      </c>
      <c r="AG273" t="str">
        <f>IF(TwitterClean[[#This Row],[videos]]="Null","No","Yes")</f>
        <v>Yes</v>
      </c>
      <c r="AH273" t="str">
        <f>IF(TwitterClean[[#This Row],[photos]]="null","No","Yes")</f>
        <v>No</v>
      </c>
      <c r="AI273" t="str">
        <f>IF(TwitterClean[[#This Row],[hashtags]]="null","No","Yes")</f>
        <v>Yes</v>
      </c>
      <c r="AJ273" t="str">
        <f>IF(TwitterClean[[#This Row],[external_url]]="null","Yes","No")</f>
        <v>No</v>
      </c>
      <c r="AK273">
        <f>LEN(TwitterClean[[#This Row],[description]])</f>
        <v>107</v>
      </c>
      <c r="AL273" t="str">
        <f>IF(TwitterClean[[#This Row],[followers]]&lt;100000,"&lt;100K",IF(TwitterClean[[#This Row],[followers]]&lt;1000000,"100K-1M",IF(TwitterClean[[#This Row],[followers]]&lt;10000000,"1M-10M","10M+")))</f>
        <v>10M+</v>
      </c>
    </row>
    <row r="274" spans="1:38">
      <c r="A274">
        <v>1.8681833995021148E+18</v>
      </c>
      <c r="B274" t="s">
        <v>3034</v>
      </c>
      <c r="C274" t="s">
        <v>3035</v>
      </c>
      <c r="D274" t="s">
        <v>3054</v>
      </c>
      <c r="E274" t="s">
        <v>3055</v>
      </c>
      <c r="F274" t="s">
        <v>29</v>
      </c>
      <c r="G274" t="s">
        <v>3056</v>
      </c>
      <c r="H274" t="s">
        <v>3052</v>
      </c>
      <c r="I274">
        <v>114</v>
      </c>
      <c r="J274">
        <v>212</v>
      </c>
      <c r="K274">
        <v>3654</v>
      </c>
      <c r="L274">
        <v>205527</v>
      </c>
      <c r="M274" t="s">
        <v>52</v>
      </c>
      <c r="N274" t="s">
        <v>3040</v>
      </c>
      <c r="O274">
        <v>12876593</v>
      </c>
      <c r="P274" t="s">
        <v>3041</v>
      </c>
      <c r="Q274">
        <v>141401</v>
      </c>
      <c r="R274" t="s">
        <v>3042</v>
      </c>
      <c r="S274">
        <v>717</v>
      </c>
      <c r="T274" t="b">
        <v>0</v>
      </c>
      <c r="U274">
        <v>13</v>
      </c>
      <c r="V274">
        <v>89</v>
      </c>
      <c r="W274" t="s">
        <v>35</v>
      </c>
      <c r="X274" t="s">
        <v>29</v>
      </c>
      <c r="Y274" t="s">
        <v>3057</v>
      </c>
      <c r="Z274" t="s">
        <v>37</v>
      </c>
      <c r="AA274">
        <f>TwitterClean[[#This Row],[likes]]+TwitterClean[[#This Row],[replies]]+TwitterClean[[#This Row],[reposts]]+TwitterClean[[#This Row],[quotes]]+TwitterClean[[#This Row],[bookmarks]]</f>
        <v>4082</v>
      </c>
      <c r="AB274" s="1">
        <f>TwitterClean[[#This Row],[Total_Engagements]]/TwitterClean[[#This Row],[views]]</f>
        <v>1.9861137466123672E-2</v>
      </c>
      <c r="AC274" s="3">
        <f>DATEVALUE(MID(TwitterClean[[#This Row],[date_posted]],2,10))</f>
        <v>45641</v>
      </c>
      <c r="AD274">
        <f>TIMEVALUE(MID(TwitterClean[[#This Row],[date_posted]],13,8))</f>
        <v>0.27553240740740742</v>
      </c>
      <c r="AE274" s="3" t="str">
        <f>TEXT(TwitterClean[[#This Row],[Post_Date]],"dddd")</f>
        <v>Sunday</v>
      </c>
      <c r="AF274">
        <f>HOUR(TwitterClean[[#This Row],[Post_Time]])</f>
        <v>6</v>
      </c>
      <c r="AG274" t="str">
        <f>IF(TwitterClean[[#This Row],[videos]]="Null","No","Yes")</f>
        <v>Yes</v>
      </c>
      <c r="AH274" t="str">
        <f>IF(TwitterClean[[#This Row],[photos]]="null","No","Yes")</f>
        <v>No</v>
      </c>
      <c r="AI274" t="str">
        <f>IF(TwitterClean[[#This Row],[hashtags]]="null","No","Yes")</f>
        <v>Yes</v>
      </c>
      <c r="AJ274" t="str">
        <f>IF(TwitterClean[[#This Row],[external_url]]="null","Yes","No")</f>
        <v>No</v>
      </c>
      <c r="AK274">
        <f>LEN(TwitterClean[[#This Row],[description]])</f>
        <v>58</v>
      </c>
      <c r="AL274" t="str">
        <f>IF(TwitterClean[[#This Row],[followers]]&lt;100000,"&lt;100K",IF(TwitterClean[[#This Row],[followers]]&lt;1000000,"100K-1M",IF(TwitterClean[[#This Row],[followers]]&lt;10000000,"1M-10M","10M+")))</f>
        <v>10M+</v>
      </c>
    </row>
    <row r="275" spans="1:38">
      <c r="A275">
        <v>1.868378816789312E+18</v>
      </c>
      <c r="B275" t="s">
        <v>1862</v>
      </c>
      <c r="C275" t="s">
        <v>1863</v>
      </c>
      <c r="D275" t="s">
        <v>1910</v>
      </c>
      <c r="E275" t="s">
        <v>1911</v>
      </c>
      <c r="F275" t="s">
        <v>1912</v>
      </c>
      <c r="G275" t="s">
        <v>1913</v>
      </c>
      <c r="H275" t="s">
        <v>1914</v>
      </c>
      <c r="I275">
        <v>2</v>
      </c>
      <c r="J275">
        <v>18</v>
      </c>
      <c r="K275">
        <v>174</v>
      </c>
      <c r="L275">
        <v>9979</v>
      </c>
      <c r="M275" t="s">
        <v>52</v>
      </c>
      <c r="N275" t="s">
        <v>1867</v>
      </c>
      <c r="O275">
        <v>13492430</v>
      </c>
      <c r="P275" t="s">
        <v>1868</v>
      </c>
      <c r="Q275">
        <v>314515</v>
      </c>
      <c r="R275" t="s">
        <v>1869</v>
      </c>
      <c r="S275">
        <v>708</v>
      </c>
      <c r="T275" t="b">
        <v>0</v>
      </c>
      <c r="U275">
        <v>0</v>
      </c>
      <c r="V275">
        <v>4</v>
      </c>
      <c r="W275" t="s">
        <v>35</v>
      </c>
      <c r="X275" t="s">
        <v>29</v>
      </c>
      <c r="Y275" t="s">
        <v>29</v>
      </c>
      <c r="Z275" t="s">
        <v>37</v>
      </c>
      <c r="AA275">
        <f>TwitterClean[[#This Row],[likes]]+TwitterClean[[#This Row],[replies]]+TwitterClean[[#This Row],[reposts]]+TwitterClean[[#This Row],[quotes]]+TwitterClean[[#This Row],[bookmarks]]</f>
        <v>198</v>
      </c>
      <c r="AB275" s="1">
        <f>TwitterClean[[#This Row],[Total_Engagements]]/TwitterClean[[#This Row],[views]]</f>
        <v>1.9841667501753684E-2</v>
      </c>
      <c r="AC275" s="3">
        <f>DATEVALUE(MID(TwitterClean[[#This Row],[date_posted]],2,10))</f>
        <v>45641</v>
      </c>
      <c r="AD275">
        <f>TIMEVALUE(MID(TwitterClean[[#This Row],[date_posted]],13,8))</f>
        <v>0.81478009259259254</v>
      </c>
      <c r="AE275" s="3" t="str">
        <f>TEXT(TwitterClean[[#This Row],[Post_Date]],"dddd")</f>
        <v>Sunday</v>
      </c>
      <c r="AF275">
        <f>HOUR(TwitterClean[[#This Row],[Post_Time]])</f>
        <v>19</v>
      </c>
      <c r="AG275" t="str">
        <f>IF(TwitterClean[[#This Row],[videos]]="Null","No","Yes")</f>
        <v>No</v>
      </c>
      <c r="AH275" t="str">
        <f>IF(TwitterClean[[#This Row],[photos]]="null","No","Yes")</f>
        <v>Yes</v>
      </c>
      <c r="AI275" t="str">
        <f>IF(TwitterClean[[#This Row],[hashtags]]="null","No","Yes")</f>
        <v>Yes</v>
      </c>
      <c r="AJ275" t="str">
        <f>IF(TwitterClean[[#This Row],[external_url]]="null","Yes","No")</f>
        <v>No</v>
      </c>
      <c r="AK275">
        <f>LEN(TwitterClean[[#This Row],[description]])</f>
        <v>114</v>
      </c>
      <c r="AL275" t="str">
        <f>IF(TwitterClean[[#This Row],[followers]]&lt;100000,"&lt;100K",IF(TwitterClean[[#This Row],[followers]]&lt;1000000,"100K-1M",IF(TwitterClean[[#This Row],[followers]]&lt;10000000,"1M-10M","10M+")))</f>
        <v>10M+</v>
      </c>
    </row>
    <row r="276" spans="1:38">
      <c r="A276">
        <v>1.8682693769501701E+18</v>
      </c>
      <c r="B276" t="s">
        <v>3392</v>
      </c>
      <c r="C276" t="s">
        <v>3393</v>
      </c>
      <c r="D276" t="s">
        <v>5164</v>
      </c>
      <c r="E276" t="s">
        <v>5165</v>
      </c>
      <c r="F276" t="s">
        <v>5166</v>
      </c>
      <c r="G276" t="s">
        <v>5167</v>
      </c>
      <c r="H276" t="s">
        <v>29</v>
      </c>
      <c r="I276">
        <v>14</v>
      </c>
      <c r="J276">
        <v>11</v>
      </c>
      <c r="K276">
        <v>634</v>
      </c>
      <c r="L276">
        <v>33415</v>
      </c>
      <c r="M276" t="s">
        <v>52</v>
      </c>
      <c r="N276" t="s">
        <v>3405</v>
      </c>
      <c r="O276">
        <v>1480966</v>
      </c>
      <c r="P276" t="s">
        <v>3399</v>
      </c>
      <c r="Q276">
        <v>103753</v>
      </c>
      <c r="R276" t="s">
        <v>3400</v>
      </c>
      <c r="S276">
        <v>552</v>
      </c>
      <c r="T276" t="b">
        <v>0</v>
      </c>
      <c r="U276">
        <v>2</v>
      </c>
      <c r="V276">
        <v>2</v>
      </c>
      <c r="W276" t="s">
        <v>35</v>
      </c>
      <c r="X276" t="s">
        <v>29</v>
      </c>
      <c r="Y276" t="s">
        <v>29</v>
      </c>
      <c r="Z276" t="s">
        <v>37</v>
      </c>
      <c r="AA276">
        <f>TwitterClean[[#This Row],[likes]]+TwitterClean[[#This Row],[replies]]+TwitterClean[[#This Row],[reposts]]+TwitterClean[[#This Row],[quotes]]+TwitterClean[[#This Row],[bookmarks]]</f>
        <v>663</v>
      </c>
      <c r="AB276" s="1">
        <f>TwitterClean[[#This Row],[Total_Engagements]]/TwitterClean[[#This Row],[views]]</f>
        <v>1.9841388597935061E-2</v>
      </c>
      <c r="AC276" s="3">
        <f>DATEVALUE(MID(TwitterClean[[#This Row],[date_posted]],2,10))</f>
        <v>45641</v>
      </c>
      <c r="AD276">
        <f>TIMEVALUE(MID(TwitterClean[[#This Row],[date_posted]],13,8))</f>
        <v>0.51277777777777778</v>
      </c>
      <c r="AE276" s="3" t="str">
        <f>TEXT(TwitterClean[[#This Row],[Post_Date]],"dddd")</f>
        <v>Sunday</v>
      </c>
      <c r="AF276">
        <f>HOUR(TwitterClean[[#This Row],[Post_Time]])</f>
        <v>12</v>
      </c>
      <c r="AG276" t="str">
        <f>IF(TwitterClean[[#This Row],[videos]]="Null","No","Yes")</f>
        <v>No</v>
      </c>
      <c r="AH276" t="str">
        <f>IF(TwitterClean[[#This Row],[photos]]="null","No","Yes")</f>
        <v>Yes</v>
      </c>
      <c r="AI276" t="str">
        <f>IF(TwitterClean[[#This Row],[hashtags]]="null","No","Yes")</f>
        <v>Yes</v>
      </c>
      <c r="AJ276" t="str">
        <f>IF(TwitterClean[[#This Row],[external_url]]="null","Yes","No")</f>
        <v>No</v>
      </c>
      <c r="AK276">
        <f>LEN(TwitterClean[[#This Row],[description]])</f>
        <v>35</v>
      </c>
      <c r="AL276" t="str">
        <f>IF(TwitterClean[[#This Row],[followers]]&lt;100000,"&lt;100K",IF(TwitterClean[[#This Row],[followers]]&lt;1000000,"100K-1M",IF(TwitterClean[[#This Row],[followers]]&lt;10000000,"1M-10M","10M+")))</f>
        <v>1M-10M</v>
      </c>
    </row>
    <row r="277" spans="1:38">
      <c r="A277">
        <v>1.8683923999630666E+18</v>
      </c>
      <c r="B277" t="s">
        <v>1862</v>
      </c>
      <c r="C277" t="s">
        <v>1863</v>
      </c>
      <c r="D277" t="s">
        <v>2075</v>
      </c>
      <c r="E277" t="s">
        <v>2076</v>
      </c>
      <c r="F277" t="s">
        <v>29</v>
      </c>
      <c r="G277" t="s">
        <v>2077</v>
      </c>
      <c r="H277" t="s">
        <v>2078</v>
      </c>
      <c r="I277">
        <v>8</v>
      </c>
      <c r="J277">
        <v>31</v>
      </c>
      <c r="K277">
        <v>159</v>
      </c>
      <c r="L277">
        <v>11001</v>
      </c>
      <c r="M277" t="s">
        <v>52</v>
      </c>
      <c r="N277" t="s">
        <v>1867</v>
      </c>
      <c r="O277">
        <v>13492372</v>
      </c>
      <c r="P277" t="s">
        <v>1868</v>
      </c>
      <c r="Q277">
        <v>314515</v>
      </c>
      <c r="R277" t="s">
        <v>1869</v>
      </c>
      <c r="S277">
        <v>708</v>
      </c>
      <c r="T277" t="b">
        <v>0</v>
      </c>
      <c r="U277">
        <v>10</v>
      </c>
      <c r="V277">
        <v>10</v>
      </c>
      <c r="W277" t="s">
        <v>35</v>
      </c>
      <c r="X277" t="s">
        <v>29</v>
      </c>
      <c r="Y277" t="s">
        <v>2079</v>
      </c>
      <c r="Z277" t="s">
        <v>37</v>
      </c>
      <c r="AA277">
        <f>TwitterClean[[#This Row],[likes]]+TwitterClean[[#This Row],[replies]]+TwitterClean[[#This Row],[reposts]]+TwitterClean[[#This Row],[quotes]]+TwitterClean[[#This Row],[bookmarks]]</f>
        <v>218</v>
      </c>
      <c r="AB277" s="1">
        <f>TwitterClean[[#This Row],[Total_Engagements]]/TwitterClean[[#This Row],[views]]</f>
        <v>1.9816380329060995E-2</v>
      </c>
      <c r="AC277" s="3">
        <f>DATEVALUE(MID(TwitterClean[[#This Row],[date_posted]],2,10))</f>
        <v>45641</v>
      </c>
      <c r="AD277">
        <f>TIMEVALUE(MID(TwitterClean[[#This Row],[date_posted]],13,8))</f>
        <v>0.85225694444444444</v>
      </c>
      <c r="AE277" s="3" t="str">
        <f>TEXT(TwitterClean[[#This Row],[Post_Date]],"dddd")</f>
        <v>Sunday</v>
      </c>
      <c r="AF277">
        <f>HOUR(TwitterClean[[#This Row],[Post_Time]])</f>
        <v>20</v>
      </c>
      <c r="AG277" t="str">
        <f>IF(TwitterClean[[#This Row],[videos]]="Null","No","Yes")</f>
        <v>Yes</v>
      </c>
      <c r="AH277" t="str">
        <f>IF(TwitterClean[[#This Row],[photos]]="null","No","Yes")</f>
        <v>No</v>
      </c>
      <c r="AI277" t="str">
        <f>IF(TwitterClean[[#This Row],[hashtags]]="null","No","Yes")</f>
        <v>Yes</v>
      </c>
      <c r="AJ277" t="str">
        <f>IF(TwitterClean[[#This Row],[external_url]]="null","Yes","No")</f>
        <v>No</v>
      </c>
      <c r="AK277">
        <f>LEN(TwitterClean[[#This Row],[description]])</f>
        <v>128</v>
      </c>
      <c r="AL277" t="str">
        <f>IF(TwitterClean[[#This Row],[followers]]&lt;100000,"&lt;100K",IF(TwitterClean[[#This Row],[followers]]&lt;1000000,"100K-1M",IF(TwitterClean[[#This Row],[followers]]&lt;10000000,"1M-10M","10M+")))</f>
        <v>10M+</v>
      </c>
    </row>
    <row r="278" spans="1:38">
      <c r="A278">
        <v>1.8683428146705372E+18</v>
      </c>
      <c r="B278" t="s">
        <v>2230</v>
      </c>
      <c r="C278" t="s">
        <v>2231</v>
      </c>
      <c r="D278" t="s">
        <v>2544</v>
      </c>
      <c r="E278" t="s">
        <v>2545</v>
      </c>
      <c r="F278" t="s">
        <v>2546</v>
      </c>
      <c r="G278" t="s">
        <v>2547</v>
      </c>
      <c r="H278" t="s">
        <v>29</v>
      </c>
      <c r="I278">
        <v>63</v>
      </c>
      <c r="J278">
        <v>352</v>
      </c>
      <c r="K278">
        <v>827</v>
      </c>
      <c r="L278">
        <v>65783</v>
      </c>
      <c r="M278" t="s">
        <v>2548</v>
      </c>
      <c r="N278" t="s">
        <v>29</v>
      </c>
      <c r="O278">
        <v>3313888</v>
      </c>
      <c r="P278" t="s">
        <v>2237</v>
      </c>
      <c r="Q278">
        <v>706459</v>
      </c>
      <c r="R278" t="s">
        <v>2238</v>
      </c>
      <c r="S278">
        <v>10308</v>
      </c>
      <c r="T278" t="b">
        <v>0</v>
      </c>
      <c r="U278">
        <v>24</v>
      </c>
      <c r="V278">
        <v>32</v>
      </c>
      <c r="W278" t="s">
        <v>35</v>
      </c>
      <c r="X278" t="s">
        <v>29</v>
      </c>
      <c r="Y278" t="s">
        <v>29</v>
      </c>
      <c r="Z278" t="s">
        <v>37</v>
      </c>
      <c r="AA278">
        <f>TwitterClean[[#This Row],[likes]]+TwitterClean[[#This Row],[replies]]+TwitterClean[[#This Row],[reposts]]+TwitterClean[[#This Row],[quotes]]+TwitterClean[[#This Row],[bookmarks]]</f>
        <v>1298</v>
      </c>
      <c r="AB278" s="1">
        <f>TwitterClean[[#This Row],[Total_Engagements]]/TwitterClean[[#This Row],[views]]</f>
        <v>1.9731541583691836E-2</v>
      </c>
      <c r="AC278" s="3">
        <f>DATEVALUE(MID(TwitterClean[[#This Row],[date_posted]],2,10))</f>
        <v>45641</v>
      </c>
      <c r="AD278">
        <f>TIMEVALUE(MID(TwitterClean[[#This Row],[date_posted]],13,8))</f>
        <v>0.71542824074074074</v>
      </c>
      <c r="AE278" s="3" t="str">
        <f>TEXT(TwitterClean[[#This Row],[Post_Date]],"dddd")</f>
        <v>Sunday</v>
      </c>
      <c r="AF278">
        <f>HOUR(TwitterClean[[#This Row],[Post_Time]])</f>
        <v>17</v>
      </c>
      <c r="AG278" t="str">
        <f>IF(TwitterClean[[#This Row],[videos]]="Null","No","Yes")</f>
        <v>No</v>
      </c>
      <c r="AH278" t="str">
        <f>IF(TwitterClean[[#This Row],[photos]]="null","No","Yes")</f>
        <v>Yes</v>
      </c>
      <c r="AI278" t="str">
        <f>IF(TwitterClean[[#This Row],[hashtags]]="null","No","Yes")</f>
        <v>No</v>
      </c>
      <c r="AJ278" t="str">
        <f>IF(TwitterClean[[#This Row],[external_url]]="null","Yes","No")</f>
        <v>No</v>
      </c>
      <c r="AK278">
        <f>LEN(TwitterClean[[#This Row],[description]])</f>
        <v>95</v>
      </c>
      <c r="AL278" t="str">
        <f>IF(TwitterClean[[#This Row],[followers]]&lt;100000,"&lt;100K",IF(TwitterClean[[#This Row],[followers]]&lt;1000000,"100K-1M",IF(TwitterClean[[#This Row],[followers]]&lt;10000000,"1M-10M","10M+")))</f>
        <v>1M-10M</v>
      </c>
    </row>
    <row r="279" spans="1:38">
      <c r="A279">
        <v>1.8684364827230331E+18</v>
      </c>
      <c r="B279" t="s">
        <v>1862</v>
      </c>
      <c r="C279" t="s">
        <v>1863</v>
      </c>
      <c r="D279" t="s">
        <v>1981</v>
      </c>
      <c r="E279" t="s">
        <v>1982</v>
      </c>
      <c r="F279" t="s">
        <v>29</v>
      </c>
      <c r="G279" t="s">
        <v>1983</v>
      </c>
      <c r="H279" t="s">
        <v>29</v>
      </c>
      <c r="I279">
        <v>8</v>
      </c>
      <c r="J279">
        <v>22</v>
      </c>
      <c r="K279">
        <v>156</v>
      </c>
      <c r="L279">
        <v>10164</v>
      </c>
      <c r="M279" t="s">
        <v>52</v>
      </c>
      <c r="N279" t="s">
        <v>1867</v>
      </c>
      <c r="O279">
        <v>13492430</v>
      </c>
      <c r="P279" t="s">
        <v>1868</v>
      </c>
      <c r="Q279">
        <v>314515</v>
      </c>
      <c r="R279" t="s">
        <v>1869</v>
      </c>
      <c r="S279">
        <v>708</v>
      </c>
      <c r="T279" t="b">
        <v>0</v>
      </c>
      <c r="U279">
        <v>4</v>
      </c>
      <c r="V279">
        <v>10</v>
      </c>
      <c r="W279" t="s">
        <v>35</v>
      </c>
      <c r="X279" t="s">
        <v>29</v>
      </c>
      <c r="Y279" t="s">
        <v>1984</v>
      </c>
      <c r="Z279" t="s">
        <v>37</v>
      </c>
      <c r="AA279">
        <f>TwitterClean[[#This Row],[likes]]+TwitterClean[[#This Row],[replies]]+TwitterClean[[#This Row],[reposts]]+TwitterClean[[#This Row],[quotes]]+TwitterClean[[#This Row],[bookmarks]]</f>
        <v>200</v>
      </c>
      <c r="AB279" s="1">
        <f>TwitterClean[[#This Row],[Total_Engagements]]/TwitterClean[[#This Row],[views]]</f>
        <v>1.967729240456513E-2</v>
      </c>
      <c r="AC279" s="3">
        <f>DATEVALUE(MID(TwitterClean[[#This Row],[date_posted]],2,10))</f>
        <v>45641</v>
      </c>
      <c r="AD279">
        <f>TIMEVALUE(MID(TwitterClean[[#This Row],[date_posted]],13,8))</f>
        <v>0.97391203703703699</v>
      </c>
      <c r="AE279" s="3" t="str">
        <f>TEXT(TwitterClean[[#This Row],[Post_Date]],"dddd")</f>
        <v>Sunday</v>
      </c>
      <c r="AF279">
        <f>HOUR(TwitterClean[[#This Row],[Post_Time]])</f>
        <v>23</v>
      </c>
      <c r="AG279" t="str">
        <f>IF(TwitterClean[[#This Row],[videos]]="Null","No","Yes")</f>
        <v>Yes</v>
      </c>
      <c r="AH279" t="str">
        <f>IF(TwitterClean[[#This Row],[photos]]="null","No","Yes")</f>
        <v>No</v>
      </c>
      <c r="AI279" t="str">
        <f>IF(TwitterClean[[#This Row],[hashtags]]="null","No","Yes")</f>
        <v>Yes</v>
      </c>
      <c r="AJ279" t="str">
        <f>IF(TwitterClean[[#This Row],[external_url]]="null","Yes","No")</f>
        <v>No</v>
      </c>
      <c r="AK279">
        <f>LEN(TwitterClean[[#This Row],[description]])</f>
        <v>74</v>
      </c>
      <c r="AL279" t="str">
        <f>IF(TwitterClean[[#This Row],[followers]]&lt;100000,"&lt;100K",IF(TwitterClean[[#This Row],[followers]]&lt;1000000,"100K-1M",IF(TwitterClean[[#This Row],[followers]]&lt;10000000,"1M-10M","10M+")))</f>
        <v>10M+</v>
      </c>
    </row>
    <row r="280" spans="1:38">
      <c r="A280">
        <v>1.8683035541018586E+18</v>
      </c>
      <c r="B280" t="s">
        <v>2474</v>
      </c>
      <c r="C280" t="s">
        <v>2475</v>
      </c>
      <c r="D280" t="s">
        <v>5012</v>
      </c>
      <c r="E280" t="s">
        <v>5013</v>
      </c>
      <c r="F280" t="s">
        <v>5014</v>
      </c>
      <c r="G280" t="s">
        <v>5015</v>
      </c>
      <c r="H280" t="s">
        <v>5016</v>
      </c>
      <c r="I280">
        <v>6</v>
      </c>
      <c r="J280">
        <v>36</v>
      </c>
      <c r="K280">
        <v>334</v>
      </c>
      <c r="L280">
        <v>19473</v>
      </c>
      <c r="M280" t="s">
        <v>52</v>
      </c>
      <c r="N280" t="s">
        <v>5017</v>
      </c>
      <c r="O280">
        <v>1511302</v>
      </c>
      <c r="P280" t="s">
        <v>2481</v>
      </c>
      <c r="Q280">
        <v>56647</v>
      </c>
      <c r="R280" t="s">
        <v>2482</v>
      </c>
      <c r="S280">
        <v>80</v>
      </c>
      <c r="T280" t="b">
        <v>0</v>
      </c>
      <c r="U280">
        <v>3</v>
      </c>
      <c r="V280">
        <v>4</v>
      </c>
      <c r="W280" t="s">
        <v>35</v>
      </c>
      <c r="X280" t="s">
        <v>29</v>
      </c>
      <c r="Y280" t="s">
        <v>29</v>
      </c>
      <c r="Z280" t="s">
        <v>37</v>
      </c>
      <c r="AA280">
        <f>TwitterClean[[#This Row],[likes]]+TwitterClean[[#This Row],[replies]]+TwitterClean[[#This Row],[reposts]]+TwitterClean[[#This Row],[quotes]]+TwitterClean[[#This Row],[bookmarks]]</f>
        <v>383</v>
      </c>
      <c r="AB280" s="1">
        <f>TwitterClean[[#This Row],[Total_Engagements]]/TwitterClean[[#This Row],[views]]</f>
        <v>1.9668258614491861E-2</v>
      </c>
      <c r="AC280" s="3">
        <f>DATEVALUE(MID(TwitterClean[[#This Row],[date_posted]],2,10))</f>
        <v>45641</v>
      </c>
      <c r="AD280">
        <f>TIMEVALUE(MID(TwitterClean[[#This Row],[date_posted]],13,8))</f>
        <v>0.60709490740740746</v>
      </c>
      <c r="AE280" s="3" t="str">
        <f>TEXT(TwitterClean[[#This Row],[Post_Date]],"dddd")</f>
        <v>Sunday</v>
      </c>
      <c r="AF280">
        <f>HOUR(TwitterClean[[#This Row],[Post_Time]])</f>
        <v>14</v>
      </c>
      <c r="AG280" t="str">
        <f>IF(TwitterClean[[#This Row],[videos]]="Null","No","Yes")</f>
        <v>No</v>
      </c>
      <c r="AH280" t="str">
        <f>IF(TwitterClean[[#This Row],[photos]]="null","No","Yes")</f>
        <v>Yes</v>
      </c>
      <c r="AI280" t="str">
        <f>IF(TwitterClean[[#This Row],[hashtags]]="null","No","Yes")</f>
        <v>Yes</v>
      </c>
      <c r="AJ280" t="str">
        <f>IF(TwitterClean[[#This Row],[external_url]]="null","Yes","No")</f>
        <v>No</v>
      </c>
      <c r="AK280">
        <f>LEN(TwitterClean[[#This Row],[description]])</f>
        <v>213</v>
      </c>
      <c r="AL280" t="str">
        <f>IF(TwitterClean[[#This Row],[followers]]&lt;100000,"&lt;100K",IF(TwitterClean[[#This Row],[followers]]&lt;1000000,"100K-1M",IF(TwitterClean[[#This Row],[followers]]&lt;10000000,"1M-10M","10M+")))</f>
        <v>1M-10M</v>
      </c>
    </row>
    <row r="281" spans="1:38">
      <c r="A281">
        <v>1.8683104680725012E+18</v>
      </c>
      <c r="B281" t="s">
        <v>333</v>
      </c>
      <c r="C281" t="s">
        <v>334</v>
      </c>
      <c r="D281" t="s">
        <v>485</v>
      </c>
      <c r="E281" t="s">
        <v>486</v>
      </c>
      <c r="F281" t="s">
        <v>487</v>
      </c>
      <c r="G281" t="s">
        <v>488</v>
      </c>
      <c r="H281" t="s">
        <v>489</v>
      </c>
      <c r="I281">
        <v>1</v>
      </c>
      <c r="J281">
        <v>10</v>
      </c>
      <c r="K281">
        <v>191</v>
      </c>
      <c r="L281">
        <v>10393</v>
      </c>
      <c r="M281" t="s">
        <v>52</v>
      </c>
      <c r="N281" t="s">
        <v>340</v>
      </c>
      <c r="O281">
        <v>337839</v>
      </c>
      <c r="P281" t="s">
        <v>341</v>
      </c>
      <c r="Q281">
        <v>57638</v>
      </c>
      <c r="R281" t="s">
        <v>342</v>
      </c>
      <c r="S281">
        <v>587</v>
      </c>
      <c r="T281" t="b">
        <v>0</v>
      </c>
      <c r="U281">
        <v>1</v>
      </c>
      <c r="V281">
        <v>1</v>
      </c>
      <c r="W281" t="s">
        <v>35</v>
      </c>
      <c r="X281" t="s">
        <v>29</v>
      </c>
      <c r="Y281" t="s">
        <v>29</v>
      </c>
      <c r="Z281" t="s">
        <v>37</v>
      </c>
      <c r="AA281">
        <f>TwitterClean[[#This Row],[likes]]+TwitterClean[[#This Row],[replies]]+TwitterClean[[#This Row],[reposts]]+TwitterClean[[#This Row],[quotes]]+TwitterClean[[#This Row],[bookmarks]]</f>
        <v>204</v>
      </c>
      <c r="AB281" s="1">
        <f>TwitterClean[[#This Row],[Total_Engagements]]/TwitterClean[[#This Row],[views]]</f>
        <v>1.9628596170499373E-2</v>
      </c>
      <c r="AC281" s="3">
        <f>DATEVALUE(MID(TwitterClean[[#This Row],[date_posted]],2,10))</f>
        <v>45641</v>
      </c>
      <c r="AD281">
        <f>TIMEVALUE(MID(TwitterClean[[#This Row],[date_posted]],13,8))</f>
        <v>0.62616898148148148</v>
      </c>
      <c r="AE281" s="3" t="str">
        <f>TEXT(TwitterClean[[#This Row],[Post_Date]],"dddd")</f>
        <v>Sunday</v>
      </c>
      <c r="AF281">
        <f>HOUR(TwitterClean[[#This Row],[Post_Time]])</f>
        <v>15</v>
      </c>
      <c r="AG281" t="str">
        <f>IF(TwitterClean[[#This Row],[videos]]="Null","No","Yes")</f>
        <v>No</v>
      </c>
      <c r="AH281" t="str">
        <f>IF(TwitterClean[[#This Row],[photos]]="null","No","Yes")</f>
        <v>Yes</v>
      </c>
      <c r="AI281" t="str">
        <f>IF(TwitterClean[[#This Row],[hashtags]]="null","No","Yes")</f>
        <v>Yes</v>
      </c>
      <c r="AJ281" t="str">
        <f>IF(TwitterClean[[#This Row],[external_url]]="null","Yes","No")</f>
        <v>No</v>
      </c>
      <c r="AK281">
        <f>LEN(TwitterClean[[#This Row],[description]])</f>
        <v>76</v>
      </c>
      <c r="AL281" t="str">
        <f>IF(TwitterClean[[#This Row],[followers]]&lt;100000,"&lt;100K",IF(TwitterClean[[#This Row],[followers]]&lt;1000000,"100K-1M",IF(TwitterClean[[#This Row],[followers]]&lt;10000000,"1M-10M","10M+")))</f>
        <v>100K-1M</v>
      </c>
    </row>
    <row r="282" spans="1:38">
      <c r="A282">
        <v>1.8682734314706253E+18</v>
      </c>
      <c r="B282" t="s">
        <v>4821</v>
      </c>
      <c r="C282" t="s">
        <v>4822</v>
      </c>
      <c r="D282" t="s">
        <v>4823</v>
      </c>
      <c r="E282" t="s">
        <v>4824</v>
      </c>
      <c r="F282" t="s">
        <v>4825</v>
      </c>
      <c r="G282" t="s">
        <v>4826</v>
      </c>
      <c r="H282" t="s">
        <v>4827</v>
      </c>
      <c r="I282">
        <v>3</v>
      </c>
      <c r="J282">
        <v>2</v>
      </c>
      <c r="K282">
        <v>105</v>
      </c>
      <c r="L282">
        <v>5814</v>
      </c>
      <c r="M282" t="s">
        <v>52</v>
      </c>
      <c r="N282" t="s">
        <v>4828</v>
      </c>
      <c r="O282">
        <v>157613</v>
      </c>
      <c r="P282" t="s">
        <v>4829</v>
      </c>
      <c r="Q282">
        <v>40480</v>
      </c>
      <c r="R282" t="s">
        <v>4830</v>
      </c>
      <c r="S282">
        <v>765</v>
      </c>
      <c r="T282" t="b">
        <v>0</v>
      </c>
      <c r="U282">
        <v>3</v>
      </c>
      <c r="V282">
        <v>1</v>
      </c>
      <c r="W282" t="s">
        <v>35</v>
      </c>
      <c r="X282" t="s">
        <v>29</v>
      </c>
      <c r="Y282" t="s">
        <v>29</v>
      </c>
      <c r="Z282" t="s">
        <v>37</v>
      </c>
      <c r="AA282">
        <f>TwitterClean[[#This Row],[likes]]+TwitterClean[[#This Row],[replies]]+TwitterClean[[#This Row],[reposts]]+TwitterClean[[#This Row],[quotes]]+TwitterClean[[#This Row],[bookmarks]]</f>
        <v>114</v>
      </c>
      <c r="AB282" s="1">
        <f>TwitterClean[[#This Row],[Total_Engagements]]/TwitterClean[[#This Row],[views]]</f>
        <v>1.9607843137254902E-2</v>
      </c>
      <c r="AC282" s="3">
        <f>DATEVALUE(MID(TwitterClean[[#This Row],[date_posted]],2,10))</f>
        <v>45641</v>
      </c>
      <c r="AD282">
        <f>TIMEVALUE(MID(TwitterClean[[#This Row],[date_posted]],13,8))</f>
        <v>0.52396990740740745</v>
      </c>
      <c r="AE282" s="3" t="str">
        <f>TEXT(TwitterClean[[#This Row],[Post_Date]],"dddd")</f>
        <v>Sunday</v>
      </c>
      <c r="AF282">
        <f>HOUR(TwitterClean[[#This Row],[Post_Time]])</f>
        <v>12</v>
      </c>
      <c r="AG282" t="str">
        <f>IF(TwitterClean[[#This Row],[videos]]="Null","No","Yes")</f>
        <v>No</v>
      </c>
      <c r="AH282" t="str">
        <f>IF(TwitterClean[[#This Row],[photos]]="null","No","Yes")</f>
        <v>Yes</v>
      </c>
      <c r="AI282" t="str">
        <f>IF(TwitterClean[[#This Row],[hashtags]]="null","No","Yes")</f>
        <v>Yes</v>
      </c>
      <c r="AJ282" t="str">
        <f>IF(TwitterClean[[#This Row],[external_url]]="null","Yes","No")</f>
        <v>No</v>
      </c>
      <c r="AK282">
        <f>LEN(TwitterClean[[#This Row],[description]])</f>
        <v>80</v>
      </c>
      <c r="AL282" t="str">
        <f>IF(TwitterClean[[#This Row],[followers]]&lt;100000,"&lt;100K",IF(TwitterClean[[#This Row],[followers]]&lt;1000000,"100K-1M",IF(TwitterClean[[#This Row],[followers]]&lt;10000000,"1M-10M","10M+")))</f>
        <v>100K-1M</v>
      </c>
    </row>
    <row r="283" spans="1:38">
      <c r="A283">
        <v>1.8681237362992538E+18</v>
      </c>
      <c r="B283" t="s">
        <v>2474</v>
      </c>
      <c r="C283" t="s">
        <v>2475</v>
      </c>
      <c r="D283" t="s">
        <v>4926</v>
      </c>
      <c r="E283" t="s">
        <v>4927</v>
      </c>
      <c r="F283" t="s">
        <v>4928</v>
      </c>
      <c r="G283" t="s">
        <v>4929</v>
      </c>
      <c r="H283" t="s">
        <v>4930</v>
      </c>
      <c r="I283">
        <v>150</v>
      </c>
      <c r="J283">
        <v>146</v>
      </c>
      <c r="K283">
        <v>721</v>
      </c>
      <c r="L283">
        <v>53715</v>
      </c>
      <c r="M283" t="s">
        <v>52</v>
      </c>
      <c r="N283" t="s">
        <v>4931</v>
      </c>
      <c r="O283">
        <v>1511302</v>
      </c>
      <c r="P283" t="s">
        <v>2481</v>
      </c>
      <c r="Q283">
        <v>56647</v>
      </c>
      <c r="R283" t="s">
        <v>2482</v>
      </c>
      <c r="S283">
        <v>80</v>
      </c>
      <c r="T283" t="b">
        <v>0</v>
      </c>
      <c r="U283">
        <v>29</v>
      </c>
      <c r="V283">
        <v>3</v>
      </c>
      <c r="W283" t="s">
        <v>35</v>
      </c>
      <c r="X283" t="s">
        <v>29</v>
      </c>
      <c r="Y283" t="s">
        <v>29</v>
      </c>
      <c r="Z283" t="s">
        <v>37</v>
      </c>
      <c r="AA283">
        <f>TwitterClean[[#This Row],[likes]]+TwitterClean[[#This Row],[replies]]+TwitterClean[[#This Row],[reposts]]+TwitterClean[[#This Row],[quotes]]+TwitterClean[[#This Row],[bookmarks]]</f>
        <v>1049</v>
      </c>
      <c r="AB283" s="1">
        <f>TwitterClean[[#This Row],[Total_Engagements]]/TwitterClean[[#This Row],[views]]</f>
        <v>1.9528995625058176E-2</v>
      </c>
      <c r="AC283" s="3">
        <f>DATEVALUE(MID(TwitterClean[[#This Row],[date_posted]],2,10))</f>
        <v>45641</v>
      </c>
      <c r="AD283">
        <f>TIMEVALUE(MID(TwitterClean[[#This Row],[date_posted]],13,8))</f>
        <v>0.1108912037037037</v>
      </c>
      <c r="AE283" s="3" t="str">
        <f>TEXT(TwitterClean[[#This Row],[Post_Date]],"dddd")</f>
        <v>Sunday</v>
      </c>
      <c r="AF283">
        <f>HOUR(TwitterClean[[#This Row],[Post_Time]])</f>
        <v>2</v>
      </c>
      <c r="AG283" t="str">
        <f>IF(TwitterClean[[#This Row],[videos]]="Null","No","Yes")</f>
        <v>No</v>
      </c>
      <c r="AH283" t="str">
        <f>IF(TwitterClean[[#This Row],[photos]]="null","No","Yes")</f>
        <v>Yes</v>
      </c>
      <c r="AI283" t="str">
        <f>IF(TwitterClean[[#This Row],[hashtags]]="null","No","Yes")</f>
        <v>Yes</v>
      </c>
      <c r="AJ283" t="str">
        <f>IF(TwitterClean[[#This Row],[external_url]]="null","Yes","No")</f>
        <v>No</v>
      </c>
      <c r="AK283">
        <f>LEN(TwitterClean[[#This Row],[description]])</f>
        <v>173</v>
      </c>
      <c r="AL283" t="str">
        <f>IF(TwitterClean[[#This Row],[followers]]&lt;100000,"&lt;100K",IF(TwitterClean[[#This Row],[followers]]&lt;1000000,"100K-1M",IF(TwitterClean[[#This Row],[followers]]&lt;10000000,"1M-10M","10M+")))</f>
        <v>1M-10M</v>
      </c>
    </row>
    <row r="284" spans="1:38">
      <c r="A284">
        <v>1.8682773568858358E+18</v>
      </c>
      <c r="B284" t="s">
        <v>290</v>
      </c>
      <c r="C284" t="s">
        <v>291</v>
      </c>
      <c r="D284" t="s">
        <v>594</v>
      </c>
      <c r="E284" t="s">
        <v>595</v>
      </c>
      <c r="F284" t="s">
        <v>596</v>
      </c>
      <c r="G284" t="s">
        <v>597</v>
      </c>
      <c r="H284" t="s">
        <v>296</v>
      </c>
      <c r="I284">
        <v>0</v>
      </c>
      <c r="J284">
        <v>15</v>
      </c>
      <c r="K284">
        <v>132</v>
      </c>
      <c r="L284">
        <v>7687</v>
      </c>
      <c r="M284" t="s">
        <v>52</v>
      </c>
      <c r="N284" t="s">
        <v>598</v>
      </c>
      <c r="O284">
        <v>1906482</v>
      </c>
      <c r="P284" t="s">
        <v>298</v>
      </c>
      <c r="Q284">
        <v>124666</v>
      </c>
      <c r="R284" t="s">
        <v>299</v>
      </c>
      <c r="S284">
        <v>432</v>
      </c>
      <c r="T284" t="b">
        <v>0</v>
      </c>
      <c r="U284">
        <v>2</v>
      </c>
      <c r="V284">
        <v>1</v>
      </c>
      <c r="W284" t="s">
        <v>599</v>
      </c>
      <c r="X284" t="s">
        <v>29</v>
      </c>
      <c r="Y284" t="s">
        <v>29</v>
      </c>
      <c r="Z284" t="s">
        <v>37</v>
      </c>
      <c r="AA284">
        <f>TwitterClean[[#This Row],[likes]]+TwitterClean[[#This Row],[replies]]+TwitterClean[[#This Row],[reposts]]+TwitterClean[[#This Row],[quotes]]+TwitterClean[[#This Row],[bookmarks]]</f>
        <v>150</v>
      </c>
      <c r="AB284" s="1">
        <f>TwitterClean[[#This Row],[Total_Engagements]]/TwitterClean[[#This Row],[views]]</f>
        <v>1.9513464290360348E-2</v>
      </c>
      <c r="AC284" s="3">
        <f>DATEVALUE(MID(TwitterClean[[#This Row],[date_posted]],2,10))</f>
        <v>45641</v>
      </c>
      <c r="AD284">
        <f>TIMEVALUE(MID(TwitterClean[[#This Row],[date_posted]],13,8))</f>
        <v>0.5348032407407407</v>
      </c>
      <c r="AE284" s="3" t="str">
        <f>TEXT(TwitterClean[[#This Row],[Post_Date]],"dddd")</f>
        <v>Sunday</v>
      </c>
      <c r="AF284">
        <f>HOUR(TwitterClean[[#This Row],[Post_Time]])</f>
        <v>12</v>
      </c>
      <c r="AG284" t="str">
        <f>IF(TwitterClean[[#This Row],[videos]]="Null","No","Yes")</f>
        <v>No</v>
      </c>
      <c r="AH284" t="str">
        <f>IF(TwitterClean[[#This Row],[photos]]="null","No","Yes")</f>
        <v>Yes</v>
      </c>
      <c r="AI284" t="str">
        <f>IF(TwitterClean[[#This Row],[hashtags]]="null","No","Yes")</f>
        <v>Yes</v>
      </c>
      <c r="AJ284" t="str">
        <f>IF(TwitterClean[[#This Row],[external_url]]="null","Yes","No")</f>
        <v>No</v>
      </c>
      <c r="AK284">
        <f>LEN(TwitterClean[[#This Row],[description]])</f>
        <v>196</v>
      </c>
      <c r="AL284" t="str">
        <f>IF(TwitterClean[[#This Row],[followers]]&lt;100000,"&lt;100K",IF(TwitterClean[[#This Row],[followers]]&lt;1000000,"100K-1M",IF(TwitterClean[[#This Row],[followers]]&lt;10000000,"1M-10M","10M+")))</f>
        <v>1M-10M</v>
      </c>
    </row>
    <row r="285" spans="1:38">
      <c r="A285">
        <v>1.8683862739810798E+18</v>
      </c>
      <c r="B285" t="s">
        <v>1258</v>
      </c>
      <c r="C285" t="s">
        <v>3735</v>
      </c>
      <c r="D285" t="s">
        <v>3736</v>
      </c>
      <c r="E285" t="s">
        <v>3737</v>
      </c>
      <c r="F285" t="s">
        <v>29</v>
      </c>
      <c r="G285" t="s">
        <v>3738</v>
      </c>
      <c r="H285" t="s">
        <v>29</v>
      </c>
      <c r="I285">
        <v>90</v>
      </c>
      <c r="J285">
        <v>185</v>
      </c>
      <c r="K285">
        <v>2128</v>
      </c>
      <c r="L285">
        <v>123799</v>
      </c>
      <c r="M285" t="s">
        <v>3739</v>
      </c>
      <c r="N285" t="s">
        <v>3740</v>
      </c>
      <c r="O285">
        <v>26078976</v>
      </c>
      <c r="P285" t="s">
        <v>52</v>
      </c>
      <c r="Q285">
        <v>121345</v>
      </c>
      <c r="R285" t="s">
        <v>3741</v>
      </c>
      <c r="S285">
        <v>277</v>
      </c>
      <c r="T285" t="b">
        <v>0</v>
      </c>
      <c r="U285">
        <v>4</v>
      </c>
      <c r="V285">
        <v>4</v>
      </c>
      <c r="W285" t="s">
        <v>35</v>
      </c>
      <c r="X285" t="s">
        <v>29</v>
      </c>
      <c r="Y285" t="s">
        <v>3742</v>
      </c>
      <c r="Z285" t="s">
        <v>37</v>
      </c>
      <c r="AA285">
        <f>TwitterClean[[#This Row],[likes]]+TwitterClean[[#This Row],[replies]]+TwitterClean[[#This Row],[reposts]]+TwitterClean[[#This Row],[quotes]]+TwitterClean[[#This Row],[bookmarks]]</f>
        <v>2411</v>
      </c>
      <c r="AB285" s="1">
        <f>TwitterClean[[#This Row],[Total_Engagements]]/TwitterClean[[#This Row],[views]]</f>
        <v>1.9475116923400027E-2</v>
      </c>
      <c r="AC285" s="3">
        <f>DATEVALUE(MID(TwitterClean[[#This Row],[date_posted]],2,10))</f>
        <v>45641</v>
      </c>
      <c r="AD285">
        <f>TIMEVALUE(MID(TwitterClean[[#This Row],[date_posted]],13,8))</f>
        <v>0.83535879629629628</v>
      </c>
      <c r="AE285" s="3" t="str">
        <f>TEXT(TwitterClean[[#This Row],[Post_Date]],"dddd")</f>
        <v>Sunday</v>
      </c>
      <c r="AF285">
        <f>HOUR(TwitterClean[[#This Row],[Post_Time]])</f>
        <v>20</v>
      </c>
      <c r="AG285" t="str">
        <f>IF(TwitterClean[[#This Row],[videos]]="Null","No","Yes")</f>
        <v>Yes</v>
      </c>
      <c r="AH285" t="str">
        <f>IF(TwitterClean[[#This Row],[photos]]="null","No","Yes")</f>
        <v>No</v>
      </c>
      <c r="AI285" t="str">
        <f>IF(TwitterClean[[#This Row],[hashtags]]="null","No","Yes")</f>
        <v>Yes</v>
      </c>
      <c r="AJ285" t="str">
        <f>IF(TwitterClean[[#This Row],[external_url]]="null","Yes","No")</f>
        <v>No</v>
      </c>
      <c r="AK285">
        <f>LEN(TwitterClean[[#This Row],[description]])</f>
        <v>64</v>
      </c>
      <c r="AL285" t="str">
        <f>IF(TwitterClean[[#This Row],[followers]]&lt;100000,"&lt;100K",IF(TwitterClean[[#This Row],[followers]]&lt;1000000,"100K-1M",IF(TwitterClean[[#This Row],[followers]]&lt;10000000,"1M-10M","10M+")))</f>
        <v>10M+</v>
      </c>
    </row>
    <row r="286" spans="1:38">
      <c r="A286">
        <v>1.8684190611907092E+18</v>
      </c>
      <c r="B286" t="s">
        <v>3638</v>
      </c>
      <c r="C286" t="s">
        <v>3639</v>
      </c>
      <c r="D286" t="s">
        <v>3640</v>
      </c>
      <c r="E286" t="s">
        <v>3641</v>
      </c>
      <c r="F286" t="s">
        <v>29</v>
      </c>
      <c r="G286" t="s">
        <v>3642</v>
      </c>
      <c r="H286" t="s">
        <v>3383</v>
      </c>
      <c r="I286">
        <v>22</v>
      </c>
      <c r="J286">
        <v>147</v>
      </c>
      <c r="K286">
        <v>1553</v>
      </c>
      <c r="L286">
        <v>92525</v>
      </c>
      <c r="M286" t="s">
        <v>52</v>
      </c>
      <c r="N286" t="s">
        <v>29</v>
      </c>
      <c r="O286">
        <v>8885748</v>
      </c>
      <c r="P286" t="s">
        <v>3643</v>
      </c>
      <c r="Q286">
        <v>115852</v>
      </c>
      <c r="R286" t="s">
        <v>3644</v>
      </c>
      <c r="S286">
        <v>469</v>
      </c>
      <c r="T286" t="b">
        <v>0</v>
      </c>
      <c r="U286">
        <v>20</v>
      </c>
      <c r="V286">
        <v>54</v>
      </c>
      <c r="W286" t="s">
        <v>35</v>
      </c>
      <c r="X286" t="s">
        <v>29</v>
      </c>
      <c r="Y286" t="s">
        <v>3645</v>
      </c>
      <c r="Z286" t="s">
        <v>37</v>
      </c>
      <c r="AA286">
        <f>TwitterClean[[#This Row],[likes]]+TwitterClean[[#This Row],[replies]]+TwitterClean[[#This Row],[reposts]]+TwitterClean[[#This Row],[quotes]]+TwitterClean[[#This Row],[bookmarks]]</f>
        <v>1796</v>
      </c>
      <c r="AB286" s="1">
        <f>TwitterClean[[#This Row],[Total_Engagements]]/TwitterClean[[#This Row],[views]]</f>
        <v>1.9410970008105918E-2</v>
      </c>
      <c r="AC286" s="3">
        <f>DATEVALUE(MID(TwitterClean[[#This Row],[date_posted]],2,10))</f>
        <v>45641</v>
      </c>
      <c r="AD286">
        <f>TIMEVALUE(MID(TwitterClean[[#This Row],[date_posted]],13,8))</f>
        <v>0.92583333333333329</v>
      </c>
      <c r="AE286" s="3" t="str">
        <f>TEXT(TwitterClean[[#This Row],[Post_Date]],"dddd")</f>
        <v>Sunday</v>
      </c>
      <c r="AF286">
        <f>HOUR(TwitterClean[[#This Row],[Post_Time]])</f>
        <v>22</v>
      </c>
      <c r="AG286" t="str">
        <f>IF(TwitterClean[[#This Row],[videos]]="Null","No","Yes")</f>
        <v>Yes</v>
      </c>
      <c r="AH286" t="str">
        <f>IF(TwitterClean[[#This Row],[photos]]="null","No","Yes")</f>
        <v>No</v>
      </c>
      <c r="AI286" t="str">
        <f>IF(TwitterClean[[#This Row],[hashtags]]="null","No","Yes")</f>
        <v>No</v>
      </c>
      <c r="AJ286" t="str">
        <f>IF(TwitterClean[[#This Row],[external_url]]="null","Yes","No")</f>
        <v>No</v>
      </c>
      <c r="AK286">
        <f>LEN(TwitterClean[[#This Row],[description]])</f>
        <v>175</v>
      </c>
      <c r="AL286" t="str">
        <f>IF(TwitterClean[[#This Row],[followers]]&lt;100000,"&lt;100K",IF(TwitterClean[[#This Row],[followers]]&lt;1000000,"100K-1M",IF(TwitterClean[[#This Row],[followers]]&lt;10000000,"1M-10M","10M+")))</f>
        <v>1M-10M</v>
      </c>
    </row>
    <row r="287" spans="1:38">
      <c r="A287">
        <v>1.8683028535987773E+18</v>
      </c>
      <c r="B287" t="s">
        <v>333</v>
      </c>
      <c r="C287" t="s">
        <v>334</v>
      </c>
      <c r="D287" t="s">
        <v>1168</v>
      </c>
      <c r="E287" t="s">
        <v>1169</v>
      </c>
      <c r="F287" t="s">
        <v>1170</v>
      </c>
      <c r="G287" t="s">
        <v>1171</v>
      </c>
      <c r="H287" t="s">
        <v>1172</v>
      </c>
      <c r="I287">
        <v>7</v>
      </c>
      <c r="J287">
        <v>21</v>
      </c>
      <c r="K287">
        <v>451</v>
      </c>
      <c r="L287">
        <v>24889</v>
      </c>
      <c r="M287" t="s">
        <v>52</v>
      </c>
      <c r="N287" t="s">
        <v>340</v>
      </c>
      <c r="O287">
        <v>337840</v>
      </c>
      <c r="P287" t="s">
        <v>341</v>
      </c>
      <c r="Q287">
        <v>57638</v>
      </c>
      <c r="R287" t="s">
        <v>342</v>
      </c>
      <c r="S287">
        <v>587</v>
      </c>
      <c r="T287" t="b">
        <v>0</v>
      </c>
      <c r="U287">
        <v>2</v>
      </c>
      <c r="V287">
        <v>1</v>
      </c>
      <c r="W287" t="s">
        <v>35</v>
      </c>
      <c r="X287" t="s">
        <v>29</v>
      </c>
      <c r="Y287" t="s">
        <v>29</v>
      </c>
      <c r="Z287" t="s">
        <v>37</v>
      </c>
      <c r="AA287">
        <f>TwitterClean[[#This Row],[likes]]+TwitterClean[[#This Row],[replies]]+TwitterClean[[#This Row],[reposts]]+TwitterClean[[#This Row],[quotes]]+TwitterClean[[#This Row],[bookmarks]]</f>
        <v>482</v>
      </c>
      <c r="AB287" s="1">
        <f>TwitterClean[[#This Row],[Total_Engagements]]/TwitterClean[[#This Row],[views]]</f>
        <v>1.9365984973281368E-2</v>
      </c>
      <c r="AC287" s="3">
        <f>DATEVALUE(MID(TwitterClean[[#This Row],[date_posted]],2,10))</f>
        <v>45641</v>
      </c>
      <c r="AD287">
        <f>TIMEVALUE(MID(TwitterClean[[#This Row],[date_posted]],13,8))</f>
        <v>0.60516203703703708</v>
      </c>
      <c r="AE287" s="3" t="str">
        <f>TEXT(TwitterClean[[#This Row],[Post_Date]],"dddd")</f>
        <v>Sunday</v>
      </c>
      <c r="AF287">
        <f>HOUR(TwitterClean[[#This Row],[Post_Time]])</f>
        <v>14</v>
      </c>
      <c r="AG287" t="str">
        <f>IF(TwitterClean[[#This Row],[videos]]="Null","No","Yes")</f>
        <v>No</v>
      </c>
      <c r="AH287" t="str">
        <f>IF(TwitterClean[[#This Row],[photos]]="null","No","Yes")</f>
        <v>Yes</v>
      </c>
      <c r="AI287" t="str">
        <f>IF(TwitterClean[[#This Row],[hashtags]]="null","No","Yes")</f>
        <v>Yes</v>
      </c>
      <c r="AJ287" t="str">
        <f>IF(TwitterClean[[#This Row],[external_url]]="null","Yes","No")</f>
        <v>No</v>
      </c>
      <c r="AK287">
        <f>LEN(TwitterClean[[#This Row],[description]])</f>
        <v>85</v>
      </c>
      <c r="AL287" t="str">
        <f>IF(TwitterClean[[#This Row],[followers]]&lt;100000,"&lt;100K",IF(TwitterClean[[#This Row],[followers]]&lt;1000000,"100K-1M",IF(TwitterClean[[#This Row],[followers]]&lt;10000000,"1M-10M","10M+")))</f>
        <v>100K-1M</v>
      </c>
    </row>
    <row r="288" spans="1:38">
      <c r="A288">
        <v>1.8684285925790108E+18</v>
      </c>
      <c r="B288" t="s">
        <v>1862</v>
      </c>
      <c r="C288" t="s">
        <v>1863</v>
      </c>
      <c r="D288" t="s">
        <v>1925</v>
      </c>
      <c r="E288" t="s">
        <v>1926</v>
      </c>
      <c r="F288" t="s">
        <v>29</v>
      </c>
      <c r="G288" t="s">
        <v>1927</v>
      </c>
      <c r="H288" t="s">
        <v>1874</v>
      </c>
      <c r="I288">
        <v>8</v>
      </c>
      <c r="J288">
        <v>91</v>
      </c>
      <c r="K288">
        <v>866</v>
      </c>
      <c r="L288">
        <v>51447</v>
      </c>
      <c r="M288" t="s">
        <v>52</v>
      </c>
      <c r="N288" t="s">
        <v>1867</v>
      </c>
      <c r="O288">
        <v>13492430</v>
      </c>
      <c r="P288" t="s">
        <v>1868</v>
      </c>
      <c r="Q288">
        <v>314515</v>
      </c>
      <c r="R288" t="s">
        <v>1869</v>
      </c>
      <c r="S288">
        <v>708</v>
      </c>
      <c r="T288" t="b">
        <v>0</v>
      </c>
      <c r="U288">
        <v>3</v>
      </c>
      <c r="V288">
        <v>27</v>
      </c>
      <c r="W288" t="s">
        <v>35</v>
      </c>
      <c r="X288" t="s">
        <v>29</v>
      </c>
      <c r="Y288" t="s">
        <v>1928</v>
      </c>
      <c r="Z288" t="s">
        <v>37</v>
      </c>
      <c r="AA288">
        <f>TwitterClean[[#This Row],[likes]]+TwitterClean[[#This Row],[replies]]+TwitterClean[[#This Row],[reposts]]+TwitterClean[[#This Row],[quotes]]+TwitterClean[[#This Row],[bookmarks]]</f>
        <v>995</v>
      </c>
      <c r="AB288" s="1">
        <f>TwitterClean[[#This Row],[Total_Engagements]]/TwitterClean[[#This Row],[views]]</f>
        <v>1.9340291950939802E-2</v>
      </c>
      <c r="AC288" s="3">
        <f>DATEVALUE(MID(TwitterClean[[#This Row],[date_posted]],2,10))</f>
        <v>45641</v>
      </c>
      <c r="AD288">
        <f>TIMEVALUE(MID(TwitterClean[[#This Row],[date_posted]],13,8))</f>
        <v>0.95212962962962966</v>
      </c>
      <c r="AE288" s="3" t="str">
        <f>TEXT(TwitterClean[[#This Row],[Post_Date]],"dddd")</f>
        <v>Sunday</v>
      </c>
      <c r="AF288">
        <f>HOUR(TwitterClean[[#This Row],[Post_Time]])</f>
        <v>22</v>
      </c>
      <c r="AG288" t="str">
        <f>IF(TwitterClean[[#This Row],[videos]]="Null","No","Yes")</f>
        <v>Yes</v>
      </c>
      <c r="AH288" t="str">
        <f>IF(TwitterClean[[#This Row],[photos]]="null","No","Yes")</f>
        <v>No</v>
      </c>
      <c r="AI288" t="str">
        <f>IF(TwitterClean[[#This Row],[hashtags]]="null","No","Yes")</f>
        <v>Yes</v>
      </c>
      <c r="AJ288" t="str">
        <f>IF(TwitterClean[[#This Row],[external_url]]="null","Yes","No")</f>
        <v>No</v>
      </c>
      <c r="AK288">
        <f>LEN(TwitterClean[[#This Row],[description]])</f>
        <v>116</v>
      </c>
      <c r="AL288" t="str">
        <f>IF(TwitterClean[[#This Row],[followers]]&lt;100000,"&lt;100K",IF(TwitterClean[[#This Row],[followers]]&lt;1000000,"100K-1M",IF(TwitterClean[[#This Row],[followers]]&lt;10000000,"1M-10M","10M+")))</f>
        <v>10M+</v>
      </c>
    </row>
    <row r="289" spans="1:38">
      <c r="A289">
        <v>1.8683468220976092E+18</v>
      </c>
      <c r="B289" t="s">
        <v>1267</v>
      </c>
      <c r="C289" t="s">
        <v>1268</v>
      </c>
      <c r="D289" t="s">
        <v>1500</v>
      </c>
      <c r="E289" t="s">
        <v>1501</v>
      </c>
      <c r="F289" t="s">
        <v>1502</v>
      </c>
      <c r="G289" t="s">
        <v>1503</v>
      </c>
      <c r="H289" t="s">
        <v>29</v>
      </c>
      <c r="I289">
        <v>157</v>
      </c>
      <c r="J289">
        <v>409</v>
      </c>
      <c r="K289">
        <v>4428</v>
      </c>
      <c r="L289">
        <v>263467</v>
      </c>
      <c r="M289" t="s">
        <v>52</v>
      </c>
      <c r="N289" t="s">
        <v>1273</v>
      </c>
      <c r="O289">
        <v>17891377</v>
      </c>
      <c r="P289" t="s">
        <v>1274</v>
      </c>
      <c r="Q289">
        <v>168939</v>
      </c>
      <c r="R289" t="s">
        <v>1275</v>
      </c>
      <c r="S289">
        <v>47365</v>
      </c>
      <c r="T289" t="b">
        <v>0</v>
      </c>
      <c r="U289">
        <v>41</v>
      </c>
      <c r="V289">
        <v>35</v>
      </c>
      <c r="W289" t="s">
        <v>35</v>
      </c>
      <c r="X289" t="s">
        <v>29</v>
      </c>
      <c r="Y289" t="s">
        <v>29</v>
      </c>
      <c r="Z289" t="s">
        <v>37</v>
      </c>
      <c r="AA289">
        <f>TwitterClean[[#This Row],[likes]]+TwitterClean[[#This Row],[replies]]+TwitterClean[[#This Row],[reposts]]+TwitterClean[[#This Row],[quotes]]+TwitterClean[[#This Row],[bookmarks]]</f>
        <v>5070</v>
      </c>
      <c r="AB289" s="1">
        <f>TwitterClean[[#This Row],[Total_Engagements]]/TwitterClean[[#This Row],[views]]</f>
        <v>1.9243396706228863E-2</v>
      </c>
      <c r="AC289" s="3">
        <f>DATEVALUE(MID(TwitterClean[[#This Row],[date_posted]],2,10))</f>
        <v>45641</v>
      </c>
      <c r="AD289">
        <f>TIMEVALUE(MID(TwitterClean[[#This Row],[date_posted]],13,8))</f>
        <v>0.72649305555555554</v>
      </c>
      <c r="AE289" s="3" t="str">
        <f>TEXT(TwitterClean[[#This Row],[Post_Date]],"dddd")</f>
        <v>Sunday</v>
      </c>
      <c r="AF289">
        <f>HOUR(TwitterClean[[#This Row],[Post_Time]])</f>
        <v>17</v>
      </c>
      <c r="AG289" t="str">
        <f>IF(TwitterClean[[#This Row],[videos]]="Null","No","Yes")</f>
        <v>No</v>
      </c>
      <c r="AH289" t="str">
        <f>IF(TwitterClean[[#This Row],[photos]]="null","No","Yes")</f>
        <v>Yes</v>
      </c>
      <c r="AI289" t="str">
        <f>IF(TwitterClean[[#This Row],[hashtags]]="null","No","Yes")</f>
        <v>Yes</v>
      </c>
      <c r="AJ289" t="str">
        <f>IF(TwitterClean[[#This Row],[external_url]]="null","Yes","No")</f>
        <v>No</v>
      </c>
      <c r="AK289">
        <f>LEN(TwitterClean[[#This Row],[description]])</f>
        <v>34</v>
      </c>
      <c r="AL289" t="str">
        <f>IF(TwitterClean[[#This Row],[followers]]&lt;100000,"&lt;100K",IF(TwitterClean[[#This Row],[followers]]&lt;1000000,"100K-1M",IF(TwitterClean[[#This Row],[followers]]&lt;10000000,"1M-10M","10M+")))</f>
        <v>10M+</v>
      </c>
    </row>
    <row r="290" spans="1:38">
      <c r="A290">
        <v>1.8684077984151347E+18</v>
      </c>
      <c r="B290" t="s">
        <v>46</v>
      </c>
      <c r="C290" t="s">
        <v>47</v>
      </c>
      <c r="D290" t="s">
        <v>1073</v>
      </c>
      <c r="E290" t="s">
        <v>1074</v>
      </c>
      <c r="F290" t="s">
        <v>1075</v>
      </c>
      <c r="G290" t="s">
        <v>1076</v>
      </c>
      <c r="H290" t="s">
        <v>29</v>
      </c>
      <c r="I290">
        <v>192</v>
      </c>
      <c r="J290">
        <v>48</v>
      </c>
      <c r="K290">
        <v>3220</v>
      </c>
      <c r="L290">
        <v>184452</v>
      </c>
      <c r="M290" t="s">
        <v>52</v>
      </c>
      <c r="N290" t="s">
        <v>143</v>
      </c>
      <c r="O290">
        <v>8293232</v>
      </c>
      <c r="P290" t="s">
        <v>54</v>
      </c>
      <c r="Q290">
        <v>456734</v>
      </c>
      <c r="R290" t="s">
        <v>55</v>
      </c>
      <c r="S290">
        <v>859</v>
      </c>
      <c r="T290" t="b">
        <v>0</v>
      </c>
      <c r="U290">
        <v>36</v>
      </c>
      <c r="V290">
        <v>42</v>
      </c>
      <c r="W290" t="s">
        <v>35</v>
      </c>
      <c r="X290" t="s">
        <v>29</v>
      </c>
      <c r="Y290" t="s">
        <v>29</v>
      </c>
      <c r="Z290" t="s">
        <v>37</v>
      </c>
      <c r="AA290">
        <f>TwitterClean[[#This Row],[likes]]+TwitterClean[[#This Row],[replies]]+TwitterClean[[#This Row],[reposts]]+TwitterClean[[#This Row],[quotes]]+TwitterClean[[#This Row],[bookmarks]]</f>
        <v>3538</v>
      </c>
      <c r="AB290" s="1">
        <f>TwitterClean[[#This Row],[Total_Engagements]]/TwitterClean[[#This Row],[views]]</f>
        <v>1.9181141977316591E-2</v>
      </c>
      <c r="AC290" s="3">
        <f>DATEVALUE(MID(TwitterClean[[#This Row],[date_posted]],2,10))</f>
        <v>45641</v>
      </c>
      <c r="AD290">
        <f>TIMEVALUE(MID(TwitterClean[[#This Row],[date_posted]],13,8))</f>
        <v>0.89475694444444442</v>
      </c>
      <c r="AE290" s="3" t="str">
        <f>TEXT(TwitterClean[[#This Row],[Post_Date]],"dddd")</f>
        <v>Sunday</v>
      </c>
      <c r="AF290">
        <f>HOUR(TwitterClean[[#This Row],[Post_Time]])</f>
        <v>21</v>
      </c>
      <c r="AG290" t="str">
        <f>IF(TwitterClean[[#This Row],[videos]]="Null","No","Yes")</f>
        <v>No</v>
      </c>
      <c r="AH290" t="str">
        <f>IF(TwitterClean[[#This Row],[photos]]="null","No","Yes")</f>
        <v>Yes</v>
      </c>
      <c r="AI290" t="str">
        <f>IF(TwitterClean[[#This Row],[hashtags]]="null","No","Yes")</f>
        <v>Yes</v>
      </c>
      <c r="AJ290" t="str">
        <f>IF(TwitterClean[[#This Row],[external_url]]="null","Yes","No")</f>
        <v>No</v>
      </c>
      <c r="AK290">
        <f>LEN(TwitterClean[[#This Row],[description]])</f>
        <v>84</v>
      </c>
      <c r="AL290" t="str">
        <f>IF(TwitterClean[[#This Row],[followers]]&lt;100000,"&lt;100K",IF(TwitterClean[[#This Row],[followers]]&lt;1000000,"100K-1M",IF(TwitterClean[[#This Row],[followers]]&lt;10000000,"1M-10M","10M+")))</f>
        <v>1M-10M</v>
      </c>
    </row>
    <row r="291" spans="1:38">
      <c r="A291">
        <v>1.8684122904809267E+18</v>
      </c>
      <c r="B291" t="s">
        <v>275</v>
      </c>
      <c r="C291" t="s">
        <v>276</v>
      </c>
      <c r="D291" t="s">
        <v>1022</v>
      </c>
      <c r="E291" t="s">
        <v>1023</v>
      </c>
      <c r="F291" t="s">
        <v>1024</v>
      </c>
      <c r="G291" t="s">
        <v>1025</v>
      </c>
      <c r="H291" t="s">
        <v>589</v>
      </c>
      <c r="I291">
        <v>996</v>
      </c>
      <c r="J291">
        <v>181</v>
      </c>
      <c r="K291">
        <v>1910</v>
      </c>
      <c r="L291">
        <v>177102</v>
      </c>
      <c r="M291" t="s">
        <v>52</v>
      </c>
      <c r="N291" t="s">
        <v>289</v>
      </c>
      <c r="O291">
        <v>8539575</v>
      </c>
      <c r="P291" t="s">
        <v>282</v>
      </c>
      <c r="Q291">
        <v>75535</v>
      </c>
      <c r="R291" t="s">
        <v>283</v>
      </c>
      <c r="S291">
        <v>117</v>
      </c>
      <c r="T291" t="b">
        <v>0</v>
      </c>
      <c r="U291">
        <v>274</v>
      </c>
      <c r="V291">
        <v>30</v>
      </c>
      <c r="W291" t="s">
        <v>35</v>
      </c>
      <c r="X291" t="s">
        <v>29</v>
      </c>
      <c r="Y291" t="s">
        <v>29</v>
      </c>
      <c r="Z291" t="s">
        <v>37</v>
      </c>
      <c r="AA291">
        <f>TwitterClean[[#This Row],[likes]]+TwitterClean[[#This Row],[replies]]+TwitterClean[[#This Row],[reposts]]+TwitterClean[[#This Row],[quotes]]+TwitterClean[[#This Row],[bookmarks]]</f>
        <v>3391</v>
      </c>
      <c r="AB291" s="1">
        <f>TwitterClean[[#This Row],[Total_Engagements]]/TwitterClean[[#This Row],[views]]</f>
        <v>1.9147158134860138E-2</v>
      </c>
      <c r="AC291" s="3">
        <f>DATEVALUE(MID(TwitterClean[[#This Row],[date_posted]],2,10))</f>
        <v>45641</v>
      </c>
      <c r="AD291">
        <f>TIMEVALUE(MID(TwitterClean[[#This Row],[date_posted]],13,8))</f>
        <v>0.90715277777777781</v>
      </c>
      <c r="AE291" s="3" t="str">
        <f>TEXT(TwitterClean[[#This Row],[Post_Date]],"dddd")</f>
        <v>Sunday</v>
      </c>
      <c r="AF291">
        <f>HOUR(TwitterClean[[#This Row],[Post_Time]])</f>
        <v>21</v>
      </c>
      <c r="AG291" t="str">
        <f>IF(TwitterClean[[#This Row],[videos]]="Null","No","Yes")</f>
        <v>No</v>
      </c>
      <c r="AH291" t="str">
        <f>IF(TwitterClean[[#This Row],[photos]]="null","No","Yes")</f>
        <v>Yes</v>
      </c>
      <c r="AI291" t="str">
        <f>IF(TwitterClean[[#This Row],[hashtags]]="null","No","Yes")</f>
        <v>Yes</v>
      </c>
      <c r="AJ291" t="str">
        <f>IF(TwitterClean[[#This Row],[external_url]]="null","Yes","No")</f>
        <v>No</v>
      </c>
      <c r="AK291">
        <f>LEN(TwitterClean[[#This Row],[description]])</f>
        <v>71</v>
      </c>
      <c r="AL291" t="str">
        <f>IF(TwitterClean[[#This Row],[followers]]&lt;100000,"&lt;100K",IF(TwitterClean[[#This Row],[followers]]&lt;1000000,"100K-1M",IF(TwitterClean[[#This Row],[followers]]&lt;10000000,"1M-10M","10M+")))</f>
        <v>1M-10M</v>
      </c>
    </row>
    <row r="292" spans="1:38">
      <c r="A292">
        <v>1.8684126616096812E+18</v>
      </c>
      <c r="B292" t="s">
        <v>1862</v>
      </c>
      <c r="C292" t="s">
        <v>1863</v>
      </c>
      <c r="D292" t="s">
        <v>1933</v>
      </c>
      <c r="E292" t="s">
        <v>1934</v>
      </c>
      <c r="F292" t="s">
        <v>29</v>
      </c>
      <c r="G292" t="s">
        <v>1935</v>
      </c>
      <c r="H292" t="s">
        <v>29</v>
      </c>
      <c r="I292">
        <v>3</v>
      </c>
      <c r="J292">
        <v>20</v>
      </c>
      <c r="K292">
        <v>129</v>
      </c>
      <c r="L292">
        <v>8869</v>
      </c>
      <c r="M292" t="s">
        <v>52</v>
      </c>
      <c r="N292" t="s">
        <v>1867</v>
      </c>
      <c r="O292">
        <v>13492430</v>
      </c>
      <c r="P292" t="s">
        <v>1868</v>
      </c>
      <c r="Q292">
        <v>314515</v>
      </c>
      <c r="R292" t="s">
        <v>1869</v>
      </c>
      <c r="S292">
        <v>708</v>
      </c>
      <c r="T292" t="b">
        <v>0</v>
      </c>
      <c r="U292">
        <v>4</v>
      </c>
      <c r="V292">
        <v>13</v>
      </c>
      <c r="W292" t="s">
        <v>35</v>
      </c>
      <c r="X292" t="s">
        <v>29</v>
      </c>
      <c r="Y292" t="s">
        <v>1936</v>
      </c>
      <c r="Z292" t="s">
        <v>37</v>
      </c>
      <c r="AA292">
        <f>TwitterClean[[#This Row],[likes]]+TwitterClean[[#This Row],[replies]]+TwitterClean[[#This Row],[reposts]]+TwitterClean[[#This Row],[quotes]]+TwitterClean[[#This Row],[bookmarks]]</f>
        <v>169</v>
      </c>
      <c r="AB292" s="1">
        <f>TwitterClean[[#This Row],[Total_Engagements]]/TwitterClean[[#This Row],[views]]</f>
        <v>1.9055135866501295E-2</v>
      </c>
      <c r="AC292" s="3">
        <f>DATEVALUE(MID(TwitterClean[[#This Row],[date_posted]],2,10))</f>
        <v>45641</v>
      </c>
      <c r="AD292">
        <f>TIMEVALUE(MID(TwitterClean[[#This Row],[date_posted]],13,8))</f>
        <v>0.90817129629629634</v>
      </c>
      <c r="AE292" s="3" t="str">
        <f>TEXT(TwitterClean[[#This Row],[Post_Date]],"dddd")</f>
        <v>Sunday</v>
      </c>
      <c r="AF292">
        <f>HOUR(TwitterClean[[#This Row],[Post_Time]])</f>
        <v>21</v>
      </c>
      <c r="AG292" t="str">
        <f>IF(TwitterClean[[#This Row],[videos]]="Null","No","Yes")</f>
        <v>Yes</v>
      </c>
      <c r="AH292" t="str">
        <f>IF(TwitterClean[[#This Row],[photos]]="null","No","Yes")</f>
        <v>No</v>
      </c>
      <c r="AI292" t="str">
        <f>IF(TwitterClean[[#This Row],[hashtags]]="null","No","Yes")</f>
        <v>Yes</v>
      </c>
      <c r="AJ292" t="str">
        <f>IF(TwitterClean[[#This Row],[external_url]]="null","Yes","No")</f>
        <v>No</v>
      </c>
      <c r="AK292">
        <f>LEN(TwitterClean[[#This Row],[description]])</f>
        <v>46</v>
      </c>
      <c r="AL292" t="str">
        <f>IF(TwitterClean[[#This Row],[followers]]&lt;100000,"&lt;100K",IF(TwitterClean[[#This Row],[followers]]&lt;1000000,"100K-1M",IF(TwitterClean[[#This Row],[followers]]&lt;10000000,"1M-10M","10M+")))</f>
        <v>10M+</v>
      </c>
    </row>
    <row r="293" spans="1:38">
      <c r="A293">
        <v>1.8683008663457224E+18</v>
      </c>
      <c r="B293" t="s">
        <v>333</v>
      </c>
      <c r="C293" t="s">
        <v>334</v>
      </c>
      <c r="D293" t="s">
        <v>1526</v>
      </c>
      <c r="E293" t="s">
        <v>1527</v>
      </c>
      <c r="F293" t="s">
        <v>1528</v>
      </c>
      <c r="G293" t="s">
        <v>1529</v>
      </c>
      <c r="H293" t="s">
        <v>1411</v>
      </c>
      <c r="I293">
        <v>13</v>
      </c>
      <c r="J293">
        <v>17</v>
      </c>
      <c r="K293">
        <v>139</v>
      </c>
      <c r="L293">
        <v>10662</v>
      </c>
      <c r="M293" t="s">
        <v>52</v>
      </c>
      <c r="N293" t="s">
        <v>340</v>
      </c>
      <c r="O293">
        <v>337839</v>
      </c>
      <c r="P293" t="s">
        <v>341</v>
      </c>
      <c r="Q293">
        <v>57638</v>
      </c>
      <c r="R293" t="s">
        <v>342</v>
      </c>
      <c r="S293">
        <v>587</v>
      </c>
      <c r="T293" t="b">
        <v>0</v>
      </c>
      <c r="U293">
        <v>32</v>
      </c>
      <c r="V293">
        <v>2</v>
      </c>
      <c r="W293" t="s">
        <v>1530</v>
      </c>
      <c r="X293" t="s">
        <v>29</v>
      </c>
      <c r="Y293" t="s">
        <v>29</v>
      </c>
      <c r="Z293" t="s">
        <v>37</v>
      </c>
      <c r="AA293">
        <f>TwitterClean[[#This Row],[likes]]+TwitterClean[[#This Row],[replies]]+TwitterClean[[#This Row],[reposts]]+TwitterClean[[#This Row],[quotes]]+TwitterClean[[#This Row],[bookmarks]]</f>
        <v>203</v>
      </c>
      <c r="AB293" s="1">
        <f>TwitterClean[[#This Row],[Total_Engagements]]/TwitterClean[[#This Row],[views]]</f>
        <v>1.9039579816169574E-2</v>
      </c>
      <c r="AC293" s="3">
        <f>DATEVALUE(MID(TwitterClean[[#This Row],[date_posted]],2,10))</f>
        <v>45641</v>
      </c>
      <c r="AD293">
        <f>TIMEVALUE(MID(TwitterClean[[#This Row],[date_posted]],13,8))</f>
        <v>0.59967592592592589</v>
      </c>
      <c r="AE293" s="3" t="str">
        <f>TEXT(TwitterClean[[#This Row],[Post_Date]],"dddd")</f>
        <v>Sunday</v>
      </c>
      <c r="AF293">
        <f>HOUR(TwitterClean[[#This Row],[Post_Time]])</f>
        <v>14</v>
      </c>
      <c r="AG293" t="str">
        <f>IF(TwitterClean[[#This Row],[videos]]="Null","No","Yes")</f>
        <v>No</v>
      </c>
      <c r="AH293" t="str">
        <f>IF(TwitterClean[[#This Row],[photos]]="null","No","Yes")</f>
        <v>Yes</v>
      </c>
      <c r="AI293" t="str">
        <f>IF(TwitterClean[[#This Row],[hashtags]]="null","No","Yes")</f>
        <v>Yes</v>
      </c>
      <c r="AJ293" t="str">
        <f>IF(TwitterClean[[#This Row],[external_url]]="null","Yes","No")</f>
        <v>No</v>
      </c>
      <c r="AK293">
        <f>LEN(TwitterClean[[#This Row],[description]])</f>
        <v>77</v>
      </c>
      <c r="AL293" t="str">
        <f>IF(TwitterClean[[#This Row],[followers]]&lt;100000,"&lt;100K",IF(TwitterClean[[#This Row],[followers]]&lt;1000000,"100K-1M",IF(TwitterClean[[#This Row],[followers]]&lt;10000000,"1M-10M","10M+")))</f>
        <v>100K-1M</v>
      </c>
    </row>
    <row r="294" spans="1:38">
      <c r="A294">
        <v>1.8683613404582382E+18</v>
      </c>
      <c r="B294" t="s">
        <v>3168</v>
      </c>
      <c r="C294" t="s">
        <v>3169</v>
      </c>
      <c r="D294" t="s">
        <v>3178</v>
      </c>
      <c r="E294" t="s">
        <v>3179</v>
      </c>
      <c r="F294" t="s">
        <v>29</v>
      </c>
      <c r="G294" t="s">
        <v>3180</v>
      </c>
      <c r="H294" t="s">
        <v>3173</v>
      </c>
      <c r="I294">
        <v>13</v>
      </c>
      <c r="J294">
        <v>49</v>
      </c>
      <c r="K294">
        <v>922</v>
      </c>
      <c r="L294">
        <v>52945</v>
      </c>
      <c r="M294" t="s">
        <v>52</v>
      </c>
      <c r="N294" t="s">
        <v>29</v>
      </c>
      <c r="O294">
        <v>294711</v>
      </c>
      <c r="P294" t="s">
        <v>3175</v>
      </c>
      <c r="Q294">
        <v>66342</v>
      </c>
      <c r="R294" t="s">
        <v>3176</v>
      </c>
      <c r="S294">
        <v>1449</v>
      </c>
      <c r="T294" t="b">
        <v>0</v>
      </c>
      <c r="U294">
        <v>4</v>
      </c>
      <c r="V294">
        <v>18</v>
      </c>
      <c r="W294" t="s">
        <v>35</v>
      </c>
      <c r="X294" t="s">
        <v>29</v>
      </c>
      <c r="Y294" t="s">
        <v>3181</v>
      </c>
      <c r="Z294" t="s">
        <v>37</v>
      </c>
      <c r="AA294">
        <f>TwitterClean[[#This Row],[likes]]+TwitterClean[[#This Row],[replies]]+TwitterClean[[#This Row],[reposts]]+TwitterClean[[#This Row],[quotes]]+TwitterClean[[#This Row],[bookmarks]]</f>
        <v>1006</v>
      </c>
      <c r="AB294" s="1">
        <f>TwitterClean[[#This Row],[Total_Engagements]]/TwitterClean[[#This Row],[views]]</f>
        <v>1.9000849938615543E-2</v>
      </c>
      <c r="AC294" s="3">
        <f>DATEVALUE(MID(TwitterClean[[#This Row],[date_posted]],2,10))</f>
        <v>45641</v>
      </c>
      <c r="AD294">
        <f>TIMEVALUE(MID(TwitterClean[[#This Row],[date_posted]],13,8))</f>
        <v>0.76655092592592589</v>
      </c>
      <c r="AE294" s="3" t="str">
        <f>TEXT(TwitterClean[[#This Row],[Post_Date]],"dddd")</f>
        <v>Sunday</v>
      </c>
      <c r="AF294">
        <f>HOUR(TwitterClean[[#This Row],[Post_Time]])</f>
        <v>18</v>
      </c>
      <c r="AG294" t="str">
        <f>IF(TwitterClean[[#This Row],[videos]]="Null","No","Yes")</f>
        <v>Yes</v>
      </c>
      <c r="AH294" t="str">
        <f>IF(TwitterClean[[#This Row],[photos]]="null","No","Yes")</f>
        <v>No</v>
      </c>
      <c r="AI294" t="str">
        <f>IF(TwitterClean[[#This Row],[hashtags]]="null","No","Yes")</f>
        <v>No</v>
      </c>
      <c r="AJ294" t="str">
        <f>IF(TwitterClean[[#This Row],[external_url]]="null","Yes","No")</f>
        <v>No</v>
      </c>
      <c r="AK294">
        <f>LEN(TwitterClean[[#This Row],[description]])</f>
        <v>56</v>
      </c>
      <c r="AL294" t="str">
        <f>IF(TwitterClean[[#This Row],[followers]]&lt;100000,"&lt;100K",IF(TwitterClean[[#This Row],[followers]]&lt;1000000,"100K-1M",IF(TwitterClean[[#This Row],[followers]]&lt;10000000,"1M-10M","10M+")))</f>
        <v>100K-1M</v>
      </c>
    </row>
    <row r="295" spans="1:38">
      <c r="A295">
        <v>1.868345605673931E+18</v>
      </c>
      <c r="B295" t="s">
        <v>1267</v>
      </c>
      <c r="C295" t="s">
        <v>1268</v>
      </c>
      <c r="D295" t="s">
        <v>1615</v>
      </c>
      <c r="E295" t="s">
        <v>1616</v>
      </c>
      <c r="F295" t="s">
        <v>1617</v>
      </c>
      <c r="G295" t="s">
        <v>1618</v>
      </c>
      <c r="H295" t="s">
        <v>29</v>
      </c>
      <c r="I295">
        <v>226</v>
      </c>
      <c r="J295">
        <v>650</v>
      </c>
      <c r="K295">
        <v>7418</v>
      </c>
      <c r="L295">
        <v>442629</v>
      </c>
      <c r="M295" t="s">
        <v>52</v>
      </c>
      <c r="N295" t="s">
        <v>1273</v>
      </c>
      <c r="O295">
        <v>17891377</v>
      </c>
      <c r="P295" t="s">
        <v>1274</v>
      </c>
      <c r="Q295">
        <v>168939</v>
      </c>
      <c r="R295" t="s">
        <v>1275</v>
      </c>
      <c r="S295">
        <v>47365</v>
      </c>
      <c r="T295" t="b">
        <v>0</v>
      </c>
      <c r="U295">
        <v>85</v>
      </c>
      <c r="V295">
        <v>25</v>
      </c>
      <c r="W295" t="s">
        <v>35</v>
      </c>
      <c r="X295" t="s">
        <v>29</v>
      </c>
      <c r="Y295" t="s">
        <v>29</v>
      </c>
      <c r="Z295" t="s">
        <v>37</v>
      </c>
      <c r="AA295">
        <f>TwitterClean[[#This Row],[likes]]+TwitterClean[[#This Row],[replies]]+TwitterClean[[#This Row],[reposts]]+TwitterClean[[#This Row],[quotes]]+TwitterClean[[#This Row],[bookmarks]]</f>
        <v>8404</v>
      </c>
      <c r="AB295" s="1">
        <f>TwitterClean[[#This Row],[Total_Engagements]]/TwitterClean[[#This Row],[views]]</f>
        <v>1.8986555331891947E-2</v>
      </c>
      <c r="AC295" s="3">
        <f>DATEVALUE(MID(TwitterClean[[#This Row],[date_posted]],2,10))</f>
        <v>45641</v>
      </c>
      <c r="AD295">
        <f>TIMEVALUE(MID(TwitterClean[[#This Row],[date_posted]],13,8))</f>
        <v>0.72313657407407406</v>
      </c>
      <c r="AE295" s="3" t="str">
        <f>TEXT(TwitterClean[[#This Row],[Post_Date]],"dddd")</f>
        <v>Sunday</v>
      </c>
      <c r="AF295">
        <f>HOUR(TwitterClean[[#This Row],[Post_Time]])</f>
        <v>17</v>
      </c>
      <c r="AG295" t="str">
        <f>IF(TwitterClean[[#This Row],[videos]]="Null","No","Yes")</f>
        <v>No</v>
      </c>
      <c r="AH295" t="str">
        <f>IF(TwitterClean[[#This Row],[photos]]="null","No","Yes")</f>
        <v>Yes</v>
      </c>
      <c r="AI295" t="str">
        <f>IF(TwitterClean[[#This Row],[hashtags]]="null","No","Yes")</f>
        <v>Yes</v>
      </c>
      <c r="AJ295" t="str">
        <f>IF(TwitterClean[[#This Row],[external_url]]="null","Yes","No")</f>
        <v>No</v>
      </c>
      <c r="AK295">
        <f>LEN(TwitterClean[[#This Row],[description]])</f>
        <v>56</v>
      </c>
      <c r="AL295" t="str">
        <f>IF(TwitterClean[[#This Row],[followers]]&lt;100000,"&lt;100K",IF(TwitterClean[[#This Row],[followers]]&lt;1000000,"100K-1M",IF(TwitterClean[[#This Row],[followers]]&lt;10000000,"1M-10M","10M+")))</f>
        <v>10M+</v>
      </c>
    </row>
    <row r="296" spans="1:38">
      <c r="A296">
        <v>1.8683921650862899E+18</v>
      </c>
      <c r="B296" t="s">
        <v>228</v>
      </c>
      <c r="C296" t="s">
        <v>228</v>
      </c>
      <c r="D296" t="s">
        <v>430</v>
      </c>
      <c r="E296" t="s">
        <v>431</v>
      </c>
      <c r="F296" t="s">
        <v>29</v>
      </c>
      <c r="G296" t="s">
        <v>432</v>
      </c>
      <c r="H296" t="s">
        <v>29</v>
      </c>
      <c r="I296">
        <v>533</v>
      </c>
      <c r="J296">
        <v>163</v>
      </c>
      <c r="K296">
        <v>1216</v>
      </c>
      <c r="L296">
        <v>109074</v>
      </c>
      <c r="M296" t="s">
        <v>433</v>
      </c>
      <c r="N296" t="s">
        <v>29</v>
      </c>
      <c r="O296">
        <v>1239617</v>
      </c>
      <c r="P296" t="s">
        <v>235</v>
      </c>
      <c r="Q296">
        <v>402839</v>
      </c>
      <c r="R296" t="s">
        <v>236</v>
      </c>
      <c r="S296">
        <v>1644</v>
      </c>
      <c r="T296" t="b">
        <v>0</v>
      </c>
      <c r="U296">
        <v>81</v>
      </c>
      <c r="V296">
        <v>67</v>
      </c>
      <c r="W296" t="s">
        <v>35</v>
      </c>
      <c r="X296" t="s">
        <v>29</v>
      </c>
      <c r="Y296" t="s">
        <v>434</v>
      </c>
      <c r="Z296" t="s">
        <v>37</v>
      </c>
      <c r="AA296">
        <f>TwitterClean[[#This Row],[likes]]+TwitterClean[[#This Row],[replies]]+TwitterClean[[#This Row],[reposts]]+TwitterClean[[#This Row],[quotes]]+TwitterClean[[#This Row],[bookmarks]]</f>
        <v>2060</v>
      </c>
      <c r="AB296" s="1">
        <f>TwitterClean[[#This Row],[Total_Engagements]]/TwitterClean[[#This Row],[views]]</f>
        <v>1.8886260703742414E-2</v>
      </c>
      <c r="AC296" s="3">
        <f>DATEVALUE(MID(TwitterClean[[#This Row],[date_posted]],2,10))</f>
        <v>45641</v>
      </c>
      <c r="AD296">
        <f>TIMEVALUE(MID(TwitterClean[[#This Row],[date_posted]],13,8))</f>
        <v>0.85160879629629627</v>
      </c>
      <c r="AE296" s="3" t="str">
        <f>TEXT(TwitterClean[[#This Row],[Post_Date]],"dddd")</f>
        <v>Sunday</v>
      </c>
      <c r="AF296">
        <f>HOUR(TwitterClean[[#This Row],[Post_Time]])</f>
        <v>20</v>
      </c>
      <c r="AG296" t="str">
        <f>IF(TwitterClean[[#This Row],[videos]]="Null","No","Yes")</f>
        <v>Yes</v>
      </c>
      <c r="AH296" t="str">
        <f>IF(TwitterClean[[#This Row],[photos]]="null","No","Yes")</f>
        <v>No</v>
      </c>
      <c r="AI296" t="str">
        <f>IF(TwitterClean[[#This Row],[hashtags]]="null","No","Yes")</f>
        <v>No</v>
      </c>
      <c r="AJ296" t="str">
        <f>IF(TwitterClean[[#This Row],[external_url]]="null","Yes","No")</f>
        <v>No</v>
      </c>
      <c r="AK296">
        <f>LEN(TwitterClean[[#This Row],[description]])</f>
        <v>201</v>
      </c>
      <c r="AL296" t="str">
        <f>IF(TwitterClean[[#This Row],[followers]]&lt;100000,"&lt;100K",IF(TwitterClean[[#This Row],[followers]]&lt;1000000,"100K-1M",IF(TwitterClean[[#This Row],[followers]]&lt;10000000,"1M-10M","10M+")))</f>
        <v>1M-10M</v>
      </c>
    </row>
    <row r="297" spans="1:38">
      <c r="A297">
        <v>1.8684337052927798E+18</v>
      </c>
      <c r="B297" t="s">
        <v>1862</v>
      </c>
      <c r="C297" t="s">
        <v>1863</v>
      </c>
      <c r="D297" t="s">
        <v>2012</v>
      </c>
      <c r="E297" t="s">
        <v>2013</v>
      </c>
      <c r="F297" t="s">
        <v>29</v>
      </c>
      <c r="G297" t="s">
        <v>2014</v>
      </c>
      <c r="H297" t="s">
        <v>29</v>
      </c>
      <c r="I297">
        <v>9</v>
      </c>
      <c r="J297">
        <v>22</v>
      </c>
      <c r="K297">
        <v>152</v>
      </c>
      <c r="L297">
        <v>10194</v>
      </c>
      <c r="M297" t="s">
        <v>52</v>
      </c>
      <c r="N297" t="s">
        <v>1867</v>
      </c>
      <c r="O297">
        <v>13492430</v>
      </c>
      <c r="P297" t="s">
        <v>1868</v>
      </c>
      <c r="Q297">
        <v>314515</v>
      </c>
      <c r="R297" t="s">
        <v>1869</v>
      </c>
      <c r="S297">
        <v>708</v>
      </c>
      <c r="T297" t="b">
        <v>0</v>
      </c>
      <c r="U297">
        <v>3</v>
      </c>
      <c r="V297">
        <v>6</v>
      </c>
      <c r="W297" t="s">
        <v>35</v>
      </c>
      <c r="X297" t="s">
        <v>29</v>
      </c>
      <c r="Y297" t="s">
        <v>2015</v>
      </c>
      <c r="Z297" t="s">
        <v>37</v>
      </c>
      <c r="AA297">
        <f>TwitterClean[[#This Row],[likes]]+TwitterClean[[#This Row],[replies]]+TwitterClean[[#This Row],[reposts]]+TwitterClean[[#This Row],[quotes]]+TwitterClean[[#This Row],[bookmarks]]</f>
        <v>192</v>
      </c>
      <c r="AB297" s="1">
        <f>TwitterClean[[#This Row],[Total_Engagements]]/TwitterClean[[#This Row],[views]]</f>
        <v>1.883460859329017E-2</v>
      </c>
      <c r="AC297" s="3">
        <f>DATEVALUE(MID(TwitterClean[[#This Row],[date_posted]],2,10))</f>
        <v>45641</v>
      </c>
      <c r="AD297">
        <f>TIMEVALUE(MID(TwitterClean[[#This Row],[date_posted]],13,8))</f>
        <v>0.9662384259259259</v>
      </c>
      <c r="AE297" s="3" t="str">
        <f>TEXT(TwitterClean[[#This Row],[Post_Date]],"dddd")</f>
        <v>Sunday</v>
      </c>
      <c r="AF297">
        <f>HOUR(TwitterClean[[#This Row],[Post_Time]])</f>
        <v>23</v>
      </c>
      <c r="AG297" t="str">
        <f>IF(TwitterClean[[#This Row],[videos]]="Null","No","Yes")</f>
        <v>Yes</v>
      </c>
      <c r="AH297" t="str">
        <f>IF(TwitterClean[[#This Row],[photos]]="null","No","Yes")</f>
        <v>No</v>
      </c>
      <c r="AI297" t="str">
        <f>IF(TwitterClean[[#This Row],[hashtags]]="null","No","Yes")</f>
        <v>Yes</v>
      </c>
      <c r="AJ297" t="str">
        <f>IF(TwitterClean[[#This Row],[external_url]]="null","Yes","No")</f>
        <v>No</v>
      </c>
      <c r="AK297">
        <f>LEN(TwitterClean[[#This Row],[description]])</f>
        <v>86</v>
      </c>
      <c r="AL297" t="str">
        <f>IF(TwitterClean[[#This Row],[followers]]&lt;100000,"&lt;100K",IF(TwitterClean[[#This Row],[followers]]&lt;1000000,"100K-1M",IF(TwitterClean[[#This Row],[followers]]&lt;10000000,"1M-10M","10M+")))</f>
        <v>10M+</v>
      </c>
    </row>
    <row r="298" spans="1:38">
      <c r="A298">
        <v>1.8683386651116628E+18</v>
      </c>
      <c r="B298" t="s">
        <v>3837</v>
      </c>
      <c r="C298" t="s">
        <v>3838</v>
      </c>
      <c r="D298" t="s">
        <v>4448</v>
      </c>
      <c r="E298" t="s">
        <v>4449</v>
      </c>
      <c r="F298" t="s">
        <v>4450</v>
      </c>
      <c r="G298" t="s">
        <v>4451</v>
      </c>
      <c r="H298" t="s">
        <v>29</v>
      </c>
      <c r="I298">
        <v>121</v>
      </c>
      <c r="J298">
        <v>273</v>
      </c>
      <c r="K298">
        <v>1962</v>
      </c>
      <c r="L298">
        <v>128490</v>
      </c>
      <c r="M298" t="s">
        <v>4452</v>
      </c>
      <c r="N298" t="s">
        <v>3843</v>
      </c>
      <c r="O298">
        <v>984263</v>
      </c>
      <c r="P298" t="s">
        <v>3844</v>
      </c>
      <c r="Q298">
        <v>136135</v>
      </c>
      <c r="R298" t="s">
        <v>3845</v>
      </c>
      <c r="S298">
        <v>438</v>
      </c>
      <c r="T298" t="b">
        <v>0</v>
      </c>
      <c r="U298">
        <v>54</v>
      </c>
      <c r="V298">
        <v>6</v>
      </c>
      <c r="W298" t="s">
        <v>35</v>
      </c>
      <c r="X298" t="s">
        <v>29</v>
      </c>
      <c r="Y298" t="s">
        <v>29</v>
      </c>
      <c r="Z298" t="s">
        <v>37</v>
      </c>
      <c r="AA298">
        <f>TwitterClean[[#This Row],[likes]]+TwitterClean[[#This Row],[replies]]+TwitterClean[[#This Row],[reposts]]+TwitterClean[[#This Row],[quotes]]+TwitterClean[[#This Row],[bookmarks]]</f>
        <v>2416</v>
      </c>
      <c r="AB298" s="1">
        <f>TwitterClean[[#This Row],[Total_Engagements]]/TwitterClean[[#This Row],[views]]</f>
        <v>1.8803019690248269E-2</v>
      </c>
      <c r="AC298" s="3">
        <f>DATEVALUE(MID(TwitterClean[[#This Row],[date_posted]],2,10))</f>
        <v>45641</v>
      </c>
      <c r="AD298">
        <f>TIMEVALUE(MID(TwitterClean[[#This Row],[date_posted]],13,8))</f>
        <v>0.70398148148148143</v>
      </c>
      <c r="AE298" s="3" t="str">
        <f>TEXT(TwitterClean[[#This Row],[Post_Date]],"dddd")</f>
        <v>Sunday</v>
      </c>
      <c r="AF298">
        <f>HOUR(TwitterClean[[#This Row],[Post_Time]])</f>
        <v>16</v>
      </c>
      <c r="AG298" t="str">
        <f>IF(TwitterClean[[#This Row],[videos]]="Null","No","Yes")</f>
        <v>No</v>
      </c>
      <c r="AH298" t="str">
        <f>IF(TwitterClean[[#This Row],[photos]]="null","No","Yes")</f>
        <v>Yes</v>
      </c>
      <c r="AI298" t="str">
        <f>IF(TwitterClean[[#This Row],[hashtags]]="null","No","Yes")</f>
        <v>Yes</v>
      </c>
      <c r="AJ298" t="str">
        <f>IF(TwitterClean[[#This Row],[external_url]]="null","Yes","No")</f>
        <v>No</v>
      </c>
      <c r="AK298">
        <f>LEN(TwitterClean[[#This Row],[description]])</f>
        <v>77</v>
      </c>
      <c r="AL298" t="str">
        <f>IF(TwitterClean[[#This Row],[followers]]&lt;100000,"&lt;100K",IF(TwitterClean[[#This Row],[followers]]&lt;1000000,"100K-1M",IF(TwitterClean[[#This Row],[followers]]&lt;10000000,"1M-10M","10M+")))</f>
        <v>100K-1M</v>
      </c>
    </row>
    <row r="299" spans="1:38">
      <c r="A299">
        <v>1.8681055832508662E+18</v>
      </c>
      <c r="B299" t="s">
        <v>1862</v>
      </c>
      <c r="C299" t="s">
        <v>1863</v>
      </c>
      <c r="D299" t="s">
        <v>2109</v>
      </c>
      <c r="E299" t="s">
        <v>2110</v>
      </c>
      <c r="F299" t="s">
        <v>29</v>
      </c>
      <c r="G299" t="s">
        <v>2111</v>
      </c>
      <c r="H299" t="s">
        <v>29</v>
      </c>
      <c r="I299">
        <v>24</v>
      </c>
      <c r="J299">
        <v>36</v>
      </c>
      <c r="K299">
        <v>344</v>
      </c>
      <c r="L299">
        <v>23941</v>
      </c>
      <c r="M299" t="s">
        <v>52</v>
      </c>
      <c r="N299" t="s">
        <v>1961</v>
      </c>
      <c r="O299">
        <v>13492430</v>
      </c>
      <c r="P299" t="s">
        <v>1868</v>
      </c>
      <c r="Q299">
        <v>314515</v>
      </c>
      <c r="R299" t="s">
        <v>1869</v>
      </c>
      <c r="S299">
        <v>708</v>
      </c>
      <c r="T299" t="b">
        <v>0</v>
      </c>
      <c r="U299">
        <v>14</v>
      </c>
      <c r="V299">
        <v>32</v>
      </c>
      <c r="W299" t="s">
        <v>35</v>
      </c>
      <c r="X299" t="s">
        <v>29</v>
      </c>
      <c r="Y299" t="s">
        <v>2112</v>
      </c>
      <c r="Z299" t="s">
        <v>37</v>
      </c>
      <c r="AA299">
        <f>TwitterClean[[#This Row],[likes]]+TwitterClean[[#This Row],[replies]]+TwitterClean[[#This Row],[reposts]]+TwitterClean[[#This Row],[quotes]]+TwitterClean[[#This Row],[bookmarks]]</f>
        <v>450</v>
      </c>
      <c r="AB299" s="1">
        <f>TwitterClean[[#This Row],[Total_Engagements]]/TwitterClean[[#This Row],[views]]</f>
        <v>1.8796207343051669E-2</v>
      </c>
      <c r="AC299" s="3">
        <f>DATEVALUE(MID(TwitterClean[[#This Row],[date_posted]],2,10))</f>
        <v>45641</v>
      </c>
      <c r="AD299">
        <f>TIMEVALUE(MID(TwitterClean[[#This Row],[date_posted]],13,8))</f>
        <v>6.0798611111111109E-2</v>
      </c>
      <c r="AE299" s="3" t="str">
        <f>TEXT(TwitterClean[[#This Row],[Post_Date]],"dddd")</f>
        <v>Sunday</v>
      </c>
      <c r="AF299">
        <f>HOUR(TwitterClean[[#This Row],[Post_Time]])</f>
        <v>1</v>
      </c>
      <c r="AG299" t="str">
        <f>IF(TwitterClean[[#This Row],[videos]]="Null","No","Yes")</f>
        <v>Yes</v>
      </c>
      <c r="AH299" t="str">
        <f>IF(TwitterClean[[#This Row],[photos]]="null","No","Yes")</f>
        <v>No</v>
      </c>
      <c r="AI299" t="str">
        <f>IF(TwitterClean[[#This Row],[hashtags]]="null","No","Yes")</f>
        <v>Yes</v>
      </c>
      <c r="AJ299" t="str">
        <f>IF(TwitterClean[[#This Row],[external_url]]="null","Yes","No")</f>
        <v>No</v>
      </c>
      <c r="AK299">
        <f>LEN(TwitterClean[[#This Row],[description]])</f>
        <v>108</v>
      </c>
      <c r="AL299" t="str">
        <f>IF(TwitterClean[[#This Row],[followers]]&lt;100000,"&lt;100K",IF(TwitterClean[[#This Row],[followers]]&lt;1000000,"100K-1M",IF(TwitterClean[[#This Row],[followers]]&lt;10000000,"1M-10M","10M+")))</f>
        <v>10M+</v>
      </c>
    </row>
    <row r="300" spans="1:38">
      <c r="A300">
        <v>1.8683663215342469E+18</v>
      </c>
      <c r="B300" t="s">
        <v>46</v>
      </c>
      <c r="C300" t="s">
        <v>47</v>
      </c>
      <c r="D300" t="s">
        <v>759</v>
      </c>
      <c r="E300" t="s">
        <v>760</v>
      </c>
      <c r="F300" t="s">
        <v>761</v>
      </c>
      <c r="G300" t="s">
        <v>762</v>
      </c>
      <c r="H300" t="s">
        <v>29</v>
      </c>
      <c r="I300">
        <v>16</v>
      </c>
      <c r="J300">
        <v>11</v>
      </c>
      <c r="K300">
        <v>388</v>
      </c>
      <c r="L300">
        <v>22825</v>
      </c>
      <c r="M300" t="s">
        <v>52</v>
      </c>
      <c r="N300" t="s">
        <v>182</v>
      </c>
      <c r="O300">
        <v>8293201</v>
      </c>
      <c r="P300" t="s">
        <v>54</v>
      </c>
      <c r="Q300">
        <v>456734</v>
      </c>
      <c r="R300" t="s">
        <v>55</v>
      </c>
      <c r="S300">
        <v>859</v>
      </c>
      <c r="T300" t="b">
        <v>0</v>
      </c>
      <c r="U300">
        <v>8</v>
      </c>
      <c r="V300">
        <v>5</v>
      </c>
      <c r="W300" t="s">
        <v>35</v>
      </c>
      <c r="X300" t="s">
        <v>29</v>
      </c>
      <c r="Y300" t="s">
        <v>29</v>
      </c>
      <c r="Z300" t="s">
        <v>37</v>
      </c>
      <c r="AA300">
        <f>TwitterClean[[#This Row],[likes]]+TwitterClean[[#This Row],[replies]]+TwitterClean[[#This Row],[reposts]]+TwitterClean[[#This Row],[quotes]]+TwitterClean[[#This Row],[bookmarks]]</f>
        <v>428</v>
      </c>
      <c r="AB300" s="1">
        <f>TwitterClean[[#This Row],[Total_Engagements]]/TwitterClean[[#This Row],[views]]</f>
        <v>1.8751369112814897E-2</v>
      </c>
      <c r="AC300" s="3">
        <f>DATEVALUE(MID(TwitterClean[[#This Row],[date_posted]],2,10))</f>
        <v>45641</v>
      </c>
      <c r="AD300">
        <f>TIMEVALUE(MID(TwitterClean[[#This Row],[date_posted]],13,8))</f>
        <v>0.78030092592592593</v>
      </c>
      <c r="AE300" s="3" t="str">
        <f>TEXT(TwitterClean[[#This Row],[Post_Date]],"dddd")</f>
        <v>Sunday</v>
      </c>
      <c r="AF300">
        <f>HOUR(TwitterClean[[#This Row],[Post_Time]])</f>
        <v>18</v>
      </c>
      <c r="AG300" t="str">
        <f>IF(TwitterClean[[#This Row],[videos]]="Null","No","Yes")</f>
        <v>No</v>
      </c>
      <c r="AH300" t="str">
        <f>IF(TwitterClean[[#This Row],[photos]]="null","No","Yes")</f>
        <v>Yes</v>
      </c>
      <c r="AI300" t="str">
        <f>IF(TwitterClean[[#This Row],[hashtags]]="null","No","Yes")</f>
        <v>Yes</v>
      </c>
      <c r="AJ300" t="str">
        <f>IF(TwitterClean[[#This Row],[external_url]]="null","Yes","No")</f>
        <v>No</v>
      </c>
      <c r="AK300">
        <f>LEN(TwitterClean[[#This Row],[description]])</f>
        <v>214</v>
      </c>
      <c r="AL300" t="str">
        <f>IF(TwitterClean[[#This Row],[followers]]&lt;100000,"&lt;100K",IF(TwitterClean[[#This Row],[followers]]&lt;1000000,"100K-1M",IF(TwitterClean[[#This Row],[followers]]&lt;10000000,"1M-10M","10M+")))</f>
        <v>1M-10M</v>
      </c>
    </row>
    <row r="301" spans="1:38">
      <c r="A301">
        <v>1.86843233000559E+18</v>
      </c>
      <c r="B301" t="s">
        <v>1862</v>
      </c>
      <c r="C301" t="s">
        <v>1863</v>
      </c>
      <c r="D301" t="s">
        <v>1985</v>
      </c>
      <c r="E301" t="s">
        <v>1986</v>
      </c>
      <c r="F301" t="s">
        <v>29</v>
      </c>
      <c r="G301" t="s">
        <v>1987</v>
      </c>
      <c r="H301" t="s">
        <v>29</v>
      </c>
      <c r="I301">
        <v>6</v>
      </c>
      <c r="J301">
        <v>23</v>
      </c>
      <c r="K301">
        <v>170</v>
      </c>
      <c r="L301">
        <v>11849</v>
      </c>
      <c r="M301" t="s">
        <v>52</v>
      </c>
      <c r="N301" t="s">
        <v>1867</v>
      </c>
      <c r="O301">
        <v>13492430</v>
      </c>
      <c r="P301" t="s">
        <v>1868</v>
      </c>
      <c r="Q301">
        <v>314515</v>
      </c>
      <c r="R301" t="s">
        <v>1869</v>
      </c>
      <c r="S301">
        <v>708</v>
      </c>
      <c r="T301" t="b">
        <v>0</v>
      </c>
      <c r="U301">
        <v>10</v>
      </c>
      <c r="V301">
        <v>13</v>
      </c>
      <c r="W301" t="s">
        <v>35</v>
      </c>
      <c r="X301" t="s">
        <v>29</v>
      </c>
      <c r="Y301" t="s">
        <v>1988</v>
      </c>
      <c r="Z301" t="s">
        <v>37</v>
      </c>
      <c r="AA301">
        <f>TwitterClean[[#This Row],[likes]]+TwitterClean[[#This Row],[replies]]+TwitterClean[[#This Row],[reposts]]+TwitterClean[[#This Row],[quotes]]+TwitterClean[[#This Row],[bookmarks]]</f>
        <v>222</v>
      </c>
      <c r="AB301" s="1">
        <f>TwitterClean[[#This Row],[Total_Engagements]]/TwitterClean[[#This Row],[views]]</f>
        <v>1.8735758291838975E-2</v>
      </c>
      <c r="AC301" s="3">
        <f>DATEVALUE(MID(TwitterClean[[#This Row],[date_posted]],2,10))</f>
        <v>45641</v>
      </c>
      <c r="AD301">
        <f>TIMEVALUE(MID(TwitterClean[[#This Row],[date_posted]],13,8))</f>
        <v>0.96244212962962961</v>
      </c>
      <c r="AE301" s="3" t="str">
        <f>TEXT(TwitterClean[[#This Row],[Post_Date]],"dddd")</f>
        <v>Sunday</v>
      </c>
      <c r="AF301">
        <f>HOUR(TwitterClean[[#This Row],[Post_Time]])</f>
        <v>23</v>
      </c>
      <c r="AG301" t="str">
        <f>IF(TwitterClean[[#This Row],[videos]]="Null","No","Yes")</f>
        <v>Yes</v>
      </c>
      <c r="AH301" t="str">
        <f>IF(TwitterClean[[#This Row],[photos]]="null","No","Yes")</f>
        <v>No</v>
      </c>
      <c r="AI301" t="str">
        <f>IF(TwitterClean[[#This Row],[hashtags]]="null","No","Yes")</f>
        <v>Yes</v>
      </c>
      <c r="AJ301" t="str">
        <f>IF(TwitterClean[[#This Row],[external_url]]="null","Yes","No")</f>
        <v>No</v>
      </c>
      <c r="AK301">
        <f>LEN(TwitterClean[[#This Row],[description]])</f>
        <v>72</v>
      </c>
      <c r="AL301" t="str">
        <f>IF(TwitterClean[[#This Row],[followers]]&lt;100000,"&lt;100K",IF(TwitterClean[[#This Row],[followers]]&lt;1000000,"100K-1M",IF(TwitterClean[[#This Row],[followers]]&lt;10000000,"1M-10M","10M+")))</f>
        <v>10M+</v>
      </c>
    </row>
    <row r="302" spans="1:38">
      <c r="A302">
        <v>1.8683476569569405E+18</v>
      </c>
      <c r="B302" t="s">
        <v>228</v>
      </c>
      <c r="C302" t="s">
        <v>228</v>
      </c>
      <c r="D302" t="s">
        <v>425</v>
      </c>
      <c r="E302" t="s">
        <v>426</v>
      </c>
      <c r="F302" t="s">
        <v>427</v>
      </c>
      <c r="G302" t="s">
        <v>428</v>
      </c>
      <c r="H302" t="s">
        <v>29</v>
      </c>
      <c r="I302">
        <v>20</v>
      </c>
      <c r="J302">
        <v>17</v>
      </c>
      <c r="K302">
        <v>136</v>
      </c>
      <c r="L302">
        <v>9777</v>
      </c>
      <c r="M302" t="s">
        <v>429</v>
      </c>
      <c r="N302" t="s">
        <v>29</v>
      </c>
      <c r="O302">
        <v>1239618</v>
      </c>
      <c r="P302" t="s">
        <v>235</v>
      </c>
      <c r="Q302">
        <v>402839</v>
      </c>
      <c r="R302" t="s">
        <v>236</v>
      </c>
      <c r="S302">
        <v>1644</v>
      </c>
      <c r="T302" t="b">
        <v>0</v>
      </c>
      <c r="U302">
        <v>9</v>
      </c>
      <c r="V302">
        <v>1</v>
      </c>
      <c r="W302" t="s">
        <v>35</v>
      </c>
      <c r="X302" t="s">
        <v>29</v>
      </c>
      <c r="Y302" t="s">
        <v>29</v>
      </c>
      <c r="Z302" t="s">
        <v>37</v>
      </c>
      <c r="AA302">
        <f>TwitterClean[[#This Row],[likes]]+TwitterClean[[#This Row],[replies]]+TwitterClean[[#This Row],[reposts]]+TwitterClean[[#This Row],[quotes]]+TwitterClean[[#This Row],[bookmarks]]</f>
        <v>183</v>
      </c>
      <c r="AB302" s="1">
        <f>TwitterClean[[#This Row],[Total_Engagements]]/TwitterClean[[#This Row],[views]]</f>
        <v>1.8717397974838908E-2</v>
      </c>
      <c r="AC302" s="3">
        <f>DATEVALUE(MID(TwitterClean[[#This Row],[date_posted]],2,10))</f>
        <v>45641</v>
      </c>
      <c r="AD302">
        <f>TIMEVALUE(MID(TwitterClean[[#This Row],[date_posted]],13,8))</f>
        <v>0.72879629629629628</v>
      </c>
      <c r="AE302" s="3" t="str">
        <f>TEXT(TwitterClean[[#This Row],[Post_Date]],"dddd")</f>
        <v>Sunday</v>
      </c>
      <c r="AF302">
        <f>HOUR(TwitterClean[[#This Row],[Post_Time]])</f>
        <v>17</v>
      </c>
      <c r="AG302" t="str">
        <f>IF(TwitterClean[[#This Row],[videos]]="Null","No","Yes")</f>
        <v>No</v>
      </c>
      <c r="AH302" t="str">
        <f>IF(TwitterClean[[#This Row],[photos]]="null","No","Yes")</f>
        <v>Yes</v>
      </c>
      <c r="AI302" t="str">
        <f>IF(TwitterClean[[#This Row],[hashtags]]="null","No","Yes")</f>
        <v>No</v>
      </c>
      <c r="AJ302" t="str">
        <f>IF(TwitterClean[[#This Row],[external_url]]="null","Yes","No")</f>
        <v>No</v>
      </c>
      <c r="AK302">
        <f>LEN(TwitterClean[[#This Row],[description]])</f>
        <v>197</v>
      </c>
      <c r="AL302" t="str">
        <f>IF(TwitterClean[[#This Row],[followers]]&lt;100000,"&lt;100K",IF(TwitterClean[[#This Row],[followers]]&lt;1000000,"100K-1M",IF(TwitterClean[[#This Row],[followers]]&lt;10000000,"1M-10M","10M+")))</f>
        <v>1M-10M</v>
      </c>
    </row>
    <row r="303" spans="1:38">
      <c r="A303">
        <v>1.8681805719036524E+18</v>
      </c>
      <c r="B303" t="s">
        <v>3034</v>
      </c>
      <c r="C303" t="s">
        <v>3035</v>
      </c>
      <c r="D303" t="s">
        <v>3062</v>
      </c>
      <c r="E303" t="s">
        <v>3063</v>
      </c>
      <c r="F303" t="s">
        <v>29</v>
      </c>
      <c r="G303" t="s">
        <v>3064</v>
      </c>
      <c r="H303" t="s">
        <v>3052</v>
      </c>
      <c r="I303">
        <v>225</v>
      </c>
      <c r="J303">
        <v>425</v>
      </c>
      <c r="K303">
        <v>10757</v>
      </c>
      <c r="L303">
        <v>636617</v>
      </c>
      <c r="M303" t="s">
        <v>52</v>
      </c>
      <c r="N303" t="s">
        <v>3040</v>
      </c>
      <c r="O303">
        <v>12876593</v>
      </c>
      <c r="P303" t="s">
        <v>3041</v>
      </c>
      <c r="Q303">
        <v>141401</v>
      </c>
      <c r="R303" t="s">
        <v>3042</v>
      </c>
      <c r="S303">
        <v>717</v>
      </c>
      <c r="T303" t="b">
        <v>0</v>
      </c>
      <c r="U303">
        <v>61</v>
      </c>
      <c r="V303">
        <v>432</v>
      </c>
      <c r="W303" t="s">
        <v>35</v>
      </c>
      <c r="X303" t="s">
        <v>29</v>
      </c>
      <c r="Y303" t="s">
        <v>3065</v>
      </c>
      <c r="Z303" t="s">
        <v>37</v>
      </c>
      <c r="AA303">
        <f>TwitterClean[[#This Row],[likes]]+TwitterClean[[#This Row],[replies]]+TwitterClean[[#This Row],[reposts]]+TwitterClean[[#This Row],[quotes]]+TwitterClean[[#This Row],[bookmarks]]</f>
        <v>11900</v>
      </c>
      <c r="AB303" s="1">
        <f>TwitterClean[[#This Row],[Total_Engagements]]/TwitterClean[[#This Row],[views]]</f>
        <v>1.8692557691673328E-2</v>
      </c>
      <c r="AC303" s="3">
        <f>DATEVALUE(MID(TwitterClean[[#This Row],[date_posted]],2,10))</f>
        <v>45641</v>
      </c>
      <c r="AD303">
        <f>TIMEVALUE(MID(TwitterClean[[#This Row],[date_posted]],13,8))</f>
        <v>0.26773148148148146</v>
      </c>
      <c r="AE303" s="3" t="str">
        <f>TEXT(TwitterClean[[#This Row],[Post_Date]],"dddd")</f>
        <v>Sunday</v>
      </c>
      <c r="AF303">
        <f>HOUR(TwitterClean[[#This Row],[Post_Time]])</f>
        <v>6</v>
      </c>
      <c r="AG303" t="str">
        <f>IF(TwitterClean[[#This Row],[videos]]="Null","No","Yes")</f>
        <v>Yes</v>
      </c>
      <c r="AH303" t="str">
        <f>IF(TwitterClean[[#This Row],[photos]]="null","No","Yes")</f>
        <v>No</v>
      </c>
      <c r="AI303" t="str">
        <f>IF(TwitterClean[[#This Row],[hashtags]]="null","No","Yes")</f>
        <v>Yes</v>
      </c>
      <c r="AJ303" t="str">
        <f>IF(TwitterClean[[#This Row],[external_url]]="null","Yes","No")</f>
        <v>No</v>
      </c>
      <c r="AK303">
        <f>LEN(TwitterClean[[#This Row],[description]])</f>
        <v>60</v>
      </c>
      <c r="AL303" t="str">
        <f>IF(TwitterClean[[#This Row],[followers]]&lt;100000,"&lt;100K",IF(TwitterClean[[#This Row],[followers]]&lt;1000000,"100K-1M",IF(TwitterClean[[#This Row],[followers]]&lt;10000000,"1M-10M","10M+")))</f>
        <v>10M+</v>
      </c>
    </row>
    <row r="304" spans="1:38">
      <c r="A304">
        <v>1.8682476912157286E+18</v>
      </c>
      <c r="B304" t="s">
        <v>290</v>
      </c>
      <c r="C304" t="s">
        <v>291</v>
      </c>
      <c r="D304" t="s">
        <v>292</v>
      </c>
      <c r="E304" t="s">
        <v>293</v>
      </c>
      <c r="F304" t="s">
        <v>294</v>
      </c>
      <c r="G304" t="s">
        <v>295</v>
      </c>
      <c r="H304" t="s">
        <v>296</v>
      </c>
      <c r="I304">
        <v>2</v>
      </c>
      <c r="J304">
        <v>6</v>
      </c>
      <c r="K304">
        <v>71</v>
      </c>
      <c r="L304">
        <v>4347</v>
      </c>
      <c r="M304" t="s">
        <v>52</v>
      </c>
      <c r="N304" t="s">
        <v>297</v>
      </c>
      <c r="O304">
        <v>1906482</v>
      </c>
      <c r="P304" t="s">
        <v>298</v>
      </c>
      <c r="Q304">
        <v>124666</v>
      </c>
      <c r="R304" t="s">
        <v>299</v>
      </c>
      <c r="S304">
        <v>432</v>
      </c>
      <c r="T304" t="b">
        <v>0</v>
      </c>
      <c r="U304">
        <v>2</v>
      </c>
      <c r="V304">
        <v>0</v>
      </c>
      <c r="W304" t="s">
        <v>300</v>
      </c>
      <c r="X304" t="s">
        <v>29</v>
      </c>
      <c r="Y304" t="s">
        <v>29</v>
      </c>
      <c r="Z304" t="s">
        <v>37</v>
      </c>
      <c r="AA304">
        <f>TwitterClean[[#This Row],[likes]]+TwitterClean[[#This Row],[replies]]+TwitterClean[[#This Row],[reposts]]+TwitterClean[[#This Row],[quotes]]+TwitterClean[[#This Row],[bookmarks]]</f>
        <v>81</v>
      </c>
      <c r="AB304" s="1">
        <f>TwitterClean[[#This Row],[Total_Engagements]]/TwitterClean[[#This Row],[views]]</f>
        <v>1.8633540372670808E-2</v>
      </c>
      <c r="AC304" s="3">
        <f>DATEVALUE(MID(TwitterClean[[#This Row],[date_posted]],2,10))</f>
        <v>45641</v>
      </c>
      <c r="AD304">
        <f>TIMEVALUE(MID(TwitterClean[[#This Row],[date_posted]],13,8))</f>
        <v>0.45293981481481482</v>
      </c>
      <c r="AE304" s="3" t="str">
        <f>TEXT(TwitterClean[[#This Row],[Post_Date]],"dddd")</f>
        <v>Sunday</v>
      </c>
      <c r="AF304">
        <f>HOUR(TwitterClean[[#This Row],[Post_Time]])</f>
        <v>10</v>
      </c>
      <c r="AG304" t="str">
        <f>IF(TwitterClean[[#This Row],[videos]]="Null","No","Yes")</f>
        <v>No</v>
      </c>
      <c r="AH304" t="str">
        <f>IF(TwitterClean[[#This Row],[photos]]="null","No","Yes")</f>
        <v>Yes</v>
      </c>
      <c r="AI304" t="str">
        <f>IF(TwitterClean[[#This Row],[hashtags]]="null","No","Yes")</f>
        <v>Yes</v>
      </c>
      <c r="AJ304" t="str">
        <f>IF(TwitterClean[[#This Row],[external_url]]="null","Yes","No")</f>
        <v>No</v>
      </c>
      <c r="AK304">
        <f>LEN(TwitterClean[[#This Row],[description]])</f>
        <v>96</v>
      </c>
      <c r="AL304" t="str">
        <f>IF(TwitterClean[[#This Row],[followers]]&lt;100000,"&lt;100K",IF(TwitterClean[[#This Row],[followers]]&lt;1000000,"100K-1M",IF(TwitterClean[[#This Row],[followers]]&lt;10000000,"1M-10M","10M+")))</f>
        <v>1M-10M</v>
      </c>
    </row>
    <row r="305" spans="1:38">
      <c r="A305">
        <v>1.8683038266186591E+18</v>
      </c>
      <c r="B305" t="s">
        <v>3392</v>
      </c>
      <c r="C305" t="s">
        <v>3393</v>
      </c>
      <c r="D305" t="s">
        <v>4859</v>
      </c>
      <c r="E305" t="s">
        <v>4860</v>
      </c>
      <c r="F305" t="s">
        <v>4861</v>
      </c>
      <c r="G305" t="s">
        <v>4862</v>
      </c>
      <c r="H305" t="s">
        <v>29</v>
      </c>
      <c r="I305">
        <v>34</v>
      </c>
      <c r="J305">
        <v>109</v>
      </c>
      <c r="K305">
        <v>1309</v>
      </c>
      <c r="L305">
        <v>79665</v>
      </c>
      <c r="M305" t="s">
        <v>52</v>
      </c>
      <c r="N305" t="s">
        <v>3405</v>
      </c>
      <c r="O305">
        <v>1480966</v>
      </c>
      <c r="P305" t="s">
        <v>3399</v>
      </c>
      <c r="Q305">
        <v>103753</v>
      </c>
      <c r="R305" t="s">
        <v>3400</v>
      </c>
      <c r="S305">
        <v>552</v>
      </c>
      <c r="T305" t="b">
        <v>0</v>
      </c>
      <c r="U305">
        <v>28</v>
      </c>
      <c r="V305">
        <v>3</v>
      </c>
      <c r="W305" t="s">
        <v>35</v>
      </c>
      <c r="X305" t="s">
        <v>29</v>
      </c>
      <c r="Y305" t="s">
        <v>29</v>
      </c>
      <c r="Z305" t="s">
        <v>37</v>
      </c>
      <c r="AA305">
        <f>TwitterClean[[#This Row],[likes]]+TwitterClean[[#This Row],[replies]]+TwitterClean[[#This Row],[reposts]]+TwitterClean[[#This Row],[quotes]]+TwitterClean[[#This Row],[bookmarks]]</f>
        <v>1483</v>
      </c>
      <c r="AB305" s="1">
        <f>TwitterClean[[#This Row],[Total_Engagements]]/TwitterClean[[#This Row],[views]]</f>
        <v>1.86154522061131E-2</v>
      </c>
      <c r="AC305" s="3">
        <f>DATEVALUE(MID(TwitterClean[[#This Row],[date_posted]],2,10))</f>
        <v>45641</v>
      </c>
      <c r="AD305">
        <f>TIMEVALUE(MID(TwitterClean[[#This Row],[date_posted]],13,8))</f>
        <v>0.60784722222222221</v>
      </c>
      <c r="AE305" s="3" t="str">
        <f>TEXT(TwitterClean[[#This Row],[Post_Date]],"dddd")</f>
        <v>Sunday</v>
      </c>
      <c r="AF305">
        <f>HOUR(TwitterClean[[#This Row],[Post_Time]])</f>
        <v>14</v>
      </c>
      <c r="AG305" t="str">
        <f>IF(TwitterClean[[#This Row],[videos]]="Null","No","Yes")</f>
        <v>No</v>
      </c>
      <c r="AH305" t="str">
        <f>IF(TwitterClean[[#This Row],[photos]]="null","No","Yes")</f>
        <v>Yes</v>
      </c>
      <c r="AI305" t="str">
        <f>IF(TwitterClean[[#This Row],[hashtags]]="null","No","Yes")</f>
        <v>Yes</v>
      </c>
      <c r="AJ305" t="str">
        <f>IF(TwitterClean[[#This Row],[external_url]]="null","Yes","No")</f>
        <v>No</v>
      </c>
      <c r="AK305">
        <f>LEN(TwitterClean[[#This Row],[description]])</f>
        <v>44</v>
      </c>
      <c r="AL305" t="str">
        <f>IF(TwitterClean[[#This Row],[followers]]&lt;100000,"&lt;100K",IF(TwitterClean[[#This Row],[followers]]&lt;1000000,"100K-1M",IF(TwitterClean[[#This Row],[followers]]&lt;10000000,"1M-10M","10M+")))</f>
        <v>1M-10M</v>
      </c>
    </row>
    <row r="306" spans="1:38">
      <c r="A306">
        <v>1.86835288528255E+18</v>
      </c>
      <c r="B306" t="s">
        <v>1280</v>
      </c>
      <c r="C306" t="s">
        <v>1281</v>
      </c>
      <c r="D306" t="s">
        <v>1282</v>
      </c>
      <c r="E306" t="s">
        <v>1283</v>
      </c>
      <c r="F306" t="s">
        <v>1284</v>
      </c>
      <c r="G306" t="s">
        <v>1285</v>
      </c>
      <c r="H306" t="s">
        <v>29</v>
      </c>
      <c r="I306">
        <v>256</v>
      </c>
      <c r="J306">
        <v>258</v>
      </c>
      <c r="K306">
        <v>3329</v>
      </c>
      <c r="L306">
        <v>207876</v>
      </c>
      <c r="M306" t="s">
        <v>52</v>
      </c>
      <c r="N306" t="s">
        <v>1286</v>
      </c>
      <c r="O306">
        <v>38439078</v>
      </c>
      <c r="P306" t="s">
        <v>1287</v>
      </c>
      <c r="Q306">
        <v>92455</v>
      </c>
      <c r="R306" t="s">
        <v>1288</v>
      </c>
      <c r="S306">
        <v>145</v>
      </c>
      <c r="T306" t="b">
        <v>0</v>
      </c>
      <c r="U306">
        <v>5</v>
      </c>
      <c r="V306">
        <v>11</v>
      </c>
      <c r="W306" t="s">
        <v>35</v>
      </c>
      <c r="X306" t="s">
        <v>29</v>
      </c>
      <c r="Y306" t="s">
        <v>29</v>
      </c>
      <c r="Z306" t="s">
        <v>37</v>
      </c>
      <c r="AA306">
        <f>TwitterClean[[#This Row],[likes]]+TwitterClean[[#This Row],[replies]]+TwitterClean[[#This Row],[reposts]]+TwitterClean[[#This Row],[quotes]]+TwitterClean[[#This Row],[bookmarks]]</f>
        <v>3859</v>
      </c>
      <c r="AB306" s="1">
        <f>TwitterClean[[#This Row],[Total_Engagements]]/TwitterClean[[#This Row],[views]]</f>
        <v>1.8563951586522735E-2</v>
      </c>
      <c r="AC306" s="3">
        <f>DATEVALUE(MID(TwitterClean[[#This Row],[date_posted]],2,10))</f>
        <v>45641</v>
      </c>
      <c r="AD306">
        <f>TIMEVALUE(MID(TwitterClean[[#This Row],[date_posted]],13,8))</f>
        <v>0.74321759259259257</v>
      </c>
      <c r="AE306" s="3" t="str">
        <f>TEXT(TwitterClean[[#This Row],[Post_Date]],"dddd")</f>
        <v>Sunday</v>
      </c>
      <c r="AF306">
        <f>HOUR(TwitterClean[[#This Row],[Post_Time]])</f>
        <v>17</v>
      </c>
      <c r="AG306" t="str">
        <f>IF(TwitterClean[[#This Row],[videos]]="Null","No","Yes")</f>
        <v>No</v>
      </c>
      <c r="AH306" t="str">
        <f>IF(TwitterClean[[#This Row],[photos]]="null","No","Yes")</f>
        <v>Yes</v>
      </c>
      <c r="AI306" t="str">
        <f>IF(TwitterClean[[#This Row],[hashtags]]="null","No","Yes")</f>
        <v>Yes</v>
      </c>
      <c r="AJ306" t="str">
        <f>IF(TwitterClean[[#This Row],[external_url]]="null","Yes","No")</f>
        <v>No</v>
      </c>
      <c r="AK306">
        <f>LEN(TwitterClean[[#This Row],[description]])</f>
        <v>60</v>
      </c>
      <c r="AL306" t="str">
        <f>IF(TwitterClean[[#This Row],[followers]]&lt;100000,"&lt;100K",IF(TwitterClean[[#This Row],[followers]]&lt;1000000,"100K-1M",IF(TwitterClean[[#This Row],[followers]]&lt;10000000,"1M-10M","10M+")))</f>
        <v>10M+</v>
      </c>
    </row>
    <row r="307" spans="1:38">
      <c r="A307">
        <v>1.8683566538355057E+18</v>
      </c>
      <c r="B307" t="s">
        <v>1656</v>
      </c>
      <c r="C307" t="s">
        <v>1657</v>
      </c>
      <c r="D307" t="s">
        <v>1735</v>
      </c>
      <c r="E307" t="s">
        <v>1736</v>
      </c>
      <c r="F307" t="s">
        <v>29</v>
      </c>
      <c r="G307" t="s">
        <v>1737</v>
      </c>
      <c r="H307" t="s">
        <v>1738</v>
      </c>
      <c r="I307">
        <v>12</v>
      </c>
      <c r="J307">
        <v>20</v>
      </c>
      <c r="K307">
        <v>115</v>
      </c>
      <c r="L307">
        <v>8047</v>
      </c>
      <c r="M307" t="s">
        <v>1739</v>
      </c>
      <c r="N307" t="s">
        <v>29</v>
      </c>
      <c r="O307">
        <v>2819406</v>
      </c>
      <c r="P307" t="s">
        <v>1662</v>
      </c>
      <c r="Q307">
        <v>286269</v>
      </c>
      <c r="R307" t="s">
        <v>1663</v>
      </c>
      <c r="S307">
        <v>4</v>
      </c>
      <c r="T307" t="b">
        <v>0</v>
      </c>
      <c r="U307">
        <v>1</v>
      </c>
      <c r="V307">
        <v>1</v>
      </c>
      <c r="W307" t="s">
        <v>35</v>
      </c>
      <c r="X307" t="s">
        <v>1740</v>
      </c>
      <c r="Y307" t="s">
        <v>29</v>
      </c>
      <c r="Z307" t="s">
        <v>37</v>
      </c>
      <c r="AA307">
        <f>TwitterClean[[#This Row],[likes]]+TwitterClean[[#This Row],[replies]]+TwitterClean[[#This Row],[reposts]]+TwitterClean[[#This Row],[quotes]]+TwitterClean[[#This Row],[bookmarks]]</f>
        <v>149</v>
      </c>
      <c r="AB307" s="1">
        <f>TwitterClean[[#This Row],[Total_Engagements]]/TwitterClean[[#This Row],[views]]</f>
        <v>1.8516217223810114E-2</v>
      </c>
      <c r="AC307" s="3">
        <f>DATEVALUE(MID(TwitterClean[[#This Row],[date_posted]],2,10))</f>
        <v>45641</v>
      </c>
      <c r="AD307">
        <f>TIMEVALUE(MID(TwitterClean[[#This Row],[date_posted]],13,8))</f>
        <v>0.75362268518518516</v>
      </c>
      <c r="AE307" s="3" t="str">
        <f>TEXT(TwitterClean[[#This Row],[Post_Date]],"dddd")</f>
        <v>Sunday</v>
      </c>
      <c r="AF307">
        <f>HOUR(TwitterClean[[#This Row],[Post_Time]])</f>
        <v>18</v>
      </c>
      <c r="AG307" t="str">
        <f>IF(TwitterClean[[#This Row],[videos]]="Null","No","Yes")</f>
        <v>No</v>
      </c>
      <c r="AH307" t="str">
        <f>IF(TwitterClean[[#This Row],[photos]]="null","No","Yes")</f>
        <v>No</v>
      </c>
      <c r="AI307" t="str">
        <f>IF(TwitterClean[[#This Row],[hashtags]]="null","No","Yes")</f>
        <v>No</v>
      </c>
      <c r="AJ307" t="str">
        <f>IF(TwitterClean[[#This Row],[external_url]]="null","Yes","No")</f>
        <v>No</v>
      </c>
      <c r="AK307">
        <f>LEN(TwitterClean[[#This Row],[description]])</f>
        <v>93</v>
      </c>
      <c r="AL307" t="str">
        <f>IF(TwitterClean[[#This Row],[followers]]&lt;100000,"&lt;100K",IF(TwitterClean[[#This Row],[followers]]&lt;1000000,"100K-1M",IF(TwitterClean[[#This Row],[followers]]&lt;10000000,"1M-10M","10M+")))</f>
        <v>1M-10M</v>
      </c>
    </row>
    <row r="308" spans="1:38">
      <c r="A308">
        <v>1.8682206734719473E+18</v>
      </c>
      <c r="B308" t="s">
        <v>2714</v>
      </c>
      <c r="C308" t="s">
        <v>2715</v>
      </c>
      <c r="D308" t="s">
        <v>2809</v>
      </c>
      <c r="E308" t="s">
        <v>2810</v>
      </c>
      <c r="F308" t="s">
        <v>29</v>
      </c>
      <c r="G308" t="s">
        <v>2811</v>
      </c>
      <c r="H308" t="s">
        <v>2812</v>
      </c>
      <c r="I308">
        <v>1</v>
      </c>
      <c r="J308">
        <v>5</v>
      </c>
      <c r="K308">
        <v>74</v>
      </c>
      <c r="L308">
        <v>4537</v>
      </c>
      <c r="M308" t="s">
        <v>52</v>
      </c>
      <c r="N308" t="s">
        <v>29</v>
      </c>
      <c r="O308">
        <v>182895</v>
      </c>
      <c r="P308" t="s">
        <v>2720</v>
      </c>
      <c r="Q308">
        <v>30781</v>
      </c>
      <c r="R308" t="s">
        <v>2721</v>
      </c>
      <c r="S308">
        <v>559</v>
      </c>
      <c r="T308" t="b">
        <v>0</v>
      </c>
      <c r="U308">
        <v>1</v>
      </c>
      <c r="V308">
        <v>3</v>
      </c>
      <c r="W308" t="s">
        <v>35</v>
      </c>
      <c r="X308" t="s">
        <v>29</v>
      </c>
      <c r="Y308" t="s">
        <v>2813</v>
      </c>
      <c r="Z308" t="s">
        <v>37</v>
      </c>
      <c r="AA308">
        <f>TwitterClean[[#This Row],[likes]]+TwitterClean[[#This Row],[replies]]+TwitterClean[[#This Row],[reposts]]+TwitterClean[[#This Row],[quotes]]+TwitterClean[[#This Row],[bookmarks]]</f>
        <v>84</v>
      </c>
      <c r="AB308" s="1">
        <f>TwitterClean[[#This Row],[Total_Engagements]]/TwitterClean[[#This Row],[views]]</f>
        <v>1.8514436852545734E-2</v>
      </c>
      <c r="AC308" s="3">
        <f>DATEVALUE(MID(TwitterClean[[#This Row],[date_posted]],2,10))</f>
        <v>45641</v>
      </c>
      <c r="AD308">
        <f>TIMEVALUE(MID(TwitterClean[[#This Row],[date_posted]],13,8))</f>
        <v>0.37839120370370372</v>
      </c>
      <c r="AE308" s="3" t="str">
        <f>TEXT(TwitterClean[[#This Row],[Post_Date]],"dddd")</f>
        <v>Sunday</v>
      </c>
      <c r="AF308">
        <f>HOUR(TwitterClean[[#This Row],[Post_Time]])</f>
        <v>9</v>
      </c>
      <c r="AG308" t="str">
        <f>IF(TwitterClean[[#This Row],[videos]]="Null","No","Yes")</f>
        <v>Yes</v>
      </c>
      <c r="AH308" t="str">
        <f>IF(TwitterClean[[#This Row],[photos]]="null","No","Yes")</f>
        <v>No</v>
      </c>
      <c r="AI308" t="str">
        <f>IF(TwitterClean[[#This Row],[hashtags]]="null","No","Yes")</f>
        <v>No</v>
      </c>
      <c r="AJ308" t="str">
        <f>IF(TwitterClean[[#This Row],[external_url]]="null","Yes","No")</f>
        <v>No</v>
      </c>
      <c r="AK308">
        <f>LEN(TwitterClean[[#This Row],[description]])</f>
        <v>48</v>
      </c>
      <c r="AL308" t="str">
        <f>IF(TwitterClean[[#This Row],[followers]]&lt;100000,"&lt;100K",IF(TwitterClean[[#This Row],[followers]]&lt;1000000,"100K-1M",IF(TwitterClean[[#This Row],[followers]]&lt;10000000,"1M-10M","10M+")))</f>
        <v>100K-1M</v>
      </c>
    </row>
    <row r="309" spans="1:38">
      <c r="A309">
        <v>1.8682496480092736E+18</v>
      </c>
      <c r="B309" t="s">
        <v>717</v>
      </c>
      <c r="C309" t="s">
        <v>718</v>
      </c>
      <c r="D309" t="s">
        <v>910</v>
      </c>
      <c r="E309" t="s">
        <v>911</v>
      </c>
      <c r="F309" t="s">
        <v>912</v>
      </c>
      <c r="G309" t="s">
        <v>913</v>
      </c>
      <c r="H309" t="s">
        <v>914</v>
      </c>
      <c r="I309">
        <v>22</v>
      </c>
      <c r="J309">
        <v>74</v>
      </c>
      <c r="K309">
        <v>1038</v>
      </c>
      <c r="L309">
        <v>68928</v>
      </c>
      <c r="M309" t="s">
        <v>52</v>
      </c>
      <c r="N309" t="s">
        <v>29</v>
      </c>
      <c r="O309">
        <v>756191</v>
      </c>
      <c r="P309" t="s">
        <v>724</v>
      </c>
      <c r="Q309">
        <v>32997</v>
      </c>
      <c r="R309" t="s">
        <v>725</v>
      </c>
      <c r="S309">
        <v>303</v>
      </c>
      <c r="T309" t="b">
        <v>0</v>
      </c>
      <c r="U309">
        <v>89</v>
      </c>
      <c r="V309">
        <v>36</v>
      </c>
      <c r="W309" t="s">
        <v>35</v>
      </c>
      <c r="X309" t="s">
        <v>29</v>
      </c>
      <c r="Y309" t="s">
        <v>29</v>
      </c>
      <c r="Z309" t="s">
        <v>37</v>
      </c>
      <c r="AA309">
        <f>TwitterClean[[#This Row],[likes]]+TwitterClean[[#This Row],[replies]]+TwitterClean[[#This Row],[reposts]]+TwitterClean[[#This Row],[quotes]]+TwitterClean[[#This Row],[bookmarks]]</f>
        <v>1259</v>
      </c>
      <c r="AB309" s="1">
        <f>TwitterClean[[#This Row],[Total_Engagements]]/TwitterClean[[#This Row],[views]]</f>
        <v>1.8265436397400185E-2</v>
      </c>
      <c r="AC309" s="3">
        <f>DATEVALUE(MID(TwitterClean[[#This Row],[date_posted]],2,10))</f>
        <v>45641</v>
      </c>
      <c r="AD309">
        <f>TIMEVALUE(MID(TwitterClean[[#This Row],[date_posted]],13,8))</f>
        <v>0.45834490740740741</v>
      </c>
      <c r="AE309" s="3" t="str">
        <f>TEXT(TwitterClean[[#This Row],[Post_Date]],"dddd")</f>
        <v>Sunday</v>
      </c>
      <c r="AF309">
        <f>HOUR(TwitterClean[[#This Row],[Post_Time]])</f>
        <v>11</v>
      </c>
      <c r="AG309" t="str">
        <f>IF(TwitterClean[[#This Row],[videos]]="Null","No","Yes")</f>
        <v>No</v>
      </c>
      <c r="AH309" t="str">
        <f>IF(TwitterClean[[#This Row],[photos]]="null","No","Yes")</f>
        <v>Yes</v>
      </c>
      <c r="AI309" t="str">
        <f>IF(TwitterClean[[#This Row],[hashtags]]="null","No","Yes")</f>
        <v>No</v>
      </c>
      <c r="AJ309" t="str">
        <f>IF(TwitterClean[[#This Row],[external_url]]="null","Yes","No")</f>
        <v>No</v>
      </c>
      <c r="AK309">
        <f>LEN(TwitterClean[[#This Row],[description]])</f>
        <v>76</v>
      </c>
      <c r="AL309" t="str">
        <f>IF(TwitterClean[[#This Row],[followers]]&lt;100000,"&lt;100K",IF(TwitterClean[[#This Row],[followers]]&lt;1000000,"100K-1M",IF(TwitterClean[[#This Row],[followers]]&lt;10000000,"1M-10M","10M+")))</f>
        <v>100K-1M</v>
      </c>
    </row>
    <row r="310" spans="1:38">
      <c r="A310">
        <v>1.8682889703518459E+18</v>
      </c>
      <c r="B310" t="s">
        <v>324</v>
      </c>
      <c r="C310" t="s">
        <v>325</v>
      </c>
      <c r="D310" t="s">
        <v>326</v>
      </c>
      <c r="E310" t="s">
        <v>327</v>
      </c>
      <c r="F310" t="s">
        <v>328</v>
      </c>
      <c r="G310" t="s">
        <v>329</v>
      </c>
      <c r="H310" t="s">
        <v>29</v>
      </c>
      <c r="I310">
        <v>2</v>
      </c>
      <c r="J310">
        <v>2</v>
      </c>
      <c r="K310">
        <v>61</v>
      </c>
      <c r="L310">
        <v>3669</v>
      </c>
      <c r="M310" t="s">
        <v>52</v>
      </c>
      <c r="N310" t="s">
        <v>330</v>
      </c>
      <c r="O310">
        <v>43768</v>
      </c>
      <c r="P310" t="s">
        <v>331</v>
      </c>
      <c r="Q310">
        <v>25674</v>
      </c>
      <c r="R310" t="s">
        <v>332</v>
      </c>
      <c r="S310">
        <v>51</v>
      </c>
      <c r="T310" t="b">
        <v>0</v>
      </c>
      <c r="U310">
        <v>1</v>
      </c>
      <c r="V310">
        <v>1</v>
      </c>
      <c r="W310" t="s">
        <v>35</v>
      </c>
      <c r="X310" t="s">
        <v>29</v>
      </c>
      <c r="Y310" t="s">
        <v>29</v>
      </c>
      <c r="Z310" t="s">
        <v>37</v>
      </c>
      <c r="AA310">
        <f>TwitterClean[[#This Row],[likes]]+TwitterClean[[#This Row],[replies]]+TwitterClean[[#This Row],[reposts]]+TwitterClean[[#This Row],[quotes]]+TwitterClean[[#This Row],[bookmarks]]</f>
        <v>67</v>
      </c>
      <c r="AB310" s="1">
        <f>TwitterClean[[#This Row],[Total_Engagements]]/TwitterClean[[#This Row],[views]]</f>
        <v>1.8261106568547288E-2</v>
      </c>
      <c r="AC310" s="3">
        <f>DATEVALUE(MID(TwitterClean[[#This Row],[date_posted]],2,10))</f>
        <v>45641</v>
      </c>
      <c r="AD310">
        <f>TIMEVALUE(MID(TwitterClean[[#This Row],[date_posted]],13,8))</f>
        <v>0.56685185185185183</v>
      </c>
      <c r="AE310" s="3" t="str">
        <f>TEXT(TwitterClean[[#This Row],[Post_Date]],"dddd")</f>
        <v>Sunday</v>
      </c>
      <c r="AF310">
        <f>HOUR(TwitterClean[[#This Row],[Post_Time]])</f>
        <v>13</v>
      </c>
      <c r="AG310" t="str">
        <f>IF(TwitterClean[[#This Row],[videos]]="Null","No","Yes")</f>
        <v>No</v>
      </c>
      <c r="AH310" t="str">
        <f>IF(TwitterClean[[#This Row],[photos]]="null","No","Yes")</f>
        <v>Yes</v>
      </c>
      <c r="AI310" t="str">
        <f>IF(TwitterClean[[#This Row],[hashtags]]="null","No","Yes")</f>
        <v>Yes</v>
      </c>
      <c r="AJ310" t="str">
        <f>IF(TwitterClean[[#This Row],[external_url]]="null","Yes","No")</f>
        <v>No</v>
      </c>
      <c r="AK310">
        <f>LEN(TwitterClean[[#This Row],[description]])</f>
        <v>28</v>
      </c>
      <c r="AL310" t="str">
        <f>IF(TwitterClean[[#This Row],[followers]]&lt;100000,"&lt;100K",IF(TwitterClean[[#This Row],[followers]]&lt;1000000,"100K-1M",IF(TwitterClean[[#This Row],[followers]]&lt;10000000,"1M-10M","10M+")))</f>
        <v>&lt;100K</v>
      </c>
    </row>
    <row r="311" spans="1:38">
      <c r="A311">
        <v>1.8659757158518582E+18</v>
      </c>
      <c r="B311" t="s">
        <v>2744</v>
      </c>
      <c r="C311" t="s">
        <v>2744</v>
      </c>
      <c r="D311" t="s">
        <v>2745</v>
      </c>
      <c r="E311" t="s">
        <v>2746</v>
      </c>
      <c r="F311" t="s">
        <v>2747</v>
      </c>
      <c r="G311" t="s">
        <v>2748</v>
      </c>
      <c r="H311" t="s">
        <v>2749</v>
      </c>
      <c r="I311">
        <v>335</v>
      </c>
      <c r="J311">
        <v>577</v>
      </c>
      <c r="K311">
        <v>5936</v>
      </c>
      <c r="L311">
        <v>384227</v>
      </c>
      <c r="M311" t="s">
        <v>52</v>
      </c>
      <c r="N311" t="s">
        <v>2750</v>
      </c>
      <c r="O311">
        <v>36981729</v>
      </c>
      <c r="P311" t="s">
        <v>2751</v>
      </c>
      <c r="Q311">
        <v>280303</v>
      </c>
      <c r="R311" t="s">
        <v>2752</v>
      </c>
      <c r="S311">
        <v>2821</v>
      </c>
      <c r="T311" t="b">
        <v>0</v>
      </c>
      <c r="U311">
        <v>73</v>
      </c>
      <c r="V311">
        <v>66</v>
      </c>
      <c r="W311" t="s">
        <v>35</v>
      </c>
      <c r="X311" t="s">
        <v>29</v>
      </c>
      <c r="Y311" t="s">
        <v>29</v>
      </c>
      <c r="Z311" t="s">
        <v>37</v>
      </c>
      <c r="AA311">
        <f>TwitterClean[[#This Row],[likes]]+TwitterClean[[#This Row],[replies]]+TwitterClean[[#This Row],[reposts]]+TwitterClean[[#This Row],[quotes]]+TwitterClean[[#This Row],[bookmarks]]</f>
        <v>6987</v>
      </c>
      <c r="AB311" s="1">
        <f>TwitterClean[[#This Row],[Total_Engagements]]/TwitterClean[[#This Row],[views]]</f>
        <v>1.8184562771486647E-2</v>
      </c>
      <c r="AC311" s="3">
        <f>DATEVALUE(MID(TwitterClean[[#This Row],[date_posted]],2,10))</f>
        <v>45635</v>
      </c>
      <c r="AD311">
        <f>TIMEVALUE(MID(TwitterClean[[#This Row],[date_posted]],13,8))</f>
        <v>0.1834837962962963</v>
      </c>
      <c r="AE311" s="3" t="str">
        <f>TEXT(TwitterClean[[#This Row],[Post_Date]],"dddd")</f>
        <v>Monday</v>
      </c>
      <c r="AF311">
        <f>HOUR(TwitterClean[[#This Row],[Post_Time]])</f>
        <v>4</v>
      </c>
      <c r="AG311" t="str">
        <f>IF(TwitterClean[[#This Row],[videos]]="Null","No","Yes")</f>
        <v>No</v>
      </c>
      <c r="AH311" t="str">
        <f>IF(TwitterClean[[#This Row],[photos]]="null","No","Yes")</f>
        <v>Yes</v>
      </c>
      <c r="AI311" t="str">
        <f>IF(TwitterClean[[#This Row],[hashtags]]="null","No","Yes")</f>
        <v>Yes</v>
      </c>
      <c r="AJ311" t="str">
        <f>IF(TwitterClean[[#This Row],[external_url]]="null","Yes","No")</f>
        <v>No</v>
      </c>
      <c r="AK311">
        <f>LEN(TwitterClean[[#This Row],[description]])</f>
        <v>81</v>
      </c>
      <c r="AL311" t="str">
        <f>IF(TwitterClean[[#This Row],[followers]]&lt;100000,"&lt;100K",IF(TwitterClean[[#This Row],[followers]]&lt;1000000,"100K-1M",IF(TwitterClean[[#This Row],[followers]]&lt;10000000,"1M-10M","10M+")))</f>
        <v>10M+</v>
      </c>
    </row>
    <row r="312" spans="1:38">
      <c r="A312">
        <v>1.8681245370256348E+18</v>
      </c>
      <c r="B312" t="s">
        <v>2474</v>
      </c>
      <c r="C312" t="s">
        <v>2475</v>
      </c>
      <c r="D312" t="s">
        <v>4936</v>
      </c>
      <c r="E312" t="s">
        <v>4937</v>
      </c>
      <c r="F312" t="s">
        <v>4938</v>
      </c>
      <c r="G312" t="s">
        <v>4939</v>
      </c>
      <c r="H312" t="s">
        <v>4924</v>
      </c>
      <c r="I312">
        <v>107</v>
      </c>
      <c r="J312">
        <v>91</v>
      </c>
      <c r="K312">
        <v>644</v>
      </c>
      <c r="L312">
        <v>47718</v>
      </c>
      <c r="M312" t="s">
        <v>52</v>
      </c>
      <c r="N312" t="s">
        <v>4940</v>
      </c>
      <c r="O312">
        <v>1511302</v>
      </c>
      <c r="P312" t="s">
        <v>2481</v>
      </c>
      <c r="Q312">
        <v>56647</v>
      </c>
      <c r="R312" t="s">
        <v>2482</v>
      </c>
      <c r="S312">
        <v>80</v>
      </c>
      <c r="T312" t="b">
        <v>0</v>
      </c>
      <c r="U312">
        <v>11</v>
      </c>
      <c r="V312">
        <v>6</v>
      </c>
      <c r="W312" t="s">
        <v>35</v>
      </c>
      <c r="X312" t="s">
        <v>29</v>
      </c>
      <c r="Y312" t="s">
        <v>29</v>
      </c>
      <c r="Z312" t="s">
        <v>37</v>
      </c>
      <c r="AA312">
        <f>TwitterClean[[#This Row],[likes]]+TwitterClean[[#This Row],[replies]]+TwitterClean[[#This Row],[reposts]]+TwitterClean[[#This Row],[quotes]]+TwitterClean[[#This Row],[bookmarks]]</f>
        <v>859</v>
      </c>
      <c r="AB312" s="1">
        <f>TwitterClean[[#This Row],[Total_Engagements]]/TwitterClean[[#This Row],[views]]</f>
        <v>1.8001592690389371E-2</v>
      </c>
      <c r="AC312" s="3">
        <f>DATEVALUE(MID(TwitterClean[[#This Row],[date_posted]],2,10))</f>
        <v>45641</v>
      </c>
      <c r="AD312">
        <f>TIMEVALUE(MID(TwitterClean[[#This Row],[date_posted]],13,8))</f>
        <v>0.11310185185185186</v>
      </c>
      <c r="AE312" s="3" t="str">
        <f>TEXT(TwitterClean[[#This Row],[Post_Date]],"dddd")</f>
        <v>Sunday</v>
      </c>
      <c r="AF312">
        <f>HOUR(TwitterClean[[#This Row],[Post_Time]])</f>
        <v>2</v>
      </c>
      <c r="AG312" t="str">
        <f>IF(TwitterClean[[#This Row],[videos]]="Null","No","Yes")</f>
        <v>No</v>
      </c>
      <c r="AH312" t="str">
        <f>IF(TwitterClean[[#This Row],[photos]]="null","No","Yes")</f>
        <v>Yes</v>
      </c>
      <c r="AI312" t="str">
        <f>IF(TwitterClean[[#This Row],[hashtags]]="null","No","Yes")</f>
        <v>Yes</v>
      </c>
      <c r="AJ312" t="str">
        <f>IF(TwitterClean[[#This Row],[external_url]]="null","Yes","No")</f>
        <v>No</v>
      </c>
      <c r="AK312">
        <f>LEN(TwitterClean[[#This Row],[description]])</f>
        <v>189</v>
      </c>
      <c r="AL312" t="str">
        <f>IF(TwitterClean[[#This Row],[followers]]&lt;100000,"&lt;100K",IF(TwitterClean[[#This Row],[followers]]&lt;1000000,"100K-1M",IF(TwitterClean[[#This Row],[followers]]&lt;10000000,"1M-10M","10M+")))</f>
        <v>1M-10M</v>
      </c>
    </row>
    <row r="313" spans="1:38">
      <c r="A313">
        <v>1.8683111380032064E+18</v>
      </c>
      <c r="B313" t="s">
        <v>1656</v>
      </c>
      <c r="C313" t="s">
        <v>1657</v>
      </c>
      <c r="D313" t="s">
        <v>1849</v>
      </c>
      <c r="E313" t="s">
        <v>1850</v>
      </c>
      <c r="F313" t="s">
        <v>29</v>
      </c>
      <c r="G313" t="s">
        <v>1851</v>
      </c>
      <c r="H313" t="s">
        <v>29</v>
      </c>
      <c r="I313">
        <v>24</v>
      </c>
      <c r="J313">
        <v>8</v>
      </c>
      <c r="K313">
        <v>89</v>
      </c>
      <c r="L313">
        <v>6944</v>
      </c>
      <c r="M313" t="s">
        <v>52</v>
      </c>
      <c r="N313" t="s">
        <v>1765</v>
      </c>
      <c r="O313">
        <v>2819408</v>
      </c>
      <c r="P313" t="s">
        <v>1662</v>
      </c>
      <c r="Q313">
        <v>286269</v>
      </c>
      <c r="R313" t="s">
        <v>1663</v>
      </c>
      <c r="S313">
        <v>4</v>
      </c>
      <c r="T313" t="b">
        <v>0</v>
      </c>
      <c r="U313">
        <v>3</v>
      </c>
      <c r="V313">
        <v>1</v>
      </c>
      <c r="W313" t="s">
        <v>35</v>
      </c>
      <c r="X313" t="s">
        <v>29</v>
      </c>
      <c r="Y313" t="s">
        <v>1852</v>
      </c>
      <c r="Z313" t="s">
        <v>37</v>
      </c>
      <c r="AA313">
        <f>TwitterClean[[#This Row],[likes]]+TwitterClean[[#This Row],[replies]]+TwitterClean[[#This Row],[reposts]]+TwitterClean[[#This Row],[quotes]]+TwitterClean[[#This Row],[bookmarks]]</f>
        <v>125</v>
      </c>
      <c r="AB313" s="1">
        <f>TwitterClean[[#This Row],[Total_Engagements]]/TwitterClean[[#This Row],[views]]</f>
        <v>1.8001152073732717E-2</v>
      </c>
      <c r="AC313" s="3">
        <f>DATEVALUE(MID(TwitterClean[[#This Row],[date_posted]],2,10))</f>
        <v>45641</v>
      </c>
      <c r="AD313">
        <f>TIMEVALUE(MID(TwitterClean[[#This Row],[date_posted]],13,8))</f>
        <v>0.62802083333333336</v>
      </c>
      <c r="AE313" s="3" t="str">
        <f>TEXT(TwitterClean[[#This Row],[Post_Date]],"dddd")</f>
        <v>Sunday</v>
      </c>
      <c r="AF313">
        <f>HOUR(TwitterClean[[#This Row],[Post_Time]])</f>
        <v>15</v>
      </c>
      <c r="AG313" t="str">
        <f>IF(TwitterClean[[#This Row],[videos]]="Null","No","Yes")</f>
        <v>Yes</v>
      </c>
      <c r="AH313" t="str">
        <f>IF(TwitterClean[[#This Row],[photos]]="null","No","Yes")</f>
        <v>No</v>
      </c>
      <c r="AI313" t="str">
        <f>IF(TwitterClean[[#This Row],[hashtags]]="null","No","Yes")</f>
        <v>Yes</v>
      </c>
      <c r="AJ313" t="str">
        <f>IF(TwitterClean[[#This Row],[external_url]]="null","Yes","No")</f>
        <v>No</v>
      </c>
      <c r="AK313">
        <f>LEN(TwitterClean[[#This Row],[description]])</f>
        <v>190</v>
      </c>
      <c r="AL313" t="str">
        <f>IF(TwitterClean[[#This Row],[followers]]&lt;100000,"&lt;100K",IF(TwitterClean[[#This Row],[followers]]&lt;1000000,"100K-1M",IF(TwitterClean[[#This Row],[followers]]&lt;10000000,"1M-10M","10M+")))</f>
        <v>1M-10M</v>
      </c>
    </row>
    <row r="314" spans="1:38">
      <c r="A314">
        <v>1.7670351994336748E+18</v>
      </c>
      <c r="B314" t="s">
        <v>4138</v>
      </c>
      <c r="C314" t="s">
        <v>4139</v>
      </c>
      <c r="D314" t="s">
        <v>4126</v>
      </c>
      <c r="E314" t="s">
        <v>4230</v>
      </c>
      <c r="F314" t="s">
        <v>4231</v>
      </c>
      <c r="G314" t="s">
        <v>4232</v>
      </c>
      <c r="H314" t="s">
        <v>29</v>
      </c>
      <c r="I314">
        <v>40</v>
      </c>
      <c r="J314">
        <v>24</v>
      </c>
      <c r="K314">
        <v>621</v>
      </c>
      <c r="L314">
        <v>39318</v>
      </c>
      <c r="M314" t="s">
        <v>52</v>
      </c>
      <c r="N314" t="s">
        <v>4130</v>
      </c>
      <c r="O314">
        <v>11185</v>
      </c>
      <c r="P314" t="s">
        <v>4143</v>
      </c>
      <c r="Q314">
        <v>22677</v>
      </c>
      <c r="R314" t="s">
        <v>4144</v>
      </c>
      <c r="S314">
        <v>2557</v>
      </c>
      <c r="T314" t="b">
        <v>0</v>
      </c>
      <c r="U314">
        <v>1</v>
      </c>
      <c r="V314">
        <v>17</v>
      </c>
      <c r="W314" t="s">
        <v>35</v>
      </c>
      <c r="X314" t="s">
        <v>29</v>
      </c>
      <c r="Y314" t="s">
        <v>29</v>
      </c>
      <c r="Z314" t="s">
        <v>37</v>
      </c>
      <c r="AA314">
        <f>TwitterClean[[#This Row],[likes]]+TwitterClean[[#This Row],[replies]]+TwitterClean[[#This Row],[reposts]]+TwitterClean[[#This Row],[quotes]]+TwitterClean[[#This Row],[bookmarks]]</f>
        <v>703</v>
      </c>
      <c r="AB314" s="1">
        <f>TwitterClean[[#This Row],[Total_Engagements]]/TwitterClean[[#This Row],[views]]</f>
        <v>1.7879851467521236E-2</v>
      </c>
      <c r="AC314" s="3">
        <f>DATEVALUE(MID(TwitterClean[[#This Row],[date_posted]],2,10))</f>
        <v>45362</v>
      </c>
      <c r="AD314">
        <f>TIMEVALUE(MID(TwitterClean[[#This Row],[date_posted]],13,8))</f>
        <v>0.15967592592592592</v>
      </c>
      <c r="AE314" s="3" t="str">
        <f>TEXT(TwitterClean[[#This Row],[Post_Date]],"dddd")</f>
        <v>Monday</v>
      </c>
      <c r="AF314">
        <f>HOUR(TwitterClean[[#This Row],[Post_Time]])</f>
        <v>3</v>
      </c>
      <c r="AG314" t="str">
        <f>IF(TwitterClean[[#This Row],[videos]]="Null","No","Yes")</f>
        <v>No</v>
      </c>
      <c r="AH314" t="str">
        <f>IF(TwitterClean[[#This Row],[photos]]="null","No","Yes")</f>
        <v>Yes</v>
      </c>
      <c r="AI314" t="str">
        <f>IF(TwitterClean[[#This Row],[hashtags]]="null","No","Yes")</f>
        <v>Yes</v>
      </c>
      <c r="AJ314" t="str">
        <f>IF(TwitterClean[[#This Row],[external_url]]="null","Yes","No")</f>
        <v>No</v>
      </c>
      <c r="AK314">
        <f>LEN(TwitterClean[[#This Row],[description]])</f>
        <v>7</v>
      </c>
      <c r="AL314" t="str">
        <f>IF(TwitterClean[[#This Row],[followers]]&lt;100000,"&lt;100K",IF(TwitterClean[[#This Row],[followers]]&lt;1000000,"100K-1M",IF(TwitterClean[[#This Row],[followers]]&lt;10000000,"1M-10M","10M+")))</f>
        <v>&lt;100K</v>
      </c>
    </row>
    <row r="315" spans="1:38">
      <c r="A315">
        <v>1.8683994309839549E+18</v>
      </c>
      <c r="B315" t="s">
        <v>1862</v>
      </c>
      <c r="C315" t="s">
        <v>1863</v>
      </c>
      <c r="D315" t="s">
        <v>1998</v>
      </c>
      <c r="E315" t="s">
        <v>1999</v>
      </c>
      <c r="F315" t="s">
        <v>29</v>
      </c>
      <c r="G315" t="s">
        <v>2000</v>
      </c>
      <c r="H315" t="s">
        <v>29</v>
      </c>
      <c r="I315">
        <v>37</v>
      </c>
      <c r="J315">
        <v>30</v>
      </c>
      <c r="K315">
        <v>183</v>
      </c>
      <c r="L315">
        <v>16545</v>
      </c>
      <c r="M315" t="s">
        <v>52</v>
      </c>
      <c r="N315" t="s">
        <v>1867</v>
      </c>
      <c r="O315">
        <v>13492430</v>
      </c>
      <c r="P315" t="s">
        <v>1868</v>
      </c>
      <c r="Q315">
        <v>314515</v>
      </c>
      <c r="R315" t="s">
        <v>1869</v>
      </c>
      <c r="S315">
        <v>708</v>
      </c>
      <c r="T315" t="b">
        <v>0</v>
      </c>
      <c r="U315">
        <v>35</v>
      </c>
      <c r="V315">
        <v>10</v>
      </c>
      <c r="W315" t="s">
        <v>35</v>
      </c>
      <c r="X315" t="s">
        <v>29</v>
      </c>
      <c r="Y315" t="s">
        <v>2001</v>
      </c>
      <c r="Z315" t="s">
        <v>37</v>
      </c>
      <c r="AA315">
        <f>TwitterClean[[#This Row],[likes]]+TwitterClean[[#This Row],[replies]]+TwitterClean[[#This Row],[reposts]]+TwitterClean[[#This Row],[quotes]]+TwitterClean[[#This Row],[bookmarks]]</f>
        <v>295</v>
      </c>
      <c r="AB315" s="1">
        <f>TwitterClean[[#This Row],[Total_Engagements]]/TwitterClean[[#This Row],[views]]</f>
        <v>1.7830160169235418E-2</v>
      </c>
      <c r="AC315" s="3">
        <f>DATEVALUE(MID(TwitterClean[[#This Row],[date_posted]],2,10))</f>
        <v>45641</v>
      </c>
      <c r="AD315">
        <f>TIMEVALUE(MID(TwitterClean[[#This Row],[date_posted]],13,8))</f>
        <v>0.8716666666666667</v>
      </c>
      <c r="AE315" s="3" t="str">
        <f>TEXT(TwitterClean[[#This Row],[Post_Date]],"dddd")</f>
        <v>Sunday</v>
      </c>
      <c r="AF315">
        <f>HOUR(TwitterClean[[#This Row],[Post_Time]])</f>
        <v>20</v>
      </c>
      <c r="AG315" t="str">
        <f>IF(TwitterClean[[#This Row],[videos]]="Null","No","Yes")</f>
        <v>Yes</v>
      </c>
      <c r="AH315" t="str">
        <f>IF(TwitterClean[[#This Row],[photos]]="null","No","Yes")</f>
        <v>No</v>
      </c>
      <c r="AI315" t="str">
        <f>IF(TwitterClean[[#This Row],[hashtags]]="null","No","Yes")</f>
        <v>Yes</v>
      </c>
      <c r="AJ315" t="str">
        <f>IF(TwitterClean[[#This Row],[external_url]]="null","Yes","No")</f>
        <v>No</v>
      </c>
      <c r="AK315">
        <f>LEN(TwitterClean[[#This Row],[description]])</f>
        <v>93</v>
      </c>
      <c r="AL315" t="str">
        <f>IF(TwitterClean[[#This Row],[followers]]&lt;100000,"&lt;100K",IF(TwitterClean[[#This Row],[followers]]&lt;1000000,"100K-1M",IF(TwitterClean[[#This Row],[followers]]&lt;10000000,"1M-10M","10M+")))</f>
        <v>10M+</v>
      </c>
    </row>
    <row r="316" spans="1:38">
      <c r="A316">
        <v>1.868341373348524E+18</v>
      </c>
      <c r="B316" t="s">
        <v>3973</v>
      </c>
      <c r="C316" t="s">
        <v>3974</v>
      </c>
      <c r="D316" t="s">
        <v>3982</v>
      </c>
      <c r="E316" t="s">
        <v>3983</v>
      </c>
      <c r="F316" t="s">
        <v>3984</v>
      </c>
      <c r="G316" t="s">
        <v>3985</v>
      </c>
      <c r="H316" t="s">
        <v>3986</v>
      </c>
      <c r="I316">
        <v>43</v>
      </c>
      <c r="J316">
        <v>129</v>
      </c>
      <c r="K316">
        <v>1796</v>
      </c>
      <c r="L316">
        <v>113467</v>
      </c>
      <c r="M316" t="s">
        <v>52</v>
      </c>
      <c r="N316" t="s">
        <v>29</v>
      </c>
      <c r="O316">
        <v>2035100</v>
      </c>
      <c r="P316" t="s">
        <v>3979</v>
      </c>
      <c r="Q316">
        <v>106867</v>
      </c>
      <c r="R316" t="s">
        <v>3980</v>
      </c>
      <c r="S316">
        <v>411</v>
      </c>
      <c r="T316" t="b">
        <v>0</v>
      </c>
      <c r="U316">
        <v>24</v>
      </c>
      <c r="V316">
        <v>21</v>
      </c>
      <c r="W316" t="s">
        <v>35</v>
      </c>
      <c r="X316" t="s">
        <v>29</v>
      </c>
      <c r="Y316" t="s">
        <v>29</v>
      </c>
      <c r="Z316" t="s">
        <v>37</v>
      </c>
      <c r="AA316">
        <f>TwitterClean[[#This Row],[likes]]+TwitterClean[[#This Row],[replies]]+TwitterClean[[#This Row],[reposts]]+TwitterClean[[#This Row],[quotes]]+TwitterClean[[#This Row],[bookmarks]]</f>
        <v>2013</v>
      </c>
      <c r="AB316" s="1">
        <f>TwitterClean[[#This Row],[Total_Engagements]]/TwitterClean[[#This Row],[views]]</f>
        <v>1.7740840949350911E-2</v>
      </c>
      <c r="AC316" s="3">
        <f>DATEVALUE(MID(TwitterClean[[#This Row],[date_posted]],2,10))</f>
        <v>45641</v>
      </c>
      <c r="AD316">
        <f>TIMEVALUE(MID(TwitterClean[[#This Row],[date_posted]],13,8))</f>
        <v>0.7114583333333333</v>
      </c>
      <c r="AE316" s="3" t="str">
        <f>TEXT(TwitterClean[[#This Row],[Post_Date]],"dddd")</f>
        <v>Sunday</v>
      </c>
      <c r="AF316">
        <f>HOUR(TwitterClean[[#This Row],[Post_Time]])</f>
        <v>17</v>
      </c>
      <c r="AG316" t="str">
        <f>IF(TwitterClean[[#This Row],[videos]]="Null","No","Yes")</f>
        <v>No</v>
      </c>
      <c r="AH316" t="str">
        <f>IF(TwitterClean[[#This Row],[photos]]="null","No","Yes")</f>
        <v>Yes</v>
      </c>
      <c r="AI316" t="str">
        <f>IF(TwitterClean[[#This Row],[hashtags]]="null","No","Yes")</f>
        <v>No</v>
      </c>
      <c r="AJ316" t="str">
        <f>IF(TwitterClean[[#This Row],[external_url]]="null","Yes","No")</f>
        <v>No</v>
      </c>
      <c r="AK316">
        <f>LEN(TwitterClean[[#This Row],[description]])</f>
        <v>59</v>
      </c>
      <c r="AL316" t="str">
        <f>IF(TwitterClean[[#This Row],[followers]]&lt;100000,"&lt;100K",IF(TwitterClean[[#This Row],[followers]]&lt;1000000,"100K-1M",IF(TwitterClean[[#This Row],[followers]]&lt;10000000,"1M-10M","10M+")))</f>
        <v>1M-10M</v>
      </c>
    </row>
    <row r="317" spans="1:38">
      <c r="A317">
        <v>1.8683661900218491E+18</v>
      </c>
      <c r="B317" t="s">
        <v>275</v>
      </c>
      <c r="C317" t="s">
        <v>276</v>
      </c>
      <c r="D317" t="s">
        <v>1218</v>
      </c>
      <c r="E317" t="s">
        <v>1219</v>
      </c>
      <c r="F317" t="s">
        <v>1220</v>
      </c>
      <c r="G317" t="s">
        <v>1221</v>
      </c>
      <c r="H317" t="s">
        <v>29</v>
      </c>
      <c r="I317">
        <v>30</v>
      </c>
      <c r="J317">
        <v>283</v>
      </c>
      <c r="K317">
        <v>1554</v>
      </c>
      <c r="L317">
        <v>113481</v>
      </c>
      <c r="M317" t="s">
        <v>52</v>
      </c>
      <c r="N317" t="s">
        <v>281</v>
      </c>
      <c r="O317">
        <v>8539601</v>
      </c>
      <c r="P317" t="s">
        <v>282</v>
      </c>
      <c r="Q317">
        <v>75535</v>
      </c>
      <c r="R317" t="s">
        <v>283</v>
      </c>
      <c r="S317">
        <v>117</v>
      </c>
      <c r="T317" t="b">
        <v>0</v>
      </c>
      <c r="U317">
        <v>115</v>
      </c>
      <c r="V317">
        <v>29</v>
      </c>
      <c r="W317" t="s">
        <v>35</v>
      </c>
      <c r="X317" t="s">
        <v>29</v>
      </c>
      <c r="Y317" t="s">
        <v>29</v>
      </c>
      <c r="Z317" t="s">
        <v>37</v>
      </c>
      <c r="AA317">
        <f>TwitterClean[[#This Row],[likes]]+TwitterClean[[#This Row],[replies]]+TwitterClean[[#This Row],[reposts]]+TwitterClean[[#This Row],[quotes]]+TwitterClean[[#This Row],[bookmarks]]</f>
        <v>2011</v>
      </c>
      <c r="AB317" s="1">
        <f>TwitterClean[[#This Row],[Total_Engagements]]/TwitterClean[[#This Row],[views]]</f>
        <v>1.7721028189741014E-2</v>
      </c>
      <c r="AC317" s="3">
        <f>DATEVALUE(MID(TwitterClean[[#This Row],[date_posted]],2,10))</f>
        <v>45641</v>
      </c>
      <c r="AD317">
        <f>TIMEVALUE(MID(TwitterClean[[#This Row],[date_posted]],13,8))</f>
        <v>0.77993055555555557</v>
      </c>
      <c r="AE317" s="3" t="str">
        <f>TEXT(TwitterClean[[#This Row],[Post_Date]],"dddd")</f>
        <v>Sunday</v>
      </c>
      <c r="AF317">
        <f>HOUR(TwitterClean[[#This Row],[Post_Time]])</f>
        <v>18</v>
      </c>
      <c r="AG317" t="str">
        <f>IF(TwitterClean[[#This Row],[videos]]="Null","No","Yes")</f>
        <v>No</v>
      </c>
      <c r="AH317" t="str">
        <f>IF(TwitterClean[[#This Row],[photos]]="null","No","Yes")</f>
        <v>Yes</v>
      </c>
      <c r="AI317" t="str">
        <f>IF(TwitterClean[[#This Row],[hashtags]]="null","No","Yes")</f>
        <v>Yes</v>
      </c>
      <c r="AJ317" t="str">
        <f>IF(TwitterClean[[#This Row],[external_url]]="null","Yes","No")</f>
        <v>No</v>
      </c>
      <c r="AK317">
        <f>LEN(TwitterClean[[#This Row],[description]])</f>
        <v>114</v>
      </c>
      <c r="AL317" t="str">
        <f>IF(TwitterClean[[#This Row],[followers]]&lt;100000,"&lt;100K",IF(TwitterClean[[#This Row],[followers]]&lt;1000000,"100K-1M",IF(TwitterClean[[#This Row],[followers]]&lt;10000000,"1M-10M","10M+")))</f>
        <v>1M-10M</v>
      </c>
    </row>
    <row r="318" spans="1:38">
      <c r="A318">
        <v>1.8681172498335173E+18</v>
      </c>
      <c r="B318" t="s">
        <v>4694</v>
      </c>
      <c r="C318" t="s">
        <v>4695</v>
      </c>
      <c r="D318" t="s">
        <v>4992</v>
      </c>
      <c r="E318" t="s">
        <v>4993</v>
      </c>
      <c r="F318" t="s">
        <v>4994</v>
      </c>
      <c r="G318" t="s">
        <v>4995</v>
      </c>
      <c r="H318" t="s">
        <v>4996</v>
      </c>
      <c r="I318">
        <v>2</v>
      </c>
      <c r="J318">
        <v>23</v>
      </c>
      <c r="K318">
        <v>141</v>
      </c>
      <c r="L318">
        <v>9679</v>
      </c>
      <c r="M318" t="s">
        <v>52</v>
      </c>
      <c r="N318" t="s">
        <v>4701</v>
      </c>
      <c r="O318">
        <v>1123810</v>
      </c>
      <c r="P318" t="s">
        <v>4702</v>
      </c>
      <c r="Q318">
        <v>34290</v>
      </c>
      <c r="R318" t="s">
        <v>4703</v>
      </c>
      <c r="S318">
        <v>63</v>
      </c>
      <c r="T318" t="b">
        <v>0</v>
      </c>
      <c r="U318">
        <v>3</v>
      </c>
      <c r="V318">
        <v>2</v>
      </c>
      <c r="W318" t="s">
        <v>35</v>
      </c>
      <c r="X318" t="s">
        <v>29</v>
      </c>
      <c r="Y318" t="s">
        <v>29</v>
      </c>
      <c r="Z318" t="s">
        <v>37</v>
      </c>
      <c r="AA318">
        <f>TwitterClean[[#This Row],[likes]]+TwitterClean[[#This Row],[replies]]+TwitterClean[[#This Row],[reposts]]+TwitterClean[[#This Row],[quotes]]+TwitterClean[[#This Row],[bookmarks]]</f>
        <v>171</v>
      </c>
      <c r="AB318" s="1">
        <f>TwitterClean[[#This Row],[Total_Engagements]]/TwitterClean[[#This Row],[views]]</f>
        <v>1.7667114371319351E-2</v>
      </c>
      <c r="AC318" s="3">
        <f>DATEVALUE(MID(TwitterClean[[#This Row],[date_posted]],2,10))</f>
        <v>45641</v>
      </c>
      <c r="AD318">
        <f>TIMEVALUE(MID(TwitterClean[[#This Row],[date_posted]],13,8))</f>
        <v>9.2986111111111117E-2</v>
      </c>
      <c r="AE318" s="3" t="str">
        <f>TEXT(TwitterClean[[#This Row],[Post_Date]],"dddd")</f>
        <v>Sunday</v>
      </c>
      <c r="AF318">
        <f>HOUR(TwitterClean[[#This Row],[Post_Time]])</f>
        <v>2</v>
      </c>
      <c r="AG318" t="str">
        <f>IF(TwitterClean[[#This Row],[videos]]="Null","No","Yes")</f>
        <v>No</v>
      </c>
      <c r="AH318" t="str">
        <f>IF(TwitterClean[[#This Row],[photos]]="null","No","Yes")</f>
        <v>Yes</v>
      </c>
      <c r="AI318" t="str">
        <f>IF(TwitterClean[[#This Row],[hashtags]]="null","No","Yes")</f>
        <v>Yes</v>
      </c>
      <c r="AJ318" t="str">
        <f>IF(TwitterClean[[#This Row],[external_url]]="null","Yes","No")</f>
        <v>No</v>
      </c>
      <c r="AK318">
        <f>LEN(TwitterClean[[#This Row],[description]])</f>
        <v>149</v>
      </c>
      <c r="AL318" t="str">
        <f>IF(TwitterClean[[#This Row],[followers]]&lt;100000,"&lt;100K",IF(TwitterClean[[#This Row],[followers]]&lt;1000000,"100K-1M",IF(TwitterClean[[#This Row],[followers]]&lt;10000000,"1M-10M","10M+")))</f>
        <v>1M-10M</v>
      </c>
    </row>
    <row r="319" spans="1:38">
      <c r="A319">
        <v>1.8680897391500291E+18</v>
      </c>
      <c r="B319" t="s">
        <v>1862</v>
      </c>
      <c r="C319" t="s">
        <v>1863</v>
      </c>
      <c r="D319" t="s">
        <v>2222</v>
      </c>
      <c r="E319" t="s">
        <v>2223</v>
      </c>
      <c r="F319" t="s">
        <v>29</v>
      </c>
      <c r="G319" t="s">
        <v>2224</v>
      </c>
      <c r="H319" t="s">
        <v>29</v>
      </c>
      <c r="I319">
        <v>19</v>
      </c>
      <c r="J319">
        <v>32</v>
      </c>
      <c r="K319">
        <v>253</v>
      </c>
      <c r="L319">
        <v>19096</v>
      </c>
      <c r="M319" t="s">
        <v>52</v>
      </c>
      <c r="N319" t="s">
        <v>1961</v>
      </c>
      <c r="O319">
        <v>13492430</v>
      </c>
      <c r="P319" t="s">
        <v>1868</v>
      </c>
      <c r="Q319">
        <v>314515</v>
      </c>
      <c r="R319" t="s">
        <v>1869</v>
      </c>
      <c r="S319">
        <v>708</v>
      </c>
      <c r="T319" t="b">
        <v>0</v>
      </c>
      <c r="U319">
        <v>8</v>
      </c>
      <c r="V319">
        <v>25</v>
      </c>
      <c r="W319" t="s">
        <v>35</v>
      </c>
      <c r="X319" t="s">
        <v>29</v>
      </c>
      <c r="Y319" t="s">
        <v>2225</v>
      </c>
      <c r="Z319" t="s">
        <v>37</v>
      </c>
      <c r="AA319">
        <f>TwitterClean[[#This Row],[likes]]+TwitterClean[[#This Row],[replies]]+TwitterClean[[#This Row],[reposts]]+TwitterClean[[#This Row],[quotes]]+TwitterClean[[#This Row],[bookmarks]]</f>
        <v>337</v>
      </c>
      <c r="AB319" s="1">
        <f>TwitterClean[[#This Row],[Total_Engagements]]/TwitterClean[[#This Row],[views]]</f>
        <v>1.7647674905739423E-2</v>
      </c>
      <c r="AC319" s="3">
        <f>DATEVALUE(MID(TwitterClean[[#This Row],[date_posted]],2,10))</f>
        <v>45641</v>
      </c>
      <c r="AD319">
        <f>TIMEVALUE(MID(TwitterClean[[#This Row],[date_posted]],13,8))</f>
        <v>1.7071759259259259E-2</v>
      </c>
      <c r="AE319" s="3" t="str">
        <f>TEXT(TwitterClean[[#This Row],[Post_Date]],"dddd")</f>
        <v>Sunday</v>
      </c>
      <c r="AF319">
        <f>HOUR(TwitterClean[[#This Row],[Post_Time]])</f>
        <v>0</v>
      </c>
      <c r="AG319" t="str">
        <f>IF(TwitterClean[[#This Row],[videos]]="Null","No","Yes")</f>
        <v>Yes</v>
      </c>
      <c r="AH319" t="str">
        <f>IF(TwitterClean[[#This Row],[photos]]="null","No","Yes")</f>
        <v>No</v>
      </c>
      <c r="AI319" t="str">
        <f>IF(TwitterClean[[#This Row],[hashtags]]="null","No","Yes")</f>
        <v>Yes</v>
      </c>
      <c r="AJ319" t="str">
        <f>IF(TwitterClean[[#This Row],[external_url]]="null","Yes","No")</f>
        <v>No</v>
      </c>
      <c r="AK319">
        <f>LEN(TwitterClean[[#This Row],[description]])</f>
        <v>67</v>
      </c>
      <c r="AL319" t="str">
        <f>IF(TwitterClean[[#This Row],[followers]]&lt;100000,"&lt;100K",IF(TwitterClean[[#This Row],[followers]]&lt;1000000,"100K-1M",IF(TwitterClean[[#This Row],[followers]]&lt;10000000,"1M-10M","10M+")))</f>
        <v>10M+</v>
      </c>
    </row>
    <row r="320" spans="1:38">
      <c r="A320">
        <v>1.8683015307654349E+18</v>
      </c>
      <c r="B320" t="s">
        <v>2994</v>
      </c>
      <c r="C320" t="s">
        <v>2995</v>
      </c>
      <c r="D320" t="s">
        <v>5079</v>
      </c>
      <c r="E320" t="s">
        <v>5080</v>
      </c>
      <c r="F320" t="s">
        <v>5081</v>
      </c>
      <c r="G320" t="s">
        <v>5082</v>
      </c>
      <c r="H320" t="s">
        <v>5083</v>
      </c>
      <c r="I320">
        <v>13</v>
      </c>
      <c r="J320">
        <v>55</v>
      </c>
      <c r="K320">
        <v>1631</v>
      </c>
      <c r="L320">
        <v>96859</v>
      </c>
      <c r="M320" t="s">
        <v>52</v>
      </c>
      <c r="N320" t="s">
        <v>29</v>
      </c>
      <c r="O320">
        <v>812163</v>
      </c>
      <c r="P320" t="s">
        <v>3000</v>
      </c>
      <c r="Q320">
        <v>110924</v>
      </c>
      <c r="R320" t="s">
        <v>3001</v>
      </c>
      <c r="S320">
        <v>322</v>
      </c>
      <c r="T320" t="b">
        <v>0</v>
      </c>
      <c r="U320">
        <v>4</v>
      </c>
      <c r="V320">
        <v>5</v>
      </c>
      <c r="W320" t="s">
        <v>35</v>
      </c>
      <c r="X320" t="s">
        <v>29</v>
      </c>
      <c r="Y320" t="s">
        <v>29</v>
      </c>
      <c r="Z320" t="s">
        <v>37</v>
      </c>
      <c r="AA320">
        <f>TwitterClean[[#This Row],[likes]]+TwitterClean[[#This Row],[replies]]+TwitterClean[[#This Row],[reposts]]+TwitterClean[[#This Row],[quotes]]+TwitterClean[[#This Row],[bookmarks]]</f>
        <v>1708</v>
      </c>
      <c r="AB320" s="1">
        <f>TwitterClean[[#This Row],[Total_Engagements]]/TwitterClean[[#This Row],[views]]</f>
        <v>1.7633880176338802E-2</v>
      </c>
      <c r="AC320" s="3">
        <f>DATEVALUE(MID(TwitterClean[[#This Row],[date_posted]],2,10))</f>
        <v>45641</v>
      </c>
      <c r="AD320">
        <f>TIMEVALUE(MID(TwitterClean[[#This Row],[date_posted]],13,8))</f>
        <v>0.60150462962962958</v>
      </c>
      <c r="AE320" s="3" t="str">
        <f>TEXT(TwitterClean[[#This Row],[Post_Date]],"dddd")</f>
        <v>Sunday</v>
      </c>
      <c r="AF320">
        <f>HOUR(TwitterClean[[#This Row],[Post_Time]])</f>
        <v>14</v>
      </c>
      <c r="AG320" t="str">
        <f>IF(TwitterClean[[#This Row],[videos]]="Null","No","Yes")</f>
        <v>No</v>
      </c>
      <c r="AH320" t="str">
        <f>IF(TwitterClean[[#This Row],[photos]]="null","No","Yes")</f>
        <v>Yes</v>
      </c>
      <c r="AI320" t="str">
        <f>IF(TwitterClean[[#This Row],[hashtags]]="null","No","Yes")</f>
        <v>No</v>
      </c>
      <c r="AJ320" t="str">
        <f>IF(TwitterClean[[#This Row],[external_url]]="null","Yes","No")</f>
        <v>No</v>
      </c>
      <c r="AK320">
        <f>LEN(TwitterClean[[#This Row],[description]])</f>
        <v>54</v>
      </c>
      <c r="AL320" t="str">
        <f>IF(TwitterClean[[#This Row],[followers]]&lt;100000,"&lt;100K",IF(TwitterClean[[#This Row],[followers]]&lt;1000000,"100K-1M",IF(TwitterClean[[#This Row],[followers]]&lt;10000000,"1M-10M","10M+")))</f>
        <v>100K-1M</v>
      </c>
    </row>
    <row r="321" spans="1:38">
      <c r="A321">
        <v>1.8683517060919869E+18</v>
      </c>
      <c r="B321" t="s">
        <v>1267</v>
      </c>
      <c r="C321" t="s">
        <v>1268</v>
      </c>
      <c r="D321" t="s">
        <v>1571</v>
      </c>
      <c r="E321" t="s">
        <v>1572</v>
      </c>
      <c r="F321" t="s">
        <v>1573</v>
      </c>
      <c r="G321" t="s">
        <v>1574</v>
      </c>
      <c r="H321" t="s">
        <v>29</v>
      </c>
      <c r="I321">
        <v>76</v>
      </c>
      <c r="J321">
        <v>112</v>
      </c>
      <c r="K321">
        <v>1471</v>
      </c>
      <c r="L321">
        <v>95393</v>
      </c>
      <c r="M321" t="s">
        <v>52</v>
      </c>
      <c r="N321" t="s">
        <v>1273</v>
      </c>
      <c r="O321">
        <v>17891301</v>
      </c>
      <c r="P321" t="s">
        <v>1274</v>
      </c>
      <c r="Q321">
        <v>168939</v>
      </c>
      <c r="R321" t="s">
        <v>1275</v>
      </c>
      <c r="S321">
        <v>47365</v>
      </c>
      <c r="T321" t="b">
        <v>0</v>
      </c>
      <c r="U321">
        <v>7</v>
      </c>
      <c r="V321">
        <v>13</v>
      </c>
      <c r="W321" t="s">
        <v>35</v>
      </c>
      <c r="X321" t="s">
        <v>29</v>
      </c>
      <c r="Y321" t="s">
        <v>29</v>
      </c>
      <c r="Z321" t="s">
        <v>37</v>
      </c>
      <c r="AA321">
        <f>TwitterClean[[#This Row],[likes]]+TwitterClean[[#This Row],[replies]]+TwitterClean[[#This Row],[reposts]]+TwitterClean[[#This Row],[quotes]]+TwitterClean[[#This Row],[bookmarks]]</f>
        <v>1679</v>
      </c>
      <c r="AB321" s="1">
        <f>TwitterClean[[#This Row],[Total_Engagements]]/TwitterClean[[#This Row],[views]]</f>
        <v>1.7600872181396957E-2</v>
      </c>
      <c r="AC321" s="3">
        <f>DATEVALUE(MID(TwitterClean[[#This Row],[date_posted]],2,10))</f>
        <v>45641</v>
      </c>
      <c r="AD321">
        <f>TIMEVALUE(MID(TwitterClean[[#This Row],[date_posted]],13,8))</f>
        <v>0.73996527777777776</v>
      </c>
      <c r="AE321" s="3" t="str">
        <f>TEXT(TwitterClean[[#This Row],[Post_Date]],"dddd")</f>
        <v>Sunday</v>
      </c>
      <c r="AF321">
        <f>HOUR(TwitterClean[[#This Row],[Post_Time]])</f>
        <v>17</v>
      </c>
      <c r="AG321" t="str">
        <f>IF(TwitterClean[[#This Row],[videos]]="Null","No","Yes")</f>
        <v>No</v>
      </c>
      <c r="AH321" t="str">
        <f>IF(TwitterClean[[#This Row],[photos]]="null","No","Yes")</f>
        <v>Yes</v>
      </c>
      <c r="AI321" t="str">
        <f>IF(TwitterClean[[#This Row],[hashtags]]="null","No","Yes")</f>
        <v>Yes</v>
      </c>
      <c r="AJ321" t="str">
        <f>IF(TwitterClean[[#This Row],[external_url]]="null","Yes","No")</f>
        <v>No</v>
      </c>
      <c r="AK321">
        <f>LEN(TwitterClean[[#This Row],[description]])</f>
        <v>20</v>
      </c>
      <c r="AL321" t="str">
        <f>IF(TwitterClean[[#This Row],[followers]]&lt;100000,"&lt;100K",IF(TwitterClean[[#This Row],[followers]]&lt;1000000,"100K-1M",IF(TwitterClean[[#This Row],[followers]]&lt;10000000,"1M-10M","10M+")))</f>
        <v>10M+</v>
      </c>
    </row>
    <row r="322" spans="1:38">
      <c r="A322">
        <v>1.8684157390712509E+18</v>
      </c>
      <c r="B322" t="s">
        <v>3168</v>
      </c>
      <c r="C322" t="s">
        <v>3169</v>
      </c>
      <c r="D322" t="s">
        <v>3170</v>
      </c>
      <c r="E322" t="s">
        <v>3171</v>
      </c>
      <c r="F322" t="s">
        <v>29</v>
      </c>
      <c r="G322" t="s">
        <v>3172</v>
      </c>
      <c r="H322" t="s">
        <v>3173</v>
      </c>
      <c r="I322">
        <v>4</v>
      </c>
      <c r="J322">
        <v>9</v>
      </c>
      <c r="K322">
        <v>204</v>
      </c>
      <c r="L322">
        <v>12787</v>
      </c>
      <c r="M322" t="s">
        <v>52</v>
      </c>
      <c r="N322" t="s">
        <v>3174</v>
      </c>
      <c r="O322">
        <v>294711</v>
      </c>
      <c r="P322" t="s">
        <v>3175</v>
      </c>
      <c r="Q322">
        <v>66342</v>
      </c>
      <c r="R322" t="s">
        <v>3176</v>
      </c>
      <c r="S322">
        <v>1449</v>
      </c>
      <c r="T322" t="b">
        <v>0</v>
      </c>
      <c r="U322">
        <v>1</v>
      </c>
      <c r="V322">
        <v>7</v>
      </c>
      <c r="W322" t="s">
        <v>35</v>
      </c>
      <c r="X322" t="s">
        <v>29</v>
      </c>
      <c r="Y322" t="s">
        <v>3177</v>
      </c>
      <c r="Z322" t="s">
        <v>37</v>
      </c>
      <c r="AA322">
        <f>TwitterClean[[#This Row],[likes]]+TwitterClean[[#This Row],[replies]]+TwitterClean[[#This Row],[reposts]]+TwitterClean[[#This Row],[quotes]]+TwitterClean[[#This Row],[bookmarks]]</f>
        <v>225</v>
      </c>
      <c r="AB322" s="1">
        <f>TwitterClean[[#This Row],[Total_Engagements]]/TwitterClean[[#This Row],[views]]</f>
        <v>1.7595995933369829E-2</v>
      </c>
      <c r="AC322" s="3">
        <f>DATEVALUE(MID(TwitterClean[[#This Row],[date_posted]],2,10))</f>
        <v>45641</v>
      </c>
      <c r="AD322">
        <f>TIMEVALUE(MID(TwitterClean[[#This Row],[date_posted]],13,8))</f>
        <v>0.91666666666666663</v>
      </c>
      <c r="AE322" s="3" t="str">
        <f>TEXT(TwitterClean[[#This Row],[Post_Date]],"dddd")</f>
        <v>Sunday</v>
      </c>
      <c r="AF322">
        <f>HOUR(TwitterClean[[#This Row],[Post_Time]])</f>
        <v>22</v>
      </c>
      <c r="AG322" t="str">
        <f>IF(TwitterClean[[#This Row],[videos]]="Null","No","Yes")</f>
        <v>Yes</v>
      </c>
      <c r="AH322" t="str">
        <f>IF(TwitterClean[[#This Row],[photos]]="null","No","Yes")</f>
        <v>No</v>
      </c>
      <c r="AI322" t="str">
        <f>IF(TwitterClean[[#This Row],[hashtags]]="null","No","Yes")</f>
        <v>Yes</v>
      </c>
      <c r="AJ322" t="str">
        <f>IF(TwitterClean[[#This Row],[external_url]]="null","Yes","No")</f>
        <v>No</v>
      </c>
      <c r="AK322">
        <f>LEN(TwitterClean[[#This Row],[description]])</f>
        <v>168</v>
      </c>
      <c r="AL322" t="str">
        <f>IF(TwitterClean[[#This Row],[followers]]&lt;100000,"&lt;100K",IF(TwitterClean[[#This Row],[followers]]&lt;1000000,"100K-1M",IF(TwitterClean[[#This Row],[followers]]&lt;10000000,"1M-10M","10M+")))</f>
        <v>100K-1M</v>
      </c>
    </row>
    <row r="323" spans="1:38">
      <c r="A323">
        <v>1.8668391862815419E+18</v>
      </c>
      <c r="B323" t="s">
        <v>2714</v>
      </c>
      <c r="C323" t="s">
        <v>2715</v>
      </c>
      <c r="D323" t="s">
        <v>2895</v>
      </c>
      <c r="E323" t="s">
        <v>2896</v>
      </c>
      <c r="F323" t="s">
        <v>2897</v>
      </c>
      <c r="G323" t="s">
        <v>2898</v>
      </c>
      <c r="H323" t="s">
        <v>29</v>
      </c>
      <c r="I323">
        <v>10</v>
      </c>
      <c r="J323">
        <v>4</v>
      </c>
      <c r="K323">
        <v>152</v>
      </c>
      <c r="L323">
        <v>9987</v>
      </c>
      <c r="M323" t="s">
        <v>2899</v>
      </c>
      <c r="N323" t="s">
        <v>29</v>
      </c>
      <c r="O323">
        <v>182895</v>
      </c>
      <c r="P323" t="s">
        <v>2720</v>
      </c>
      <c r="Q323">
        <v>30781</v>
      </c>
      <c r="R323" t="s">
        <v>2721</v>
      </c>
      <c r="S323">
        <v>559</v>
      </c>
      <c r="T323" t="b">
        <v>0</v>
      </c>
      <c r="U323">
        <v>4</v>
      </c>
      <c r="V323">
        <v>5</v>
      </c>
      <c r="W323" t="s">
        <v>35</v>
      </c>
      <c r="X323" t="s">
        <v>29</v>
      </c>
      <c r="Y323" t="s">
        <v>29</v>
      </c>
      <c r="Z323" t="s">
        <v>37</v>
      </c>
      <c r="AA323">
        <f>TwitterClean[[#This Row],[likes]]+TwitterClean[[#This Row],[replies]]+TwitterClean[[#This Row],[reposts]]+TwitterClean[[#This Row],[quotes]]+TwitterClean[[#This Row],[bookmarks]]</f>
        <v>175</v>
      </c>
      <c r="AB323" s="1">
        <f>TwitterClean[[#This Row],[Total_Engagements]]/TwitterClean[[#This Row],[views]]</f>
        <v>1.7522779613497547E-2</v>
      </c>
      <c r="AC323" s="3">
        <f>DATEVALUE(MID(TwitterClean[[#This Row],[date_posted]],2,10))</f>
        <v>45637</v>
      </c>
      <c r="AD323">
        <f>TIMEVALUE(MID(TwitterClean[[#This Row],[date_posted]],13,8))</f>
        <v>0.56620370370370365</v>
      </c>
      <c r="AE323" s="3" t="str">
        <f>TEXT(TwitterClean[[#This Row],[Post_Date]],"dddd")</f>
        <v>Wednesday</v>
      </c>
      <c r="AF323">
        <f>HOUR(TwitterClean[[#This Row],[Post_Time]])</f>
        <v>13</v>
      </c>
      <c r="AG323" t="str">
        <f>IF(TwitterClean[[#This Row],[videos]]="Null","No","Yes")</f>
        <v>No</v>
      </c>
      <c r="AH323" t="str">
        <f>IF(TwitterClean[[#This Row],[photos]]="null","No","Yes")</f>
        <v>Yes</v>
      </c>
      <c r="AI323" t="str">
        <f>IF(TwitterClean[[#This Row],[hashtags]]="null","No","Yes")</f>
        <v>No</v>
      </c>
      <c r="AJ323" t="str">
        <f>IF(TwitterClean[[#This Row],[external_url]]="null","Yes","No")</f>
        <v>No</v>
      </c>
      <c r="AK323">
        <f>LEN(TwitterClean[[#This Row],[description]])</f>
        <v>298</v>
      </c>
      <c r="AL323" t="str">
        <f>IF(TwitterClean[[#This Row],[followers]]&lt;100000,"&lt;100K",IF(TwitterClean[[#This Row],[followers]]&lt;1000000,"100K-1M",IF(TwitterClean[[#This Row],[followers]]&lt;10000000,"1M-10M","10M+")))</f>
        <v>100K-1M</v>
      </c>
    </row>
    <row r="324" spans="1:38">
      <c r="A324">
        <v>1.8680901287421586E+18</v>
      </c>
      <c r="B324" t="s">
        <v>1862</v>
      </c>
      <c r="C324" t="s">
        <v>1863</v>
      </c>
      <c r="D324" t="s">
        <v>2037</v>
      </c>
      <c r="E324" t="s">
        <v>2038</v>
      </c>
      <c r="F324" t="s">
        <v>29</v>
      </c>
      <c r="G324" t="s">
        <v>2039</v>
      </c>
      <c r="H324" t="s">
        <v>29</v>
      </c>
      <c r="I324">
        <v>5</v>
      </c>
      <c r="J324">
        <v>11</v>
      </c>
      <c r="K324">
        <v>156</v>
      </c>
      <c r="L324">
        <v>10678</v>
      </c>
      <c r="M324" t="s">
        <v>52</v>
      </c>
      <c r="N324" t="s">
        <v>1961</v>
      </c>
      <c r="O324">
        <v>13492430</v>
      </c>
      <c r="P324" t="s">
        <v>1868</v>
      </c>
      <c r="Q324">
        <v>314515</v>
      </c>
      <c r="R324" t="s">
        <v>1869</v>
      </c>
      <c r="S324">
        <v>708</v>
      </c>
      <c r="T324" t="b">
        <v>0</v>
      </c>
      <c r="U324">
        <v>6</v>
      </c>
      <c r="V324">
        <v>9</v>
      </c>
      <c r="W324" t="s">
        <v>35</v>
      </c>
      <c r="X324" t="s">
        <v>29</v>
      </c>
      <c r="Y324" t="s">
        <v>2040</v>
      </c>
      <c r="Z324" t="s">
        <v>37</v>
      </c>
      <c r="AA324">
        <f>TwitterClean[[#This Row],[likes]]+TwitterClean[[#This Row],[replies]]+TwitterClean[[#This Row],[reposts]]+TwitterClean[[#This Row],[quotes]]+TwitterClean[[#This Row],[bookmarks]]</f>
        <v>187</v>
      </c>
      <c r="AB324" s="1">
        <f>TwitterClean[[#This Row],[Total_Engagements]]/TwitterClean[[#This Row],[views]]</f>
        <v>1.7512642817006929E-2</v>
      </c>
      <c r="AC324" s="3">
        <f>DATEVALUE(MID(TwitterClean[[#This Row],[date_posted]],2,10))</f>
        <v>45641</v>
      </c>
      <c r="AD324">
        <f>TIMEVALUE(MID(TwitterClean[[#This Row],[date_posted]],13,8))</f>
        <v>1.8148148148148149E-2</v>
      </c>
      <c r="AE324" s="3" t="str">
        <f>TEXT(TwitterClean[[#This Row],[Post_Date]],"dddd")</f>
        <v>Sunday</v>
      </c>
      <c r="AF324">
        <f>HOUR(TwitterClean[[#This Row],[Post_Time]])</f>
        <v>0</v>
      </c>
      <c r="AG324" t="str">
        <f>IF(TwitterClean[[#This Row],[videos]]="Null","No","Yes")</f>
        <v>Yes</v>
      </c>
      <c r="AH324" t="str">
        <f>IF(TwitterClean[[#This Row],[photos]]="null","No","Yes")</f>
        <v>No</v>
      </c>
      <c r="AI324" t="str">
        <f>IF(TwitterClean[[#This Row],[hashtags]]="null","No","Yes")</f>
        <v>Yes</v>
      </c>
      <c r="AJ324" t="str">
        <f>IF(TwitterClean[[#This Row],[external_url]]="null","Yes","No")</f>
        <v>No</v>
      </c>
      <c r="AK324">
        <f>LEN(TwitterClean[[#This Row],[description]])</f>
        <v>69</v>
      </c>
      <c r="AL324" t="str">
        <f>IF(TwitterClean[[#This Row],[followers]]&lt;100000,"&lt;100K",IF(TwitterClean[[#This Row],[followers]]&lt;1000000,"100K-1M",IF(TwitterClean[[#This Row],[followers]]&lt;10000000,"1M-10M","10M+")))</f>
        <v>10M+</v>
      </c>
    </row>
    <row r="325" spans="1:38">
      <c r="A325">
        <v>1.8683740362476342E+18</v>
      </c>
      <c r="B325" t="s">
        <v>275</v>
      </c>
      <c r="C325" t="s">
        <v>276</v>
      </c>
      <c r="D325" t="s">
        <v>284</v>
      </c>
      <c r="E325" t="s">
        <v>285</v>
      </c>
      <c r="F325" t="s">
        <v>286</v>
      </c>
      <c r="G325" t="s">
        <v>287</v>
      </c>
      <c r="H325" t="s">
        <v>288</v>
      </c>
      <c r="I325">
        <v>4</v>
      </c>
      <c r="J325">
        <v>28</v>
      </c>
      <c r="K325">
        <v>405</v>
      </c>
      <c r="L325">
        <v>25339</v>
      </c>
      <c r="M325" t="s">
        <v>52</v>
      </c>
      <c r="N325" t="s">
        <v>289</v>
      </c>
      <c r="O325">
        <v>8539601</v>
      </c>
      <c r="P325" t="s">
        <v>282</v>
      </c>
      <c r="Q325">
        <v>75535</v>
      </c>
      <c r="R325" t="s">
        <v>283</v>
      </c>
      <c r="S325">
        <v>117</v>
      </c>
      <c r="T325" t="b">
        <v>0</v>
      </c>
      <c r="U325">
        <v>1</v>
      </c>
      <c r="V325">
        <v>5</v>
      </c>
      <c r="W325" t="s">
        <v>35</v>
      </c>
      <c r="X325" t="s">
        <v>29</v>
      </c>
      <c r="Y325" t="s">
        <v>29</v>
      </c>
      <c r="Z325" t="s">
        <v>37</v>
      </c>
      <c r="AA325">
        <f>TwitterClean[[#This Row],[likes]]+TwitterClean[[#This Row],[replies]]+TwitterClean[[#This Row],[reposts]]+TwitterClean[[#This Row],[quotes]]+TwitterClean[[#This Row],[bookmarks]]</f>
        <v>443</v>
      </c>
      <c r="AB325" s="1">
        <f>TwitterClean[[#This Row],[Total_Engagements]]/TwitterClean[[#This Row],[views]]</f>
        <v>1.748293144954418E-2</v>
      </c>
      <c r="AC325" s="3">
        <f>DATEVALUE(MID(TwitterClean[[#This Row],[date_posted]],2,10))</f>
        <v>45641</v>
      </c>
      <c r="AD325">
        <f>TIMEVALUE(MID(TwitterClean[[#This Row],[date_posted]],13,8))</f>
        <v>0.80158564814814814</v>
      </c>
      <c r="AE325" s="3" t="str">
        <f>TEXT(TwitterClean[[#This Row],[Post_Date]],"dddd")</f>
        <v>Sunday</v>
      </c>
      <c r="AF325">
        <f>HOUR(TwitterClean[[#This Row],[Post_Time]])</f>
        <v>19</v>
      </c>
      <c r="AG325" t="str">
        <f>IF(TwitterClean[[#This Row],[videos]]="Null","No","Yes")</f>
        <v>No</v>
      </c>
      <c r="AH325" t="str">
        <f>IF(TwitterClean[[#This Row],[photos]]="null","No","Yes")</f>
        <v>Yes</v>
      </c>
      <c r="AI325" t="str">
        <f>IF(TwitterClean[[#This Row],[hashtags]]="null","No","Yes")</f>
        <v>Yes</v>
      </c>
      <c r="AJ325" t="str">
        <f>IF(TwitterClean[[#This Row],[external_url]]="null","Yes","No")</f>
        <v>No</v>
      </c>
      <c r="AK325">
        <f>LEN(TwitterClean[[#This Row],[description]])</f>
        <v>73</v>
      </c>
      <c r="AL325" t="str">
        <f>IF(TwitterClean[[#This Row],[followers]]&lt;100000,"&lt;100K",IF(TwitterClean[[#This Row],[followers]]&lt;1000000,"100K-1M",IF(TwitterClean[[#This Row],[followers]]&lt;10000000,"1M-10M","10M+")))</f>
        <v>1M-10M</v>
      </c>
    </row>
    <row r="326" spans="1:38">
      <c r="A326">
        <v>1.8676001391597939E+18</v>
      </c>
      <c r="B326" t="s">
        <v>3973</v>
      </c>
      <c r="C326" t="s">
        <v>3974</v>
      </c>
      <c r="D326" t="s">
        <v>3987</v>
      </c>
      <c r="E326" t="s">
        <v>3988</v>
      </c>
      <c r="F326" t="s">
        <v>3989</v>
      </c>
      <c r="G326" t="s">
        <v>3990</v>
      </c>
      <c r="H326" t="s">
        <v>3991</v>
      </c>
      <c r="I326">
        <v>13</v>
      </c>
      <c r="J326">
        <v>21</v>
      </c>
      <c r="K326">
        <v>249</v>
      </c>
      <c r="L326">
        <v>16756</v>
      </c>
      <c r="M326" t="s">
        <v>52</v>
      </c>
      <c r="N326" t="s">
        <v>29</v>
      </c>
      <c r="O326">
        <v>2035100</v>
      </c>
      <c r="P326" t="s">
        <v>3979</v>
      </c>
      <c r="Q326">
        <v>106867</v>
      </c>
      <c r="R326" t="s">
        <v>3980</v>
      </c>
      <c r="S326">
        <v>411</v>
      </c>
      <c r="T326" t="b">
        <v>0</v>
      </c>
      <c r="U326">
        <v>6</v>
      </c>
      <c r="V326">
        <v>1</v>
      </c>
      <c r="W326" t="s">
        <v>35</v>
      </c>
      <c r="X326" t="s">
        <v>29</v>
      </c>
      <c r="Y326" t="s">
        <v>29</v>
      </c>
      <c r="Z326" t="s">
        <v>37</v>
      </c>
      <c r="AA326">
        <f>TwitterClean[[#This Row],[likes]]+TwitterClean[[#This Row],[replies]]+TwitterClean[[#This Row],[reposts]]+TwitterClean[[#This Row],[quotes]]+TwitterClean[[#This Row],[bookmarks]]</f>
        <v>290</v>
      </c>
      <c r="AB326" s="1">
        <f>TwitterClean[[#This Row],[Total_Engagements]]/TwitterClean[[#This Row],[views]]</f>
        <v>1.7307233229887801E-2</v>
      </c>
      <c r="AC326" s="3">
        <f>DATEVALUE(MID(TwitterClean[[#This Row],[date_posted]],2,10))</f>
        <v>45639</v>
      </c>
      <c r="AD326">
        <f>TIMEVALUE(MID(TwitterClean[[#This Row],[date_posted]],13,8))</f>
        <v>0.66604166666666664</v>
      </c>
      <c r="AE326" s="3" t="str">
        <f>TEXT(TwitterClean[[#This Row],[Post_Date]],"dddd")</f>
        <v>Friday</v>
      </c>
      <c r="AF326">
        <f>HOUR(TwitterClean[[#This Row],[Post_Time]])</f>
        <v>15</v>
      </c>
      <c r="AG326" t="str">
        <f>IF(TwitterClean[[#This Row],[videos]]="Null","No","Yes")</f>
        <v>No</v>
      </c>
      <c r="AH326" t="str">
        <f>IF(TwitterClean[[#This Row],[photos]]="null","No","Yes")</f>
        <v>Yes</v>
      </c>
      <c r="AI326" t="str">
        <f>IF(TwitterClean[[#This Row],[hashtags]]="null","No","Yes")</f>
        <v>No</v>
      </c>
      <c r="AJ326" t="str">
        <f>IF(TwitterClean[[#This Row],[external_url]]="null","Yes","No")</f>
        <v>No</v>
      </c>
      <c r="AK326">
        <f>LEN(TwitterClean[[#This Row],[description]])</f>
        <v>43</v>
      </c>
      <c r="AL326" t="str">
        <f>IF(TwitterClean[[#This Row],[followers]]&lt;100000,"&lt;100K",IF(TwitterClean[[#This Row],[followers]]&lt;1000000,"100K-1M",IF(TwitterClean[[#This Row],[followers]]&lt;10000000,"1M-10M","10M+")))</f>
        <v>1M-10M</v>
      </c>
    </row>
    <row r="327" spans="1:38">
      <c r="A327">
        <v>1.8682832737569754E+18</v>
      </c>
      <c r="B327" t="s">
        <v>333</v>
      </c>
      <c r="C327" t="s">
        <v>334</v>
      </c>
      <c r="D327" t="s">
        <v>4529</v>
      </c>
      <c r="E327" t="s">
        <v>4530</v>
      </c>
      <c r="F327" t="s">
        <v>29</v>
      </c>
      <c r="G327" t="s">
        <v>4531</v>
      </c>
      <c r="H327" t="s">
        <v>1411</v>
      </c>
      <c r="I327">
        <v>1</v>
      </c>
      <c r="J327">
        <v>11</v>
      </c>
      <c r="K327">
        <v>181</v>
      </c>
      <c r="L327">
        <v>11524</v>
      </c>
      <c r="M327" t="s">
        <v>52</v>
      </c>
      <c r="N327" t="s">
        <v>340</v>
      </c>
      <c r="O327">
        <v>337839</v>
      </c>
      <c r="P327" t="s">
        <v>341</v>
      </c>
      <c r="Q327">
        <v>57638</v>
      </c>
      <c r="R327" t="s">
        <v>342</v>
      </c>
      <c r="S327">
        <v>587</v>
      </c>
      <c r="T327" t="b">
        <v>0</v>
      </c>
      <c r="U327">
        <v>2</v>
      </c>
      <c r="V327">
        <v>4</v>
      </c>
      <c r="W327" t="s">
        <v>35</v>
      </c>
      <c r="X327" t="s">
        <v>29</v>
      </c>
      <c r="Y327" t="s">
        <v>4532</v>
      </c>
      <c r="Z327" t="s">
        <v>37</v>
      </c>
      <c r="AA327">
        <f>TwitterClean[[#This Row],[likes]]+TwitterClean[[#This Row],[replies]]+TwitterClean[[#This Row],[reposts]]+TwitterClean[[#This Row],[quotes]]+TwitterClean[[#This Row],[bookmarks]]</f>
        <v>199</v>
      </c>
      <c r="AB327" s="1">
        <f>TwitterClean[[#This Row],[Total_Engagements]]/TwitterClean[[#This Row],[views]]</f>
        <v>1.7268309614717113E-2</v>
      </c>
      <c r="AC327" s="3">
        <f>DATEVALUE(MID(TwitterClean[[#This Row],[date_posted]],2,10))</f>
        <v>45641</v>
      </c>
      <c r="AD327">
        <f>TIMEVALUE(MID(TwitterClean[[#This Row],[date_posted]],13,8))</f>
        <v>0.5511342592592593</v>
      </c>
      <c r="AE327" s="3" t="str">
        <f>TEXT(TwitterClean[[#This Row],[Post_Date]],"dddd")</f>
        <v>Sunday</v>
      </c>
      <c r="AF327">
        <f>HOUR(TwitterClean[[#This Row],[Post_Time]])</f>
        <v>13</v>
      </c>
      <c r="AG327" t="str">
        <f>IF(TwitterClean[[#This Row],[videos]]="Null","No","Yes")</f>
        <v>Yes</v>
      </c>
      <c r="AH327" t="str">
        <f>IF(TwitterClean[[#This Row],[photos]]="null","No","Yes")</f>
        <v>No</v>
      </c>
      <c r="AI327" t="str">
        <f>IF(TwitterClean[[#This Row],[hashtags]]="null","No","Yes")</f>
        <v>Yes</v>
      </c>
      <c r="AJ327" t="str">
        <f>IF(TwitterClean[[#This Row],[external_url]]="null","Yes","No")</f>
        <v>No</v>
      </c>
      <c r="AK327">
        <f>LEN(TwitterClean[[#This Row],[description]])</f>
        <v>111</v>
      </c>
      <c r="AL327" t="str">
        <f>IF(TwitterClean[[#This Row],[followers]]&lt;100000,"&lt;100K",IF(TwitterClean[[#This Row],[followers]]&lt;1000000,"100K-1M",IF(TwitterClean[[#This Row],[followers]]&lt;10000000,"1M-10M","10M+")))</f>
        <v>100K-1M</v>
      </c>
    </row>
    <row r="328" spans="1:38">
      <c r="A328">
        <v>1.868452175829185E+18</v>
      </c>
      <c r="B328" t="s">
        <v>1862</v>
      </c>
      <c r="C328" t="s">
        <v>1863</v>
      </c>
      <c r="D328" t="s">
        <v>2007</v>
      </c>
      <c r="E328" t="s">
        <v>2008</v>
      </c>
      <c r="F328" t="s">
        <v>29</v>
      </c>
      <c r="G328" t="s">
        <v>2009</v>
      </c>
      <c r="H328" t="s">
        <v>29</v>
      </c>
      <c r="I328">
        <v>4</v>
      </c>
      <c r="J328">
        <v>17</v>
      </c>
      <c r="K328">
        <v>136</v>
      </c>
      <c r="L328">
        <v>9853</v>
      </c>
      <c r="M328" t="s">
        <v>52</v>
      </c>
      <c r="N328" t="s">
        <v>2010</v>
      </c>
      <c r="O328">
        <v>13492430</v>
      </c>
      <c r="P328" t="s">
        <v>1868</v>
      </c>
      <c r="Q328">
        <v>314515</v>
      </c>
      <c r="R328" t="s">
        <v>1869</v>
      </c>
      <c r="S328">
        <v>708</v>
      </c>
      <c r="T328" t="b">
        <v>0</v>
      </c>
      <c r="U328">
        <v>3</v>
      </c>
      <c r="V328">
        <v>8</v>
      </c>
      <c r="W328" t="s">
        <v>35</v>
      </c>
      <c r="X328" t="s">
        <v>29</v>
      </c>
      <c r="Y328" t="s">
        <v>2011</v>
      </c>
      <c r="Z328" t="s">
        <v>37</v>
      </c>
      <c r="AA328">
        <f>TwitterClean[[#This Row],[likes]]+TwitterClean[[#This Row],[replies]]+TwitterClean[[#This Row],[reposts]]+TwitterClean[[#This Row],[quotes]]+TwitterClean[[#This Row],[bookmarks]]</f>
        <v>168</v>
      </c>
      <c r="AB328" s="1">
        <f>TwitterClean[[#This Row],[Total_Engagements]]/TwitterClean[[#This Row],[views]]</f>
        <v>1.7050644473764337E-2</v>
      </c>
      <c r="AC328" s="3">
        <f>DATEVALUE(MID(TwitterClean[[#This Row],[date_posted]],2,10))</f>
        <v>45642</v>
      </c>
      <c r="AD328">
        <f>TIMEVALUE(MID(TwitterClean[[#This Row],[date_posted]],13,8))</f>
        <v>1.7210648148148149E-2</v>
      </c>
      <c r="AE328" s="3" t="str">
        <f>TEXT(TwitterClean[[#This Row],[Post_Date]],"dddd")</f>
        <v>Monday</v>
      </c>
      <c r="AF328">
        <f>HOUR(TwitterClean[[#This Row],[Post_Time]])</f>
        <v>0</v>
      </c>
      <c r="AG328" t="str">
        <f>IF(TwitterClean[[#This Row],[videos]]="Null","No","Yes")</f>
        <v>Yes</v>
      </c>
      <c r="AH328" t="str">
        <f>IF(TwitterClean[[#This Row],[photos]]="null","No","Yes")</f>
        <v>No</v>
      </c>
      <c r="AI328" t="str">
        <f>IF(TwitterClean[[#This Row],[hashtags]]="null","No","Yes")</f>
        <v>Yes</v>
      </c>
      <c r="AJ328" t="str">
        <f>IF(TwitterClean[[#This Row],[external_url]]="null","Yes","No")</f>
        <v>No</v>
      </c>
      <c r="AK328">
        <f>LEN(TwitterClean[[#This Row],[description]])</f>
        <v>98</v>
      </c>
      <c r="AL328" t="str">
        <f>IF(TwitterClean[[#This Row],[followers]]&lt;100000,"&lt;100K",IF(TwitterClean[[#This Row],[followers]]&lt;1000000,"100K-1M",IF(TwitterClean[[#This Row],[followers]]&lt;10000000,"1M-10M","10M+")))</f>
        <v>10M+</v>
      </c>
    </row>
    <row r="329" spans="1:38">
      <c r="A329">
        <v>1.8683077776485665E+18</v>
      </c>
      <c r="B329" t="s">
        <v>1280</v>
      </c>
      <c r="C329" t="s">
        <v>1281</v>
      </c>
      <c r="D329" t="s">
        <v>1289</v>
      </c>
      <c r="E329" t="s">
        <v>1290</v>
      </c>
      <c r="F329" t="s">
        <v>1291</v>
      </c>
      <c r="G329" t="s">
        <v>1292</v>
      </c>
      <c r="H329" t="s">
        <v>1293</v>
      </c>
      <c r="I329">
        <v>170</v>
      </c>
      <c r="J329">
        <v>468</v>
      </c>
      <c r="K329">
        <v>5555</v>
      </c>
      <c r="L329">
        <v>365431</v>
      </c>
      <c r="M329" t="s">
        <v>52</v>
      </c>
      <c r="N329" t="s">
        <v>1294</v>
      </c>
      <c r="O329">
        <v>38439077</v>
      </c>
      <c r="P329" t="s">
        <v>1287</v>
      </c>
      <c r="Q329">
        <v>92455</v>
      </c>
      <c r="R329" t="s">
        <v>1288</v>
      </c>
      <c r="S329">
        <v>145</v>
      </c>
      <c r="T329" t="b">
        <v>0</v>
      </c>
      <c r="U329">
        <v>16</v>
      </c>
      <c r="V329">
        <v>11</v>
      </c>
      <c r="W329" t="s">
        <v>35</v>
      </c>
      <c r="X329" t="s">
        <v>29</v>
      </c>
      <c r="Y329" t="s">
        <v>29</v>
      </c>
      <c r="Z329" t="s">
        <v>37</v>
      </c>
      <c r="AA329">
        <f>TwitterClean[[#This Row],[likes]]+TwitterClean[[#This Row],[replies]]+TwitterClean[[#This Row],[reposts]]+TwitterClean[[#This Row],[quotes]]+TwitterClean[[#This Row],[bookmarks]]</f>
        <v>6220</v>
      </c>
      <c r="AB329" s="1">
        <f>TwitterClean[[#This Row],[Total_Engagements]]/TwitterClean[[#This Row],[views]]</f>
        <v>1.7020997123944056E-2</v>
      </c>
      <c r="AC329" s="3">
        <f>DATEVALUE(MID(TwitterClean[[#This Row],[date_posted]],2,10))</f>
        <v>45641</v>
      </c>
      <c r="AD329">
        <f>TIMEVALUE(MID(TwitterClean[[#This Row],[date_posted]],13,8))</f>
        <v>0.61875000000000002</v>
      </c>
      <c r="AE329" s="3" t="str">
        <f>TEXT(TwitterClean[[#This Row],[Post_Date]],"dddd")</f>
        <v>Sunday</v>
      </c>
      <c r="AF329">
        <f>HOUR(TwitterClean[[#This Row],[Post_Time]])</f>
        <v>14</v>
      </c>
      <c r="AG329" t="str">
        <f>IF(TwitterClean[[#This Row],[videos]]="Null","No","Yes")</f>
        <v>No</v>
      </c>
      <c r="AH329" t="str">
        <f>IF(TwitterClean[[#This Row],[photos]]="null","No","Yes")</f>
        <v>Yes</v>
      </c>
      <c r="AI329" t="str">
        <f>IF(TwitterClean[[#This Row],[hashtags]]="null","No","Yes")</f>
        <v>Yes</v>
      </c>
      <c r="AJ329" t="str">
        <f>IF(TwitterClean[[#This Row],[external_url]]="null","Yes","No")</f>
        <v>No</v>
      </c>
      <c r="AK329">
        <f>LEN(TwitterClean[[#This Row],[description]])</f>
        <v>82</v>
      </c>
      <c r="AL329" t="str">
        <f>IF(TwitterClean[[#This Row],[followers]]&lt;100000,"&lt;100K",IF(TwitterClean[[#This Row],[followers]]&lt;1000000,"100K-1M",IF(TwitterClean[[#This Row],[followers]]&lt;10000000,"1M-10M","10M+")))</f>
        <v>10M+</v>
      </c>
    </row>
    <row r="330" spans="1:38">
      <c r="A330">
        <v>1.8683299808219999E+18</v>
      </c>
      <c r="B330" t="s">
        <v>2994</v>
      </c>
      <c r="C330" t="s">
        <v>2995</v>
      </c>
      <c r="D330" t="s">
        <v>3415</v>
      </c>
      <c r="E330" t="s">
        <v>4644</v>
      </c>
      <c r="F330" t="s">
        <v>4645</v>
      </c>
      <c r="G330" t="s">
        <v>4646</v>
      </c>
      <c r="H330" t="s">
        <v>29</v>
      </c>
      <c r="I330">
        <v>23</v>
      </c>
      <c r="J330">
        <v>100</v>
      </c>
      <c r="K330">
        <v>1566</v>
      </c>
      <c r="L330">
        <v>100791</v>
      </c>
      <c r="M330" t="s">
        <v>52</v>
      </c>
      <c r="N330" t="s">
        <v>3174</v>
      </c>
      <c r="O330">
        <v>812163</v>
      </c>
      <c r="P330" t="s">
        <v>3000</v>
      </c>
      <c r="Q330">
        <v>110924</v>
      </c>
      <c r="R330" t="s">
        <v>3001</v>
      </c>
      <c r="S330">
        <v>322</v>
      </c>
      <c r="T330" t="b">
        <v>0</v>
      </c>
      <c r="U330">
        <v>6</v>
      </c>
      <c r="V330">
        <v>8</v>
      </c>
      <c r="W330" t="s">
        <v>35</v>
      </c>
      <c r="X330" t="s">
        <v>29</v>
      </c>
      <c r="Y330" t="s">
        <v>29</v>
      </c>
      <c r="Z330" t="s">
        <v>37</v>
      </c>
      <c r="AA330">
        <f>TwitterClean[[#This Row],[likes]]+TwitterClean[[#This Row],[replies]]+TwitterClean[[#This Row],[reposts]]+TwitterClean[[#This Row],[quotes]]+TwitterClean[[#This Row],[bookmarks]]</f>
        <v>1703</v>
      </c>
      <c r="AB330" s="1">
        <f>TwitterClean[[#This Row],[Total_Engagements]]/TwitterClean[[#This Row],[views]]</f>
        <v>1.6896349872508459E-2</v>
      </c>
      <c r="AC330" s="3">
        <f>DATEVALUE(MID(TwitterClean[[#This Row],[date_posted]],2,10))</f>
        <v>45641</v>
      </c>
      <c r="AD330">
        <f>TIMEVALUE(MID(TwitterClean[[#This Row],[date_posted]],13,8))</f>
        <v>0.68001157407407409</v>
      </c>
      <c r="AE330" s="3" t="str">
        <f>TEXT(TwitterClean[[#This Row],[Post_Date]],"dddd")</f>
        <v>Sunday</v>
      </c>
      <c r="AF330">
        <f>HOUR(TwitterClean[[#This Row],[Post_Time]])</f>
        <v>16</v>
      </c>
      <c r="AG330" t="str">
        <f>IF(TwitterClean[[#This Row],[videos]]="Null","No","Yes")</f>
        <v>No</v>
      </c>
      <c r="AH330" t="str">
        <f>IF(TwitterClean[[#This Row],[photos]]="null","No","Yes")</f>
        <v>Yes</v>
      </c>
      <c r="AI330" t="str">
        <f>IF(TwitterClean[[#This Row],[hashtags]]="null","No","Yes")</f>
        <v>Yes</v>
      </c>
      <c r="AJ330" t="str">
        <f>IF(TwitterClean[[#This Row],[external_url]]="null","Yes","No")</f>
        <v>No</v>
      </c>
      <c r="AK330">
        <f>LEN(TwitterClean[[#This Row],[description]])</f>
        <v>21</v>
      </c>
      <c r="AL330" t="str">
        <f>IF(TwitterClean[[#This Row],[followers]]&lt;100000,"&lt;100K",IF(TwitterClean[[#This Row],[followers]]&lt;1000000,"100K-1M",IF(TwitterClean[[#This Row],[followers]]&lt;10000000,"1M-10M","10M+")))</f>
        <v>100K-1M</v>
      </c>
    </row>
    <row r="331" spans="1:38">
      <c r="A331">
        <v>1.868324029079372E+18</v>
      </c>
      <c r="B331" t="s">
        <v>1363</v>
      </c>
      <c r="C331" t="s">
        <v>1364</v>
      </c>
      <c r="D331" t="s">
        <v>1435</v>
      </c>
      <c r="E331" t="s">
        <v>1436</v>
      </c>
      <c r="F331" t="s">
        <v>29</v>
      </c>
      <c r="G331" t="s">
        <v>1437</v>
      </c>
      <c r="H331" t="s">
        <v>29</v>
      </c>
      <c r="I331">
        <v>109</v>
      </c>
      <c r="J331">
        <v>336</v>
      </c>
      <c r="K331">
        <v>2369</v>
      </c>
      <c r="L331">
        <v>171518</v>
      </c>
      <c r="M331" t="s">
        <v>1438</v>
      </c>
      <c r="N331" t="s">
        <v>1369</v>
      </c>
      <c r="O331">
        <v>462263</v>
      </c>
      <c r="P331" t="s">
        <v>1370</v>
      </c>
      <c r="Q331">
        <v>16271</v>
      </c>
      <c r="R331" t="s">
        <v>1371</v>
      </c>
      <c r="S331">
        <v>38</v>
      </c>
      <c r="T331" t="b">
        <v>0</v>
      </c>
      <c r="U331">
        <v>62</v>
      </c>
      <c r="V331">
        <v>11</v>
      </c>
      <c r="W331" t="s">
        <v>35</v>
      </c>
      <c r="X331" t="s">
        <v>29</v>
      </c>
      <c r="Y331" t="s">
        <v>29</v>
      </c>
      <c r="Z331" t="s">
        <v>37</v>
      </c>
      <c r="AA331">
        <f>TwitterClean[[#This Row],[likes]]+TwitterClean[[#This Row],[replies]]+TwitterClean[[#This Row],[reposts]]+TwitterClean[[#This Row],[quotes]]+TwitterClean[[#This Row],[bookmarks]]</f>
        <v>2887</v>
      </c>
      <c r="AB331" s="1">
        <f>TwitterClean[[#This Row],[Total_Engagements]]/TwitterClean[[#This Row],[views]]</f>
        <v>1.6832052612553786E-2</v>
      </c>
      <c r="AC331" s="3">
        <f>DATEVALUE(MID(TwitterClean[[#This Row],[date_posted]],2,10))</f>
        <v>45641</v>
      </c>
      <c r="AD331">
        <f>TIMEVALUE(MID(TwitterClean[[#This Row],[date_posted]],13,8))</f>
        <v>0.66358796296296296</v>
      </c>
      <c r="AE331" s="3" t="str">
        <f>TEXT(TwitterClean[[#This Row],[Post_Date]],"dddd")</f>
        <v>Sunday</v>
      </c>
      <c r="AF331">
        <f>HOUR(TwitterClean[[#This Row],[Post_Time]])</f>
        <v>15</v>
      </c>
      <c r="AG331" t="str">
        <f>IF(TwitterClean[[#This Row],[videos]]="Null","No","Yes")</f>
        <v>No</v>
      </c>
      <c r="AH331" t="str">
        <f>IF(TwitterClean[[#This Row],[photos]]="null","No","Yes")</f>
        <v>No</v>
      </c>
      <c r="AI331" t="str">
        <f>IF(TwitterClean[[#This Row],[hashtags]]="null","No","Yes")</f>
        <v>Yes</v>
      </c>
      <c r="AJ331" t="str">
        <f>IF(TwitterClean[[#This Row],[external_url]]="null","Yes","No")</f>
        <v>No</v>
      </c>
      <c r="AK331">
        <f>LEN(TwitterClean[[#This Row],[description]])</f>
        <v>61</v>
      </c>
      <c r="AL331" t="str">
        <f>IF(TwitterClean[[#This Row],[followers]]&lt;100000,"&lt;100K",IF(TwitterClean[[#This Row],[followers]]&lt;1000000,"100K-1M",IF(TwitterClean[[#This Row],[followers]]&lt;10000000,"1M-10M","10M+")))</f>
        <v>100K-1M</v>
      </c>
    </row>
    <row r="332" spans="1:38">
      <c r="A332">
        <v>1.8683402461502879E+18</v>
      </c>
      <c r="B332" t="s">
        <v>2801</v>
      </c>
      <c r="C332" t="s">
        <v>2802</v>
      </c>
      <c r="D332" t="s">
        <v>2803</v>
      </c>
      <c r="E332" t="s">
        <v>1050</v>
      </c>
      <c r="F332" t="s">
        <v>29</v>
      </c>
      <c r="G332" t="s">
        <v>2804</v>
      </c>
      <c r="H332" t="s">
        <v>2805</v>
      </c>
      <c r="I332">
        <v>84</v>
      </c>
      <c r="J332">
        <v>48</v>
      </c>
      <c r="K332">
        <v>121</v>
      </c>
      <c r="L332">
        <v>15774</v>
      </c>
      <c r="M332" t="s">
        <v>52</v>
      </c>
      <c r="N332" t="s">
        <v>29</v>
      </c>
      <c r="O332">
        <v>6379301</v>
      </c>
      <c r="P332" t="s">
        <v>2806</v>
      </c>
      <c r="Q332">
        <v>83466</v>
      </c>
      <c r="R332" t="s">
        <v>2807</v>
      </c>
      <c r="S332">
        <v>354</v>
      </c>
      <c r="T332" t="b">
        <v>0</v>
      </c>
      <c r="U332">
        <v>6</v>
      </c>
      <c r="V332">
        <v>6</v>
      </c>
      <c r="W332" t="s">
        <v>35</v>
      </c>
      <c r="X332" t="s">
        <v>29</v>
      </c>
      <c r="Y332" t="s">
        <v>2808</v>
      </c>
      <c r="Z332" t="s">
        <v>37</v>
      </c>
      <c r="AA332">
        <f>TwitterClean[[#This Row],[likes]]+TwitterClean[[#This Row],[replies]]+TwitterClean[[#This Row],[reposts]]+TwitterClean[[#This Row],[quotes]]+TwitterClean[[#This Row],[bookmarks]]</f>
        <v>265</v>
      </c>
      <c r="AB332" s="1">
        <f>TwitterClean[[#This Row],[Total_Engagements]]/TwitterClean[[#This Row],[views]]</f>
        <v>1.6799797134525167E-2</v>
      </c>
      <c r="AC332" s="3">
        <f>DATEVALUE(MID(TwitterClean[[#This Row],[date_posted]],2,10))</f>
        <v>45641</v>
      </c>
      <c r="AD332">
        <f>TIMEVALUE(MID(TwitterClean[[#This Row],[date_posted]],13,8))</f>
        <v>0.70834490740740741</v>
      </c>
      <c r="AE332" s="3" t="str">
        <f>TEXT(TwitterClean[[#This Row],[Post_Date]],"dddd")</f>
        <v>Sunday</v>
      </c>
      <c r="AF332">
        <f>HOUR(TwitterClean[[#This Row],[Post_Time]])</f>
        <v>17</v>
      </c>
      <c r="AG332" t="str">
        <f>IF(TwitterClean[[#This Row],[videos]]="Null","No","Yes")</f>
        <v>Yes</v>
      </c>
      <c r="AH332" t="str">
        <f>IF(TwitterClean[[#This Row],[photos]]="null","No","Yes")</f>
        <v>No</v>
      </c>
      <c r="AI332" t="str">
        <f>IF(TwitterClean[[#This Row],[hashtags]]="null","No","Yes")</f>
        <v>No</v>
      </c>
      <c r="AJ332" t="str">
        <f>IF(TwitterClean[[#This Row],[external_url]]="null","Yes","No")</f>
        <v>No</v>
      </c>
      <c r="AK332">
        <f>LEN(TwitterClean[[#This Row],[description]])</f>
        <v>273</v>
      </c>
      <c r="AL332" t="str">
        <f>IF(TwitterClean[[#This Row],[followers]]&lt;100000,"&lt;100K",IF(TwitterClean[[#This Row],[followers]]&lt;1000000,"100K-1M",IF(TwitterClean[[#This Row],[followers]]&lt;10000000,"1M-10M","10M+")))</f>
        <v>1M-10M</v>
      </c>
    </row>
    <row r="333" spans="1:38">
      <c r="A333">
        <v>1.8682806264049055E+18</v>
      </c>
      <c r="B333" t="s">
        <v>3392</v>
      </c>
      <c r="C333" t="s">
        <v>3393</v>
      </c>
      <c r="D333" t="s">
        <v>5119</v>
      </c>
      <c r="E333" t="s">
        <v>5120</v>
      </c>
      <c r="F333" t="s">
        <v>5121</v>
      </c>
      <c r="G333" t="s">
        <v>5122</v>
      </c>
      <c r="H333" t="s">
        <v>29</v>
      </c>
      <c r="I333">
        <v>9</v>
      </c>
      <c r="J333">
        <v>4</v>
      </c>
      <c r="K333">
        <v>347</v>
      </c>
      <c r="L333">
        <v>21641</v>
      </c>
      <c r="M333" t="s">
        <v>52</v>
      </c>
      <c r="N333" t="s">
        <v>3405</v>
      </c>
      <c r="O333">
        <v>1480962</v>
      </c>
      <c r="P333" t="s">
        <v>3399</v>
      </c>
      <c r="Q333">
        <v>103753</v>
      </c>
      <c r="R333" t="s">
        <v>3400</v>
      </c>
      <c r="S333">
        <v>552</v>
      </c>
      <c r="T333" t="b">
        <v>0</v>
      </c>
      <c r="U333">
        <v>2</v>
      </c>
      <c r="V333">
        <v>1</v>
      </c>
      <c r="W333" t="s">
        <v>35</v>
      </c>
      <c r="X333" t="s">
        <v>29</v>
      </c>
      <c r="Y333" t="s">
        <v>29</v>
      </c>
      <c r="Z333" t="s">
        <v>37</v>
      </c>
      <c r="AA333">
        <f>TwitterClean[[#This Row],[likes]]+TwitterClean[[#This Row],[replies]]+TwitterClean[[#This Row],[reposts]]+TwitterClean[[#This Row],[quotes]]+TwitterClean[[#This Row],[bookmarks]]</f>
        <v>363</v>
      </c>
      <c r="AB333" s="1">
        <f>TwitterClean[[#This Row],[Total_Engagements]]/TwitterClean[[#This Row],[views]]</f>
        <v>1.6773716556536204E-2</v>
      </c>
      <c r="AC333" s="3">
        <f>DATEVALUE(MID(TwitterClean[[#This Row],[date_posted]],2,10))</f>
        <v>45641</v>
      </c>
      <c r="AD333">
        <f>TIMEVALUE(MID(TwitterClean[[#This Row],[date_posted]],13,8))</f>
        <v>0.54381944444444441</v>
      </c>
      <c r="AE333" s="3" t="str">
        <f>TEXT(TwitterClean[[#This Row],[Post_Date]],"dddd")</f>
        <v>Sunday</v>
      </c>
      <c r="AF333">
        <f>HOUR(TwitterClean[[#This Row],[Post_Time]])</f>
        <v>13</v>
      </c>
      <c r="AG333" t="str">
        <f>IF(TwitterClean[[#This Row],[videos]]="Null","No","Yes")</f>
        <v>No</v>
      </c>
      <c r="AH333" t="str">
        <f>IF(TwitterClean[[#This Row],[photos]]="null","No","Yes")</f>
        <v>Yes</v>
      </c>
      <c r="AI333" t="str">
        <f>IF(TwitterClean[[#This Row],[hashtags]]="null","No","Yes")</f>
        <v>Yes</v>
      </c>
      <c r="AJ333" t="str">
        <f>IF(TwitterClean[[#This Row],[external_url]]="null","Yes","No")</f>
        <v>No</v>
      </c>
      <c r="AK333">
        <f>LEN(TwitterClean[[#This Row],[description]])</f>
        <v>42</v>
      </c>
      <c r="AL333" t="str">
        <f>IF(TwitterClean[[#This Row],[followers]]&lt;100000,"&lt;100K",IF(TwitterClean[[#This Row],[followers]]&lt;1000000,"100K-1M",IF(TwitterClean[[#This Row],[followers]]&lt;10000000,"1M-10M","10M+")))</f>
        <v>1M-10M</v>
      </c>
    </row>
    <row r="334" spans="1:38">
      <c r="A334">
        <v>1.8683366599951852E+18</v>
      </c>
      <c r="B334" t="s">
        <v>1267</v>
      </c>
      <c r="C334" t="s">
        <v>1268</v>
      </c>
      <c r="D334" t="s">
        <v>1276</v>
      </c>
      <c r="E334" t="s">
        <v>1277</v>
      </c>
      <c r="F334" t="s">
        <v>1278</v>
      </c>
      <c r="G334" t="s">
        <v>1279</v>
      </c>
      <c r="H334" t="s">
        <v>29</v>
      </c>
      <c r="I334">
        <v>108</v>
      </c>
      <c r="J334">
        <v>108</v>
      </c>
      <c r="K334">
        <v>1997</v>
      </c>
      <c r="L334">
        <v>132856</v>
      </c>
      <c r="M334" t="s">
        <v>52</v>
      </c>
      <c r="N334" t="s">
        <v>1273</v>
      </c>
      <c r="O334">
        <v>17891377</v>
      </c>
      <c r="P334" t="s">
        <v>1274</v>
      </c>
      <c r="Q334">
        <v>168939</v>
      </c>
      <c r="R334" t="s">
        <v>1275</v>
      </c>
      <c r="S334">
        <v>47365</v>
      </c>
      <c r="T334" t="b">
        <v>0</v>
      </c>
      <c r="U334">
        <v>8</v>
      </c>
      <c r="V334">
        <v>6</v>
      </c>
      <c r="W334" t="s">
        <v>35</v>
      </c>
      <c r="X334" t="s">
        <v>29</v>
      </c>
      <c r="Y334" t="s">
        <v>29</v>
      </c>
      <c r="Z334" t="s">
        <v>37</v>
      </c>
      <c r="AA334">
        <f>TwitterClean[[#This Row],[likes]]+TwitterClean[[#This Row],[replies]]+TwitterClean[[#This Row],[reposts]]+TwitterClean[[#This Row],[quotes]]+TwitterClean[[#This Row],[bookmarks]]</f>
        <v>2227</v>
      </c>
      <c r="AB334" s="1">
        <f>TwitterClean[[#This Row],[Total_Engagements]]/TwitterClean[[#This Row],[views]]</f>
        <v>1.6762509785030411E-2</v>
      </c>
      <c r="AC334" s="3">
        <f>DATEVALUE(MID(TwitterClean[[#This Row],[date_posted]],2,10))</f>
        <v>45641</v>
      </c>
      <c r="AD334">
        <f>TIMEVALUE(MID(TwitterClean[[#This Row],[date_posted]],13,8))</f>
        <v>0.69844907407407408</v>
      </c>
      <c r="AE334" s="3" t="str">
        <f>TEXT(TwitterClean[[#This Row],[Post_Date]],"dddd")</f>
        <v>Sunday</v>
      </c>
      <c r="AF334">
        <f>HOUR(TwitterClean[[#This Row],[Post_Time]])</f>
        <v>16</v>
      </c>
      <c r="AG334" t="str">
        <f>IF(TwitterClean[[#This Row],[videos]]="Null","No","Yes")</f>
        <v>No</v>
      </c>
      <c r="AH334" t="str">
        <f>IF(TwitterClean[[#This Row],[photos]]="null","No","Yes")</f>
        <v>Yes</v>
      </c>
      <c r="AI334" t="str">
        <f>IF(TwitterClean[[#This Row],[hashtags]]="null","No","Yes")</f>
        <v>Yes</v>
      </c>
      <c r="AJ334" t="str">
        <f>IF(TwitterClean[[#This Row],[external_url]]="null","Yes","No")</f>
        <v>No</v>
      </c>
      <c r="AK334">
        <f>LEN(TwitterClean[[#This Row],[description]])</f>
        <v>48</v>
      </c>
      <c r="AL334" t="str">
        <f>IF(TwitterClean[[#This Row],[followers]]&lt;100000,"&lt;100K",IF(TwitterClean[[#This Row],[followers]]&lt;1000000,"100K-1M",IF(TwitterClean[[#This Row],[followers]]&lt;10000000,"1M-10M","10M+")))</f>
        <v>10M+</v>
      </c>
    </row>
    <row r="335" spans="1:38">
      <c r="A335">
        <v>1.8683753127251558E+18</v>
      </c>
      <c r="B335" t="s">
        <v>4301</v>
      </c>
      <c r="C335" t="s">
        <v>4302</v>
      </c>
      <c r="D335" t="s">
        <v>4303</v>
      </c>
      <c r="E335" t="s">
        <v>4304</v>
      </c>
      <c r="F335" t="s">
        <v>29</v>
      </c>
      <c r="G335" t="s">
        <v>4305</v>
      </c>
      <c r="H335" t="s">
        <v>29</v>
      </c>
      <c r="I335">
        <v>2</v>
      </c>
      <c r="J335">
        <v>6</v>
      </c>
      <c r="K335">
        <v>59</v>
      </c>
      <c r="L335">
        <v>4243</v>
      </c>
      <c r="M335" t="s">
        <v>4306</v>
      </c>
      <c r="N335" t="s">
        <v>29</v>
      </c>
      <c r="O335">
        <v>1380391</v>
      </c>
      <c r="P335" t="s">
        <v>4307</v>
      </c>
      <c r="Q335">
        <v>99794</v>
      </c>
      <c r="R335" t="s">
        <v>4308</v>
      </c>
      <c r="S335">
        <v>2044</v>
      </c>
      <c r="T335" t="b">
        <v>0</v>
      </c>
      <c r="U335">
        <v>1</v>
      </c>
      <c r="V335">
        <v>3</v>
      </c>
      <c r="W335" t="s">
        <v>35</v>
      </c>
      <c r="X335" t="s">
        <v>29</v>
      </c>
      <c r="Y335" t="s">
        <v>4309</v>
      </c>
      <c r="Z335" t="s">
        <v>37</v>
      </c>
      <c r="AA335">
        <f>TwitterClean[[#This Row],[likes]]+TwitterClean[[#This Row],[replies]]+TwitterClean[[#This Row],[reposts]]+TwitterClean[[#This Row],[quotes]]+TwitterClean[[#This Row],[bookmarks]]</f>
        <v>71</v>
      </c>
      <c r="AB335" s="1">
        <f>TwitterClean[[#This Row],[Total_Engagements]]/TwitterClean[[#This Row],[views]]</f>
        <v>1.6733443318406788E-2</v>
      </c>
      <c r="AC335" s="3">
        <f>DATEVALUE(MID(TwitterClean[[#This Row],[date_posted]],2,10))</f>
        <v>45641</v>
      </c>
      <c r="AD335">
        <f>TIMEVALUE(MID(TwitterClean[[#This Row],[date_posted]],13,8))</f>
        <v>0.80510416666666662</v>
      </c>
      <c r="AE335" s="3" t="str">
        <f>TEXT(TwitterClean[[#This Row],[Post_Date]],"dddd")</f>
        <v>Sunday</v>
      </c>
      <c r="AF335">
        <f>HOUR(TwitterClean[[#This Row],[Post_Time]])</f>
        <v>19</v>
      </c>
      <c r="AG335" t="str">
        <f>IF(TwitterClean[[#This Row],[videos]]="Null","No","Yes")</f>
        <v>Yes</v>
      </c>
      <c r="AH335" t="str">
        <f>IF(TwitterClean[[#This Row],[photos]]="null","No","Yes")</f>
        <v>No</v>
      </c>
      <c r="AI335" t="str">
        <f>IF(TwitterClean[[#This Row],[hashtags]]="null","No","Yes")</f>
        <v>No</v>
      </c>
      <c r="AJ335" t="str">
        <f>IF(TwitterClean[[#This Row],[external_url]]="null","Yes","No")</f>
        <v>No</v>
      </c>
      <c r="AK335">
        <f>LEN(TwitterClean[[#This Row],[description]])</f>
        <v>302</v>
      </c>
      <c r="AL335" t="str">
        <f>IF(TwitterClean[[#This Row],[followers]]&lt;100000,"&lt;100K",IF(TwitterClean[[#This Row],[followers]]&lt;1000000,"100K-1M",IF(TwitterClean[[#This Row],[followers]]&lt;10000000,"1M-10M","10M+")))</f>
        <v>1M-10M</v>
      </c>
    </row>
    <row r="336" spans="1:38">
      <c r="A336">
        <v>1.8680838071123561E+18</v>
      </c>
      <c r="B336" t="s">
        <v>1656</v>
      </c>
      <c r="C336" t="s">
        <v>1657</v>
      </c>
      <c r="D336" t="s">
        <v>2126</v>
      </c>
      <c r="E336" t="s">
        <v>2127</v>
      </c>
      <c r="F336" t="s">
        <v>29</v>
      </c>
      <c r="G336" t="s">
        <v>2128</v>
      </c>
      <c r="H336" t="s">
        <v>29</v>
      </c>
      <c r="I336">
        <v>83</v>
      </c>
      <c r="J336">
        <v>38</v>
      </c>
      <c r="K336">
        <v>169</v>
      </c>
      <c r="L336">
        <v>17769</v>
      </c>
      <c r="M336" t="s">
        <v>52</v>
      </c>
      <c r="N336" t="s">
        <v>2129</v>
      </c>
      <c r="O336">
        <v>2819408</v>
      </c>
      <c r="P336" t="s">
        <v>1662</v>
      </c>
      <c r="Q336">
        <v>286269</v>
      </c>
      <c r="R336" t="s">
        <v>1663</v>
      </c>
      <c r="S336">
        <v>4</v>
      </c>
      <c r="T336" t="b">
        <v>0</v>
      </c>
      <c r="U336">
        <v>4</v>
      </c>
      <c r="V336">
        <v>3</v>
      </c>
      <c r="W336" t="s">
        <v>35</v>
      </c>
      <c r="X336" t="s">
        <v>29</v>
      </c>
      <c r="Y336" t="s">
        <v>2130</v>
      </c>
      <c r="Z336" t="s">
        <v>37</v>
      </c>
      <c r="AA336">
        <f>TwitterClean[[#This Row],[likes]]+TwitterClean[[#This Row],[replies]]+TwitterClean[[#This Row],[reposts]]+TwitterClean[[#This Row],[quotes]]+TwitterClean[[#This Row],[bookmarks]]</f>
        <v>297</v>
      </c>
      <c r="AB336" s="1">
        <f>TwitterClean[[#This Row],[Total_Engagements]]/TwitterClean[[#This Row],[views]]</f>
        <v>1.6714502785750464E-2</v>
      </c>
      <c r="AC336" s="3">
        <f>DATEVALUE(MID(TwitterClean[[#This Row],[date_posted]],2,10))</f>
        <v>45641</v>
      </c>
      <c r="AD336">
        <f>TIMEVALUE(MID(TwitterClean[[#This Row],[date_posted]],13,8))</f>
        <v>7.0601851851851847E-4</v>
      </c>
      <c r="AE336" s="3" t="str">
        <f>TEXT(TwitterClean[[#This Row],[Post_Date]],"dddd")</f>
        <v>Sunday</v>
      </c>
      <c r="AF336">
        <f>HOUR(TwitterClean[[#This Row],[Post_Time]])</f>
        <v>0</v>
      </c>
      <c r="AG336" t="str">
        <f>IF(TwitterClean[[#This Row],[videos]]="Null","No","Yes")</f>
        <v>Yes</v>
      </c>
      <c r="AH336" t="str">
        <f>IF(TwitterClean[[#This Row],[photos]]="null","No","Yes")</f>
        <v>No</v>
      </c>
      <c r="AI336" t="str">
        <f>IF(TwitterClean[[#This Row],[hashtags]]="null","No","Yes")</f>
        <v>Yes</v>
      </c>
      <c r="AJ336" t="str">
        <f>IF(TwitterClean[[#This Row],[external_url]]="null","Yes","No")</f>
        <v>No</v>
      </c>
      <c r="AK336">
        <f>LEN(TwitterClean[[#This Row],[description]])</f>
        <v>256</v>
      </c>
      <c r="AL336" t="str">
        <f>IF(TwitterClean[[#This Row],[followers]]&lt;100000,"&lt;100K",IF(TwitterClean[[#This Row],[followers]]&lt;1000000,"100K-1M",IF(TwitterClean[[#This Row],[followers]]&lt;10000000,"1M-10M","10M+")))</f>
        <v>1M-10M</v>
      </c>
    </row>
    <row r="337" spans="1:38">
      <c r="A337">
        <v>1.8683105899502638E+18</v>
      </c>
      <c r="B337" t="s">
        <v>2230</v>
      </c>
      <c r="C337" t="s">
        <v>2231</v>
      </c>
      <c r="D337" t="s">
        <v>2534</v>
      </c>
      <c r="E337" t="s">
        <v>2535</v>
      </c>
      <c r="F337" t="s">
        <v>2536</v>
      </c>
      <c r="G337" t="s">
        <v>2537</v>
      </c>
      <c r="H337" t="s">
        <v>29</v>
      </c>
      <c r="I337">
        <v>437</v>
      </c>
      <c r="J337">
        <v>65</v>
      </c>
      <c r="K337">
        <v>590</v>
      </c>
      <c r="L337">
        <v>68445</v>
      </c>
      <c r="M337" t="s">
        <v>2538</v>
      </c>
      <c r="N337" t="s">
        <v>29</v>
      </c>
      <c r="O337">
        <v>3313889</v>
      </c>
      <c r="P337" t="s">
        <v>2237</v>
      </c>
      <c r="Q337">
        <v>706459</v>
      </c>
      <c r="R337" t="s">
        <v>2238</v>
      </c>
      <c r="S337">
        <v>10308</v>
      </c>
      <c r="T337" t="b">
        <v>0</v>
      </c>
      <c r="U337">
        <v>41</v>
      </c>
      <c r="V337">
        <v>11</v>
      </c>
      <c r="W337" t="s">
        <v>35</v>
      </c>
      <c r="X337" t="s">
        <v>29</v>
      </c>
      <c r="Y337" t="s">
        <v>29</v>
      </c>
      <c r="Z337" t="s">
        <v>37</v>
      </c>
      <c r="AA337">
        <f>TwitterClean[[#This Row],[likes]]+TwitterClean[[#This Row],[replies]]+TwitterClean[[#This Row],[reposts]]+TwitterClean[[#This Row],[quotes]]+TwitterClean[[#This Row],[bookmarks]]</f>
        <v>1144</v>
      </c>
      <c r="AB337" s="1">
        <f>TwitterClean[[#This Row],[Total_Engagements]]/TwitterClean[[#This Row],[views]]</f>
        <v>1.6714150047483382E-2</v>
      </c>
      <c r="AC337" s="3">
        <f>DATEVALUE(MID(TwitterClean[[#This Row],[date_posted]],2,10))</f>
        <v>45641</v>
      </c>
      <c r="AD337">
        <f>TIMEVALUE(MID(TwitterClean[[#This Row],[date_posted]],13,8))</f>
        <v>0.62650462962962961</v>
      </c>
      <c r="AE337" s="3" t="str">
        <f>TEXT(TwitterClean[[#This Row],[Post_Date]],"dddd")</f>
        <v>Sunday</v>
      </c>
      <c r="AF337">
        <f>HOUR(TwitterClean[[#This Row],[Post_Time]])</f>
        <v>15</v>
      </c>
      <c r="AG337" t="str">
        <f>IF(TwitterClean[[#This Row],[videos]]="Null","No","Yes")</f>
        <v>No</v>
      </c>
      <c r="AH337" t="str">
        <f>IF(TwitterClean[[#This Row],[photos]]="null","No","Yes")</f>
        <v>Yes</v>
      </c>
      <c r="AI337" t="str">
        <f>IF(TwitterClean[[#This Row],[hashtags]]="null","No","Yes")</f>
        <v>No</v>
      </c>
      <c r="AJ337" t="str">
        <f>IF(TwitterClean[[#This Row],[external_url]]="null","Yes","No")</f>
        <v>No</v>
      </c>
      <c r="AK337">
        <f>LEN(TwitterClean[[#This Row],[description]])</f>
        <v>114</v>
      </c>
      <c r="AL337" t="str">
        <f>IF(TwitterClean[[#This Row],[followers]]&lt;100000,"&lt;100K",IF(TwitterClean[[#This Row],[followers]]&lt;1000000,"100K-1M",IF(TwitterClean[[#This Row],[followers]]&lt;10000000,"1M-10M","10M+")))</f>
        <v>1M-10M</v>
      </c>
    </row>
    <row r="338" spans="1:38">
      <c r="A338">
        <v>1.8683224208278162E+18</v>
      </c>
      <c r="B338" t="s">
        <v>333</v>
      </c>
      <c r="C338" t="s">
        <v>334</v>
      </c>
      <c r="D338" t="s">
        <v>4415</v>
      </c>
      <c r="E338" t="s">
        <v>4416</v>
      </c>
      <c r="F338" t="s">
        <v>29</v>
      </c>
      <c r="G338" t="s">
        <v>4417</v>
      </c>
      <c r="H338" t="s">
        <v>4418</v>
      </c>
      <c r="I338">
        <v>6</v>
      </c>
      <c r="J338">
        <v>16</v>
      </c>
      <c r="K338">
        <v>211</v>
      </c>
      <c r="L338">
        <v>14493</v>
      </c>
      <c r="M338" t="s">
        <v>52</v>
      </c>
      <c r="N338" t="s">
        <v>340</v>
      </c>
      <c r="O338">
        <v>337839</v>
      </c>
      <c r="P338" t="s">
        <v>341</v>
      </c>
      <c r="Q338">
        <v>57638</v>
      </c>
      <c r="R338" t="s">
        <v>342</v>
      </c>
      <c r="S338">
        <v>587</v>
      </c>
      <c r="T338" t="b">
        <v>0</v>
      </c>
      <c r="U338">
        <v>7</v>
      </c>
      <c r="V338">
        <v>2</v>
      </c>
      <c r="W338" t="s">
        <v>35</v>
      </c>
      <c r="X338" t="s">
        <v>29</v>
      </c>
      <c r="Y338" t="s">
        <v>4419</v>
      </c>
      <c r="Z338" t="s">
        <v>37</v>
      </c>
      <c r="AA338">
        <f>TwitterClean[[#This Row],[likes]]+TwitterClean[[#This Row],[replies]]+TwitterClean[[#This Row],[reposts]]+TwitterClean[[#This Row],[quotes]]+TwitterClean[[#This Row],[bookmarks]]</f>
        <v>242</v>
      </c>
      <c r="AB338" s="1">
        <f>TwitterClean[[#This Row],[Total_Engagements]]/TwitterClean[[#This Row],[views]]</f>
        <v>1.669771613882564E-2</v>
      </c>
      <c r="AC338" s="3">
        <f>DATEVALUE(MID(TwitterClean[[#This Row],[date_posted]],2,10))</f>
        <v>45641</v>
      </c>
      <c r="AD338">
        <f>TIMEVALUE(MID(TwitterClean[[#This Row],[date_posted]],13,8))</f>
        <v>0.65915509259259264</v>
      </c>
      <c r="AE338" s="3" t="str">
        <f>TEXT(TwitterClean[[#This Row],[Post_Date]],"dddd")</f>
        <v>Sunday</v>
      </c>
      <c r="AF338">
        <f>HOUR(TwitterClean[[#This Row],[Post_Time]])</f>
        <v>15</v>
      </c>
      <c r="AG338" t="str">
        <f>IF(TwitterClean[[#This Row],[videos]]="Null","No","Yes")</f>
        <v>Yes</v>
      </c>
      <c r="AH338" t="str">
        <f>IF(TwitterClean[[#This Row],[photos]]="null","No","Yes")</f>
        <v>No</v>
      </c>
      <c r="AI338" t="str">
        <f>IF(TwitterClean[[#This Row],[hashtags]]="null","No","Yes")</f>
        <v>Yes</v>
      </c>
      <c r="AJ338" t="str">
        <f>IF(TwitterClean[[#This Row],[external_url]]="null","Yes","No")</f>
        <v>No</v>
      </c>
      <c r="AK338">
        <f>LEN(TwitterClean[[#This Row],[description]])</f>
        <v>125</v>
      </c>
      <c r="AL338" t="str">
        <f>IF(TwitterClean[[#This Row],[followers]]&lt;100000,"&lt;100K",IF(TwitterClean[[#This Row],[followers]]&lt;1000000,"100K-1M",IF(TwitterClean[[#This Row],[followers]]&lt;10000000,"1M-10M","10M+")))</f>
        <v>100K-1M</v>
      </c>
    </row>
    <row r="339" spans="1:38">
      <c r="A339">
        <v>1.8684346136827372E+18</v>
      </c>
      <c r="B339" t="s">
        <v>228</v>
      </c>
      <c r="C339" t="s">
        <v>228</v>
      </c>
      <c r="D339" t="s">
        <v>229</v>
      </c>
      <c r="E339" t="s">
        <v>230</v>
      </c>
      <c r="F339" t="s">
        <v>231</v>
      </c>
      <c r="G339" t="s">
        <v>232</v>
      </c>
      <c r="H339" t="s">
        <v>233</v>
      </c>
      <c r="I339">
        <v>62</v>
      </c>
      <c r="J339">
        <v>12</v>
      </c>
      <c r="K339">
        <v>114</v>
      </c>
      <c r="L339">
        <v>11681</v>
      </c>
      <c r="M339" t="s">
        <v>234</v>
      </c>
      <c r="N339" t="s">
        <v>29</v>
      </c>
      <c r="O339">
        <v>1239616</v>
      </c>
      <c r="P339" t="s">
        <v>235</v>
      </c>
      <c r="Q339">
        <v>402839</v>
      </c>
      <c r="R339" t="s">
        <v>236</v>
      </c>
      <c r="S339">
        <v>1644</v>
      </c>
      <c r="T339" t="b">
        <v>0</v>
      </c>
      <c r="U339">
        <v>3</v>
      </c>
      <c r="V339">
        <v>4</v>
      </c>
      <c r="W339" t="s">
        <v>35</v>
      </c>
      <c r="X339" t="s">
        <v>29</v>
      </c>
      <c r="Y339" t="s">
        <v>29</v>
      </c>
      <c r="Z339" t="s">
        <v>37</v>
      </c>
      <c r="AA339">
        <f>TwitterClean[[#This Row],[likes]]+TwitterClean[[#This Row],[replies]]+TwitterClean[[#This Row],[reposts]]+TwitterClean[[#This Row],[quotes]]+TwitterClean[[#This Row],[bookmarks]]</f>
        <v>195</v>
      </c>
      <c r="AB339" s="1">
        <f>TwitterClean[[#This Row],[Total_Engagements]]/TwitterClean[[#This Row],[views]]</f>
        <v>1.6693776217789572E-2</v>
      </c>
      <c r="AC339" s="3">
        <f>DATEVALUE(MID(TwitterClean[[#This Row],[date_posted]],2,10))</f>
        <v>45641</v>
      </c>
      <c r="AD339">
        <f>TIMEVALUE(MID(TwitterClean[[#This Row],[date_posted]],13,8))</f>
        <v>0.96875</v>
      </c>
      <c r="AE339" s="3" t="str">
        <f>TEXT(TwitterClean[[#This Row],[Post_Date]],"dddd")</f>
        <v>Sunday</v>
      </c>
      <c r="AF339">
        <f>HOUR(TwitterClean[[#This Row],[Post_Time]])</f>
        <v>23</v>
      </c>
      <c r="AG339" t="str">
        <f>IF(TwitterClean[[#This Row],[videos]]="Null","No","Yes")</f>
        <v>No</v>
      </c>
      <c r="AH339" t="str">
        <f>IF(TwitterClean[[#This Row],[photos]]="null","No","Yes")</f>
        <v>Yes</v>
      </c>
      <c r="AI339" t="str">
        <f>IF(TwitterClean[[#This Row],[hashtags]]="null","No","Yes")</f>
        <v>No</v>
      </c>
      <c r="AJ339" t="str">
        <f>IF(TwitterClean[[#This Row],[external_url]]="null","Yes","No")</f>
        <v>No</v>
      </c>
      <c r="AK339">
        <f>LEN(TwitterClean[[#This Row],[description]])</f>
        <v>256</v>
      </c>
      <c r="AL339" t="str">
        <f>IF(TwitterClean[[#This Row],[followers]]&lt;100000,"&lt;100K",IF(TwitterClean[[#This Row],[followers]]&lt;1000000,"100K-1M",IF(TwitterClean[[#This Row],[followers]]&lt;10000000,"1M-10M","10M+")))</f>
        <v>1M-10M</v>
      </c>
    </row>
    <row r="340" spans="1:38">
      <c r="A340">
        <v>1.8683761886511969E+18</v>
      </c>
      <c r="B340" t="s">
        <v>46</v>
      </c>
      <c r="C340" t="s">
        <v>47</v>
      </c>
      <c r="D340" t="s">
        <v>351</v>
      </c>
      <c r="E340" t="s">
        <v>352</v>
      </c>
      <c r="F340" t="s">
        <v>353</v>
      </c>
      <c r="G340" t="s">
        <v>354</v>
      </c>
      <c r="H340" t="s">
        <v>355</v>
      </c>
      <c r="I340">
        <v>9</v>
      </c>
      <c r="J340">
        <v>10</v>
      </c>
      <c r="K340">
        <v>390</v>
      </c>
      <c r="L340">
        <v>24999</v>
      </c>
      <c r="M340" t="s">
        <v>52</v>
      </c>
      <c r="N340" t="s">
        <v>29</v>
      </c>
      <c r="O340">
        <v>8293202</v>
      </c>
      <c r="P340" t="s">
        <v>54</v>
      </c>
      <c r="Q340">
        <v>456734</v>
      </c>
      <c r="R340" t="s">
        <v>55</v>
      </c>
      <c r="S340">
        <v>859</v>
      </c>
      <c r="T340" t="b">
        <v>0</v>
      </c>
      <c r="U340">
        <v>5</v>
      </c>
      <c r="V340">
        <v>2</v>
      </c>
      <c r="W340" t="s">
        <v>35</v>
      </c>
      <c r="X340" t="s">
        <v>29</v>
      </c>
      <c r="Y340" t="s">
        <v>29</v>
      </c>
      <c r="Z340" t="s">
        <v>37</v>
      </c>
      <c r="AA340">
        <f>TwitterClean[[#This Row],[likes]]+TwitterClean[[#This Row],[replies]]+TwitterClean[[#This Row],[reposts]]+TwitterClean[[#This Row],[quotes]]+TwitterClean[[#This Row],[bookmarks]]</f>
        <v>416</v>
      </c>
      <c r="AB340" s="1">
        <f>TwitterClean[[#This Row],[Total_Engagements]]/TwitterClean[[#This Row],[views]]</f>
        <v>1.6640665626625067E-2</v>
      </c>
      <c r="AC340" s="3">
        <f>DATEVALUE(MID(TwitterClean[[#This Row],[date_posted]],2,10))</f>
        <v>45641</v>
      </c>
      <c r="AD340">
        <f>TIMEVALUE(MID(TwitterClean[[#This Row],[date_posted]],13,8))</f>
        <v>0.80752314814814818</v>
      </c>
      <c r="AE340" s="3" t="str">
        <f>TEXT(TwitterClean[[#This Row],[Post_Date]],"dddd")</f>
        <v>Sunday</v>
      </c>
      <c r="AF340">
        <f>HOUR(TwitterClean[[#This Row],[Post_Time]])</f>
        <v>19</v>
      </c>
      <c r="AG340" t="str">
        <f>IF(TwitterClean[[#This Row],[videos]]="Null","No","Yes")</f>
        <v>No</v>
      </c>
      <c r="AH340" t="str">
        <f>IF(TwitterClean[[#This Row],[photos]]="null","No","Yes")</f>
        <v>Yes</v>
      </c>
      <c r="AI340" t="str">
        <f>IF(TwitterClean[[#This Row],[hashtags]]="null","No","Yes")</f>
        <v>No</v>
      </c>
      <c r="AJ340" t="str">
        <f>IF(TwitterClean[[#This Row],[external_url]]="null","Yes","No")</f>
        <v>No</v>
      </c>
      <c r="AK340">
        <f>LEN(TwitterClean[[#This Row],[description]])</f>
        <v>203</v>
      </c>
      <c r="AL340" t="str">
        <f>IF(TwitterClean[[#This Row],[followers]]&lt;100000,"&lt;100K",IF(TwitterClean[[#This Row],[followers]]&lt;1000000,"100K-1M",IF(TwitterClean[[#This Row],[followers]]&lt;10000000,"1M-10M","10M+")))</f>
        <v>1M-10M</v>
      </c>
    </row>
    <row r="341" spans="1:38">
      <c r="A341">
        <v>1.8683779822405018E+18</v>
      </c>
      <c r="B341" t="s">
        <v>1363</v>
      </c>
      <c r="C341" t="s">
        <v>1364</v>
      </c>
      <c r="D341" t="s">
        <v>4260</v>
      </c>
      <c r="E341" t="s">
        <v>4261</v>
      </c>
      <c r="F341" t="s">
        <v>29</v>
      </c>
      <c r="G341" t="s">
        <v>4262</v>
      </c>
      <c r="H341" t="s">
        <v>4263</v>
      </c>
      <c r="I341">
        <v>31</v>
      </c>
      <c r="J341">
        <v>718</v>
      </c>
      <c r="K341">
        <v>6069</v>
      </c>
      <c r="L341">
        <v>422931</v>
      </c>
      <c r="M341" t="s">
        <v>52</v>
      </c>
      <c r="N341" t="s">
        <v>4264</v>
      </c>
      <c r="O341">
        <v>462261</v>
      </c>
      <c r="P341" t="s">
        <v>1370</v>
      </c>
      <c r="Q341">
        <v>16271</v>
      </c>
      <c r="R341" t="s">
        <v>1371</v>
      </c>
      <c r="S341">
        <v>38</v>
      </c>
      <c r="T341" t="b">
        <v>0</v>
      </c>
      <c r="U341">
        <v>23</v>
      </c>
      <c r="V341">
        <v>169</v>
      </c>
      <c r="W341" t="s">
        <v>35</v>
      </c>
      <c r="X341" t="s">
        <v>29</v>
      </c>
      <c r="Y341" t="s">
        <v>4265</v>
      </c>
      <c r="Z341" t="s">
        <v>37</v>
      </c>
      <c r="AA341">
        <f>TwitterClean[[#This Row],[likes]]+TwitterClean[[#This Row],[replies]]+TwitterClean[[#This Row],[reposts]]+TwitterClean[[#This Row],[quotes]]+TwitterClean[[#This Row],[bookmarks]]</f>
        <v>7010</v>
      </c>
      <c r="AB341" s="1">
        <f>TwitterClean[[#This Row],[Total_Engagements]]/TwitterClean[[#This Row],[views]]</f>
        <v>1.6574807710950486E-2</v>
      </c>
      <c r="AC341" s="3">
        <f>DATEVALUE(MID(TwitterClean[[#This Row],[date_posted]],2,10))</f>
        <v>45641</v>
      </c>
      <c r="AD341">
        <f>TIMEVALUE(MID(TwitterClean[[#This Row],[date_posted]],13,8))</f>
        <v>0.81247685185185181</v>
      </c>
      <c r="AE341" s="3" t="str">
        <f>TEXT(TwitterClean[[#This Row],[Post_Date]],"dddd")</f>
        <v>Sunday</v>
      </c>
      <c r="AF341">
        <f>HOUR(TwitterClean[[#This Row],[Post_Time]])</f>
        <v>19</v>
      </c>
      <c r="AG341" t="str">
        <f>IF(TwitterClean[[#This Row],[videos]]="Null","No","Yes")</f>
        <v>Yes</v>
      </c>
      <c r="AH341" t="str">
        <f>IF(TwitterClean[[#This Row],[photos]]="null","No","Yes")</f>
        <v>No</v>
      </c>
      <c r="AI341" t="str">
        <f>IF(TwitterClean[[#This Row],[hashtags]]="null","No","Yes")</f>
        <v>Yes</v>
      </c>
      <c r="AJ341" t="str">
        <f>IF(TwitterClean[[#This Row],[external_url]]="null","Yes","No")</f>
        <v>No</v>
      </c>
      <c r="AK341">
        <f>LEN(TwitterClean[[#This Row],[description]])</f>
        <v>61</v>
      </c>
      <c r="AL341" t="str">
        <f>IF(TwitterClean[[#This Row],[followers]]&lt;100000,"&lt;100K",IF(TwitterClean[[#This Row],[followers]]&lt;1000000,"100K-1M",IF(TwitterClean[[#This Row],[followers]]&lt;10000000,"1M-10M","10M+")))</f>
        <v>100K-1M</v>
      </c>
    </row>
    <row r="342" spans="1:38">
      <c r="A342">
        <v>1.8681995590774582E+18</v>
      </c>
      <c r="B342" t="s">
        <v>726</v>
      </c>
      <c r="C342" t="s">
        <v>727</v>
      </c>
      <c r="D342" t="s">
        <v>728</v>
      </c>
      <c r="E342" t="s">
        <v>729</v>
      </c>
      <c r="F342" t="s">
        <v>730</v>
      </c>
      <c r="G342" t="s">
        <v>731</v>
      </c>
      <c r="H342" t="s">
        <v>29</v>
      </c>
      <c r="I342">
        <v>2</v>
      </c>
      <c r="J342">
        <v>6</v>
      </c>
      <c r="K342">
        <v>122</v>
      </c>
      <c r="L342">
        <v>8026</v>
      </c>
      <c r="M342" t="s">
        <v>52</v>
      </c>
      <c r="N342" t="s">
        <v>732</v>
      </c>
      <c r="O342">
        <v>220409</v>
      </c>
      <c r="P342" t="s">
        <v>733</v>
      </c>
      <c r="Q342">
        <v>43155</v>
      </c>
      <c r="R342" t="s">
        <v>734</v>
      </c>
      <c r="S342">
        <v>199</v>
      </c>
      <c r="T342" t="b">
        <v>0</v>
      </c>
      <c r="U342">
        <v>2</v>
      </c>
      <c r="V342">
        <v>1</v>
      </c>
      <c r="W342" t="s">
        <v>35</v>
      </c>
      <c r="X342" t="s">
        <v>29</v>
      </c>
      <c r="Y342" t="s">
        <v>29</v>
      </c>
      <c r="Z342" t="s">
        <v>37</v>
      </c>
      <c r="AA342">
        <f>TwitterClean[[#This Row],[likes]]+TwitterClean[[#This Row],[replies]]+TwitterClean[[#This Row],[reposts]]+TwitterClean[[#This Row],[quotes]]+TwitterClean[[#This Row],[bookmarks]]</f>
        <v>133</v>
      </c>
      <c r="AB342" s="1">
        <f>TwitterClean[[#This Row],[Total_Engagements]]/TwitterClean[[#This Row],[views]]</f>
        <v>1.6571143782706205E-2</v>
      </c>
      <c r="AC342" s="3">
        <f>DATEVALUE(MID(TwitterClean[[#This Row],[date_posted]],2,10))</f>
        <v>45641</v>
      </c>
      <c r="AD342">
        <f>TIMEVALUE(MID(TwitterClean[[#This Row],[date_posted]],13,8))</f>
        <v>0.32012731481481482</v>
      </c>
      <c r="AE342" s="3" t="str">
        <f>TEXT(TwitterClean[[#This Row],[Post_Date]],"dddd")</f>
        <v>Sunday</v>
      </c>
      <c r="AF342">
        <f>HOUR(TwitterClean[[#This Row],[Post_Time]])</f>
        <v>7</v>
      </c>
      <c r="AG342" t="str">
        <f>IF(TwitterClean[[#This Row],[videos]]="Null","No","Yes")</f>
        <v>No</v>
      </c>
      <c r="AH342" t="str">
        <f>IF(TwitterClean[[#This Row],[photos]]="null","No","Yes")</f>
        <v>Yes</v>
      </c>
      <c r="AI342" t="str">
        <f>IF(TwitterClean[[#This Row],[hashtags]]="null","No","Yes")</f>
        <v>Yes</v>
      </c>
      <c r="AJ342" t="str">
        <f>IF(TwitterClean[[#This Row],[external_url]]="null","Yes","No")</f>
        <v>No</v>
      </c>
      <c r="AK342">
        <f>LEN(TwitterClean[[#This Row],[description]])</f>
        <v>39</v>
      </c>
      <c r="AL342" t="str">
        <f>IF(TwitterClean[[#This Row],[followers]]&lt;100000,"&lt;100K",IF(TwitterClean[[#This Row],[followers]]&lt;1000000,"100K-1M",IF(TwitterClean[[#This Row],[followers]]&lt;10000000,"1M-10M","10M+")))</f>
        <v>100K-1M</v>
      </c>
    </row>
    <row r="343" spans="1:38">
      <c r="A343">
        <v>1.8684535424002542E+18</v>
      </c>
      <c r="B343" t="s">
        <v>46</v>
      </c>
      <c r="C343" t="s">
        <v>47</v>
      </c>
      <c r="D343" t="s">
        <v>144</v>
      </c>
      <c r="E343" t="s">
        <v>145</v>
      </c>
      <c r="F343" t="s">
        <v>146</v>
      </c>
      <c r="G343" t="s">
        <v>147</v>
      </c>
      <c r="H343" t="s">
        <v>29</v>
      </c>
      <c r="I343">
        <v>10</v>
      </c>
      <c r="J343">
        <v>11</v>
      </c>
      <c r="K343">
        <v>341</v>
      </c>
      <c r="L343">
        <v>22090</v>
      </c>
      <c r="M343" t="s">
        <v>52</v>
      </c>
      <c r="N343" t="s">
        <v>148</v>
      </c>
      <c r="O343">
        <v>8293187</v>
      </c>
      <c r="P343" t="s">
        <v>54</v>
      </c>
      <c r="Q343">
        <v>456734</v>
      </c>
      <c r="R343" t="s">
        <v>55</v>
      </c>
      <c r="S343">
        <v>859</v>
      </c>
      <c r="T343" t="b">
        <v>0</v>
      </c>
      <c r="U343">
        <v>2</v>
      </c>
      <c r="V343">
        <v>2</v>
      </c>
      <c r="W343" t="s">
        <v>35</v>
      </c>
      <c r="X343" t="s">
        <v>29</v>
      </c>
      <c r="Y343" t="s">
        <v>29</v>
      </c>
      <c r="Z343" t="s">
        <v>37</v>
      </c>
      <c r="AA343">
        <f>TwitterClean[[#This Row],[likes]]+TwitterClean[[#This Row],[replies]]+TwitterClean[[#This Row],[reposts]]+TwitterClean[[#This Row],[quotes]]+TwitterClean[[#This Row],[bookmarks]]</f>
        <v>366</v>
      </c>
      <c r="AB343" s="1">
        <f>TwitterClean[[#This Row],[Total_Engagements]]/TwitterClean[[#This Row],[views]]</f>
        <v>1.6568583069262111E-2</v>
      </c>
      <c r="AC343" s="3">
        <f>DATEVALUE(MID(TwitterClean[[#This Row],[date_posted]],2,10))</f>
        <v>45642</v>
      </c>
      <c r="AD343">
        <f>TIMEVALUE(MID(TwitterClean[[#This Row],[date_posted]],13,8))</f>
        <v>2.0983796296296296E-2</v>
      </c>
      <c r="AE343" s="3" t="str">
        <f>TEXT(TwitterClean[[#This Row],[Post_Date]],"dddd")</f>
        <v>Monday</v>
      </c>
      <c r="AF343">
        <f>HOUR(TwitterClean[[#This Row],[Post_Time]])</f>
        <v>0</v>
      </c>
      <c r="AG343" t="str">
        <f>IF(TwitterClean[[#This Row],[videos]]="Null","No","Yes")</f>
        <v>No</v>
      </c>
      <c r="AH343" t="str">
        <f>IF(TwitterClean[[#This Row],[photos]]="null","No","Yes")</f>
        <v>Yes</v>
      </c>
      <c r="AI343" t="str">
        <f>IF(TwitterClean[[#This Row],[hashtags]]="null","No","Yes")</f>
        <v>Yes</v>
      </c>
      <c r="AJ343" t="str">
        <f>IF(TwitterClean[[#This Row],[external_url]]="null","Yes","No")</f>
        <v>No</v>
      </c>
      <c r="AK343">
        <f>LEN(TwitterClean[[#This Row],[description]])</f>
        <v>193</v>
      </c>
      <c r="AL343" t="str">
        <f>IF(TwitterClean[[#This Row],[followers]]&lt;100000,"&lt;100K",IF(TwitterClean[[#This Row],[followers]]&lt;1000000,"100K-1M",IF(TwitterClean[[#This Row],[followers]]&lt;10000000,"1M-10M","10M+")))</f>
        <v>1M-10M</v>
      </c>
    </row>
    <row r="344" spans="1:38">
      <c r="A344">
        <v>1.8683842504515955E+18</v>
      </c>
      <c r="B344" t="s">
        <v>1862</v>
      </c>
      <c r="C344" t="s">
        <v>1863</v>
      </c>
      <c r="D344" t="s">
        <v>2214</v>
      </c>
      <c r="E344" t="s">
        <v>2215</v>
      </c>
      <c r="F344" t="s">
        <v>29</v>
      </c>
      <c r="G344" t="s">
        <v>2216</v>
      </c>
      <c r="H344" t="s">
        <v>29</v>
      </c>
      <c r="I344">
        <v>32</v>
      </c>
      <c r="J344">
        <v>38</v>
      </c>
      <c r="K344">
        <v>438</v>
      </c>
      <c r="L344">
        <v>34373</v>
      </c>
      <c r="M344" t="s">
        <v>52</v>
      </c>
      <c r="N344" t="s">
        <v>1867</v>
      </c>
      <c r="O344">
        <v>13492372</v>
      </c>
      <c r="P344" t="s">
        <v>1868</v>
      </c>
      <c r="Q344">
        <v>314515</v>
      </c>
      <c r="R344" t="s">
        <v>1869</v>
      </c>
      <c r="S344">
        <v>708</v>
      </c>
      <c r="T344" t="b">
        <v>0</v>
      </c>
      <c r="U344">
        <v>43</v>
      </c>
      <c r="V344">
        <v>17</v>
      </c>
      <c r="W344" t="s">
        <v>35</v>
      </c>
      <c r="X344" t="s">
        <v>29</v>
      </c>
      <c r="Y344" t="s">
        <v>2217</v>
      </c>
      <c r="Z344" t="s">
        <v>37</v>
      </c>
      <c r="AA344">
        <f>TwitterClean[[#This Row],[likes]]+TwitterClean[[#This Row],[replies]]+TwitterClean[[#This Row],[reposts]]+TwitterClean[[#This Row],[quotes]]+TwitterClean[[#This Row],[bookmarks]]</f>
        <v>568</v>
      </c>
      <c r="AB344" s="1">
        <f>TwitterClean[[#This Row],[Total_Engagements]]/TwitterClean[[#This Row],[views]]</f>
        <v>1.6524597794780788E-2</v>
      </c>
      <c r="AC344" s="3">
        <f>DATEVALUE(MID(TwitterClean[[#This Row],[date_posted]],2,10))</f>
        <v>45641</v>
      </c>
      <c r="AD344">
        <f>TIMEVALUE(MID(TwitterClean[[#This Row],[date_posted]],13,8))</f>
        <v>0.82976851851851852</v>
      </c>
      <c r="AE344" s="3" t="str">
        <f>TEXT(TwitterClean[[#This Row],[Post_Date]],"dddd")</f>
        <v>Sunday</v>
      </c>
      <c r="AF344">
        <f>HOUR(TwitterClean[[#This Row],[Post_Time]])</f>
        <v>19</v>
      </c>
      <c r="AG344" t="str">
        <f>IF(TwitterClean[[#This Row],[videos]]="Null","No","Yes")</f>
        <v>Yes</v>
      </c>
      <c r="AH344" t="str">
        <f>IF(TwitterClean[[#This Row],[photos]]="null","No","Yes")</f>
        <v>No</v>
      </c>
      <c r="AI344" t="str">
        <f>IF(TwitterClean[[#This Row],[hashtags]]="null","No","Yes")</f>
        <v>Yes</v>
      </c>
      <c r="AJ344" t="str">
        <f>IF(TwitterClean[[#This Row],[external_url]]="null","Yes","No")</f>
        <v>No</v>
      </c>
      <c r="AK344">
        <f>LEN(TwitterClean[[#This Row],[description]])</f>
        <v>103</v>
      </c>
      <c r="AL344" t="str">
        <f>IF(TwitterClean[[#This Row],[followers]]&lt;100000,"&lt;100K",IF(TwitterClean[[#This Row],[followers]]&lt;1000000,"100K-1M",IF(TwitterClean[[#This Row],[followers]]&lt;10000000,"1M-10M","10M+")))</f>
        <v>10M+</v>
      </c>
    </row>
    <row r="345" spans="1:38">
      <c r="A345">
        <v>1.8683789791633615E+18</v>
      </c>
      <c r="B345" t="s">
        <v>275</v>
      </c>
      <c r="C345" t="s">
        <v>276</v>
      </c>
      <c r="D345" t="s">
        <v>1017</v>
      </c>
      <c r="E345" t="s">
        <v>1018</v>
      </c>
      <c r="F345" t="s">
        <v>1019</v>
      </c>
      <c r="G345" t="s">
        <v>1020</v>
      </c>
      <c r="H345" t="s">
        <v>1021</v>
      </c>
      <c r="I345">
        <v>6</v>
      </c>
      <c r="J345">
        <v>31</v>
      </c>
      <c r="K345">
        <v>438</v>
      </c>
      <c r="L345">
        <v>28953</v>
      </c>
      <c r="M345" t="s">
        <v>52</v>
      </c>
      <c r="N345" t="s">
        <v>289</v>
      </c>
      <c r="O345">
        <v>8539601</v>
      </c>
      <c r="P345" t="s">
        <v>282</v>
      </c>
      <c r="Q345">
        <v>75535</v>
      </c>
      <c r="R345" t="s">
        <v>283</v>
      </c>
      <c r="S345">
        <v>117</v>
      </c>
      <c r="T345" t="b">
        <v>0</v>
      </c>
      <c r="U345">
        <v>1</v>
      </c>
      <c r="V345">
        <v>2</v>
      </c>
      <c r="W345" t="s">
        <v>35</v>
      </c>
      <c r="X345" t="s">
        <v>29</v>
      </c>
      <c r="Y345" t="s">
        <v>29</v>
      </c>
      <c r="Z345" t="s">
        <v>37</v>
      </c>
      <c r="AA345">
        <f>TwitterClean[[#This Row],[likes]]+TwitterClean[[#This Row],[replies]]+TwitterClean[[#This Row],[reposts]]+TwitterClean[[#This Row],[quotes]]+TwitterClean[[#This Row],[bookmarks]]</f>
        <v>478</v>
      </c>
      <c r="AB345" s="1">
        <f>TwitterClean[[#This Row],[Total_Engagements]]/TwitterClean[[#This Row],[views]]</f>
        <v>1.6509515421545263E-2</v>
      </c>
      <c r="AC345" s="3">
        <f>DATEVALUE(MID(TwitterClean[[#This Row],[date_posted]],2,10))</f>
        <v>45641</v>
      </c>
      <c r="AD345">
        <f>TIMEVALUE(MID(TwitterClean[[#This Row],[date_posted]],13,8))</f>
        <v>0.8152314814814815</v>
      </c>
      <c r="AE345" s="3" t="str">
        <f>TEXT(TwitterClean[[#This Row],[Post_Date]],"dddd")</f>
        <v>Sunday</v>
      </c>
      <c r="AF345">
        <f>HOUR(TwitterClean[[#This Row],[Post_Time]])</f>
        <v>19</v>
      </c>
      <c r="AG345" t="str">
        <f>IF(TwitterClean[[#This Row],[videos]]="Null","No","Yes")</f>
        <v>No</v>
      </c>
      <c r="AH345" t="str">
        <f>IF(TwitterClean[[#This Row],[photos]]="null","No","Yes")</f>
        <v>Yes</v>
      </c>
      <c r="AI345" t="str">
        <f>IF(TwitterClean[[#This Row],[hashtags]]="null","No","Yes")</f>
        <v>Yes</v>
      </c>
      <c r="AJ345" t="str">
        <f>IF(TwitterClean[[#This Row],[external_url]]="null","Yes","No")</f>
        <v>No</v>
      </c>
      <c r="AK345">
        <f>LEN(TwitterClean[[#This Row],[description]])</f>
        <v>97</v>
      </c>
      <c r="AL345" t="str">
        <f>IF(TwitterClean[[#This Row],[followers]]&lt;100000,"&lt;100K",IF(TwitterClean[[#This Row],[followers]]&lt;1000000,"100K-1M",IF(TwitterClean[[#This Row],[followers]]&lt;10000000,"1M-10M","10M+")))</f>
        <v>1M-10M</v>
      </c>
    </row>
    <row r="346" spans="1:38">
      <c r="A346">
        <v>1.868294948954784E+18</v>
      </c>
      <c r="B346" t="s">
        <v>1047</v>
      </c>
      <c r="C346" t="s">
        <v>1048</v>
      </c>
      <c r="D346" t="s">
        <v>1154</v>
      </c>
      <c r="E346" t="s">
        <v>1155</v>
      </c>
      <c r="F346" t="s">
        <v>1156</v>
      </c>
      <c r="G346" t="s">
        <v>1157</v>
      </c>
      <c r="H346" t="s">
        <v>1158</v>
      </c>
      <c r="I346">
        <v>1</v>
      </c>
      <c r="J346">
        <v>3</v>
      </c>
      <c r="K346">
        <v>58</v>
      </c>
      <c r="L346">
        <v>3877</v>
      </c>
      <c r="M346" t="s">
        <v>52</v>
      </c>
      <c r="N346" t="s">
        <v>1159</v>
      </c>
      <c r="O346">
        <v>129250</v>
      </c>
      <c r="P346" t="s">
        <v>1056</v>
      </c>
      <c r="Q346">
        <v>67189</v>
      </c>
      <c r="R346" t="s">
        <v>1057</v>
      </c>
      <c r="S346">
        <v>508</v>
      </c>
      <c r="T346" t="b">
        <v>0</v>
      </c>
      <c r="U346">
        <v>2</v>
      </c>
      <c r="V346">
        <v>0</v>
      </c>
      <c r="W346" t="s">
        <v>35</v>
      </c>
      <c r="X346" t="s">
        <v>29</v>
      </c>
      <c r="Y346" t="s">
        <v>29</v>
      </c>
      <c r="Z346" t="s">
        <v>37</v>
      </c>
      <c r="AA346">
        <f>TwitterClean[[#This Row],[likes]]+TwitterClean[[#This Row],[replies]]+TwitterClean[[#This Row],[reposts]]+TwitterClean[[#This Row],[quotes]]+TwitterClean[[#This Row],[bookmarks]]</f>
        <v>64</v>
      </c>
      <c r="AB346" s="1">
        <f>TwitterClean[[#This Row],[Total_Engagements]]/TwitterClean[[#This Row],[views]]</f>
        <v>1.6507608976012382E-2</v>
      </c>
      <c r="AC346" s="3">
        <f>DATEVALUE(MID(TwitterClean[[#This Row],[date_posted]],2,10))</f>
        <v>45641</v>
      </c>
      <c r="AD346">
        <f>TIMEVALUE(MID(TwitterClean[[#This Row],[date_posted]],13,8))</f>
        <v>0.58334490740740741</v>
      </c>
      <c r="AE346" s="3" t="str">
        <f>TEXT(TwitterClean[[#This Row],[Post_Date]],"dddd")</f>
        <v>Sunday</v>
      </c>
      <c r="AF346">
        <f>HOUR(TwitterClean[[#This Row],[Post_Time]])</f>
        <v>14</v>
      </c>
      <c r="AG346" t="str">
        <f>IF(TwitterClean[[#This Row],[videos]]="Null","No","Yes")</f>
        <v>No</v>
      </c>
      <c r="AH346" t="str">
        <f>IF(TwitterClean[[#This Row],[photos]]="null","No","Yes")</f>
        <v>Yes</v>
      </c>
      <c r="AI346" t="str">
        <f>IF(TwitterClean[[#This Row],[hashtags]]="null","No","Yes")</f>
        <v>Yes</v>
      </c>
      <c r="AJ346" t="str">
        <f>IF(TwitterClean[[#This Row],[external_url]]="null","Yes","No")</f>
        <v>No</v>
      </c>
      <c r="AK346">
        <f>LEN(TwitterClean[[#This Row],[description]])</f>
        <v>61</v>
      </c>
      <c r="AL346" t="str">
        <f>IF(TwitterClean[[#This Row],[followers]]&lt;100000,"&lt;100K",IF(TwitterClean[[#This Row],[followers]]&lt;1000000,"100K-1M",IF(TwitterClean[[#This Row],[followers]]&lt;10000000,"1M-10M","10M+")))</f>
        <v>100K-1M</v>
      </c>
    </row>
    <row r="347" spans="1:38">
      <c r="A347">
        <v>1.8684444830014259E+18</v>
      </c>
      <c r="B347" t="s">
        <v>1656</v>
      </c>
      <c r="C347" t="s">
        <v>1657</v>
      </c>
      <c r="D347" t="s">
        <v>1803</v>
      </c>
      <c r="E347" t="s">
        <v>1804</v>
      </c>
      <c r="F347" t="s">
        <v>29</v>
      </c>
      <c r="G347" t="s">
        <v>1805</v>
      </c>
      <c r="H347" t="s">
        <v>29</v>
      </c>
      <c r="I347">
        <v>11</v>
      </c>
      <c r="J347">
        <v>35</v>
      </c>
      <c r="K347">
        <v>185</v>
      </c>
      <c r="L347">
        <v>14310</v>
      </c>
      <c r="M347" t="s">
        <v>52</v>
      </c>
      <c r="N347" t="s">
        <v>1806</v>
      </c>
      <c r="O347">
        <v>2819405</v>
      </c>
      <c r="P347" t="s">
        <v>1662</v>
      </c>
      <c r="Q347">
        <v>286268</v>
      </c>
      <c r="R347" t="s">
        <v>1663</v>
      </c>
      <c r="S347">
        <v>4</v>
      </c>
      <c r="T347" t="b">
        <v>0</v>
      </c>
      <c r="U347">
        <v>2</v>
      </c>
      <c r="V347">
        <v>3</v>
      </c>
      <c r="W347" t="s">
        <v>35</v>
      </c>
      <c r="X347" t="s">
        <v>29</v>
      </c>
      <c r="Y347" t="s">
        <v>1807</v>
      </c>
      <c r="Z347" t="s">
        <v>37</v>
      </c>
      <c r="AA347">
        <f>TwitterClean[[#This Row],[likes]]+TwitterClean[[#This Row],[replies]]+TwitterClean[[#This Row],[reposts]]+TwitterClean[[#This Row],[quotes]]+TwitterClean[[#This Row],[bookmarks]]</f>
        <v>236</v>
      </c>
      <c r="AB347" s="1">
        <f>TwitterClean[[#This Row],[Total_Engagements]]/TwitterClean[[#This Row],[views]]</f>
        <v>1.6491963661774984E-2</v>
      </c>
      <c r="AC347" s="3">
        <f>DATEVALUE(MID(TwitterClean[[#This Row],[date_posted]],2,10))</f>
        <v>45641</v>
      </c>
      <c r="AD347">
        <f>TIMEVALUE(MID(TwitterClean[[#This Row],[date_posted]],13,8))</f>
        <v>0.9959837962962963</v>
      </c>
      <c r="AE347" s="3" t="str">
        <f>TEXT(TwitterClean[[#This Row],[Post_Date]],"dddd")</f>
        <v>Sunday</v>
      </c>
      <c r="AF347">
        <f>HOUR(TwitterClean[[#This Row],[Post_Time]])</f>
        <v>23</v>
      </c>
      <c r="AG347" t="str">
        <f>IF(TwitterClean[[#This Row],[videos]]="Null","No","Yes")</f>
        <v>Yes</v>
      </c>
      <c r="AH347" t="str">
        <f>IF(TwitterClean[[#This Row],[photos]]="null","No","Yes")</f>
        <v>No</v>
      </c>
      <c r="AI347" t="str">
        <f>IF(TwitterClean[[#This Row],[hashtags]]="null","No","Yes")</f>
        <v>Yes</v>
      </c>
      <c r="AJ347" t="str">
        <f>IF(TwitterClean[[#This Row],[external_url]]="null","Yes","No")</f>
        <v>No</v>
      </c>
      <c r="AK347">
        <f>LEN(TwitterClean[[#This Row],[description]])</f>
        <v>246</v>
      </c>
      <c r="AL347" t="str">
        <f>IF(TwitterClean[[#This Row],[followers]]&lt;100000,"&lt;100K",IF(TwitterClean[[#This Row],[followers]]&lt;1000000,"100K-1M",IF(TwitterClean[[#This Row],[followers]]&lt;10000000,"1M-10M","10M+")))</f>
        <v>1M-10M</v>
      </c>
    </row>
    <row r="348" spans="1:38">
      <c r="A348">
        <v>1.8659847237611238E+18</v>
      </c>
      <c r="B348" t="s">
        <v>1204</v>
      </c>
      <c r="C348" t="s">
        <v>1205</v>
      </c>
      <c r="D348" t="s">
        <v>1206</v>
      </c>
      <c r="E348" t="s">
        <v>1207</v>
      </c>
      <c r="F348" t="s">
        <v>1208</v>
      </c>
      <c r="G348" t="s">
        <v>1209</v>
      </c>
      <c r="H348" t="s">
        <v>1210</v>
      </c>
      <c r="I348">
        <v>12</v>
      </c>
      <c r="J348">
        <v>46</v>
      </c>
      <c r="K348">
        <v>743</v>
      </c>
      <c r="L348">
        <v>49787</v>
      </c>
      <c r="M348" t="s">
        <v>52</v>
      </c>
      <c r="N348" t="s">
        <v>1211</v>
      </c>
      <c r="O348">
        <v>12779119</v>
      </c>
      <c r="P348" t="s">
        <v>1212</v>
      </c>
      <c r="Q348">
        <v>190221</v>
      </c>
      <c r="R348" t="s">
        <v>1213</v>
      </c>
      <c r="S348">
        <v>637</v>
      </c>
      <c r="T348" t="b">
        <v>0</v>
      </c>
      <c r="U348">
        <v>8</v>
      </c>
      <c r="V348">
        <v>10</v>
      </c>
      <c r="W348" t="s">
        <v>35</v>
      </c>
      <c r="X348" t="s">
        <v>29</v>
      </c>
      <c r="Y348" t="s">
        <v>29</v>
      </c>
      <c r="Z348" t="s">
        <v>37</v>
      </c>
      <c r="AA348">
        <f>TwitterClean[[#This Row],[likes]]+TwitterClean[[#This Row],[replies]]+TwitterClean[[#This Row],[reposts]]+TwitterClean[[#This Row],[quotes]]+TwitterClean[[#This Row],[bookmarks]]</f>
        <v>819</v>
      </c>
      <c r="AB348" s="1">
        <f>TwitterClean[[#This Row],[Total_Engagements]]/TwitterClean[[#This Row],[views]]</f>
        <v>1.6450077329423343E-2</v>
      </c>
      <c r="AC348" s="3">
        <f>DATEVALUE(MID(TwitterClean[[#This Row],[date_posted]],2,10))</f>
        <v>45635</v>
      </c>
      <c r="AD348">
        <f>TIMEVALUE(MID(TwitterClean[[#This Row],[date_posted]],13,8))</f>
        <v>0.20834490740740741</v>
      </c>
      <c r="AE348" s="3" t="str">
        <f>TEXT(TwitterClean[[#This Row],[Post_Date]],"dddd")</f>
        <v>Monday</v>
      </c>
      <c r="AF348">
        <f>HOUR(TwitterClean[[#This Row],[Post_Time]])</f>
        <v>5</v>
      </c>
      <c r="AG348" t="str">
        <f>IF(TwitterClean[[#This Row],[videos]]="Null","No","Yes")</f>
        <v>No</v>
      </c>
      <c r="AH348" t="str">
        <f>IF(TwitterClean[[#This Row],[photos]]="null","No","Yes")</f>
        <v>Yes</v>
      </c>
      <c r="AI348" t="str">
        <f>IF(TwitterClean[[#This Row],[hashtags]]="null","No","Yes")</f>
        <v>Yes</v>
      </c>
      <c r="AJ348" t="str">
        <f>IF(TwitterClean[[#This Row],[external_url]]="null","Yes","No")</f>
        <v>No</v>
      </c>
      <c r="AK348">
        <f>LEN(TwitterClean[[#This Row],[description]])</f>
        <v>105</v>
      </c>
      <c r="AL348" t="str">
        <f>IF(TwitterClean[[#This Row],[followers]]&lt;100000,"&lt;100K",IF(TwitterClean[[#This Row],[followers]]&lt;1000000,"100K-1M",IF(TwitterClean[[#This Row],[followers]]&lt;10000000,"1M-10M","10M+")))</f>
        <v>10M+</v>
      </c>
    </row>
    <row r="349" spans="1:38">
      <c r="A349">
        <v>1.8682828468232648E+18</v>
      </c>
      <c r="B349" t="s">
        <v>1267</v>
      </c>
      <c r="C349" t="s">
        <v>1268</v>
      </c>
      <c r="D349" t="s">
        <v>1402</v>
      </c>
      <c r="E349" t="s">
        <v>1403</v>
      </c>
      <c r="F349" t="s">
        <v>1404</v>
      </c>
      <c r="G349" t="s">
        <v>1405</v>
      </c>
      <c r="H349" t="s">
        <v>1406</v>
      </c>
      <c r="I349">
        <v>337</v>
      </c>
      <c r="J349">
        <v>93</v>
      </c>
      <c r="K349">
        <v>959</v>
      </c>
      <c r="L349">
        <v>87366</v>
      </c>
      <c r="M349" t="s">
        <v>52</v>
      </c>
      <c r="N349" t="s">
        <v>1273</v>
      </c>
      <c r="O349">
        <v>17891377</v>
      </c>
      <c r="P349" t="s">
        <v>1274</v>
      </c>
      <c r="Q349">
        <v>168939</v>
      </c>
      <c r="R349" t="s">
        <v>1275</v>
      </c>
      <c r="S349">
        <v>47365</v>
      </c>
      <c r="T349" t="b">
        <v>0</v>
      </c>
      <c r="U349">
        <v>37</v>
      </c>
      <c r="V349">
        <v>5</v>
      </c>
      <c r="W349" t="s">
        <v>35</v>
      </c>
      <c r="X349" t="s">
        <v>29</v>
      </c>
      <c r="Y349" t="s">
        <v>29</v>
      </c>
      <c r="Z349" t="s">
        <v>37</v>
      </c>
      <c r="AA349">
        <f>TwitterClean[[#This Row],[likes]]+TwitterClean[[#This Row],[replies]]+TwitterClean[[#This Row],[reposts]]+TwitterClean[[#This Row],[quotes]]+TwitterClean[[#This Row],[bookmarks]]</f>
        <v>1431</v>
      </c>
      <c r="AB349" s="1">
        <f>TwitterClean[[#This Row],[Total_Engagements]]/TwitterClean[[#This Row],[views]]</f>
        <v>1.6379369548794726E-2</v>
      </c>
      <c r="AC349" s="3">
        <f>DATEVALUE(MID(TwitterClean[[#This Row],[date_posted]],2,10))</f>
        <v>45641</v>
      </c>
      <c r="AD349">
        <f>TIMEVALUE(MID(TwitterClean[[#This Row],[date_posted]],13,8))</f>
        <v>0.54995370370370367</v>
      </c>
      <c r="AE349" s="3" t="str">
        <f>TEXT(TwitterClean[[#This Row],[Post_Date]],"dddd")</f>
        <v>Sunday</v>
      </c>
      <c r="AF349">
        <f>HOUR(TwitterClean[[#This Row],[Post_Time]])</f>
        <v>13</v>
      </c>
      <c r="AG349" t="str">
        <f>IF(TwitterClean[[#This Row],[videos]]="Null","No","Yes")</f>
        <v>No</v>
      </c>
      <c r="AH349" t="str">
        <f>IF(TwitterClean[[#This Row],[photos]]="null","No","Yes")</f>
        <v>Yes</v>
      </c>
      <c r="AI349" t="str">
        <f>IF(TwitterClean[[#This Row],[hashtags]]="null","No","Yes")</f>
        <v>Yes</v>
      </c>
      <c r="AJ349" t="str">
        <f>IF(TwitterClean[[#This Row],[external_url]]="null","Yes","No")</f>
        <v>No</v>
      </c>
      <c r="AK349">
        <f>LEN(TwitterClean[[#This Row],[description]])</f>
        <v>68</v>
      </c>
      <c r="AL349" t="str">
        <f>IF(TwitterClean[[#This Row],[followers]]&lt;100000,"&lt;100K",IF(TwitterClean[[#This Row],[followers]]&lt;1000000,"100K-1M",IF(TwitterClean[[#This Row],[followers]]&lt;10000000,"1M-10M","10M+")))</f>
        <v>10M+</v>
      </c>
    </row>
    <row r="350" spans="1:38">
      <c r="A350">
        <v>1.8682970996803098E+18</v>
      </c>
      <c r="B350" t="s">
        <v>333</v>
      </c>
      <c r="C350" t="s">
        <v>334</v>
      </c>
      <c r="D350" t="s">
        <v>4318</v>
      </c>
      <c r="E350" t="s">
        <v>4319</v>
      </c>
      <c r="F350" t="s">
        <v>29</v>
      </c>
      <c r="G350" t="s">
        <v>4320</v>
      </c>
      <c r="H350" t="s">
        <v>4321</v>
      </c>
      <c r="I350">
        <v>5</v>
      </c>
      <c r="J350">
        <v>17</v>
      </c>
      <c r="K350">
        <v>326</v>
      </c>
      <c r="L350">
        <v>22081</v>
      </c>
      <c r="M350" t="s">
        <v>52</v>
      </c>
      <c r="N350" t="s">
        <v>340</v>
      </c>
      <c r="O350">
        <v>337839</v>
      </c>
      <c r="P350" t="s">
        <v>341</v>
      </c>
      <c r="Q350">
        <v>57638</v>
      </c>
      <c r="R350" t="s">
        <v>342</v>
      </c>
      <c r="S350">
        <v>587</v>
      </c>
      <c r="T350" t="b">
        <v>0</v>
      </c>
      <c r="U350">
        <v>7</v>
      </c>
      <c r="V350">
        <v>5</v>
      </c>
      <c r="W350" t="s">
        <v>35</v>
      </c>
      <c r="X350" t="s">
        <v>29</v>
      </c>
      <c r="Y350" t="s">
        <v>4322</v>
      </c>
      <c r="Z350" t="s">
        <v>37</v>
      </c>
      <c r="AA350">
        <f>TwitterClean[[#This Row],[likes]]+TwitterClean[[#This Row],[replies]]+TwitterClean[[#This Row],[reposts]]+TwitterClean[[#This Row],[quotes]]+TwitterClean[[#This Row],[bookmarks]]</f>
        <v>360</v>
      </c>
      <c r="AB350" s="1">
        <f>TwitterClean[[#This Row],[Total_Engagements]]/TwitterClean[[#This Row],[views]]</f>
        <v>1.6303609437978352E-2</v>
      </c>
      <c r="AC350" s="3">
        <f>DATEVALUE(MID(TwitterClean[[#This Row],[date_posted]],2,10))</f>
        <v>45641</v>
      </c>
      <c r="AD350">
        <f>TIMEVALUE(MID(TwitterClean[[#This Row],[date_posted]],13,8))</f>
        <v>0.58928240740740745</v>
      </c>
      <c r="AE350" s="3" t="str">
        <f>TEXT(TwitterClean[[#This Row],[Post_Date]],"dddd")</f>
        <v>Sunday</v>
      </c>
      <c r="AF350">
        <f>HOUR(TwitterClean[[#This Row],[Post_Time]])</f>
        <v>14</v>
      </c>
      <c r="AG350" t="str">
        <f>IF(TwitterClean[[#This Row],[videos]]="Null","No","Yes")</f>
        <v>Yes</v>
      </c>
      <c r="AH350" t="str">
        <f>IF(TwitterClean[[#This Row],[photos]]="null","No","Yes")</f>
        <v>No</v>
      </c>
      <c r="AI350" t="str">
        <f>IF(TwitterClean[[#This Row],[hashtags]]="null","No","Yes")</f>
        <v>Yes</v>
      </c>
      <c r="AJ350" t="str">
        <f>IF(TwitterClean[[#This Row],[external_url]]="null","Yes","No")</f>
        <v>No</v>
      </c>
      <c r="AK350">
        <f>LEN(TwitterClean[[#This Row],[description]])</f>
        <v>66</v>
      </c>
      <c r="AL350" t="str">
        <f>IF(TwitterClean[[#This Row],[followers]]&lt;100000,"&lt;100K",IF(TwitterClean[[#This Row],[followers]]&lt;1000000,"100K-1M",IF(TwitterClean[[#This Row],[followers]]&lt;10000000,"1M-10M","10M+")))</f>
        <v>100K-1M</v>
      </c>
    </row>
    <row r="351" spans="1:38">
      <c r="A351">
        <v>1.80668204458127E+18</v>
      </c>
      <c r="B351" t="s">
        <v>4105</v>
      </c>
      <c r="C351" t="s">
        <v>4106</v>
      </c>
      <c r="D351" t="s">
        <v>4107</v>
      </c>
      <c r="E351" t="s">
        <v>4108</v>
      </c>
      <c r="F351" t="s">
        <v>4109</v>
      </c>
      <c r="G351" t="s">
        <v>4110</v>
      </c>
      <c r="H351" t="s">
        <v>29</v>
      </c>
      <c r="I351">
        <v>211</v>
      </c>
      <c r="J351">
        <v>886</v>
      </c>
      <c r="K351">
        <v>3500</v>
      </c>
      <c r="L351">
        <v>298098</v>
      </c>
      <c r="M351" t="s">
        <v>52</v>
      </c>
      <c r="N351" t="s">
        <v>29</v>
      </c>
      <c r="O351">
        <v>303040</v>
      </c>
      <c r="P351" t="s">
        <v>4111</v>
      </c>
      <c r="Q351">
        <v>24240</v>
      </c>
      <c r="R351" t="s">
        <v>4112</v>
      </c>
      <c r="S351">
        <v>8053</v>
      </c>
      <c r="T351" t="b">
        <v>0</v>
      </c>
      <c r="U351">
        <v>49</v>
      </c>
      <c r="V351">
        <v>210</v>
      </c>
      <c r="W351" t="s">
        <v>35</v>
      </c>
      <c r="X351" t="s">
        <v>29</v>
      </c>
      <c r="Y351" t="s">
        <v>4113</v>
      </c>
      <c r="Z351" t="s">
        <v>37</v>
      </c>
      <c r="AA351">
        <f>TwitterClean[[#This Row],[likes]]+TwitterClean[[#This Row],[replies]]+TwitterClean[[#This Row],[reposts]]+TwitterClean[[#This Row],[quotes]]+TwitterClean[[#This Row],[bookmarks]]</f>
        <v>4856</v>
      </c>
      <c r="AB351" s="1">
        <f>TwitterClean[[#This Row],[Total_Engagements]]/TwitterClean[[#This Row],[views]]</f>
        <v>1.6289944917443257E-2</v>
      </c>
      <c r="AC351" s="3">
        <f>DATEVALUE(MID(TwitterClean[[#This Row],[date_posted]],2,10))</f>
        <v>45471</v>
      </c>
      <c r="AD351">
        <f>TIMEVALUE(MID(TwitterClean[[#This Row],[date_posted]],13,8))</f>
        <v>0.56412037037037033</v>
      </c>
      <c r="AE351" s="3" t="str">
        <f>TEXT(TwitterClean[[#This Row],[Post_Date]],"dddd")</f>
        <v>Friday</v>
      </c>
      <c r="AF351">
        <f>HOUR(TwitterClean[[#This Row],[Post_Time]])</f>
        <v>13</v>
      </c>
      <c r="AG351" t="str">
        <f>IF(TwitterClean[[#This Row],[videos]]="Null","No","Yes")</f>
        <v>Yes</v>
      </c>
      <c r="AH351" t="str">
        <f>IF(TwitterClean[[#This Row],[photos]]="null","No","Yes")</f>
        <v>Yes</v>
      </c>
      <c r="AI351" t="str">
        <f>IF(TwitterClean[[#This Row],[hashtags]]="null","No","Yes")</f>
        <v>No</v>
      </c>
      <c r="AJ351" t="str">
        <f>IF(TwitterClean[[#This Row],[external_url]]="null","Yes","No")</f>
        <v>No</v>
      </c>
      <c r="AK351">
        <f>LEN(TwitterClean[[#This Row],[description]])</f>
        <v>152</v>
      </c>
      <c r="AL351" t="str">
        <f>IF(TwitterClean[[#This Row],[followers]]&lt;100000,"&lt;100K",IF(TwitterClean[[#This Row],[followers]]&lt;1000000,"100K-1M",IF(TwitterClean[[#This Row],[followers]]&lt;10000000,"1M-10M","10M+")))</f>
        <v>100K-1M</v>
      </c>
    </row>
    <row r="352" spans="1:38">
      <c r="A352">
        <v>1.8683646474279037E+18</v>
      </c>
      <c r="B352" t="s">
        <v>3638</v>
      </c>
      <c r="C352" t="s">
        <v>3639</v>
      </c>
      <c r="D352" t="s">
        <v>3935</v>
      </c>
      <c r="E352" t="s">
        <v>3936</v>
      </c>
      <c r="F352" t="s">
        <v>29</v>
      </c>
      <c r="G352" t="s">
        <v>3937</v>
      </c>
      <c r="H352" t="s">
        <v>3938</v>
      </c>
      <c r="I352">
        <v>31</v>
      </c>
      <c r="J352">
        <v>84</v>
      </c>
      <c r="K352">
        <v>1210</v>
      </c>
      <c r="L352">
        <v>82657</v>
      </c>
      <c r="M352" t="s">
        <v>52</v>
      </c>
      <c r="N352" t="s">
        <v>29</v>
      </c>
      <c r="O352">
        <v>8885748</v>
      </c>
      <c r="P352" t="s">
        <v>3643</v>
      </c>
      <c r="Q352">
        <v>115852</v>
      </c>
      <c r="R352" t="s">
        <v>3644</v>
      </c>
      <c r="S352">
        <v>469</v>
      </c>
      <c r="T352" t="b">
        <v>0</v>
      </c>
      <c r="U352">
        <v>5</v>
      </c>
      <c r="V352">
        <v>9</v>
      </c>
      <c r="W352" t="s">
        <v>35</v>
      </c>
      <c r="X352" t="s">
        <v>29</v>
      </c>
      <c r="Y352" t="s">
        <v>3939</v>
      </c>
      <c r="Z352" t="s">
        <v>37</v>
      </c>
      <c r="AA352">
        <f>TwitterClean[[#This Row],[likes]]+TwitterClean[[#This Row],[replies]]+TwitterClean[[#This Row],[reposts]]+TwitterClean[[#This Row],[quotes]]+TwitterClean[[#This Row],[bookmarks]]</f>
        <v>1339</v>
      </c>
      <c r="AB352" s="1">
        <f>TwitterClean[[#This Row],[Total_Engagements]]/TwitterClean[[#This Row],[views]]</f>
        <v>1.6199474938601691E-2</v>
      </c>
      <c r="AC352" s="3">
        <f>DATEVALUE(MID(TwitterClean[[#This Row],[date_posted]],2,10))</f>
        <v>45641</v>
      </c>
      <c r="AD352">
        <f>TIMEVALUE(MID(TwitterClean[[#This Row],[date_posted]],13,8))</f>
        <v>0.77568287037037043</v>
      </c>
      <c r="AE352" s="3" t="str">
        <f>TEXT(TwitterClean[[#This Row],[Post_Date]],"dddd")</f>
        <v>Sunday</v>
      </c>
      <c r="AF352">
        <f>HOUR(TwitterClean[[#This Row],[Post_Time]])</f>
        <v>18</v>
      </c>
      <c r="AG352" t="str">
        <f>IF(TwitterClean[[#This Row],[videos]]="Null","No","Yes")</f>
        <v>Yes</v>
      </c>
      <c r="AH352" t="str">
        <f>IF(TwitterClean[[#This Row],[photos]]="null","No","Yes")</f>
        <v>No</v>
      </c>
      <c r="AI352" t="str">
        <f>IF(TwitterClean[[#This Row],[hashtags]]="null","No","Yes")</f>
        <v>No</v>
      </c>
      <c r="AJ352" t="str">
        <f>IF(TwitterClean[[#This Row],[external_url]]="null","Yes","No")</f>
        <v>No</v>
      </c>
      <c r="AK352">
        <f>LEN(TwitterClean[[#This Row],[description]])</f>
        <v>30</v>
      </c>
      <c r="AL352" t="str">
        <f>IF(TwitterClean[[#This Row],[followers]]&lt;100000,"&lt;100K",IF(TwitterClean[[#This Row],[followers]]&lt;1000000,"100K-1M",IF(TwitterClean[[#This Row],[followers]]&lt;10000000,"1M-10M","10M+")))</f>
        <v>1M-10M</v>
      </c>
    </row>
    <row r="353" spans="1:38">
      <c r="A353">
        <v>1.8682194469358592E+18</v>
      </c>
      <c r="B353" t="s">
        <v>3196</v>
      </c>
      <c r="C353" t="s">
        <v>3196</v>
      </c>
      <c r="D353" t="s">
        <v>4856</v>
      </c>
      <c r="E353" t="s">
        <v>720</v>
      </c>
      <c r="F353" t="s">
        <v>4857</v>
      </c>
      <c r="G353" t="s">
        <v>4858</v>
      </c>
      <c r="H353" t="s">
        <v>29</v>
      </c>
      <c r="I353">
        <v>63</v>
      </c>
      <c r="J353">
        <v>44</v>
      </c>
      <c r="K353">
        <v>771</v>
      </c>
      <c r="L353">
        <v>61439</v>
      </c>
      <c r="M353" t="s">
        <v>52</v>
      </c>
      <c r="N353" t="s">
        <v>3201</v>
      </c>
      <c r="O353">
        <v>376786</v>
      </c>
      <c r="P353" t="s">
        <v>3202</v>
      </c>
      <c r="Q353">
        <v>106893</v>
      </c>
      <c r="R353" t="s">
        <v>3203</v>
      </c>
      <c r="S353">
        <v>415</v>
      </c>
      <c r="T353" t="b">
        <v>0</v>
      </c>
      <c r="U353">
        <v>99</v>
      </c>
      <c r="V353">
        <v>16</v>
      </c>
      <c r="W353" t="s">
        <v>35</v>
      </c>
      <c r="X353" t="s">
        <v>29</v>
      </c>
      <c r="Y353" t="s">
        <v>29</v>
      </c>
      <c r="Z353" t="s">
        <v>37</v>
      </c>
      <c r="AA353">
        <f>TwitterClean[[#This Row],[likes]]+TwitterClean[[#This Row],[replies]]+TwitterClean[[#This Row],[reposts]]+TwitterClean[[#This Row],[quotes]]+TwitterClean[[#This Row],[bookmarks]]</f>
        <v>993</v>
      </c>
      <c r="AB353" s="1">
        <f>TwitterClean[[#This Row],[Total_Engagements]]/TwitterClean[[#This Row],[views]]</f>
        <v>1.6162372434447174E-2</v>
      </c>
      <c r="AC353" s="3">
        <f>DATEVALUE(MID(TwitterClean[[#This Row],[date_posted]],2,10))</f>
        <v>45641</v>
      </c>
      <c r="AD353">
        <f>TIMEVALUE(MID(TwitterClean[[#This Row],[date_posted]],13,8))</f>
        <v>0.375</v>
      </c>
      <c r="AE353" s="3" t="str">
        <f>TEXT(TwitterClean[[#This Row],[Post_Date]],"dddd")</f>
        <v>Sunday</v>
      </c>
      <c r="AF353">
        <f>HOUR(TwitterClean[[#This Row],[Post_Time]])</f>
        <v>9</v>
      </c>
      <c r="AG353" t="str">
        <f>IF(TwitterClean[[#This Row],[videos]]="Null","No","Yes")</f>
        <v>No</v>
      </c>
      <c r="AH353" t="str">
        <f>IF(TwitterClean[[#This Row],[photos]]="null","No","Yes")</f>
        <v>Yes</v>
      </c>
      <c r="AI353" t="str">
        <f>IF(TwitterClean[[#This Row],[hashtags]]="null","No","Yes")</f>
        <v>Yes</v>
      </c>
      <c r="AJ353" t="str">
        <f>IF(TwitterClean[[#This Row],[external_url]]="null","Yes","No")</f>
        <v>No</v>
      </c>
      <c r="AK353">
        <f>LEN(TwitterClean[[#This Row],[description]])</f>
        <v>42</v>
      </c>
      <c r="AL353" t="str">
        <f>IF(TwitterClean[[#This Row],[followers]]&lt;100000,"&lt;100K",IF(TwitterClean[[#This Row],[followers]]&lt;1000000,"100K-1M",IF(TwitterClean[[#This Row],[followers]]&lt;10000000,"1M-10M","10M+")))</f>
        <v>100K-1M</v>
      </c>
    </row>
    <row r="354" spans="1:38">
      <c r="A354">
        <v>1.8684182000080123E+18</v>
      </c>
      <c r="B354" t="s">
        <v>26</v>
      </c>
      <c r="C354" t="s">
        <v>26</v>
      </c>
      <c r="D354" t="s">
        <v>156</v>
      </c>
      <c r="E354" t="s">
        <v>157</v>
      </c>
      <c r="F354" t="s">
        <v>29</v>
      </c>
      <c r="G354" t="s">
        <v>158</v>
      </c>
      <c r="H354" t="s">
        <v>159</v>
      </c>
      <c r="I354">
        <v>95</v>
      </c>
      <c r="J354">
        <v>8</v>
      </c>
      <c r="K354">
        <v>107</v>
      </c>
      <c r="L354">
        <v>13597</v>
      </c>
      <c r="M354" t="s">
        <v>31</v>
      </c>
      <c r="N354" t="s">
        <v>66</v>
      </c>
      <c r="O354">
        <v>5771758</v>
      </c>
      <c r="P354" t="s">
        <v>33</v>
      </c>
      <c r="Q354">
        <v>222223</v>
      </c>
      <c r="R354" t="s">
        <v>34</v>
      </c>
      <c r="S354">
        <v>122</v>
      </c>
      <c r="T354" t="b">
        <v>0</v>
      </c>
      <c r="U354">
        <v>3</v>
      </c>
      <c r="V354">
        <v>6</v>
      </c>
      <c r="W354" t="s">
        <v>35</v>
      </c>
      <c r="X354" t="s">
        <v>29</v>
      </c>
      <c r="Y354" t="s">
        <v>160</v>
      </c>
      <c r="Z354" t="s">
        <v>37</v>
      </c>
      <c r="AA354">
        <f>TwitterClean[[#This Row],[likes]]+TwitterClean[[#This Row],[replies]]+TwitterClean[[#This Row],[reposts]]+TwitterClean[[#This Row],[quotes]]+TwitterClean[[#This Row],[bookmarks]]</f>
        <v>219</v>
      </c>
      <c r="AB354" s="1">
        <f>TwitterClean[[#This Row],[Total_Engagements]]/TwitterClean[[#This Row],[views]]</f>
        <v>1.6106494079576376E-2</v>
      </c>
      <c r="AC354" s="3">
        <f>DATEVALUE(MID(TwitterClean[[#This Row],[date_posted]],2,10))</f>
        <v>45641</v>
      </c>
      <c r="AD354">
        <f>TIMEVALUE(MID(TwitterClean[[#This Row],[date_posted]],13,8))</f>
        <v>0.9234606481481481</v>
      </c>
      <c r="AE354" s="3" t="str">
        <f>TEXT(TwitterClean[[#This Row],[Post_Date]],"dddd")</f>
        <v>Sunday</v>
      </c>
      <c r="AF354">
        <f>HOUR(TwitterClean[[#This Row],[Post_Time]])</f>
        <v>22</v>
      </c>
      <c r="AG354" t="str">
        <f>IF(TwitterClean[[#This Row],[videos]]="Null","No","Yes")</f>
        <v>Yes</v>
      </c>
      <c r="AH354" t="str">
        <f>IF(TwitterClean[[#This Row],[photos]]="null","No","Yes")</f>
        <v>No</v>
      </c>
      <c r="AI354" t="str">
        <f>IF(TwitterClean[[#This Row],[hashtags]]="null","No","Yes")</f>
        <v>Yes</v>
      </c>
      <c r="AJ354" t="str">
        <f>IF(TwitterClean[[#This Row],[external_url]]="null","Yes","No")</f>
        <v>No</v>
      </c>
      <c r="AK354">
        <f>LEN(TwitterClean[[#This Row],[description]])</f>
        <v>189</v>
      </c>
      <c r="AL354" t="str">
        <f>IF(TwitterClean[[#This Row],[followers]]&lt;100000,"&lt;100K",IF(TwitterClean[[#This Row],[followers]]&lt;1000000,"100K-1M",IF(TwitterClean[[#This Row],[followers]]&lt;10000000,"1M-10M","10M+")))</f>
        <v>1M-10M</v>
      </c>
    </row>
    <row r="355" spans="1:38">
      <c r="A355">
        <v>1.868327087280714E+18</v>
      </c>
      <c r="B355" t="s">
        <v>228</v>
      </c>
      <c r="C355" t="s">
        <v>228</v>
      </c>
      <c r="D355" t="s">
        <v>963</v>
      </c>
      <c r="E355" t="s">
        <v>964</v>
      </c>
      <c r="F355" t="s">
        <v>29</v>
      </c>
      <c r="G355" t="s">
        <v>965</v>
      </c>
      <c r="H355" t="s">
        <v>29</v>
      </c>
      <c r="I355">
        <v>32</v>
      </c>
      <c r="J355">
        <v>7</v>
      </c>
      <c r="K355">
        <v>77</v>
      </c>
      <c r="L355">
        <v>7390</v>
      </c>
      <c r="M355" t="s">
        <v>966</v>
      </c>
      <c r="N355" t="s">
        <v>29</v>
      </c>
      <c r="O355">
        <v>1239618</v>
      </c>
      <c r="P355" t="s">
        <v>235</v>
      </c>
      <c r="Q355">
        <v>402839</v>
      </c>
      <c r="R355" t="s">
        <v>236</v>
      </c>
      <c r="S355">
        <v>1644</v>
      </c>
      <c r="T355" t="b">
        <v>0</v>
      </c>
      <c r="U355">
        <v>1</v>
      </c>
      <c r="V355">
        <v>2</v>
      </c>
      <c r="W355" t="s">
        <v>35</v>
      </c>
      <c r="X355" t="s">
        <v>29</v>
      </c>
      <c r="Y355" t="s">
        <v>967</v>
      </c>
      <c r="Z355" t="s">
        <v>37</v>
      </c>
      <c r="AA355">
        <f>TwitterClean[[#This Row],[likes]]+TwitterClean[[#This Row],[replies]]+TwitterClean[[#This Row],[reposts]]+TwitterClean[[#This Row],[quotes]]+TwitterClean[[#This Row],[bookmarks]]</f>
        <v>119</v>
      </c>
      <c r="AB355" s="1">
        <f>TwitterClean[[#This Row],[Total_Engagements]]/TwitterClean[[#This Row],[views]]</f>
        <v>1.6102841677943167E-2</v>
      </c>
      <c r="AC355" s="3">
        <f>DATEVALUE(MID(TwitterClean[[#This Row],[date_posted]],2,10))</f>
        <v>45641</v>
      </c>
      <c r="AD355">
        <f>TIMEVALUE(MID(TwitterClean[[#This Row],[date_posted]],13,8))</f>
        <v>0.67203703703703699</v>
      </c>
      <c r="AE355" s="3" t="str">
        <f>TEXT(TwitterClean[[#This Row],[Post_Date]],"dddd")</f>
        <v>Sunday</v>
      </c>
      <c r="AF355">
        <f>HOUR(TwitterClean[[#This Row],[Post_Time]])</f>
        <v>16</v>
      </c>
      <c r="AG355" t="str">
        <f>IF(TwitterClean[[#This Row],[videos]]="Null","No","Yes")</f>
        <v>Yes</v>
      </c>
      <c r="AH355" t="str">
        <f>IF(TwitterClean[[#This Row],[photos]]="null","No","Yes")</f>
        <v>No</v>
      </c>
      <c r="AI355" t="str">
        <f>IF(TwitterClean[[#This Row],[hashtags]]="null","No","Yes")</f>
        <v>No</v>
      </c>
      <c r="AJ355" t="str">
        <f>IF(TwitterClean[[#This Row],[external_url]]="null","Yes","No")</f>
        <v>No</v>
      </c>
      <c r="AK355">
        <f>LEN(TwitterClean[[#This Row],[description]])</f>
        <v>214</v>
      </c>
      <c r="AL355" t="str">
        <f>IF(TwitterClean[[#This Row],[followers]]&lt;100000,"&lt;100K",IF(TwitterClean[[#This Row],[followers]]&lt;1000000,"100K-1M",IF(TwitterClean[[#This Row],[followers]]&lt;10000000,"1M-10M","10M+")))</f>
        <v>1M-10M</v>
      </c>
    </row>
    <row r="356" spans="1:38">
      <c r="A356">
        <v>1.868257194870985E+18</v>
      </c>
      <c r="B356" t="s">
        <v>1303</v>
      </c>
      <c r="C356" t="s">
        <v>1304</v>
      </c>
      <c r="D356" t="s">
        <v>1626</v>
      </c>
      <c r="E356" t="s">
        <v>1627</v>
      </c>
      <c r="F356" t="s">
        <v>1628</v>
      </c>
      <c r="G356" t="s">
        <v>1629</v>
      </c>
      <c r="H356" t="s">
        <v>1323</v>
      </c>
      <c r="I356">
        <v>22</v>
      </c>
      <c r="J356">
        <v>69</v>
      </c>
      <c r="K356">
        <v>764</v>
      </c>
      <c r="L356">
        <v>56719</v>
      </c>
      <c r="M356" t="s">
        <v>52</v>
      </c>
      <c r="N356" t="s">
        <v>1273</v>
      </c>
      <c r="O356">
        <v>240106</v>
      </c>
      <c r="P356" t="s">
        <v>1309</v>
      </c>
      <c r="Q356">
        <v>29070</v>
      </c>
      <c r="R356" t="s">
        <v>1310</v>
      </c>
      <c r="S356">
        <v>799</v>
      </c>
      <c r="T356" t="b">
        <v>0</v>
      </c>
      <c r="U356">
        <v>40</v>
      </c>
      <c r="V356">
        <v>12</v>
      </c>
      <c r="W356" t="s">
        <v>35</v>
      </c>
      <c r="X356" t="s">
        <v>29</v>
      </c>
      <c r="Y356" t="s">
        <v>29</v>
      </c>
      <c r="Z356" t="s">
        <v>37</v>
      </c>
      <c r="AA356">
        <f>TwitterClean[[#This Row],[likes]]+TwitterClean[[#This Row],[replies]]+TwitterClean[[#This Row],[reposts]]+TwitterClean[[#This Row],[quotes]]+TwitterClean[[#This Row],[bookmarks]]</f>
        <v>907</v>
      </c>
      <c r="AB356" s="1">
        <f>TwitterClean[[#This Row],[Total_Engagements]]/TwitterClean[[#This Row],[views]]</f>
        <v>1.5991114088753328E-2</v>
      </c>
      <c r="AC356" s="3">
        <f>DATEVALUE(MID(TwitterClean[[#This Row],[date_posted]],2,10))</f>
        <v>45641</v>
      </c>
      <c r="AD356">
        <f>TIMEVALUE(MID(TwitterClean[[#This Row],[date_posted]],13,8))</f>
        <v>0.47916666666666669</v>
      </c>
      <c r="AE356" s="3" t="str">
        <f>TEXT(TwitterClean[[#This Row],[Post_Date]],"dddd")</f>
        <v>Sunday</v>
      </c>
      <c r="AF356">
        <f>HOUR(TwitterClean[[#This Row],[Post_Time]])</f>
        <v>11</v>
      </c>
      <c r="AG356" t="str">
        <f>IF(TwitterClean[[#This Row],[videos]]="Null","No","Yes")</f>
        <v>No</v>
      </c>
      <c r="AH356" t="str">
        <f>IF(TwitterClean[[#This Row],[photos]]="null","No","Yes")</f>
        <v>Yes</v>
      </c>
      <c r="AI356" t="str">
        <f>IF(TwitterClean[[#This Row],[hashtags]]="null","No","Yes")</f>
        <v>Yes</v>
      </c>
      <c r="AJ356" t="str">
        <f>IF(TwitterClean[[#This Row],[external_url]]="null","Yes","No")</f>
        <v>No</v>
      </c>
      <c r="AK356">
        <f>LEN(TwitterClean[[#This Row],[description]])</f>
        <v>227</v>
      </c>
      <c r="AL356" t="str">
        <f>IF(TwitterClean[[#This Row],[followers]]&lt;100000,"&lt;100K",IF(TwitterClean[[#This Row],[followers]]&lt;1000000,"100K-1M",IF(TwitterClean[[#This Row],[followers]]&lt;10000000,"1M-10M","10M+")))</f>
        <v>100K-1M</v>
      </c>
    </row>
    <row r="357" spans="1:38">
      <c r="A357">
        <v>1.8684206634777027E+18</v>
      </c>
      <c r="B357" t="s">
        <v>1656</v>
      </c>
      <c r="C357" t="s">
        <v>1657</v>
      </c>
      <c r="D357" t="s">
        <v>1839</v>
      </c>
      <c r="E357" t="s">
        <v>1840</v>
      </c>
      <c r="F357" t="s">
        <v>29</v>
      </c>
      <c r="G357" t="s">
        <v>1841</v>
      </c>
      <c r="H357" t="s">
        <v>29</v>
      </c>
      <c r="I357">
        <v>8</v>
      </c>
      <c r="J357">
        <v>13</v>
      </c>
      <c r="K357">
        <v>114</v>
      </c>
      <c r="L357">
        <v>8571</v>
      </c>
      <c r="M357" t="s">
        <v>1842</v>
      </c>
      <c r="N357" t="s">
        <v>29</v>
      </c>
      <c r="O357">
        <v>2819405</v>
      </c>
      <c r="P357" t="s">
        <v>1662</v>
      </c>
      <c r="Q357">
        <v>286268</v>
      </c>
      <c r="R357" t="s">
        <v>1663</v>
      </c>
      <c r="S357">
        <v>4</v>
      </c>
      <c r="T357" t="b">
        <v>0</v>
      </c>
      <c r="U357">
        <v>1</v>
      </c>
      <c r="V357">
        <v>1</v>
      </c>
      <c r="W357" t="s">
        <v>35</v>
      </c>
      <c r="X357" t="s">
        <v>1843</v>
      </c>
      <c r="Y357" t="s">
        <v>29</v>
      </c>
      <c r="Z357" t="s">
        <v>37</v>
      </c>
      <c r="AA357">
        <f>TwitterClean[[#This Row],[likes]]+TwitterClean[[#This Row],[replies]]+TwitterClean[[#This Row],[reposts]]+TwitterClean[[#This Row],[quotes]]+TwitterClean[[#This Row],[bookmarks]]</f>
        <v>137</v>
      </c>
      <c r="AB357" s="1">
        <f>TwitterClean[[#This Row],[Total_Engagements]]/TwitterClean[[#This Row],[views]]</f>
        <v>1.5984132539960332E-2</v>
      </c>
      <c r="AC357" s="3">
        <f>DATEVALUE(MID(TwitterClean[[#This Row],[date_posted]],2,10))</f>
        <v>45641</v>
      </c>
      <c r="AD357">
        <f>TIMEVALUE(MID(TwitterClean[[#This Row],[date_posted]],13,8))</f>
        <v>0.93025462962962968</v>
      </c>
      <c r="AE357" s="3" t="str">
        <f>TEXT(TwitterClean[[#This Row],[Post_Date]],"dddd")</f>
        <v>Sunday</v>
      </c>
      <c r="AF357">
        <f>HOUR(TwitterClean[[#This Row],[Post_Time]])</f>
        <v>22</v>
      </c>
      <c r="AG357" t="str">
        <f>IF(TwitterClean[[#This Row],[videos]]="Null","No","Yes")</f>
        <v>No</v>
      </c>
      <c r="AH357" t="str">
        <f>IF(TwitterClean[[#This Row],[photos]]="null","No","Yes")</f>
        <v>No</v>
      </c>
      <c r="AI357" t="str">
        <f>IF(TwitterClean[[#This Row],[hashtags]]="null","No","Yes")</f>
        <v>No</v>
      </c>
      <c r="AJ357" t="str">
        <f>IF(TwitterClean[[#This Row],[external_url]]="null","Yes","No")</f>
        <v>No</v>
      </c>
      <c r="AK357">
        <f>LEN(TwitterClean[[#This Row],[description]])</f>
        <v>65</v>
      </c>
      <c r="AL357" t="str">
        <f>IF(TwitterClean[[#This Row],[followers]]&lt;100000,"&lt;100K",IF(TwitterClean[[#This Row],[followers]]&lt;1000000,"100K-1M",IF(TwitterClean[[#This Row],[followers]]&lt;10000000,"1M-10M","10M+")))</f>
        <v>1M-10M</v>
      </c>
    </row>
    <row r="358" spans="1:38">
      <c r="A358">
        <v>1.8682979630277673E+18</v>
      </c>
      <c r="B358" t="s">
        <v>2714</v>
      </c>
      <c r="C358" t="s">
        <v>2715</v>
      </c>
      <c r="D358" t="s">
        <v>2847</v>
      </c>
      <c r="E358" t="s">
        <v>2848</v>
      </c>
      <c r="F358" t="s">
        <v>2849</v>
      </c>
      <c r="G358" t="s">
        <v>2850</v>
      </c>
      <c r="H358" t="s">
        <v>29</v>
      </c>
      <c r="I358">
        <v>1</v>
      </c>
      <c r="J358">
        <v>5</v>
      </c>
      <c r="K358">
        <v>58</v>
      </c>
      <c r="L358">
        <v>4277</v>
      </c>
      <c r="M358" t="s">
        <v>52</v>
      </c>
      <c r="N358" t="s">
        <v>2851</v>
      </c>
      <c r="O358">
        <v>182895</v>
      </c>
      <c r="P358" t="s">
        <v>2720</v>
      </c>
      <c r="Q358">
        <v>30781</v>
      </c>
      <c r="R358" t="s">
        <v>2721</v>
      </c>
      <c r="S358">
        <v>559</v>
      </c>
      <c r="T358" t="b">
        <v>0</v>
      </c>
      <c r="U358">
        <v>1</v>
      </c>
      <c r="V358">
        <v>3</v>
      </c>
      <c r="W358" t="s">
        <v>35</v>
      </c>
      <c r="X358" t="s">
        <v>29</v>
      </c>
      <c r="Y358" t="s">
        <v>29</v>
      </c>
      <c r="Z358" t="s">
        <v>37</v>
      </c>
      <c r="AA358">
        <f>TwitterClean[[#This Row],[likes]]+TwitterClean[[#This Row],[replies]]+TwitterClean[[#This Row],[reposts]]+TwitterClean[[#This Row],[quotes]]+TwitterClean[[#This Row],[bookmarks]]</f>
        <v>68</v>
      </c>
      <c r="AB358" s="1">
        <f>TwitterClean[[#This Row],[Total_Engagements]]/TwitterClean[[#This Row],[views]]</f>
        <v>1.5898994622398879E-2</v>
      </c>
      <c r="AC358" s="3">
        <f>DATEVALUE(MID(TwitterClean[[#This Row],[date_posted]],2,10))</f>
        <v>45641</v>
      </c>
      <c r="AD358">
        <f>TIMEVALUE(MID(TwitterClean[[#This Row],[date_posted]],13,8))</f>
        <v>0.59166666666666667</v>
      </c>
      <c r="AE358" s="3" t="str">
        <f>TEXT(TwitterClean[[#This Row],[Post_Date]],"dddd")</f>
        <v>Sunday</v>
      </c>
      <c r="AF358">
        <f>HOUR(TwitterClean[[#This Row],[Post_Time]])</f>
        <v>14</v>
      </c>
      <c r="AG358" t="str">
        <f>IF(TwitterClean[[#This Row],[videos]]="Null","No","Yes")</f>
        <v>No</v>
      </c>
      <c r="AH358" t="str">
        <f>IF(TwitterClean[[#This Row],[photos]]="null","No","Yes")</f>
        <v>Yes</v>
      </c>
      <c r="AI358" t="str">
        <f>IF(TwitterClean[[#This Row],[hashtags]]="null","No","Yes")</f>
        <v>Yes</v>
      </c>
      <c r="AJ358" t="str">
        <f>IF(TwitterClean[[#This Row],[external_url]]="null","Yes","No")</f>
        <v>No</v>
      </c>
      <c r="AK358">
        <f>LEN(TwitterClean[[#This Row],[description]])</f>
        <v>360</v>
      </c>
      <c r="AL358" t="str">
        <f>IF(TwitterClean[[#This Row],[followers]]&lt;100000,"&lt;100K",IF(TwitterClean[[#This Row],[followers]]&lt;1000000,"100K-1M",IF(TwitterClean[[#This Row],[followers]]&lt;10000000,"1M-10M","10M+")))</f>
        <v>100K-1M</v>
      </c>
    </row>
    <row r="359" spans="1:38">
      <c r="A359">
        <v>1.8683607158509898E+18</v>
      </c>
      <c r="B359" t="s">
        <v>1280</v>
      </c>
      <c r="C359" t="s">
        <v>1281</v>
      </c>
      <c r="D359" t="s">
        <v>1350</v>
      </c>
      <c r="E359" t="s">
        <v>1351</v>
      </c>
      <c r="F359" t="s">
        <v>1352</v>
      </c>
      <c r="G359" t="s">
        <v>1353</v>
      </c>
      <c r="H359" t="s">
        <v>29</v>
      </c>
      <c r="I359">
        <v>202</v>
      </c>
      <c r="J359">
        <v>1098</v>
      </c>
      <c r="K359">
        <v>7146</v>
      </c>
      <c r="L359">
        <v>538119</v>
      </c>
      <c r="M359" t="s">
        <v>52</v>
      </c>
      <c r="N359" t="s">
        <v>1286</v>
      </c>
      <c r="O359">
        <v>38439080</v>
      </c>
      <c r="P359" t="s">
        <v>1287</v>
      </c>
      <c r="Q359">
        <v>92455</v>
      </c>
      <c r="R359" t="s">
        <v>1288</v>
      </c>
      <c r="S359">
        <v>145</v>
      </c>
      <c r="T359" t="b">
        <v>0</v>
      </c>
      <c r="U359">
        <v>71</v>
      </c>
      <c r="V359">
        <v>20</v>
      </c>
      <c r="W359" t="s">
        <v>35</v>
      </c>
      <c r="X359" t="s">
        <v>29</v>
      </c>
      <c r="Y359" t="s">
        <v>29</v>
      </c>
      <c r="Z359" t="s">
        <v>1354</v>
      </c>
      <c r="AA359">
        <f>TwitterClean[[#This Row],[likes]]+TwitterClean[[#This Row],[replies]]+TwitterClean[[#This Row],[reposts]]+TwitterClean[[#This Row],[quotes]]+TwitterClean[[#This Row],[bookmarks]]</f>
        <v>8537</v>
      </c>
      <c r="AB359" s="1">
        <f>TwitterClean[[#This Row],[Total_Engagements]]/TwitterClean[[#This Row],[views]]</f>
        <v>1.5864520672936654E-2</v>
      </c>
      <c r="AC359" s="3">
        <f>DATEVALUE(MID(TwitterClean[[#This Row],[date_posted]],2,10))</f>
        <v>45641</v>
      </c>
      <c r="AD359">
        <f>TIMEVALUE(MID(TwitterClean[[#This Row],[date_posted]],13,8))</f>
        <v>0.76482638888888888</v>
      </c>
      <c r="AE359" s="3" t="str">
        <f>TEXT(TwitterClean[[#This Row],[Post_Date]],"dddd")</f>
        <v>Sunday</v>
      </c>
      <c r="AF359">
        <f>HOUR(TwitterClean[[#This Row],[Post_Time]])</f>
        <v>18</v>
      </c>
      <c r="AG359" t="str">
        <f>IF(TwitterClean[[#This Row],[videos]]="Null","No","Yes")</f>
        <v>No</v>
      </c>
      <c r="AH359" t="str">
        <f>IF(TwitterClean[[#This Row],[photos]]="null","No","Yes")</f>
        <v>Yes</v>
      </c>
      <c r="AI359" t="str">
        <f>IF(TwitterClean[[#This Row],[hashtags]]="null","No","Yes")</f>
        <v>Yes</v>
      </c>
      <c r="AJ359" t="str">
        <f>IF(TwitterClean[[#This Row],[external_url]]="null","Yes","No")</f>
        <v>No</v>
      </c>
      <c r="AK359">
        <f>LEN(TwitterClean[[#This Row],[description]])</f>
        <v>61</v>
      </c>
      <c r="AL359" t="str">
        <f>IF(TwitterClean[[#This Row],[followers]]&lt;100000,"&lt;100K",IF(TwitterClean[[#This Row],[followers]]&lt;1000000,"100K-1M",IF(TwitterClean[[#This Row],[followers]]&lt;10000000,"1M-10M","10M+")))</f>
        <v>10M+</v>
      </c>
    </row>
    <row r="360" spans="1:38">
      <c r="A360">
        <v>1.8682987179266662E+18</v>
      </c>
      <c r="B360" t="s">
        <v>3837</v>
      </c>
      <c r="C360" t="s">
        <v>3838</v>
      </c>
      <c r="D360" t="s">
        <v>4631</v>
      </c>
      <c r="E360" t="s">
        <v>4632</v>
      </c>
      <c r="F360" t="s">
        <v>4633</v>
      </c>
      <c r="G360" t="s">
        <v>4634</v>
      </c>
      <c r="H360" t="s">
        <v>29</v>
      </c>
      <c r="I360">
        <v>216</v>
      </c>
      <c r="J360">
        <v>461</v>
      </c>
      <c r="K360">
        <v>3368</v>
      </c>
      <c r="L360">
        <v>266858</v>
      </c>
      <c r="M360" t="s">
        <v>52</v>
      </c>
      <c r="N360" t="s">
        <v>4254</v>
      </c>
      <c r="O360">
        <v>984256</v>
      </c>
      <c r="P360" t="s">
        <v>3844</v>
      </c>
      <c r="Q360">
        <v>136135</v>
      </c>
      <c r="R360" t="s">
        <v>3845</v>
      </c>
      <c r="S360">
        <v>438</v>
      </c>
      <c r="T360" t="b">
        <v>0</v>
      </c>
      <c r="U360">
        <v>157</v>
      </c>
      <c r="V360">
        <v>26</v>
      </c>
      <c r="W360" t="s">
        <v>35</v>
      </c>
      <c r="X360" t="s">
        <v>29</v>
      </c>
      <c r="Y360" t="s">
        <v>29</v>
      </c>
      <c r="Z360" t="s">
        <v>37</v>
      </c>
      <c r="AA360">
        <f>TwitterClean[[#This Row],[likes]]+TwitterClean[[#This Row],[replies]]+TwitterClean[[#This Row],[reposts]]+TwitterClean[[#This Row],[quotes]]+TwitterClean[[#This Row],[bookmarks]]</f>
        <v>4228</v>
      </c>
      <c r="AB360" s="1">
        <f>TwitterClean[[#This Row],[Total_Engagements]]/TwitterClean[[#This Row],[views]]</f>
        <v>1.5843632193900878E-2</v>
      </c>
      <c r="AC360" s="3">
        <f>DATEVALUE(MID(TwitterClean[[#This Row],[date_posted]],2,10))</f>
        <v>45641</v>
      </c>
      <c r="AD360">
        <f>TIMEVALUE(MID(TwitterClean[[#This Row],[date_posted]],13,8))</f>
        <v>0.59375</v>
      </c>
      <c r="AE360" s="3" t="str">
        <f>TEXT(TwitterClean[[#This Row],[Post_Date]],"dddd")</f>
        <v>Sunday</v>
      </c>
      <c r="AF360">
        <f>HOUR(TwitterClean[[#This Row],[Post_Time]])</f>
        <v>14</v>
      </c>
      <c r="AG360" t="str">
        <f>IF(TwitterClean[[#This Row],[videos]]="Null","No","Yes")</f>
        <v>No</v>
      </c>
      <c r="AH360" t="str">
        <f>IF(TwitterClean[[#This Row],[photos]]="null","No","Yes")</f>
        <v>Yes</v>
      </c>
      <c r="AI360" t="str">
        <f>IF(TwitterClean[[#This Row],[hashtags]]="null","No","Yes")</f>
        <v>Yes</v>
      </c>
      <c r="AJ360" t="str">
        <f>IF(TwitterClean[[#This Row],[external_url]]="null","Yes","No")</f>
        <v>No</v>
      </c>
      <c r="AK360">
        <f>LEN(TwitterClean[[#This Row],[description]])</f>
        <v>79</v>
      </c>
      <c r="AL360" t="str">
        <f>IF(TwitterClean[[#This Row],[followers]]&lt;100000,"&lt;100K",IF(TwitterClean[[#This Row],[followers]]&lt;1000000,"100K-1M",IF(TwitterClean[[#This Row],[followers]]&lt;10000000,"1M-10M","10M+")))</f>
        <v>100K-1M</v>
      </c>
    </row>
    <row r="361" spans="1:38">
      <c r="A361">
        <v>1.8682949459933596E+18</v>
      </c>
      <c r="B361" t="s">
        <v>2753</v>
      </c>
      <c r="C361" t="s">
        <v>2754</v>
      </c>
      <c r="D361" t="s">
        <v>2755</v>
      </c>
      <c r="E361" t="s">
        <v>1155</v>
      </c>
      <c r="F361" t="s">
        <v>29</v>
      </c>
      <c r="G361" t="s">
        <v>2756</v>
      </c>
      <c r="H361" t="s">
        <v>2757</v>
      </c>
      <c r="I361">
        <v>53</v>
      </c>
      <c r="J361">
        <v>51</v>
      </c>
      <c r="K361">
        <v>194</v>
      </c>
      <c r="L361">
        <v>19203</v>
      </c>
      <c r="M361" t="s">
        <v>2758</v>
      </c>
      <c r="N361" t="s">
        <v>29</v>
      </c>
      <c r="O361">
        <v>6494921</v>
      </c>
      <c r="P361" t="s">
        <v>2759</v>
      </c>
      <c r="Q361">
        <v>41669</v>
      </c>
      <c r="R361" t="s">
        <v>2760</v>
      </c>
      <c r="S361">
        <v>716</v>
      </c>
      <c r="T361" t="b">
        <v>0</v>
      </c>
      <c r="U361">
        <v>3</v>
      </c>
      <c r="V361">
        <v>2</v>
      </c>
      <c r="W361" t="s">
        <v>35</v>
      </c>
      <c r="X361" t="s">
        <v>2761</v>
      </c>
      <c r="Y361" t="s">
        <v>29</v>
      </c>
      <c r="Z361" t="s">
        <v>37</v>
      </c>
      <c r="AA361">
        <f>TwitterClean[[#This Row],[likes]]+TwitterClean[[#This Row],[replies]]+TwitterClean[[#This Row],[reposts]]+TwitterClean[[#This Row],[quotes]]+TwitterClean[[#This Row],[bookmarks]]</f>
        <v>303</v>
      </c>
      <c r="AB361" s="1">
        <f>TwitterClean[[#This Row],[Total_Engagements]]/TwitterClean[[#This Row],[views]]</f>
        <v>1.5778784564911733E-2</v>
      </c>
      <c r="AC361" s="3">
        <f>DATEVALUE(MID(TwitterClean[[#This Row],[date_posted]],2,10))</f>
        <v>45641</v>
      </c>
      <c r="AD361">
        <f>TIMEVALUE(MID(TwitterClean[[#This Row],[date_posted]],13,8))</f>
        <v>0.58334490740740741</v>
      </c>
      <c r="AE361" s="3" t="str">
        <f>TEXT(TwitterClean[[#This Row],[Post_Date]],"dddd")</f>
        <v>Sunday</v>
      </c>
      <c r="AF361">
        <f>HOUR(TwitterClean[[#This Row],[Post_Time]])</f>
        <v>14</v>
      </c>
      <c r="AG361" t="str">
        <f>IF(TwitterClean[[#This Row],[videos]]="Null","No","Yes")</f>
        <v>No</v>
      </c>
      <c r="AH361" t="str">
        <f>IF(TwitterClean[[#This Row],[photos]]="null","No","Yes")</f>
        <v>No</v>
      </c>
      <c r="AI361" t="str">
        <f>IF(TwitterClean[[#This Row],[hashtags]]="null","No","Yes")</f>
        <v>No</v>
      </c>
      <c r="AJ361" t="str">
        <f>IF(TwitterClean[[#This Row],[external_url]]="null","Yes","No")</f>
        <v>No</v>
      </c>
      <c r="AK361">
        <f>LEN(TwitterClean[[#This Row],[description]])</f>
        <v>219</v>
      </c>
      <c r="AL361" t="str">
        <f>IF(TwitterClean[[#This Row],[followers]]&lt;100000,"&lt;100K",IF(TwitterClean[[#This Row],[followers]]&lt;1000000,"100K-1M",IF(TwitterClean[[#This Row],[followers]]&lt;10000000,"1M-10M","10M+")))</f>
        <v>1M-10M</v>
      </c>
    </row>
    <row r="362" spans="1:38">
      <c r="A362">
        <v>1.8681169700856955E+18</v>
      </c>
      <c r="B362" t="s">
        <v>2230</v>
      </c>
      <c r="C362" t="s">
        <v>2231</v>
      </c>
      <c r="D362" t="s">
        <v>2677</v>
      </c>
      <c r="E362" t="s">
        <v>2678</v>
      </c>
      <c r="F362" t="s">
        <v>2679</v>
      </c>
      <c r="G362" t="s">
        <v>2680</v>
      </c>
      <c r="H362" t="s">
        <v>29</v>
      </c>
      <c r="I362">
        <v>31</v>
      </c>
      <c r="J362">
        <v>72</v>
      </c>
      <c r="K362">
        <v>507</v>
      </c>
      <c r="L362">
        <v>39452</v>
      </c>
      <c r="M362" t="s">
        <v>2681</v>
      </c>
      <c r="N362" t="s">
        <v>29</v>
      </c>
      <c r="O362">
        <v>3313893</v>
      </c>
      <c r="P362" t="s">
        <v>2237</v>
      </c>
      <c r="Q362">
        <v>706459</v>
      </c>
      <c r="R362" t="s">
        <v>2238</v>
      </c>
      <c r="S362">
        <v>10308</v>
      </c>
      <c r="T362" t="b">
        <v>0</v>
      </c>
      <c r="U362">
        <v>7</v>
      </c>
      <c r="V362">
        <v>5</v>
      </c>
      <c r="W362" t="s">
        <v>35</v>
      </c>
      <c r="X362" t="s">
        <v>29</v>
      </c>
      <c r="Y362" t="s">
        <v>29</v>
      </c>
      <c r="Z362" t="s">
        <v>37</v>
      </c>
      <c r="AA362">
        <f>TwitterClean[[#This Row],[likes]]+TwitterClean[[#This Row],[replies]]+TwitterClean[[#This Row],[reposts]]+TwitterClean[[#This Row],[quotes]]+TwitterClean[[#This Row],[bookmarks]]</f>
        <v>622</v>
      </c>
      <c r="AB362" s="1">
        <f>TwitterClean[[#This Row],[Total_Engagements]]/TwitterClean[[#This Row],[views]]</f>
        <v>1.5765994119436275E-2</v>
      </c>
      <c r="AC362" s="3">
        <f>DATEVALUE(MID(TwitterClean[[#This Row],[date_posted]],2,10))</f>
        <v>45641</v>
      </c>
      <c r="AD362">
        <f>TIMEVALUE(MID(TwitterClean[[#This Row],[date_posted]],13,8))</f>
        <v>9.2222222222222219E-2</v>
      </c>
      <c r="AE362" s="3" t="str">
        <f>TEXT(TwitterClean[[#This Row],[Post_Date]],"dddd")</f>
        <v>Sunday</v>
      </c>
      <c r="AF362">
        <f>HOUR(TwitterClean[[#This Row],[Post_Time]])</f>
        <v>2</v>
      </c>
      <c r="AG362" t="str">
        <f>IF(TwitterClean[[#This Row],[videos]]="Null","No","Yes")</f>
        <v>No</v>
      </c>
      <c r="AH362" t="str">
        <f>IF(TwitterClean[[#This Row],[photos]]="null","No","Yes")</f>
        <v>Yes</v>
      </c>
      <c r="AI362" t="str">
        <f>IF(TwitterClean[[#This Row],[hashtags]]="null","No","Yes")</f>
        <v>No</v>
      </c>
      <c r="AJ362" t="str">
        <f>IF(TwitterClean[[#This Row],[external_url]]="null","Yes","No")</f>
        <v>No</v>
      </c>
      <c r="AK362">
        <f>LEN(TwitterClean[[#This Row],[description]])</f>
        <v>75</v>
      </c>
      <c r="AL362" t="str">
        <f>IF(TwitterClean[[#This Row],[followers]]&lt;100000,"&lt;100K",IF(TwitterClean[[#This Row],[followers]]&lt;1000000,"100K-1M",IF(TwitterClean[[#This Row],[followers]]&lt;10000000,"1M-10M","10M+")))</f>
        <v>1M-10M</v>
      </c>
    </row>
    <row r="363" spans="1:38">
      <c r="A363">
        <v>1.8683195736128678E+18</v>
      </c>
      <c r="B363" t="s">
        <v>3392</v>
      </c>
      <c r="C363" t="s">
        <v>3393</v>
      </c>
      <c r="D363" t="s">
        <v>5046</v>
      </c>
      <c r="E363" t="s">
        <v>5047</v>
      </c>
      <c r="F363" t="s">
        <v>5048</v>
      </c>
      <c r="G363" t="s">
        <v>5049</v>
      </c>
      <c r="H363" t="s">
        <v>29</v>
      </c>
      <c r="I363">
        <v>9</v>
      </c>
      <c r="J363">
        <v>20</v>
      </c>
      <c r="K363">
        <v>417</v>
      </c>
      <c r="L363">
        <v>29361</v>
      </c>
      <c r="M363" t="s">
        <v>52</v>
      </c>
      <c r="N363" t="s">
        <v>3405</v>
      </c>
      <c r="O363">
        <v>1480966</v>
      </c>
      <c r="P363" t="s">
        <v>3399</v>
      </c>
      <c r="Q363">
        <v>103753</v>
      </c>
      <c r="R363" t="s">
        <v>3400</v>
      </c>
      <c r="S363">
        <v>552</v>
      </c>
      <c r="T363" t="b">
        <v>0</v>
      </c>
      <c r="U363">
        <v>7</v>
      </c>
      <c r="V363">
        <v>8</v>
      </c>
      <c r="W363" t="s">
        <v>35</v>
      </c>
      <c r="X363" t="s">
        <v>29</v>
      </c>
      <c r="Y363" t="s">
        <v>29</v>
      </c>
      <c r="Z363" t="s">
        <v>37</v>
      </c>
      <c r="AA363">
        <f>TwitterClean[[#This Row],[likes]]+TwitterClean[[#This Row],[replies]]+TwitterClean[[#This Row],[reposts]]+TwitterClean[[#This Row],[quotes]]+TwitterClean[[#This Row],[bookmarks]]</f>
        <v>461</v>
      </c>
      <c r="AB363" s="1">
        <f>TwitterClean[[#This Row],[Total_Engagements]]/TwitterClean[[#This Row],[views]]</f>
        <v>1.5701100098770477E-2</v>
      </c>
      <c r="AC363" s="3">
        <f>DATEVALUE(MID(TwitterClean[[#This Row],[date_posted]],2,10))</f>
        <v>45641</v>
      </c>
      <c r="AD363">
        <f>TIMEVALUE(MID(TwitterClean[[#This Row],[date_posted]],13,8))</f>
        <v>0.65129629629629626</v>
      </c>
      <c r="AE363" s="3" t="str">
        <f>TEXT(TwitterClean[[#This Row],[Post_Date]],"dddd")</f>
        <v>Sunday</v>
      </c>
      <c r="AF363">
        <f>HOUR(TwitterClean[[#This Row],[Post_Time]])</f>
        <v>15</v>
      </c>
      <c r="AG363" t="str">
        <f>IF(TwitterClean[[#This Row],[videos]]="Null","No","Yes")</f>
        <v>No</v>
      </c>
      <c r="AH363" t="str">
        <f>IF(TwitterClean[[#This Row],[photos]]="null","No","Yes")</f>
        <v>Yes</v>
      </c>
      <c r="AI363" t="str">
        <f>IF(TwitterClean[[#This Row],[hashtags]]="null","No","Yes")</f>
        <v>Yes</v>
      </c>
      <c r="AJ363" t="str">
        <f>IF(TwitterClean[[#This Row],[external_url]]="null","Yes","No")</f>
        <v>No</v>
      </c>
      <c r="AK363">
        <f>LEN(TwitterClean[[#This Row],[description]])</f>
        <v>31</v>
      </c>
      <c r="AL363" t="str">
        <f>IF(TwitterClean[[#This Row],[followers]]&lt;100000,"&lt;100K",IF(TwitterClean[[#This Row],[followers]]&lt;1000000,"100K-1M",IF(TwitterClean[[#This Row],[followers]]&lt;10000000,"1M-10M","10M+")))</f>
        <v>1M-10M</v>
      </c>
    </row>
    <row r="364" spans="1:38">
      <c r="A364">
        <v>1.868253419317654E+18</v>
      </c>
      <c r="B364" t="s">
        <v>1030</v>
      </c>
      <c r="C364" t="s">
        <v>1031</v>
      </c>
      <c r="D364" t="s">
        <v>1315</v>
      </c>
      <c r="E364" t="s">
        <v>1316</v>
      </c>
      <c r="F364" t="s">
        <v>29</v>
      </c>
      <c r="G364" t="s">
        <v>1317</v>
      </c>
      <c r="H364" t="s">
        <v>29</v>
      </c>
      <c r="I364">
        <v>4</v>
      </c>
      <c r="J364">
        <v>7</v>
      </c>
      <c r="K364">
        <v>53</v>
      </c>
      <c r="L364">
        <v>4470</v>
      </c>
      <c r="M364" t="s">
        <v>1318</v>
      </c>
      <c r="N364" t="s">
        <v>1036</v>
      </c>
      <c r="O364">
        <v>225733</v>
      </c>
      <c r="P364" t="s">
        <v>1037</v>
      </c>
      <c r="Q364">
        <v>42662</v>
      </c>
      <c r="R364" t="s">
        <v>1038</v>
      </c>
      <c r="S364">
        <v>148</v>
      </c>
      <c r="T364" t="b">
        <v>0</v>
      </c>
      <c r="U364">
        <v>5</v>
      </c>
      <c r="V364">
        <v>1</v>
      </c>
      <c r="W364" t="s">
        <v>35</v>
      </c>
      <c r="X364" t="s">
        <v>29</v>
      </c>
      <c r="Y364" t="s">
        <v>29</v>
      </c>
      <c r="Z364" t="s">
        <v>37</v>
      </c>
      <c r="AA364">
        <f>TwitterClean[[#This Row],[likes]]+TwitterClean[[#This Row],[replies]]+TwitterClean[[#This Row],[reposts]]+TwitterClean[[#This Row],[quotes]]+TwitterClean[[#This Row],[bookmarks]]</f>
        <v>70</v>
      </c>
      <c r="AB364" s="1">
        <f>TwitterClean[[#This Row],[Total_Engagements]]/TwitterClean[[#This Row],[views]]</f>
        <v>1.5659955257270694E-2</v>
      </c>
      <c r="AC364" s="3">
        <f>DATEVALUE(MID(TwitterClean[[#This Row],[date_posted]],2,10))</f>
        <v>45641</v>
      </c>
      <c r="AD364">
        <f>TIMEVALUE(MID(TwitterClean[[#This Row],[date_posted]],13,8))</f>
        <v>0.46875</v>
      </c>
      <c r="AE364" s="3" t="str">
        <f>TEXT(TwitterClean[[#This Row],[Post_Date]],"dddd")</f>
        <v>Sunday</v>
      </c>
      <c r="AF364">
        <f>HOUR(TwitterClean[[#This Row],[Post_Time]])</f>
        <v>11</v>
      </c>
      <c r="AG364" t="str">
        <f>IF(TwitterClean[[#This Row],[videos]]="Null","No","Yes")</f>
        <v>No</v>
      </c>
      <c r="AH364" t="str">
        <f>IF(TwitterClean[[#This Row],[photos]]="null","No","Yes")</f>
        <v>No</v>
      </c>
      <c r="AI364" t="str">
        <f>IF(TwitterClean[[#This Row],[hashtags]]="null","No","Yes")</f>
        <v>Yes</v>
      </c>
      <c r="AJ364" t="str">
        <f>IF(TwitterClean[[#This Row],[external_url]]="null","Yes","No")</f>
        <v>No</v>
      </c>
      <c r="AK364">
        <f>LEN(TwitterClean[[#This Row],[description]])</f>
        <v>31</v>
      </c>
      <c r="AL364" t="str">
        <f>IF(TwitterClean[[#This Row],[followers]]&lt;100000,"&lt;100K",IF(TwitterClean[[#This Row],[followers]]&lt;1000000,"100K-1M",IF(TwitterClean[[#This Row],[followers]]&lt;10000000,"1M-10M","10M+")))</f>
        <v>100K-1M</v>
      </c>
    </row>
    <row r="365" spans="1:38">
      <c r="A365">
        <v>1.8683024939956393E+18</v>
      </c>
      <c r="B365" t="s">
        <v>4694</v>
      </c>
      <c r="C365" t="s">
        <v>4695</v>
      </c>
      <c r="D365" t="s">
        <v>4816</v>
      </c>
      <c r="E365" t="s">
        <v>4365</v>
      </c>
      <c r="F365" t="s">
        <v>4817</v>
      </c>
      <c r="G365" t="s">
        <v>4818</v>
      </c>
      <c r="H365" t="s">
        <v>4819</v>
      </c>
      <c r="I365">
        <v>4</v>
      </c>
      <c r="J365">
        <v>18</v>
      </c>
      <c r="K365">
        <v>148</v>
      </c>
      <c r="L365">
        <v>11344</v>
      </c>
      <c r="M365" t="s">
        <v>52</v>
      </c>
      <c r="N365" t="s">
        <v>4820</v>
      </c>
      <c r="O365">
        <v>1123810</v>
      </c>
      <c r="P365" t="s">
        <v>4702</v>
      </c>
      <c r="Q365">
        <v>34290</v>
      </c>
      <c r="R365" t="s">
        <v>4703</v>
      </c>
      <c r="S365">
        <v>63</v>
      </c>
      <c r="T365" t="b">
        <v>0</v>
      </c>
      <c r="U365">
        <v>6</v>
      </c>
      <c r="V365">
        <v>1</v>
      </c>
      <c r="W365" t="s">
        <v>35</v>
      </c>
      <c r="X365" t="s">
        <v>29</v>
      </c>
      <c r="Y365" t="s">
        <v>29</v>
      </c>
      <c r="Z365" t="s">
        <v>37</v>
      </c>
      <c r="AA365">
        <f>TwitterClean[[#This Row],[likes]]+TwitterClean[[#This Row],[replies]]+TwitterClean[[#This Row],[reposts]]+TwitterClean[[#This Row],[quotes]]+TwitterClean[[#This Row],[bookmarks]]</f>
        <v>177</v>
      </c>
      <c r="AB365" s="1">
        <f>TwitterClean[[#This Row],[Total_Engagements]]/TwitterClean[[#This Row],[views]]</f>
        <v>1.560296191819464E-2</v>
      </c>
      <c r="AC365" s="3">
        <f>DATEVALUE(MID(TwitterClean[[#This Row],[date_posted]],2,10))</f>
        <v>45641</v>
      </c>
      <c r="AD365">
        <f>TIMEVALUE(MID(TwitterClean[[#This Row],[date_posted]],13,8))</f>
        <v>0.60416666666666663</v>
      </c>
      <c r="AE365" s="3" t="str">
        <f>TEXT(TwitterClean[[#This Row],[Post_Date]],"dddd")</f>
        <v>Sunday</v>
      </c>
      <c r="AF365">
        <f>HOUR(TwitterClean[[#This Row],[Post_Time]])</f>
        <v>14</v>
      </c>
      <c r="AG365" t="str">
        <f>IF(TwitterClean[[#This Row],[videos]]="Null","No","Yes")</f>
        <v>No</v>
      </c>
      <c r="AH365" t="str">
        <f>IF(TwitterClean[[#This Row],[photos]]="null","No","Yes")</f>
        <v>Yes</v>
      </c>
      <c r="AI365" t="str">
        <f>IF(TwitterClean[[#This Row],[hashtags]]="null","No","Yes")</f>
        <v>Yes</v>
      </c>
      <c r="AJ365" t="str">
        <f>IF(TwitterClean[[#This Row],[external_url]]="null","Yes","No")</f>
        <v>No</v>
      </c>
      <c r="AK365">
        <f>LEN(TwitterClean[[#This Row],[description]])</f>
        <v>184</v>
      </c>
      <c r="AL365" t="str">
        <f>IF(TwitterClean[[#This Row],[followers]]&lt;100000,"&lt;100K",IF(TwitterClean[[#This Row],[followers]]&lt;1000000,"100K-1M",IF(TwitterClean[[#This Row],[followers]]&lt;10000000,"1M-10M","10M+")))</f>
        <v>1M-10M</v>
      </c>
    </row>
    <row r="366" spans="1:38">
      <c r="A366">
        <v>1.8682194480263785E+18</v>
      </c>
      <c r="B366" t="s">
        <v>3837</v>
      </c>
      <c r="C366" t="s">
        <v>3838</v>
      </c>
      <c r="D366" t="s">
        <v>4251</v>
      </c>
      <c r="E366" t="s">
        <v>720</v>
      </c>
      <c r="F366" t="s">
        <v>4252</v>
      </c>
      <c r="G366" t="s">
        <v>4253</v>
      </c>
      <c r="H366" t="s">
        <v>29</v>
      </c>
      <c r="I366">
        <v>72</v>
      </c>
      <c r="J366">
        <v>148</v>
      </c>
      <c r="K366">
        <v>1866</v>
      </c>
      <c r="L366">
        <v>136238</v>
      </c>
      <c r="M366" t="s">
        <v>52</v>
      </c>
      <c r="N366" t="s">
        <v>4254</v>
      </c>
      <c r="O366">
        <v>984256</v>
      </c>
      <c r="P366" t="s">
        <v>3844</v>
      </c>
      <c r="Q366">
        <v>136135</v>
      </c>
      <c r="R366" t="s">
        <v>3845</v>
      </c>
      <c r="S366">
        <v>438</v>
      </c>
      <c r="T366" t="b">
        <v>0</v>
      </c>
      <c r="U366">
        <v>32</v>
      </c>
      <c r="V366">
        <v>6</v>
      </c>
      <c r="W366" t="s">
        <v>35</v>
      </c>
      <c r="X366" t="s">
        <v>29</v>
      </c>
      <c r="Y366" t="s">
        <v>29</v>
      </c>
      <c r="Z366" t="s">
        <v>37</v>
      </c>
      <c r="AA366">
        <f>TwitterClean[[#This Row],[likes]]+TwitterClean[[#This Row],[replies]]+TwitterClean[[#This Row],[reposts]]+TwitterClean[[#This Row],[quotes]]+TwitterClean[[#This Row],[bookmarks]]</f>
        <v>2124</v>
      </c>
      <c r="AB366" s="1">
        <f>TwitterClean[[#This Row],[Total_Engagements]]/TwitterClean[[#This Row],[views]]</f>
        <v>1.55903639219601E-2</v>
      </c>
      <c r="AC366" s="3">
        <f>DATEVALUE(MID(TwitterClean[[#This Row],[date_posted]],2,10))</f>
        <v>45641</v>
      </c>
      <c r="AD366">
        <f>TIMEVALUE(MID(TwitterClean[[#This Row],[date_posted]],13,8))</f>
        <v>0.375</v>
      </c>
      <c r="AE366" s="3" t="str">
        <f>TEXT(TwitterClean[[#This Row],[Post_Date]],"dddd")</f>
        <v>Sunday</v>
      </c>
      <c r="AF366">
        <f>HOUR(TwitterClean[[#This Row],[Post_Time]])</f>
        <v>9</v>
      </c>
      <c r="AG366" t="str">
        <f>IF(TwitterClean[[#This Row],[videos]]="Null","No","Yes")</f>
        <v>No</v>
      </c>
      <c r="AH366" t="str">
        <f>IF(TwitterClean[[#This Row],[photos]]="null","No","Yes")</f>
        <v>Yes</v>
      </c>
      <c r="AI366" t="str">
        <f>IF(TwitterClean[[#This Row],[hashtags]]="null","No","Yes")</f>
        <v>Yes</v>
      </c>
      <c r="AJ366" t="str">
        <f>IF(TwitterClean[[#This Row],[external_url]]="null","Yes","No")</f>
        <v>No</v>
      </c>
      <c r="AK366">
        <f>LEN(TwitterClean[[#This Row],[description]])</f>
        <v>54</v>
      </c>
      <c r="AL366" t="str">
        <f>IF(TwitterClean[[#This Row],[followers]]&lt;100000,"&lt;100K",IF(TwitterClean[[#This Row],[followers]]&lt;1000000,"100K-1M",IF(TwitterClean[[#This Row],[followers]]&lt;10000000,"1M-10M","10M+")))</f>
        <v>100K-1M</v>
      </c>
    </row>
    <row r="367" spans="1:38">
      <c r="A367">
        <v>1.8684865093445225E+18</v>
      </c>
      <c r="B367" t="s">
        <v>1862</v>
      </c>
      <c r="C367" t="s">
        <v>1863</v>
      </c>
      <c r="D367" t="s">
        <v>2210</v>
      </c>
      <c r="E367" t="s">
        <v>2211</v>
      </c>
      <c r="F367" t="s">
        <v>29</v>
      </c>
      <c r="G367" t="s">
        <v>2212</v>
      </c>
      <c r="H367" t="s">
        <v>2134</v>
      </c>
      <c r="I367">
        <v>2</v>
      </c>
      <c r="J367">
        <v>6</v>
      </c>
      <c r="K367">
        <v>40</v>
      </c>
      <c r="L367">
        <v>3419</v>
      </c>
      <c r="M367" t="s">
        <v>52</v>
      </c>
      <c r="N367" t="s">
        <v>2135</v>
      </c>
      <c r="O367">
        <v>13492430</v>
      </c>
      <c r="P367" t="s">
        <v>1868</v>
      </c>
      <c r="Q367">
        <v>314515</v>
      </c>
      <c r="R367" t="s">
        <v>1869</v>
      </c>
      <c r="S367">
        <v>708</v>
      </c>
      <c r="T367" t="b">
        <v>0</v>
      </c>
      <c r="U367">
        <v>2</v>
      </c>
      <c r="V367">
        <v>3</v>
      </c>
      <c r="W367" t="s">
        <v>35</v>
      </c>
      <c r="X367" t="s">
        <v>29</v>
      </c>
      <c r="Y367" t="s">
        <v>2213</v>
      </c>
      <c r="Z367" t="s">
        <v>37</v>
      </c>
      <c r="AA367">
        <f>TwitterClean[[#This Row],[likes]]+TwitterClean[[#This Row],[replies]]+TwitterClean[[#This Row],[reposts]]+TwitterClean[[#This Row],[quotes]]+TwitterClean[[#This Row],[bookmarks]]</f>
        <v>53</v>
      </c>
      <c r="AB367" s="1">
        <f>TwitterClean[[#This Row],[Total_Engagements]]/TwitterClean[[#This Row],[views]]</f>
        <v>1.5501608657502193E-2</v>
      </c>
      <c r="AC367" s="3">
        <f>DATEVALUE(MID(TwitterClean[[#This Row],[date_posted]],2,10))</f>
        <v>45642</v>
      </c>
      <c r="AD367">
        <f>TIMEVALUE(MID(TwitterClean[[#This Row],[date_posted]],13,8))</f>
        <v>0.11195601851851852</v>
      </c>
      <c r="AE367" s="3" t="str">
        <f>TEXT(TwitterClean[[#This Row],[Post_Date]],"dddd")</f>
        <v>Monday</v>
      </c>
      <c r="AF367">
        <f>HOUR(TwitterClean[[#This Row],[Post_Time]])</f>
        <v>2</v>
      </c>
      <c r="AG367" t="str">
        <f>IF(TwitterClean[[#This Row],[videos]]="Null","No","Yes")</f>
        <v>Yes</v>
      </c>
      <c r="AH367" t="str">
        <f>IF(TwitterClean[[#This Row],[photos]]="null","No","Yes")</f>
        <v>No</v>
      </c>
      <c r="AI367" t="str">
        <f>IF(TwitterClean[[#This Row],[hashtags]]="null","No","Yes")</f>
        <v>Yes</v>
      </c>
      <c r="AJ367" t="str">
        <f>IF(TwitterClean[[#This Row],[external_url]]="null","Yes","No")</f>
        <v>No</v>
      </c>
      <c r="AK367">
        <f>LEN(TwitterClean[[#This Row],[description]])</f>
        <v>174</v>
      </c>
      <c r="AL367" t="str">
        <f>IF(TwitterClean[[#This Row],[followers]]&lt;100000,"&lt;100K",IF(TwitterClean[[#This Row],[followers]]&lt;1000000,"100K-1M",IF(TwitterClean[[#This Row],[followers]]&lt;10000000,"1M-10M","10M+")))</f>
        <v>10M+</v>
      </c>
    </row>
    <row r="368" spans="1:38">
      <c r="A368">
        <v>1.8682841243534543E+18</v>
      </c>
      <c r="B368" t="s">
        <v>1303</v>
      </c>
      <c r="C368" t="s">
        <v>1304</v>
      </c>
      <c r="D368" t="s">
        <v>1305</v>
      </c>
      <c r="E368" t="s">
        <v>1306</v>
      </c>
      <c r="F368" t="s">
        <v>1307</v>
      </c>
      <c r="G368" t="s">
        <v>1308</v>
      </c>
      <c r="H368" t="s">
        <v>29</v>
      </c>
      <c r="I368">
        <v>43</v>
      </c>
      <c r="J368">
        <v>29</v>
      </c>
      <c r="K368">
        <v>338</v>
      </c>
      <c r="L368">
        <v>30057</v>
      </c>
      <c r="M368" t="s">
        <v>52</v>
      </c>
      <c r="N368" t="s">
        <v>1273</v>
      </c>
      <c r="O368">
        <v>240106</v>
      </c>
      <c r="P368" t="s">
        <v>1309</v>
      </c>
      <c r="Q368">
        <v>29070</v>
      </c>
      <c r="R368" t="s">
        <v>1310</v>
      </c>
      <c r="S368">
        <v>799</v>
      </c>
      <c r="T368" t="b">
        <v>0</v>
      </c>
      <c r="U368">
        <v>39</v>
      </c>
      <c r="V368">
        <v>8</v>
      </c>
      <c r="W368" t="s">
        <v>35</v>
      </c>
      <c r="X368" t="s">
        <v>29</v>
      </c>
      <c r="Y368" t="s">
        <v>29</v>
      </c>
      <c r="Z368" t="s">
        <v>37</v>
      </c>
      <c r="AA368">
        <f>TwitterClean[[#This Row],[likes]]+TwitterClean[[#This Row],[replies]]+TwitterClean[[#This Row],[reposts]]+TwitterClean[[#This Row],[quotes]]+TwitterClean[[#This Row],[bookmarks]]</f>
        <v>457</v>
      </c>
      <c r="AB368" s="1">
        <f>TwitterClean[[#This Row],[Total_Engagements]]/TwitterClean[[#This Row],[views]]</f>
        <v>1.5204444888046046E-2</v>
      </c>
      <c r="AC368" s="3">
        <f>DATEVALUE(MID(TwitterClean[[#This Row],[date_posted]],2,10))</f>
        <v>45641</v>
      </c>
      <c r="AD368">
        <f>TIMEVALUE(MID(TwitterClean[[#This Row],[date_posted]],13,8))</f>
        <v>0.55347222222222225</v>
      </c>
      <c r="AE368" s="3" t="str">
        <f>TEXT(TwitterClean[[#This Row],[Post_Date]],"dddd")</f>
        <v>Sunday</v>
      </c>
      <c r="AF368">
        <f>HOUR(TwitterClean[[#This Row],[Post_Time]])</f>
        <v>13</v>
      </c>
      <c r="AG368" t="str">
        <f>IF(TwitterClean[[#This Row],[videos]]="Null","No","Yes")</f>
        <v>No</v>
      </c>
      <c r="AH368" t="str">
        <f>IF(TwitterClean[[#This Row],[photos]]="null","No","Yes")</f>
        <v>Yes</v>
      </c>
      <c r="AI368" t="str">
        <f>IF(TwitterClean[[#This Row],[hashtags]]="null","No","Yes")</f>
        <v>Yes</v>
      </c>
      <c r="AJ368" t="str">
        <f>IF(TwitterClean[[#This Row],[external_url]]="null","Yes","No")</f>
        <v>No</v>
      </c>
      <c r="AK368">
        <f>LEN(TwitterClean[[#This Row],[description]])</f>
        <v>38</v>
      </c>
      <c r="AL368" t="str">
        <f>IF(TwitterClean[[#This Row],[followers]]&lt;100000,"&lt;100K",IF(TwitterClean[[#This Row],[followers]]&lt;1000000,"100K-1M",IF(TwitterClean[[#This Row],[followers]]&lt;10000000,"1M-10M","10M+")))</f>
        <v>100K-1M</v>
      </c>
    </row>
    <row r="369" spans="1:38">
      <c r="A369">
        <v>1.8682997172615662E+18</v>
      </c>
      <c r="B369" t="s">
        <v>333</v>
      </c>
      <c r="C369" t="s">
        <v>334</v>
      </c>
      <c r="D369" t="s">
        <v>4255</v>
      </c>
      <c r="E369" t="s">
        <v>4256</v>
      </c>
      <c r="F369" t="s">
        <v>29</v>
      </c>
      <c r="G369" t="s">
        <v>4257</v>
      </c>
      <c r="H369" t="s">
        <v>4258</v>
      </c>
      <c r="I369">
        <v>3</v>
      </c>
      <c r="J369">
        <v>15</v>
      </c>
      <c r="K369">
        <v>192</v>
      </c>
      <c r="L369">
        <v>14215</v>
      </c>
      <c r="M369" t="s">
        <v>52</v>
      </c>
      <c r="N369" t="s">
        <v>340</v>
      </c>
      <c r="O369">
        <v>337839</v>
      </c>
      <c r="P369" t="s">
        <v>341</v>
      </c>
      <c r="Q369">
        <v>57638</v>
      </c>
      <c r="R369" t="s">
        <v>342</v>
      </c>
      <c r="S369">
        <v>587</v>
      </c>
      <c r="T369" t="b">
        <v>0</v>
      </c>
      <c r="U369">
        <v>0</v>
      </c>
      <c r="V369">
        <v>6</v>
      </c>
      <c r="W369" t="s">
        <v>35</v>
      </c>
      <c r="X369" t="s">
        <v>29</v>
      </c>
      <c r="Y369" t="s">
        <v>4259</v>
      </c>
      <c r="Z369" t="s">
        <v>37</v>
      </c>
      <c r="AA369">
        <f>TwitterClean[[#This Row],[likes]]+TwitterClean[[#This Row],[replies]]+TwitterClean[[#This Row],[reposts]]+TwitterClean[[#This Row],[quotes]]+TwitterClean[[#This Row],[bookmarks]]</f>
        <v>216</v>
      </c>
      <c r="AB369" s="1">
        <f>TwitterClean[[#This Row],[Total_Engagements]]/TwitterClean[[#This Row],[views]]</f>
        <v>1.5195216320787901E-2</v>
      </c>
      <c r="AC369" s="3">
        <f>DATEVALUE(MID(TwitterClean[[#This Row],[date_posted]],2,10))</f>
        <v>45641</v>
      </c>
      <c r="AD369">
        <f>TIMEVALUE(MID(TwitterClean[[#This Row],[date_posted]],13,8))</f>
        <v>0.59650462962962958</v>
      </c>
      <c r="AE369" s="3" t="str">
        <f>TEXT(TwitterClean[[#This Row],[Post_Date]],"dddd")</f>
        <v>Sunday</v>
      </c>
      <c r="AF369">
        <f>HOUR(TwitterClean[[#This Row],[Post_Time]])</f>
        <v>14</v>
      </c>
      <c r="AG369" t="str">
        <f>IF(TwitterClean[[#This Row],[videos]]="Null","No","Yes")</f>
        <v>Yes</v>
      </c>
      <c r="AH369" t="str">
        <f>IF(TwitterClean[[#This Row],[photos]]="null","No","Yes")</f>
        <v>No</v>
      </c>
      <c r="AI369" t="str">
        <f>IF(TwitterClean[[#This Row],[hashtags]]="null","No","Yes")</f>
        <v>Yes</v>
      </c>
      <c r="AJ369" t="str">
        <f>IF(TwitterClean[[#This Row],[external_url]]="null","Yes","No")</f>
        <v>No</v>
      </c>
      <c r="AK369">
        <f>LEN(TwitterClean[[#This Row],[description]])</f>
        <v>70</v>
      </c>
      <c r="AL369" t="str">
        <f>IF(TwitterClean[[#This Row],[followers]]&lt;100000,"&lt;100K",IF(TwitterClean[[#This Row],[followers]]&lt;1000000,"100K-1M",IF(TwitterClean[[#This Row],[followers]]&lt;10000000,"1M-10M","10M+")))</f>
        <v>100K-1M</v>
      </c>
    </row>
    <row r="370" spans="1:38">
      <c r="A370">
        <v>1.8681225719480404E+18</v>
      </c>
      <c r="B370" t="s">
        <v>3034</v>
      </c>
      <c r="C370" t="s">
        <v>3035</v>
      </c>
      <c r="D370" t="s">
        <v>3948</v>
      </c>
      <c r="E370" t="s">
        <v>3949</v>
      </c>
      <c r="F370" t="s">
        <v>29</v>
      </c>
      <c r="G370" t="s">
        <v>3950</v>
      </c>
      <c r="H370" t="s">
        <v>29</v>
      </c>
      <c r="I370">
        <v>94</v>
      </c>
      <c r="J370">
        <v>207</v>
      </c>
      <c r="K370">
        <v>2158</v>
      </c>
      <c r="L370">
        <v>166384</v>
      </c>
      <c r="M370" t="s">
        <v>52</v>
      </c>
      <c r="N370" t="s">
        <v>3040</v>
      </c>
      <c r="O370">
        <v>12876593</v>
      </c>
      <c r="P370" t="s">
        <v>3041</v>
      </c>
      <c r="Q370">
        <v>141401</v>
      </c>
      <c r="R370" t="s">
        <v>3042</v>
      </c>
      <c r="S370">
        <v>717</v>
      </c>
      <c r="T370" t="b">
        <v>0</v>
      </c>
      <c r="U370">
        <v>34</v>
      </c>
      <c r="V370">
        <v>34</v>
      </c>
      <c r="W370" t="s">
        <v>35</v>
      </c>
      <c r="X370" t="s">
        <v>29</v>
      </c>
      <c r="Y370" t="s">
        <v>3951</v>
      </c>
      <c r="Z370" t="s">
        <v>37</v>
      </c>
      <c r="AA370">
        <f>TwitterClean[[#This Row],[likes]]+TwitterClean[[#This Row],[replies]]+TwitterClean[[#This Row],[reposts]]+TwitterClean[[#This Row],[quotes]]+TwitterClean[[#This Row],[bookmarks]]</f>
        <v>2527</v>
      </c>
      <c r="AB370" s="1">
        <f>TwitterClean[[#This Row],[Total_Engagements]]/TwitterClean[[#This Row],[views]]</f>
        <v>1.5187758438311376E-2</v>
      </c>
      <c r="AC370" s="3">
        <f>DATEVALUE(MID(TwitterClean[[#This Row],[date_posted]],2,10))</f>
        <v>45641</v>
      </c>
      <c r="AD370">
        <f>TIMEVALUE(MID(TwitterClean[[#This Row],[date_posted]],13,8))</f>
        <v>0.10767361111111111</v>
      </c>
      <c r="AE370" s="3" t="str">
        <f>TEXT(TwitterClean[[#This Row],[Post_Date]],"dddd")</f>
        <v>Sunday</v>
      </c>
      <c r="AF370">
        <f>HOUR(TwitterClean[[#This Row],[Post_Time]])</f>
        <v>2</v>
      </c>
      <c r="AG370" t="str">
        <f>IF(TwitterClean[[#This Row],[videos]]="Null","No","Yes")</f>
        <v>Yes</v>
      </c>
      <c r="AH370" t="str">
        <f>IF(TwitterClean[[#This Row],[photos]]="null","No","Yes")</f>
        <v>No</v>
      </c>
      <c r="AI370" t="str">
        <f>IF(TwitterClean[[#This Row],[hashtags]]="null","No","Yes")</f>
        <v>Yes</v>
      </c>
      <c r="AJ370" t="str">
        <f>IF(TwitterClean[[#This Row],[external_url]]="null","Yes","No")</f>
        <v>No</v>
      </c>
      <c r="AK370">
        <f>LEN(TwitterClean[[#This Row],[description]])</f>
        <v>78</v>
      </c>
      <c r="AL370" t="str">
        <f>IF(TwitterClean[[#This Row],[followers]]&lt;100000,"&lt;100K",IF(TwitterClean[[#This Row],[followers]]&lt;1000000,"100K-1M",IF(TwitterClean[[#This Row],[followers]]&lt;10000000,"1M-10M","10M+")))</f>
        <v>10M+</v>
      </c>
    </row>
    <row r="371" spans="1:38">
      <c r="A371">
        <v>1.8683202278446205E+18</v>
      </c>
      <c r="B371" t="s">
        <v>1280</v>
      </c>
      <c r="C371" t="s">
        <v>1281</v>
      </c>
      <c r="D371" t="s">
        <v>1380</v>
      </c>
      <c r="E371" t="s">
        <v>1381</v>
      </c>
      <c r="F371" t="s">
        <v>29</v>
      </c>
      <c r="G371" t="s">
        <v>1382</v>
      </c>
      <c r="H371" t="s">
        <v>29</v>
      </c>
      <c r="I371">
        <v>126</v>
      </c>
      <c r="J371">
        <v>223</v>
      </c>
      <c r="K371">
        <v>2609</v>
      </c>
      <c r="L371">
        <v>197616</v>
      </c>
      <c r="M371" t="s">
        <v>1383</v>
      </c>
      <c r="N371" t="s">
        <v>1286</v>
      </c>
      <c r="O371">
        <v>38439078</v>
      </c>
      <c r="P371" t="s">
        <v>1287</v>
      </c>
      <c r="Q371">
        <v>92455</v>
      </c>
      <c r="R371" t="s">
        <v>1288</v>
      </c>
      <c r="S371">
        <v>145</v>
      </c>
      <c r="T371" t="b">
        <v>0</v>
      </c>
      <c r="U371">
        <v>21</v>
      </c>
      <c r="V371">
        <v>12</v>
      </c>
      <c r="W371" t="s">
        <v>35</v>
      </c>
      <c r="X371" t="s">
        <v>29</v>
      </c>
      <c r="Y371" t="s">
        <v>29</v>
      </c>
      <c r="Z371" t="s">
        <v>37</v>
      </c>
      <c r="AA371">
        <f>TwitterClean[[#This Row],[likes]]+TwitterClean[[#This Row],[replies]]+TwitterClean[[#This Row],[reposts]]+TwitterClean[[#This Row],[quotes]]+TwitterClean[[#This Row],[bookmarks]]</f>
        <v>2991</v>
      </c>
      <c r="AB371" s="1">
        <f>TwitterClean[[#This Row],[Total_Engagements]]/TwitterClean[[#This Row],[views]]</f>
        <v>1.5135414136507165E-2</v>
      </c>
      <c r="AC371" s="3">
        <f>DATEVALUE(MID(TwitterClean[[#This Row],[date_posted]],2,10))</f>
        <v>45641</v>
      </c>
      <c r="AD371">
        <f>TIMEVALUE(MID(TwitterClean[[#This Row],[date_posted]],13,8))</f>
        <v>0.65310185185185188</v>
      </c>
      <c r="AE371" s="3" t="str">
        <f>TEXT(TwitterClean[[#This Row],[Post_Date]],"dddd")</f>
        <v>Sunday</v>
      </c>
      <c r="AF371">
        <f>HOUR(TwitterClean[[#This Row],[Post_Time]])</f>
        <v>15</v>
      </c>
      <c r="AG371" t="str">
        <f>IF(TwitterClean[[#This Row],[videos]]="Null","No","Yes")</f>
        <v>No</v>
      </c>
      <c r="AH371" t="str">
        <f>IF(TwitterClean[[#This Row],[photos]]="null","No","Yes")</f>
        <v>No</v>
      </c>
      <c r="AI371" t="str">
        <f>IF(TwitterClean[[#This Row],[hashtags]]="null","No","Yes")</f>
        <v>Yes</v>
      </c>
      <c r="AJ371" t="str">
        <f>IF(TwitterClean[[#This Row],[external_url]]="null","Yes","No")</f>
        <v>No</v>
      </c>
      <c r="AK371">
        <f>LEN(TwitterClean[[#This Row],[description]])</f>
        <v>51</v>
      </c>
      <c r="AL371" t="str">
        <f>IF(TwitterClean[[#This Row],[followers]]&lt;100000,"&lt;100K",IF(TwitterClean[[#This Row],[followers]]&lt;1000000,"100K-1M",IF(TwitterClean[[#This Row],[followers]]&lt;10000000,"1M-10M","10M+")))</f>
        <v>10M+</v>
      </c>
    </row>
    <row r="372" spans="1:38">
      <c r="A372">
        <v>1.8684865776742075E+18</v>
      </c>
      <c r="B372" t="s">
        <v>1862</v>
      </c>
      <c r="C372" t="s">
        <v>1863</v>
      </c>
      <c r="D372" t="s">
        <v>2131</v>
      </c>
      <c r="E372" t="s">
        <v>2132</v>
      </c>
      <c r="F372" t="s">
        <v>29</v>
      </c>
      <c r="G372" t="s">
        <v>2133</v>
      </c>
      <c r="H372" t="s">
        <v>2134</v>
      </c>
      <c r="I372">
        <v>3</v>
      </c>
      <c r="J372">
        <v>6</v>
      </c>
      <c r="K372">
        <v>49</v>
      </c>
      <c r="L372">
        <v>4168</v>
      </c>
      <c r="M372" t="s">
        <v>52</v>
      </c>
      <c r="N372" t="s">
        <v>2135</v>
      </c>
      <c r="O372">
        <v>13492430</v>
      </c>
      <c r="P372" t="s">
        <v>1868</v>
      </c>
      <c r="Q372">
        <v>314515</v>
      </c>
      <c r="R372" t="s">
        <v>1869</v>
      </c>
      <c r="S372">
        <v>708</v>
      </c>
      <c r="T372" t="b">
        <v>0</v>
      </c>
      <c r="U372">
        <v>2</v>
      </c>
      <c r="V372">
        <v>3</v>
      </c>
      <c r="W372" t="s">
        <v>35</v>
      </c>
      <c r="X372" t="s">
        <v>29</v>
      </c>
      <c r="Y372" t="s">
        <v>2136</v>
      </c>
      <c r="Z372" t="s">
        <v>37</v>
      </c>
      <c r="AA372">
        <f>TwitterClean[[#This Row],[likes]]+TwitterClean[[#This Row],[replies]]+TwitterClean[[#This Row],[reposts]]+TwitterClean[[#This Row],[quotes]]+TwitterClean[[#This Row],[bookmarks]]</f>
        <v>63</v>
      </c>
      <c r="AB372" s="1">
        <f>TwitterClean[[#This Row],[Total_Engagements]]/TwitterClean[[#This Row],[views]]</f>
        <v>1.5115163147792706E-2</v>
      </c>
      <c r="AC372" s="3">
        <f>DATEVALUE(MID(TwitterClean[[#This Row],[date_posted]],2,10))</f>
        <v>45642</v>
      </c>
      <c r="AD372">
        <f>TIMEVALUE(MID(TwitterClean[[#This Row],[date_posted]],13,8))</f>
        <v>0.1121412037037037</v>
      </c>
      <c r="AE372" s="3" t="str">
        <f>TEXT(TwitterClean[[#This Row],[Post_Date]],"dddd")</f>
        <v>Monday</v>
      </c>
      <c r="AF372">
        <f>HOUR(TwitterClean[[#This Row],[Post_Time]])</f>
        <v>2</v>
      </c>
      <c r="AG372" t="str">
        <f>IF(TwitterClean[[#This Row],[videos]]="Null","No","Yes")</f>
        <v>Yes</v>
      </c>
      <c r="AH372" t="str">
        <f>IF(TwitterClean[[#This Row],[photos]]="null","No","Yes")</f>
        <v>No</v>
      </c>
      <c r="AI372" t="str">
        <f>IF(TwitterClean[[#This Row],[hashtags]]="null","No","Yes")</f>
        <v>Yes</v>
      </c>
      <c r="AJ372" t="str">
        <f>IF(TwitterClean[[#This Row],[external_url]]="null","Yes","No")</f>
        <v>No</v>
      </c>
      <c r="AK372">
        <f>LEN(TwitterClean[[#This Row],[description]])</f>
        <v>159</v>
      </c>
      <c r="AL372" t="str">
        <f>IF(TwitterClean[[#This Row],[followers]]&lt;100000,"&lt;100K",IF(TwitterClean[[#This Row],[followers]]&lt;1000000,"100K-1M",IF(TwitterClean[[#This Row],[followers]]&lt;10000000,"1M-10M","10M+")))</f>
        <v>10M+</v>
      </c>
    </row>
    <row r="373" spans="1:38">
      <c r="A373">
        <v>1.8683977742128868E+18</v>
      </c>
      <c r="B373" t="s">
        <v>2230</v>
      </c>
      <c r="C373" t="s">
        <v>2231</v>
      </c>
      <c r="D373" t="s">
        <v>2564</v>
      </c>
      <c r="E373" t="s">
        <v>2565</v>
      </c>
      <c r="F373" t="s">
        <v>2566</v>
      </c>
      <c r="G373" t="s">
        <v>2567</v>
      </c>
      <c r="H373" t="s">
        <v>29</v>
      </c>
      <c r="I373">
        <v>54</v>
      </c>
      <c r="J373">
        <v>87</v>
      </c>
      <c r="K373">
        <v>1143</v>
      </c>
      <c r="L373">
        <v>88259</v>
      </c>
      <c r="M373" t="s">
        <v>2568</v>
      </c>
      <c r="N373" t="s">
        <v>29</v>
      </c>
      <c r="O373">
        <v>3313886</v>
      </c>
      <c r="P373" t="s">
        <v>2237</v>
      </c>
      <c r="Q373">
        <v>706459</v>
      </c>
      <c r="R373" t="s">
        <v>2238</v>
      </c>
      <c r="S373">
        <v>10308</v>
      </c>
      <c r="T373" t="b">
        <v>0</v>
      </c>
      <c r="U373">
        <v>12</v>
      </c>
      <c r="V373">
        <v>35</v>
      </c>
      <c r="W373" t="s">
        <v>35</v>
      </c>
      <c r="X373" t="s">
        <v>29</v>
      </c>
      <c r="Y373" t="s">
        <v>29</v>
      </c>
      <c r="Z373" t="s">
        <v>37</v>
      </c>
      <c r="AA373">
        <f>TwitterClean[[#This Row],[likes]]+TwitterClean[[#This Row],[replies]]+TwitterClean[[#This Row],[reposts]]+TwitterClean[[#This Row],[quotes]]+TwitterClean[[#This Row],[bookmarks]]</f>
        <v>1331</v>
      </c>
      <c r="AB373" s="1">
        <f>TwitterClean[[#This Row],[Total_Engagements]]/TwitterClean[[#This Row],[views]]</f>
        <v>1.5080615008101157E-2</v>
      </c>
      <c r="AC373" s="3">
        <f>DATEVALUE(MID(TwitterClean[[#This Row],[date_posted]],2,10))</f>
        <v>45641</v>
      </c>
      <c r="AD373">
        <f>TIMEVALUE(MID(TwitterClean[[#This Row],[date_posted]],13,8))</f>
        <v>0.86709490740740736</v>
      </c>
      <c r="AE373" s="3" t="str">
        <f>TEXT(TwitterClean[[#This Row],[Post_Date]],"dddd")</f>
        <v>Sunday</v>
      </c>
      <c r="AF373">
        <f>HOUR(TwitterClean[[#This Row],[Post_Time]])</f>
        <v>20</v>
      </c>
      <c r="AG373" t="str">
        <f>IF(TwitterClean[[#This Row],[videos]]="Null","No","Yes")</f>
        <v>No</v>
      </c>
      <c r="AH373" t="str">
        <f>IF(TwitterClean[[#This Row],[photos]]="null","No","Yes")</f>
        <v>Yes</v>
      </c>
      <c r="AI373" t="str">
        <f>IF(TwitterClean[[#This Row],[hashtags]]="null","No","Yes")</f>
        <v>No</v>
      </c>
      <c r="AJ373" t="str">
        <f>IF(TwitterClean[[#This Row],[external_url]]="null","Yes","No")</f>
        <v>No</v>
      </c>
      <c r="AK373">
        <f>LEN(TwitterClean[[#This Row],[description]])</f>
        <v>94</v>
      </c>
      <c r="AL373" t="str">
        <f>IF(TwitterClean[[#This Row],[followers]]&lt;100000,"&lt;100K",IF(TwitterClean[[#This Row],[followers]]&lt;1000000,"100K-1M",IF(TwitterClean[[#This Row],[followers]]&lt;10000000,"1M-10M","10M+")))</f>
        <v>1M-10M</v>
      </c>
    </row>
    <row r="374" spans="1:38">
      <c r="A374">
        <v>1.868418260892566E+18</v>
      </c>
      <c r="B374" t="s">
        <v>26</v>
      </c>
      <c r="C374" t="s">
        <v>26</v>
      </c>
      <c r="D374" t="s">
        <v>62</v>
      </c>
      <c r="E374" t="s">
        <v>63</v>
      </c>
      <c r="F374" t="s">
        <v>29</v>
      </c>
      <c r="G374" t="s">
        <v>64</v>
      </c>
      <c r="H374" t="s">
        <v>65</v>
      </c>
      <c r="I374">
        <v>50</v>
      </c>
      <c r="J374">
        <v>4</v>
      </c>
      <c r="K374">
        <v>84</v>
      </c>
      <c r="L374">
        <v>9569</v>
      </c>
      <c r="M374" t="s">
        <v>31</v>
      </c>
      <c r="N374" t="s">
        <v>66</v>
      </c>
      <c r="O374">
        <v>5771758</v>
      </c>
      <c r="P374" t="s">
        <v>33</v>
      </c>
      <c r="Q374">
        <v>222223</v>
      </c>
      <c r="R374" t="s">
        <v>34</v>
      </c>
      <c r="S374">
        <v>122</v>
      </c>
      <c r="T374" t="b">
        <v>0</v>
      </c>
      <c r="U374">
        <v>3</v>
      </c>
      <c r="V374">
        <v>3</v>
      </c>
      <c r="W374" t="s">
        <v>35</v>
      </c>
      <c r="X374" t="s">
        <v>29</v>
      </c>
      <c r="Y374" t="s">
        <v>67</v>
      </c>
      <c r="Z374" t="s">
        <v>37</v>
      </c>
      <c r="AA374">
        <f>TwitterClean[[#This Row],[likes]]+TwitterClean[[#This Row],[replies]]+TwitterClean[[#This Row],[reposts]]+TwitterClean[[#This Row],[quotes]]+TwitterClean[[#This Row],[bookmarks]]</f>
        <v>144</v>
      </c>
      <c r="AB374" s="1">
        <f>TwitterClean[[#This Row],[Total_Engagements]]/TwitterClean[[#This Row],[views]]</f>
        <v>1.5048594419479569E-2</v>
      </c>
      <c r="AC374" s="3">
        <f>DATEVALUE(MID(TwitterClean[[#This Row],[date_posted]],2,10))</f>
        <v>45641</v>
      </c>
      <c r="AD374">
        <f>TIMEVALUE(MID(TwitterClean[[#This Row],[date_posted]],13,8))</f>
        <v>0.9236226851851852</v>
      </c>
      <c r="AE374" s="3" t="str">
        <f>TEXT(TwitterClean[[#This Row],[Post_Date]],"dddd")</f>
        <v>Sunday</v>
      </c>
      <c r="AF374">
        <f>HOUR(TwitterClean[[#This Row],[Post_Time]])</f>
        <v>22</v>
      </c>
      <c r="AG374" t="str">
        <f>IF(TwitterClean[[#This Row],[videos]]="Null","No","Yes")</f>
        <v>Yes</v>
      </c>
      <c r="AH374" t="str">
        <f>IF(TwitterClean[[#This Row],[photos]]="null","No","Yes")</f>
        <v>No</v>
      </c>
      <c r="AI374" t="str">
        <f>IF(TwitterClean[[#This Row],[hashtags]]="null","No","Yes")</f>
        <v>Yes</v>
      </c>
      <c r="AJ374" t="str">
        <f>IF(TwitterClean[[#This Row],[external_url]]="null","Yes","No")</f>
        <v>No</v>
      </c>
      <c r="AK374">
        <f>LEN(TwitterClean[[#This Row],[description]])</f>
        <v>134</v>
      </c>
      <c r="AL374" t="str">
        <f>IF(TwitterClean[[#This Row],[followers]]&lt;100000,"&lt;100K",IF(TwitterClean[[#This Row],[followers]]&lt;1000000,"100K-1M",IF(TwitterClean[[#This Row],[followers]]&lt;10000000,"1M-10M","10M+")))</f>
        <v>1M-10M</v>
      </c>
    </row>
    <row r="375" spans="1:38">
      <c r="A375">
        <v>1.8683341233305521E+18</v>
      </c>
      <c r="B375" t="s">
        <v>2994</v>
      </c>
      <c r="C375" t="s">
        <v>2995</v>
      </c>
      <c r="D375" t="s">
        <v>3415</v>
      </c>
      <c r="E375" t="s">
        <v>3416</v>
      </c>
      <c r="F375" t="s">
        <v>29</v>
      </c>
      <c r="G375" t="s">
        <v>3417</v>
      </c>
      <c r="H375" t="s">
        <v>29</v>
      </c>
      <c r="I375">
        <v>14</v>
      </c>
      <c r="J375">
        <v>83</v>
      </c>
      <c r="K375">
        <v>892</v>
      </c>
      <c r="L375">
        <v>67045</v>
      </c>
      <c r="M375" t="s">
        <v>52</v>
      </c>
      <c r="N375" t="s">
        <v>3174</v>
      </c>
      <c r="O375">
        <v>812163</v>
      </c>
      <c r="P375" t="s">
        <v>3000</v>
      </c>
      <c r="Q375">
        <v>110924</v>
      </c>
      <c r="R375" t="s">
        <v>3001</v>
      </c>
      <c r="S375">
        <v>322</v>
      </c>
      <c r="T375" t="b">
        <v>0</v>
      </c>
      <c r="U375">
        <v>4</v>
      </c>
      <c r="V375">
        <v>15</v>
      </c>
      <c r="W375" t="s">
        <v>35</v>
      </c>
      <c r="X375" t="s">
        <v>29</v>
      </c>
      <c r="Y375" t="s">
        <v>3418</v>
      </c>
      <c r="Z375" t="s">
        <v>37</v>
      </c>
      <c r="AA375">
        <f>TwitterClean[[#This Row],[likes]]+TwitterClean[[#This Row],[replies]]+TwitterClean[[#This Row],[reposts]]+TwitterClean[[#This Row],[quotes]]+TwitterClean[[#This Row],[bookmarks]]</f>
        <v>1008</v>
      </c>
      <c r="AB375" s="1">
        <f>TwitterClean[[#This Row],[Total_Engagements]]/TwitterClean[[#This Row],[views]]</f>
        <v>1.5034678201208143E-2</v>
      </c>
      <c r="AC375" s="3">
        <f>DATEVALUE(MID(TwitterClean[[#This Row],[date_posted]],2,10))</f>
        <v>45641</v>
      </c>
      <c r="AD375">
        <f>TIMEVALUE(MID(TwitterClean[[#This Row],[date_posted]],13,8))</f>
        <v>0.69144675925925925</v>
      </c>
      <c r="AE375" s="3" t="str">
        <f>TEXT(TwitterClean[[#This Row],[Post_Date]],"dddd")</f>
        <v>Sunday</v>
      </c>
      <c r="AF375">
        <f>HOUR(TwitterClean[[#This Row],[Post_Time]])</f>
        <v>16</v>
      </c>
      <c r="AG375" t="str">
        <f>IF(TwitterClean[[#This Row],[videos]]="Null","No","Yes")</f>
        <v>Yes</v>
      </c>
      <c r="AH375" t="str">
        <f>IF(TwitterClean[[#This Row],[photos]]="null","No","Yes")</f>
        <v>No</v>
      </c>
      <c r="AI375" t="str">
        <f>IF(TwitterClean[[#This Row],[hashtags]]="null","No","Yes")</f>
        <v>Yes</v>
      </c>
      <c r="AJ375" t="str">
        <f>IF(TwitterClean[[#This Row],[external_url]]="null","Yes","No")</f>
        <v>No</v>
      </c>
      <c r="AK375">
        <f>LEN(TwitterClean[[#This Row],[description]])</f>
        <v>21</v>
      </c>
      <c r="AL375" t="str">
        <f>IF(TwitterClean[[#This Row],[followers]]&lt;100000,"&lt;100K",IF(TwitterClean[[#This Row],[followers]]&lt;1000000,"100K-1M",IF(TwitterClean[[#This Row],[followers]]&lt;10000000,"1M-10M","10M+")))</f>
        <v>100K-1M</v>
      </c>
    </row>
    <row r="376" spans="1:38">
      <c r="A376">
        <v>1.8683878180973038E+18</v>
      </c>
      <c r="B376" t="s">
        <v>3837</v>
      </c>
      <c r="C376" t="s">
        <v>3838</v>
      </c>
      <c r="D376" t="s">
        <v>4592</v>
      </c>
      <c r="E376" t="s">
        <v>4593</v>
      </c>
      <c r="F376" t="s">
        <v>29</v>
      </c>
      <c r="G376" t="s">
        <v>4594</v>
      </c>
      <c r="H376" t="s">
        <v>29</v>
      </c>
      <c r="I376">
        <v>9</v>
      </c>
      <c r="J376">
        <v>22</v>
      </c>
      <c r="K376">
        <v>526</v>
      </c>
      <c r="L376">
        <v>37449</v>
      </c>
      <c r="M376" t="s">
        <v>4595</v>
      </c>
      <c r="N376" t="s">
        <v>3843</v>
      </c>
      <c r="O376">
        <v>984256</v>
      </c>
      <c r="P376" t="s">
        <v>3844</v>
      </c>
      <c r="Q376">
        <v>136135</v>
      </c>
      <c r="R376" t="s">
        <v>3845</v>
      </c>
      <c r="S376">
        <v>438</v>
      </c>
      <c r="T376" t="b">
        <v>0</v>
      </c>
      <c r="U376">
        <v>4</v>
      </c>
      <c r="V376">
        <v>2</v>
      </c>
      <c r="W376" t="s">
        <v>35</v>
      </c>
      <c r="X376" t="s">
        <v>29</v>
      </c>
      <c r="Y376" t="s">
        <v>29</v>
      </c>
      <c r="Z376" t="s">
        <v>37</v>
      </c>
      <c r="AA376">
        <f>TwitterClean[[#This Row],[likes]]+TwitterClean[[#This Row],[replies]]+TwitterClean[[#This Row],[reposts]]+TwitterClean[[#This Row],[quotes]]+TwitterClean[[#This Row],[bookmarks]]</f>
        <v>563</v>
      </c>
      <c r="AB376" s="1">
        <f>TwitterClean[[#This Row],[Total_Engagements]]/TwitterClean[[#This Row],[views]]</f>
        <v>1.5033779273144809E-2</v>
      </c>
      <c r="AC376" s="3">
        <f>DATEVALUE(MID(TwitterClean[[#This Row],[date_posted]],2,10))</f>
        <v>45641</v>
      </c>
      <c r="AD376">
        <f>TIMEVALUE(MID(TwitterClean[[#This Row],[date_posted]],13,8))</f>
        <v>0.83961805555555558</v>
      </c>
      <c r="AE376" s="3" t="str">
        <f>TEXT(TwitterClean[[#This Row],[Post_Date]],"dddd")</f>
        <v>Sunday</v>
      </c>
      <c r="AF376">
        <f>HOUR(TwitterClean[[#This Row],[Post_Time]])</f>
        <v>20</v>
      </c>
      <c r="AG376" t="str">
        <f>IF(TwitterClean[[#This Row],[videos]]="Null","No","Yes")</f>
        <v>No</v>
      </c>
      <c r="AH376" t="str">
        <f>IF(TwitterClean[[#This Row],[photos]]="null","No","Yes")</f>
        <v>No</v>
      </c>
      <c r="AI376" t="str">
        <f>IF(TwitterClean[[#This Row],[hashtags]]="null","No","Yes")</f>
        <v>Yes</v>
      </c>
      <c r="AJ376" t="str">
        <f>IF(TwitterClean[[#This Row],[external_url]]="null","Yes","No")</f>
        <v>No</v>
      </c>
      <c r="AK376">
        <f>LEN(TwitterClean[[#This Row],[description]])</f>
        <v>129</v>
      </c>
      <c r="AL376" t="str">
        <f>IF(TwitterClean[[#This Row],[followers]]&lt;100000,"&lt;100K",IF(TwitterClean[[#This Row],[followers]]&lt;1000000,"100K-1M",IF(TwitterClean[[#This Row],[followers]]&lt;10000000,"1M-10M","10M+")))</f>
        <v>100K-1M</v>
      </c>
    </row>
    <row r="377" spans="1:38">
      <c r="A377">
        <v>1.8673907764200532E+18</v>
      </c>
      <c r="B377" t="s">
        <v>3973</v>
      </c>
      <c r="C377" t="s">
        <v>3974</v>
      </c>
      <c r="D377" t="s">
        <v>4035</v>
      </c>
      <c r="E377" t="s">
        <v>4036</v>
      </c>
      <c r="F377" t="s">
        <v>29</v>
      </c>
      <c r="G377" t="s">
        <v>4037</v>
      </c>
      <c r="H377" t="s">
        <v>4010</v>
      </c>
      <c r="I377">
        <v>4</v>
      </c>
      <c r="J377">
        <v>14</v>
      </c>
      <c r="K377">
        <v>172</v>
      </c>
      <c r="L377">
        <v>13463</v>
      </c>
      <c r="M377" t="s">
        <v>52</v>
      </c>
      <c r="N377" t="s">
        <v>29</v>
      </c>
      <c r="O377">
        <v>2035100</v>
      </c>
      <c r="P377" t="s">
        <v>3979</v>
      </c>
      <c r="Q377">
        <v>106867</v>
      </c>
      <c r="R377" t="s">
        <v>3980</v>
      </c>
      <c r="S377">
        <v>411</v>
      </c>
      <c r="T377" t="b">
        <v>0</v>
      </c>
      <c r="U377">
        <v>2</v>
      </c>
      <c r="V377">
        <v>10</v>
      </c>
      <c r="W377" t="s">
        <v>35</v>
      </c>
      <c r="X377" t="s">
        <v>29</v>
      </c>
      <c r="Y377" t="s">
        <v>4038</v>
      </c>
      <c r="Z377" t="s">
        <v>37</v>
      </c>
      <c r="AA377">
        <f>TwitterClean[[#This Row],[likes]]+TwitterClean[[#This Row],[replies]]+TwitterClean[[#This Row],[reposts]]+TwitterClean[[#This Row],[quotes]]+TwitterClean[[#This Row],[bookmarks]]</f>
        <v>202</v>
      </c>
      <c r="AB377" s="1">
        <f>TwitterClean[[#This Row],[Total_Engagements]]/TwitterClean[[#This Row],[views]]</f>
        <v>1.5004085270742033E-2</v>
      </c>
      <c r="AC377" s="3">
        <f>DATEVALUE(MID(TwitterClean[[#This Row],[date_posted]],2,10))</f>
        <v>45639</v>
      </c>
      <c r="AD377">
        <f>TIMEVALUE(MID(TwitterClean[[#This Row],[date_posted]],13,8))</f>
        <v>8.8310185185185186E-2</v>
      </c>
      <c r="AE377" s="3" t="str">
        <f>TEXT(TwitterClean[[#This Row],[Post_Date]],"dddd")</f>
        <v>Friday</v>
      </c>
      <c r="AF377">
        <f>HOUR(TwitterClean[[#This Row],[Post_Time]])</f>
        <v>2</v>
      </c>
      <c r="AG377" t="str">
        <f>IF(TwitterClean[[#This Row],[videos]]="Null","No","Yes")</f>
        <v>Yes</v>
      </c>
      <c r="AH377" t="str">
        <f>IF(TwitterClean[[#This Row],[photos]]="null","No","Yes")</f>
        <v>No</v>
      </c>
      <c r="AI377" t="str">
        <f>IF(TwitterClean[[#This Row],[hashtags]]="null","No","Yes")</f>
        <v>No</v>
      </c>
      <c r="AJ377" t="str">
        <f>IF(TwitterClean[[#This Row],[external_url]]="null","Yes","No")</f>
        <v>No</v>
      </c>
      <c r="AK377">
        <f>LEN(TwitterClean[[#This Row],[description]])</f>
        <v>46</v>
      </c>
      <c r="AL377" t="str">
        <f>IF(TwitterClean[[#This Row],[followers]]&lt;100000,"&lt;100K",IF(TwitterClean[[#This Row],[followers]]&lt;1000000,"100K-1M",IF(TwitterClean[[#This Row],[followers]]&lt;10000000,"1M-10M","10M+")))</f>
        <v>1M-10M</v>
      </c>
    </row>
    <row r="378" spans="1:38">
      <c r="A378">
        <v>1.8683883364167191E+18</v>
      </c>
      <c r="B378" t="s">
        <v>3776</v>
      </c>
      <c r="C378" t="s">
        <v>3777</v>
      </c>
      <c r="D378" t="s">
        <v>3778</v>
      </c>
      <c r="E378" t="s">
        <v>3779</v>
      </c>
      <c r="F378" t="s">
        <v>29</v>
      </c>
      <c r="G378" t="s">
        <v>3780</v>
      </c>
      <c r="H378" t="s">
        <v>3781</v>
      </c>
      <c r="I378">
        <v>84</v>
      </c>
      <c r="J378">
        <v>143</v>
      </c>
      <c r="K378">
        <v>1239</v>
      </c>
      <c r="L378">
        <v>101335</v>
      </c>
      <c r="M378" t="s">
        <v>52</v>
      </c>
      <c r="N378" t="s">
        <v>29</v>
      </c>
      <c r="O378">
        <v>3449146</v>
      </c>
      <c r="P378" t="s">
        <v>3782</v>
      </c>
      <c r="Q378">
        <v>10815</v>
      </c>
      <c r="R378" t="s">
        <v>3783</v>
      </c>
      <c r="S378">
        <v>27</v>
      </c>
      <c r="T378" t="b">
        <v>0</v>
      </c>
      <c r="U378">
        <v>18</v>
      </c>
      <c r="V378">
        <v>30</v>
      </c>
      <c r="W378" t="s">
        <v>35</v>
      </c>
      <c r="X378" t="s">
        <v>29</v>
      </c>
      <c r="Y378" t="s">
        <v>3784</v>
      </c>
      <c r="Z378" t="s">
        <v>37</v>
      </c>
      <c r="AA378">
        <f>TwitterClean[[#This Row],[likes]]+TwitterClean[[#This Row],[replies]]+TwitterClean[[#This Row],[reposts]]+TwitterClean[[#This Row],[quotes]]+TwitterClean[[#This Row],[bookmarks]]</f>
        <v>1514</v>
      </c>
      <c r="AB378" s="1">
        <f>TwitterClean[[#This Row],[Total_Engagements]]/TwitterClean[[#This Row],[views]]</f>
        <v>1.494054374105689E-2</v>
      </c>
      <c r="AC378" s="3">
        <f>DATEVALUE(MID(TwitterClean[[#This Row],[date_posted]],2,10))</f>
        <v>45641</v>
      </c>
      <c r="AD378">
        <f>TIMEVALUE(MID(TwitterClean[[#This Row],[date_posted]],13,8))</f>
        <v>0.84105324074074073</v>
      </c>
      <c r="AE378" s="3" t="str">
        <f>TEXT(TwitterClean[[#This Row],[Post_Date]],"dddd")</f>
        <v>Sunday</v>
      </c>
      <c r="AF378">
        <f>HOUR(TwitterClean[[#This Row],[Post_Time]])</f>
        <v>20</v>
      </c>
      <c r="AG378" t="str">
        <f>IF(TwitterClean[[#This Row],[videos]]="Null","No","Yes")</f>
        <v>Yes</v>
      </c>
      <c r="AH378" t="str">
        <f>IF(TwitterClean[[#This Row],[photos]]="null","No","Yes")</f>
        <v>No</v>
      </c>
      <c r="AI378" t="str">
        <f>IF(TwitterClean[[#This Row],[hashtags]]="null","No","Yes")</f>
        <v>No</v>
      </c>
      <c r="AJ378" t="str">
        <f>IF(TwitterClean[[#This Row],[external_url]]="null","Yes","No")</f>
        <v>No</v>
      </c>
      <c r="AK378">
        <f>LEN(TwitterClean[[#This Row],[description]])</f>
        <v>63</v>
      </c>
      <c r="AL378" t="str">
        <f>IF(TwitterClean[[#This Row],[followers]]&lt;100000,"&lt;100K",IF(TwitterClean[[#This Row],[followers]]&lt;1000000,"100K-1M",IF(TwitterClean[[#This Row],[followers]]&lt;10000000,"1M-10M","10M+")))</f>
        <v>1M-10M</v>
      </c>
    </row>
    <row r="379" spans="1:38">
      <c r="A379">
        <v>1.8683402452944448E+18</v>
      </c>
      <c r="B379" t="s">
        <v>1047</v>
      </c>
      <c r="C379" t="s">
        <v>1048</v>
      </c>
      <c r="D379" t="s">
        <v>1049</v>
      </c>
      <c r="E379" t="s">
        <v>1050</v>
      </c>
      <c r="F379" t="s">
        <v>1051</v>
      </c>
      <c r="G379" t="s">
        <v>1052</v>
      </c>
      <c r="H379" t="s">
        <v>1053</v>
      </c>
      <c r="I379">
        <v>1</v>
      </c>
      <c r="J379">
        <v>1</v>
      </c>
      <c r="K379">
        <v>40</v>
      </c>
      <c r="L379">
        <v>2813</v>
      </c>
      <c r="M379" t="s">
        <v>1054</v>
      </c>
      <c r="N379" t="s">
        <v>1055</v>
      </c>
      <c r="O379">
        <v>129250</v>
      </c>
      <c r="P379" t="s">
        <v>1056</v>
      </c>
      <c r="Q379">
        <v>67189</v>
      </c>
      <c r="R379" t="s">
        <v>1057</v>
      </c>
      <c r="S379">
        <v>508</v>
      </c>
      <c r="T379" t="b">
        <v>0</v>
      </c>
      <c r="U379">
        <v>0</v>
      </c>
      <c r="V379">
        <v>0</v>
      </c>
      <c r="W379" t="s">
        <v>35</v>
      </c>
      <c r="X379" t="s">
        <v>29</v>
      </c>
      <c r="Y379" t="s">
        <v>29</v>
      </c>
      <c r="Z379" t="s">
        <v>37</v>
      </c>
      <c r="AA379">
        <f>TwitterClean[[#This Row],[likes]]+TwitterClean[[#This Row],[replies]]+TwitterClean[[#This Row],[reposts]]+TwitterClean[[#This Row],[quotes]]+TwitterClean[[#This Row],[bookmarks]]</f>
        <v>42</v>
      </c>
      <c r="AB379" s="1">
        <f>TwitterClean[[#This Row],[Total_Engagements]]/TwitterClean[[#This Row],[views]]</f>
        <v>1.4930678990401706E-2</v>
      </c>
      <c r="AC379" s="3">
        <f>DATEVALUE(MID(TwitterClean[[#This Row],[date_posted]],2,10))</f>
        <v>45641</v>
      </c>
      <c r="AD379">
        <f>TIMEVALUE(MID(TwitterClean[[#This Row],[date_posted]],13,8))</f>
        <v>0.70834490740740741</v>
      </c>
      <c r="AE379" s="3" t="str">
        <f>TEXT(TwitterClean[[#This Row],[Post_Date]],"dddd")</f>
        <v>Sunday</v>
      </c>
      <c r="AF379">
        <f>HOUR(TwitterClean[[#This Row],[Post_Time]])</f>
        <v>17</v>
      </c>
      <c r="AG379" t="str">
        <f>IF(TwitterClean[[#This Row],[videos]]="Null","No","Yes")</f>
        <v>No</v>
      </c>
      <c r="AH379" t="str">
        <f>IF(TwitterClean[[#This Row],[photos]]="null","No","Yes")</f>
        <v>Yes</v>
      </c>
      <c r="AI379" t="str">
        <f>IF(TwitterClean[[#This Row],[hashtags]]="null","No","Yes")</f>
        <v>Yes</v>
      </c>
      <c r="AJ379" t="str">
        <f>IF(TwitterClean[[#This Row],[external_url]]="null","Yes","No")</f>
        <v>No</v>
      </c>
      <c r="AK379">
        <f>LEN(TwitterClean[[#This Row],[description]])</f>
        <v>46</v>
      </c>
      <c r="AL379" t="str">
        <f>IF(TwitterClean[[#This Row],[followers]]&lt;100000,"&lt;100K",IF(TwitterClean[[#This Row],[followers]]&lt;1000000,"100K-1M",IF(TwitterClean[[#This Row],[followers]]&lt;10000000,"1M-10M","10M+")))</f>
        <v>100K-1M</v>
      </c>
    </row>
    <row r="380" spans="1:38">
      <c r="A380">
        <v>1.8651379806937705E+18</v>
      </c>
      <c r="B380" t="s">
        <v>2623</v>
      </c>
      <c r="C380" t="s">
        <v>2624</v>
      </c>
      <c r="D380" t="s">
        <v>2625</v>
      </c>
      <c r="E380" t="s">
        <v>2626</v>
      </c>
      <c r="F380" t="s">
        <v>2627</v>
      </c>
      <c r="G380" t="s">
        <v>2628</v>
      </c>
      <c r="H380" t="s">
        <v>29</v>
      </c>
      <c r="I380">
        <v>107</v>
      </c>
      <c r="J380">
        <v>13</v>
      </c>
      <c r="K380">
        <v>495</v>
      </c>
      <c r="L380">
        <v>42326</v>
      </c>
      <c r="M380" t="s">
        <v>52</v>
      </c>
      <c r="N380" t="s">
        <v>2629</v>
      </c>
      <c r="O380">
        <v>5138</v>
      </c>
      <c r="P380" t="s">
        <v>2630</v>
      </c>
      <c r="Q380">
        <v>8529</v>
      </c>
      <c r="R380" t="s">
        <v>2631</v>
      </c>
      <c r="S380">
        <v>216</v>
      </c>
      <c r="T380" t="b">
        <v>0</v>
      </c>
      <c r="U380">
        <v>9</v>
      </c>
      <c r="V380">
        <v>5</v>
      </c>
      <c r="W380" t="s">
        <v>35</v>
      </c>
      <c r="X380" t="s">
        <v>29</v>
      </c>
      <c r="Y380" t="s">
        <v>29</v>
      </c>
      <c r="Z380" t="s">
        <v>37</v>
      </c>
      <c r="AA380">
        <f>TwitterClean[[#This Row],[likes]]+TwitterClean[[#This Row],[replies]]+TwitterClean[[#This Row],[reposts]]+TwitterClean[[#This Row],[quotes]]+TwitterClean[[#This Row],[bookmarks]]</f>
        <v>629</v>
      </c>
      <c r="AB380" s="1">
        <f>TwitterClean[[#This Row],[Total_Engagements]]/TwitterClean[[#This Row],[views]]</f>
        <v>1.4860842035628218E-2</v>
      </c>
      <c r="AC380" s="3">
        <f>DATEVALUE(MID(TwitterClean[[#This Row],[date_posted]],2,10))</f>
        <v>45632</v>
      </c>
      <c r="AD380">
        <f>TIMEVALUE(MID(TwitterClean[[#This Row],[date_posted]],13,8))</f>
        <v>0.87177083333333338</v>
      </c>
      <c r="AE380" s="3" t="str">
        <f>TEXT(TwitterClean[[#This Row],[Post_Date]],"dddd")</f>
        <v>Friday</v>
      </c>
      <c r="AF380">
        <f>HOUR(TwitterClean[[#This Row],[Post_Time]])</f>
        <v>20</v>
      </c>
      <c r="AG380" t="str">
        <f>IF(TwitterClean[[#This Row],[videos]]="Null","No","Yes")</f>
        <v>No</v>
      </c>
      <c r="AH380" t="str">
        <f>IF(TwitterClean[[#This Row],[photos]]="null","No","Yes")</f>
        <v>Yes</v>
      </c>
      <c r="AI380" t="str">
        <f>IF(TwitterClean[[#This Row],[hashtags]]="null","No","Yes")</f>
        <v>Yes</v>
      </c>
      <c r="AJ380" t="str">
        <f>IF(TwitterClean[[#This Row],[external_url]]="null","Yes","No")</f>
        <v>No</v>
      </c>
      <c r="AK380">
        <f>LEN(TwitterClean[[#This Row],[description]])</f>
        <v>73</v>
      </c>
      <c r="AL380" t="str">
        <f>IF(TwitterClean[[#This Row],[followers]]&lt;100000,"&lt;100K",IF(TwitterClean[[#This Row],[followers]]&lt;1000000,"100K-1M",IF(TwitterClean[[#This Row],[followers]]&lt;10000000,"1M-10M","10M+")))</f>
        <v>&lt;100K</v>
      </c>
    </row>
    <row r="381" spans="1:38">
      <c r="A381">
        <v>1.868258230712906E+18</v>
      </c>
      <c r="B381" t="s">
        <v>619</v>
      </c>
      <c r="C381" t="s">
        <v>620</v>
      </c>
      <c r="D381" t="s">
        <v>621</v>
      </c>
      <c r="E381" t="s">
        <v>622</v>
      </c>
      <c r="F381" t="s">
        <v>623</v>
      </c>
      <c r="G381" t="s">
        <v>624</v>
      </c>
      <c r="H381" t="s">
        <v>29</v>
      </c>
      <c r="I381">
        <v>7</v>
      </c>
      <c r="J381">
        <v>4</v>
      </c>
      <c r="K381">
        <v>38</v>
      </c>
      <c r="L381">
        <v>3576</v>
      </c>
      <c r="M381" t="s">
        <v>52</v>
      </c>
      <c r="N381" t="s">
        <v>625</v>
      </c>
      <c r="O381">
        <v>74680</v>
      </c>
      <c r="P381" t="s">
        <v>626</v>
      </c>
      <c r="Q381">
        <v>21094</v>
      </c>
      <c r="R381" t="s">
        <v>627</v>
      </c>
      <c r="S381">
        <v>33</v>
      </c>
      <c r="T381" t="b">
        <v>0</v>
      </c>
      <c r="U381">
        <v>3</v>
      </c>
      <c r="V381">
        <v>1</v>
      </c>
      <c r="W381" t="s">
        <v>35</v>
      </c>
      <c r="X381" t="s">
        <v>29</v>
      </c>
      <c r="Y381" t="s">
        <v>29</v>
      </c>
      <c r="Z381" t="s">
        <v>37</v>
      </c>
      <c r="AA381">
        <f>TwitterClean[[#This Row],[likes]]+TwitterClean[[#This Row],[replies]]+TwitterClean[[#This Row],[reposts]]+TwitterClean[[#This Row],[quotes]]+TwitterClean[[#This Row],[bookmarks]]</f>
        <v>53</v>
      </c>
      <c r="AB381" s="1">
        <f>TwitterClean[[#This Row],[Total_Engagements]]/TwitterClean[[#This Row],[views]]</f>
        <v>1.4821029082774049E-2</v>
      </c>
      <c r="AC381" s="3">
        <f>DATEVALUE(MID(TwitterClean[[#This Row],[date_posted]],2,10))</f>
        <v>45641</v>
      </c>
      <c r="AD381">
        <f>TIMEVALUE(MID(TwitterClean[[#This Row],[date_posted]],13,8))</f>
        <v>0.48202546296296295</v>
      </c>
      <c r="AE381" s="3" t="str">
        <f>TEXT(TwitterClean[[#This Row],[Post_Date]],"dddd")</f>
        <v>Sunday</v>
      </c>
      <c r="AF381">
        <f>HOUR(TwitterClean[[#This Row],[Post_Time]])</f>
        <v>11</v>
      </c>
      <c r="AG381" t="str">
        <f>IF(TwitterClean[[#This Row],[videos]]="Null","No","Yes")</f>
        <v>No</v>
      </c>
      <c r="AH381" t="str">
        <f>IF(TwitterClean[[#This Row],[photos]]="null","No","Yes")</f>
        <v>Yes</v>
      </c>
      <c r="AI381" t="str">
        <f>IF(TwitterClean[[#This Row],[hashtags]]="null","No","Yes")</f>
        <v>Yes</v>
      </c>
      <c r="AJ381" t="str">
        <f>IF(TwitterClean[[#This Row],[external_url]]="null","Yes","No")</f>
        <v>No</v>
      </c>
      <c r="AK381">
        <f>LEN(TwitterClean[[#This Row],[description]])</f>
        <v>69</v>
      </c>
      <c r="AL381" t="str">
        <f>IF(TwitterClean[[#This Row],[followers]]&lt;100000,"&lt;100K",IF(TwitterClean[[#This Row],[followers]]&lt;1000000,"100K-1M",IF(TwitterClean[[#This Row],[followers]]&lt;10000000,"1M-10M","10M+")))</f>
        <v>&lt;100K</v>
      </c>
    </row>
    <row r="382" spans="1:38">
      <c r="A382">
        <v>1.8683456022010104E+18</v>
      </c>
      <c r="B382" t="s">
        <v>1280</v>
      </c>
      <c r="C382" t="s">
        <v>1281</v>
      </c>
      <c r="D382" t="s">
        <v>1619</v>
      </c>
      <c r="E382" t="s">
        <v>1620</v>
      </c>
      <c r="F382" t="s">
        <v>29</v>
      </c>
      <c r="G382" t="s">
        <v>1621</v>
      </c>
      <c r="H382" t="s">
        <v>29</v>
      </c>
      <c r="I382">
        <v>672</v>
      </c>
      <c r="J382">
        <v>358</v>
      </c>
      <c r="K382">
        <v>3545</v>
      </c>
      <c r="L382">
        <v>317642</v>
      </c>
      <c r="M382" t="s">
        <v>1302</v>
      </c>
      <c r="N382" t="s">
        <v>1286</v>
      </c>
      <c r="O382">
        <v>38439077</v>
      </c>
      <c r="P382" t="s">
        <v>1287</v>
      </c>
      <c r="Q382">
        <v>92455</v>
      </c>
      <c r="R382" t="s">
        <v>1288</v>
      </c>
      <c r="S382">
        <v>145</v>
      </c>
      <c r="T382" t="b">
        <v>0</v>
      </c>
      <c r="U382">
        <v>109</v>
      </c>
      <c r="V382">
        <v>15</v>
      </c>
      <c r="W382" t="s">
        <v>35</v>
      </c>
      <c r="X382" t="s">
        <v>29</v>
      </c>
      <c r="Y382" t="s">
        <v>29</v>
      </c>
      <c r="Z382" t="s">
        <v>37</v>
      </c>
      <c r="AA382">
        <f>TwitterClean[[#This Row],[likes]]+TwitterClean[[#This Row],[replies]]+TwitterClean[[#This Row],[reposts]]+TwitterClean[[#This Row],[quotes]]+TwitterClean[[#This Row],[bookmarks]]</f>
        <v>4699</v>
      </c>
      <c r="AB382" s="1">
        <f>TwitterClean[[#This Row],[Total_Engagements]]/TwitterClean[[#This Row],[views]]</f>
        <v>1.4793383746481889E-2</v>
      </c>
      <c r="AC382" s="3">
        <f>DATEVALUE(MID(TwitterClean[[#This Row],[date_posted]],2,10))</f>
        <v>45641</v>
      </c>
      <c r="AD382">
        <f>TIMEVALUE(MID(TwitterClean[[#This Row],[date_posted]],13,8))</f>
        <v>0.72312500000000002</v>
      </c>
      <c r="AE382" s="3" t="str">
        <f>TEXT(TwitterClean[[#This Row],[Post_Date]],"dddd")</f>
        <v>Sunday</v>
      </c>
      <c r="AF382">
        <f>HOUR(TwitterClean[[#This Row],[Post_Time]])</f>
        <v>17</v>
      </c>
      <c r="AG382" t="str">
        <f>IF(TwitterClean[[#This Row],[videos]]="Null","No","Yes")</f>
        <v>No</v>
      </c>
      <c r="AH382" t="str">
        <f>IF(TwitterClean[[#This Row],[photos]]="null","No","Yes")</f>
        <v>No</v>
      </c>
      <c r="AI382" t="str">
        <f>IF(TwitterClean[[#This Row],[hashtags]]="null","No","Yes")</f>
        <v>Yes</v>
      </c>
      <c r="AJ382" t="str">
        <f>IF(TwitterClean[[#This Row],[external_url]]="null","Yes","No")</f>
        <v>No</v>
      </c>
      <c r="AK382">
        <f>LEN(TwitterClean[[#This Row],[description]])</f>
        <v>44</v>
      </c>
      <c r="AL382" t="str">
        <f>IF(TwitterClean[[#This Row],[followers]]&lt;100000,"&lt;100K",IF(TwitterClean[[#This Row],[followers]]&lt;1000000,"100K-1M",IF(TwitterClean[[#This Row],[followers]]&lt;10000000,"1M-10M","10M+")))</f>
        <v>10M+</v>
      </c>
    </row>
    <row r="383" spans="1:38">
      <c r="A383">
        <v>1.8665315740674586E+18</v>
      </c>
      <c r="B383" t="s">
        <v>2714</v>
      </c>
      <c r="C383" t="s">
        <v>2715</v>
      </c>
      <c r="D383" t="s">
        <v>2920</v>
      </c>
      <c r="E383" t="s">
        <v>2921</v>
      </c>
      <c r="F383" t="s">
        <v>29</v>
      </c>
      <c r="G383" t="s">
        <v>2922</v>
      </c>
      <c r="H383" t="s">
        <v>2923</v>
      </c>
      <c r="I383">
        <v>17</v>
      </c>
      <c r="J383">
        <v>33</v>
      </c>
      <c r="K383">
        <v>185</v>
      </c>
      <c r="L383">
        <v>17749</v>
      </c>
      <c r="M383" t="s">
        <v>52</v>
      </c>
      <c r="N383" t="s">
        <v>29</v>
      </c>
      <c r="O383">
        <v>182895</v>
      </c>
      <c r="P383" t="s">
        <v>2720</v>
      </c>
      <c r="Q383">
        <v>30781</v>
      </c>
      <c r="R383" t="s">
        <v>2721</v>
      </c>
      <c r="S383">
        <v>559</v>
      </c>
      <c r="T383" t="b">
        <v>0</v>
      </c>
      <c r="U383">
        <v>11</v>
      </c>
      <c r="V383">
        <v>16</v>
      </c>
      <c r="W383" t="s">
        <v>35</v>
      </c>
      <c r="X383" t="s">
        <v>29</v>
      </c>
      <c r="Y383" t="s">
        <v>2924</v>
      </c>
      <c r="Z383" t="s">
        <v>37</v>
      </c>
      <c r="AA383">
        <f>TwitterClean[[#This Row],[likes]]+TwitterClean[[#This Row],[replies]]+TwitterClean[[#This Row],[reposts]]+TwitterClean[[#This Row],[quotes]]+TwitterClean[[#This Row],[bookmarks]]</f>
        <v>262</v>
      </c>
      <c r="AB383" s="1">
        <f>TwitterClean[[#This Row],[Total_Engagements]]/TwitterClean[[#This Row],[views]]</f>
        <v>1.4761395008169474E-2</v>
      </c>
      <c r="AC383" s="3">
        <f>DATEVALUE(MID(TwitterClean[[#This Row],[date_posted]],2,10))</f>
        <v>45636</v>
      </c>
      <c r="AD383">
        <f>TIMEVALUE(MID(TwitterClean[[#This Row],[date_posted]],13,8))</f>
        <v>0.71736111111111112</v>
      </c>
      <c r="AE383" s="3" t="str">
        <f>TEXT(TwitterClean[[#This Row],[Post_Date]],"dddd")</f>
        <v>Tuesday</v>
      </c>
      <c r="AF383">
        <f>HOUR(TwitterClean[[#This Row],[Post_Time]])</f>
        <v>17</v>
      </c>
      <c r="AG383" t="str">
        <f>IF(TwitterClean[[#This Row],[videos]]="Null","No","Yes")</f>
        <v>Yes</v>
      </c>
      <c r="AH383" t="str">
        <f>IF(TwitterClean[[#This Row],[photos]]="null","No","Yes")</f>
        <v>No</v>
      </c>
      <c r="AI383" t="str">
        <f>IF(TwitterClean[[#This Row],[hashtags]]="null","No","Yes")</f>
        <v>No</v>
      </c>
      <c r="AJ383" t="str">
        <f>IF(TwitterClean[[#This Row],[external_url]]="null","Yes","No")</f>
        <v>No</v>
      </c>
      <c r="AK383">
        <f>LEN(TwitterClean[[#This Row],[description]])</f>
        <v>150</v>
      </c>
      <c r="AL383" t="str">
        <f>IF(TwitterClean[[#This Row],[followers]]&lt;100000,"&lt;100K",IF(TwitterClean[[#This Row],[followers]]&lt;1000000,"100K-1M",IF(TwitterClean[[#This Row],[followers]]&lt;10000000,"1M-10M","10M+")))</f>
        <v>100K-1M</v>
      </c>
    </row>
    <row r="384" spans="1:38">
      <c r="A384">
        <v>1.8683859587707169E+18</v>
      </c>
      <c r="B384" t="s">
        <v>1862</v>
      </c>
      <c r="C384" t="s">
        <v>1863</v>
      </c>
      <c r="D384" t="s">
        <v>2085</v>
      </c>
      <c r="E384" t="s">
        <v>2086</v>
      </c>
      <c r="F384" t="s">
        <v>29</v>
      </c>
      <c r="G384" t="s">
        <v>2087</v>
      </c>
      <c r="H384" t="s">
        <v>29</v>
      </c>
      <c r="I384">
        <v>16</v>
      </c>
      <c r="J384">
        <v>21</v>
      </c>
      <c r="K384">
        <v>213</v>
      </c>
      <c r="L384">
        <v>17733</v>
      </c>
      <c r="M384" t="s">
        <v>52</v>
      </c>
      <c r="N384" t="s">
        <v>1867</v>
      </c>
      <c r="O384">
        <v>13492430</v>
      </c>
      <c r="P384" t="s">
        <v>1868</v>
      </c>
      <c r="Q384">
        <v>314515</v>
      </c>
      <c r="R384" t="s">
        <v>1869</v>
      </c>
      <c r="S384">
        <v>708</v>
      </c>
      <c r="T384" t="b">
        <v>0</v>
      </c>
      <c r="U384">
        <v>4</v>
      </c>
      <c r="V384">
        <v>6</v>
      </c>
      <c r="W384" t="s">
        <v>35</v>
      </c>
      <c r="X384" t="s">
        <v>29</v>
      </c>
      <c r="Y384" t="s">
        <v>2088</v>
      </c>
      <c r="Z384" t="s">
        <v>37</v>
      </c>
      <c r="AA384">
        <f>TwitterClean[[#This Row],[likes]]+TwitterClean[[#This Row],[replies]]+TwitterClean[[#This Row],[reposts]]+TwitterClean[[#This Row],[quotes]]+TwitterClean[[#This Row],[bookmarks]]</f>
        <v>260</v>
      </c>
      <c r="AB384" s="1">
        <f>TwitterClean[[#This Row],[Total_Engagements]]/TwitterClean[[#This Row],[views]]</f>
        <v>1.4661929735521344E-2</v>
      </c>
      <c r="AC384" s="3">
        <f>DATEVALUE(MID(TwitterClean[[#This Row],[date_posted]],2,10))</f>
        <v>45641</v>
      </c>
      <c r="AD384">
        <f>TIMEVALUE(MID(TwitterClean[[#This Row],[date_posted]],13,8))</f>
        <v>0.8344907407407407</v>
      </c>
      <c r="AE384" s="3" t="str">
        <f>TEXT(TwitterClean[[#This Row],[Post_Date]],"dddd")</f>
        <v>Sunday</v>
      </c>
      <c r="AF384">
        <f>HOUR(TwitterClean[[#This Row],[Post_Time]])</f>
        <v>20</v>
      </c>
      <c r="AG384" t="str">
        <f>IF(TwitterClean[[#This Row],[videos]]="Null","No","Yes")</f>
        <v>Yes</v>
      </c>
      <c r="AH384" t="str">
        <f>IF(TwitterClean[[#This Row],[photos]]="null","No","Yes")</f>
        <v>No</v>
      </c>
      <c r="AI384" t="str">
        <f>IF(TwitterClean[[#This Row],[hashtags]]="null","No","Yes")</f>
        <v>Yes</v>
      </c>
      <c r="AJ384" t="str">
        <f>IF(TwitterClean[[#This Row],[external_url]]="null","Yes","No")</f>
        <v>No</v>
      </c>
      <c r="AK384">
        <f>LEN(TwitterClean[[#This Row],[description]])</f>
        <v>124</v>
      </c>
      <c r="AL384" t="str">
        <f>IF(TwitterClean[[#This Row],[followers]]&lt;100000,"&lt;100K",IF(TwitterClean[[#This Row],[followers]]&lt;1000000,"100K-1M",IF(TwitterClean[[#This Row],[followers]]&lt;10000000,"1M-10M","10M+")))</f>
        <v>10M+</v>
      </c>
    </row>
    <row r="385" spans="1:38">
      <c r="A385">
        <v>1.8683900330586808E+18</v>
      </c>
      <c r="B385" t="s">
        <v>2230</v>
      </c>
      <c r="C385" t="s">
        <v>2231</v>
      </c>
      <c r="D385" t="s">
        <v>2379</v>
      </c>
      <c r="E385" t="s">
        <v>2380</v>
      </c>
      <c r="F385" t="s">
        <v>2381</v>
      </c>
      <c r="G385" t="s">
        <v>2382</v>
      </c>
      <c r="H385" t="s">
        <v>29</v>
      </c>
      <c r="I385">
        <v>18</v>
      </c>
      <c r="J385">
        <v>61</v>
      </c>
      <c r="K385">
        <v>437</v>
      </c>
      <c r="L385">
        <v>36089</v>
      </c>
      <c r="M385" t="s">
        <v>2383</v>
      </c>
      <c r="N385" t="s">
        <v>29</v>
      </c>
      <c r="O385">
        <v>3313887</v>
      </c>
      <c r="P385" t="s">
        <v>2237</v>
      </c>
      <c r="Q385">
        <v>706459</v>
      </c>
      <c r="R385" t="s">
        <v>2238</v>
      </c>
      <c r="S385">
        <v>10308</v>
      </c>
      <c r="T385" t="b">
        <v>0</v>
      </c>
      <c r="U385">
        <v>3</v>
      </c>
      <c r="V385">
        <v>8</v>
      </c>
      <c r="W385" t="s">
        <v>35</v>
      </c>
      <c r="X385" t="s">
        <v>29</v>
      </c>
      <c r="Y385" t="s">
        <v>29</v>
      </c>
      <c r="Z385" t="s">
        <v>37</v>
      </c>
      <c r="AA385">
        <f>TwitterClean[[#This Row],[likes]]+TwitterClean[[#This Row],[replies]]+TwitterClean[[#This Row],[reposts]]+TwitterClean[[#This Row],[quotes]]+TwitterClean[[#This Row],[bookmarks]]</f>
        <v>527</v>
      </c>
      <c r="AB385" s="1">
        <f>TwitterClean[[#This Row],[Total_Engagements]]/TwitterClean[[#This Row],[views]]</f>
        <v>1.4602787552993986E-2</v>
      </c>
      <c r="AC385" s="3">
        <f>DATEVALUE(MID(TwitterClean[[#This Row],[date_posted]],2,10))</f>
        <v>45641</v>
      </c>
      <c r="AD385">
        <f>TIMEVALUE(MID(TwitterClean[[#This Row],[date_posted]],13,8))</f>
        <v>0.84572916666666664</v>
      </c>
      <c r="AE385" s="3" t="str">
        <f>TEXT(TwitterClean[[#This Row],[Post_Date]],"dddd")</f>
        <v>Sunday</v>
      </c>
      <c r="AF385">
        <f>HOUR(TwitterClean[[#This Row],[Post_Time]])</f>
        <v>20</v>
      </c>
      <c r="AG385" t="str">
        <f>IF(TwitterClean[[#This Row],[videos]]="Null","No","Yes")</f>
        <v>No</v>
      </c>
      <c r="AH385" t="str">
        <f>IF(TwitterClean[[#This Row],[photos]]="null","No","Yes")</f>
        <v>Yes</v>
      </c>
      <c r="AI385" t="str">
        <f>IF(TwitterClean[[#This Row],[hashtags]]="null","No","Yes")</f>
        <v>No</v>
      </c>
      <c r="AJ385" t="str">
        <f>IF(TwitterClean[[#This Row],[external_url]]="null","Yes","No")</f>
        <v>No</v>
      </c>
      <c r="AK385">
        <f>LEN(TwitterClean[[#This Row],[description]])</f>
        <v>144</v>
      </c>
      <c r="AL385" t="str">
        <f>IF(TwitterClean[[#This Row],[followers]]&lt;100000,"&lt;100K",IF(TwitterClean[[#This Row],[followers]]&lt;1000000,"100K-1M",IF(TwitterClean[[#This Row],[followers]]&lt;10000000,"1M-10M","10M+")))</f>
        <v>1M-10M</v>
      </c>
    </row>
    <row r="386" spans="1:38">
      <c r="A386">
        <v>1.8681292028279196E+18</v>
      </c>
      <c r="B386" t="s">
        <v>3034</v>
      </c>
      <c r="C386" t="s">
        <v>3035</v>
      </c>
      <c r="D386" t="s">
        <v>3078</v>
      </c>
      <c r="E386" t="s">
        <v>3079</v>
      </c>
      <c r="F386" t="s">
        <v>29</v>
      </c>
      <c r="G386" t="s">
        <v>3080</v>
      </c>
      <c r="H386" t="s">
        <v>3081</v>
      </c>
      <c r="I386">
        <v>162</v>
      </c>
      <c r="J386">
        <v>220</v>
      </c>
      <c r="K386">
        <v>3589</v>
      </c>
      <c r="L386">
        <v>279855</v>
      </c>
      <c r="M386" t="s">
        <v>52</v>
      </c>
      <c r="N386" t="s">
        <v>3040</v>
      </c>
      <c r="O386">
        <v>12876592</v>
      </c>
      <c r="P386" t="s">
        <v>3041</v>
      </c>
      <c r="Q386">
        <v>141401</v>
      </c>
      <c r="R386" t="s">
        <v>3042</v>
      </c>
      <c r="S386">
        <v>717</v>
      </c>
      <c r="T386" t="b">
        <v>0</v>
      </c>
      <c r="U386">
        <v>39</v>
      </c>
      <c r="V386">
        <v>66</v>
      </c>
      <c r="W386" t="s">
        <v>35</v>
      </c>
      <c r="X386" t="s">
        <v>29</v>
      </c>
      <c r="Y386" t="s">
        <v>3082</v>
      </c>
      <c r="Z386" t="s">
        <v>37</v>
      </c>
      <c r="AA386">
        <f>TwitterClean[[#This Row],[likes]]+TwitterClean[[#This Row],[replies]]+TwitterClean[[#This Row],[reposts]]+TwitterClean[[#This Row],[quotes]]+TwitterClean[[#This Row],[bookmarks]]</f>
        <v>4076</v>
      </c>
      <c r="AB386" s="1">
        <f>TwitterClean[[#This Row],[Total_Engagements]]/TwitterClean[[#This Row],[views]]</f>
        <v>1.4564685283450358E-2</v>
      </c>
      <c r="AC386" s="3">
        <f>DATEVALUE(MID(TwitterClean[[#This Row],[date_posted]],2,10))</f>
        <v>45641</v>
      </c>
      <c r="AD386">
        <f>TIMEVALUE(MID(TwitterClean[[#This Row],[date_posted]],13,8))</f>
        <v>0.12597222222222224</v>
      </c>
      <c r="AE386" s="3" t="str">
        <f>TEXT(TwitterClean[[#This Row],[Post_Date]],"dddd")</f>
        <v>Sunday</v>
      </c>
      <c r="AF386">
        <f>HOUR(TwitterClean[[#This Row],[Post_Time]])</f>
        <v>3</v>
      </c>
      <c r="AG386" t="str">
        <f>IF(TwitterClean[[#This Row],[videos]]="Null","No","Yes")</f>
        <v>Yes</v>
      </c>
      <c r="AH386" t="str">
        <f>IF(TwitterClean[[#This Row],[photos]]="null","No","Yes")</f>
        <v>No</v>
      </c>
      <c r="AI386" t="str">
        <f>IF(TwitterClean[[#This Row],[hashtags]]="null","No","Yes")</f>
        <v>Yes</v>
      </c>
      <c r="AJ386" t="str">
        <f>IF(TwitterClean[[#This Row],[external_url]]="null","Yes","No")</f>
        <v>No</v>
      </c>
      <c r="AK386">
        <f>LEN(TwitterClean[[#This Row],[description]])</f>
        <v>82</v>
      </c>
      <c r="AL386" t="str">
        <f>IF(TwitterClean[[#This Row],[followers]]&lt;100000,"&lt;100K",IF(TwitterClean[[#This Row],[followers]]&lt;1000000,"100K-1M",IF(TwitterClean[[#This Row],[followers]]&lt;10000000,"1M-10M","10M+")))</f>
        <v>10M+</v>
      </c>
    </row>
    <row r="387" spans="1:38">
      <c r="A387">
        <v>1.8681010039642278E+18</v>
      </c>
      <c r="B387" t="s">
        <v>3083</v>
      </c>
      <c r="C387" t="s">
        <v>3083</v>
      </c>
      <c r="D387" t="s">
        <v>3968</v>
      </c>
      <c r="E387" t="s">
        <v>3969</v>
      </c>
      <c r="F387" t="s">
        <v>29</v>
      </c>
      <c r="G387" t="s">
        <v>3970</v>
      </c>
      <c r="H387" t="s">
        <v>3971</v>
      </c>
      <c r="I387">
        <v>177</v>
      </c>
      <c r="J387">
        <v>927</v>
      </c>
      <c r="K387">
        <v>6790</v>
      </c>
      <c r="L387">
        <v>569213</v>
      </c>
      <c r="M387" t="s">
        <v>52</v>
      </c>
      <c r="N387" t="s">
        <v>3087</v>
      </c>
      <c r="O387">
        <v>14375937</v>
      </c>
      <c r="P387" t="s">
        <v>3088</v>
      </c>
      <c r="Q387">
        <v>346973</v>
      </c>
      <c r="R387" t="s">
        <v>3089</v>
      </c>
      <c r="S387">
        <v>392</v>
      </c>
      <c r="T387" t="b">
        <v>0</v>
      </c>
      <c r="U387">
        <v>60</v>
      </c>
      <c r="V387">
        <v>332</v>
      </c>
      <c r="W387" t="s">
        <v>35</v>
      </c>
      <c r="X387" t="s">
        <v>29</v>
      </c>
      <c r="Y387" t="s">
        <v>3972</v>
      </c>
      <c r="Z387" t="s">
        <v>37</v>
      </c>
      <c r="AA387">
        <f>TwitterClean[[#This Row],[likes]]+TwitterClean[[#This Row],[replies]]+TwitterClean[[#This Row],[reposts]]+TwitterClean[[#This Row],[quotes]]+TwitterClean[[#This Row],[bookmarks]]</f>
        <v>8286</v>
      </c>
      <c r="AB387" s="1">
        <f>TwitterClean[[#This Row],[Total_Engagements]]/TwitterClean[[#This Row],[views]]</f>
        <v>1.4556940899101039E-2</v>
      </c>
      <c r="AC387" s="3">
        <f>DATEVALUE(MID(TwitterClean[[#This Row],[date_posted]],2,10))</f>
        <v>45641</v>
      </c>
      <c r="AD387">
        <f>TIMEVALUE(MID(TwitterClean[[#This Row],[date_posted]],13,8))</f>
        <v>4.8159722222222222E-2</v>
      </c>
      <c r="AE387" s="3" t="str">
        <f>TEXT(TwitterClean[[#This Row],[Post_Date]],"dddd")</f>
        <v>Sunday</v>
      </c>
      <c r="AF387">
        <f>HOUR(TwitterClean[[#This Row],[Post_Time]])</f>
        <v>1</v>
      </c>
      <c r="AG387" t="str">
        <f>IF(TwitterClean[[#This Row],[videos]]="Null","No","Yes")</f>
        <v>Yes</v>
      </c>
      <c r="AH387" t="str">
        <f>IF(TwitterClean[[#This Row],[photos]]="null","No","Yes")</f>
        <v>No</v>
      </c>
      <c r="AI387" t="str">
        <f>IF(TwitterClean[[#This Row],[hashtags]]="null","No","Yes")</f>
        <v>Yes</v>
      </c>
      <c r="AJ387" t="str">
        <f>IF(TwitterClean[[#This Row],[external_url]]="null","Yes","No")</f>
        <v>No</v>
      </c>
      <c r="AK387">
        <f>LEN(TwitterClean[[#This Row],[description]])</f>
        <v>56</v>
      </c>
      <c r="AL387" t="str">
        <f>IF(TwitterClean[[#This Row],[followers]]&lt;100000,"&lt;100K",IF(TwitterClean[[#This Row],[followers]]&lt;1000000,"100K-1M",IF(TwitterClean[[#This Row],[followers]]&lt;10000000,"1M-10M","10M+")))</f>
        <v>10M+</v>
      </c>
    </row>
    <row r="388" spans="1:38">
      <c r="A388">
        <v>1.8683545857120671E+18</v>
      </c>
      <c r="B388" t="s">
        <v>2714</v>
      </c>
      <c r="C388" t="s">
        <v>2715</v>
      </c>
      <c r="D388" t="s">
        <v>2911</v>
      </c>
      <c r="E388" t="s">
        <v>2912</v>
      </c>
      <c r="F388" t="s">
        <v>29</v>
      </c>
      <c r="G388" t="s">
        <v>2913</v>
      </c>
      <c r="H388" t="s">
        <v>29</v>
      </c>
      <c r="I388">
        <v>7</v>
      </c>
      <c r="J388">
        <v>4</v>
      </c>
      <c r="K388">
        <v>94</v>
      </c>
      <c r="L388">
        <v>8269</v>
      </c>
      <c r="M388" t="s">
        <v>52</v>
      </c>
      <c r="N388" t="s">
        <v>2860</v>
      </c>
      <c r="O388">
        <v>182895</v>
      </c>
      <c r="P388" t="s">
        <v>2720</v>
      </c>
      <c r="Q388">
        <v>30781</v>
      </c>
      <c r="R388" t="s">
        <v>2721</v>
      </c>
      <c r="S388">
        <v>559</v>
      </c>
      <c r="T388" t="b">
        <v>0</v>
      </c>
      <c r="U388">
        <v>2</v>
      </c>
      <c r="V388">
        <v>13</v>
      </c>
      <c r="W388" t="s">
        <v>35</v>
      </c>
      <c r="X388" t="s">
        <v>29</v>
      </c>
      <c r="Y388" t="s">
        <v>2914</v>
      </c>
      <c r="Z388" t="s">
        <v>37</v>
      </c>
      <c r="AA388">
        <f>TwitterClean[[#This Row],[likes]]+TwitterClean[[#This Row],[replies]]+TwitterClean[[#This Row],[reposts]]+TwitterClean[[#This Row],[quotes]]+TwitterClean[[#This Row],[bookmarks]]</f>
        <v>120</v>
      </c>
      <c r="AB388" s="1">
        <f>TwitterClean[[#This Row],[Total_Engagements]]/TwitterClean[[#This Row],[views]]</f>
        <v>1.4512032893941226E-2</v>
      </c>
      <c r="AC388" s="3">
        <f>DATEVALUE(MID(TwitterClean[[#This Row],[date_posted]],2,10))</f>
        <v>45641</v>
      </c>
      <c r="AD388">
        <f>TIMEVALUE(MID(TwitterClean[[#This Row],[date_posted]],13,8))</f>
        <v>0.74791666666666667</v>
      </c>
      <c r="AE388" s="3" t="str">
        <f>TEXT(TwitterClean[[#This Row],[Post_Date]],"dddd")</f>
        <v>Sunday</v>
      </c>
      <c r="AF388">
        <f>HOUR(TwitterClean[[#This Row],[Post_Time]])</f>
        <v>17</v>
      </c>
      <c r="AG388" t="str">
        <f>IF(TwitterClean[[#This Row],[videos]]="Null","No","Yes")</f>
        <v>Yes</v>
      </c>
      <c r="AH388" t="str">
        <f>IF(TwitterClean[[#This Row],[photos]]="null","No","Yes")</f>
        <v>No</v>
      </c>
      <c r="AI388" t="str">
        <f>IF(TwitterClean[[#This Row],[hashtags]]="null","No","Yes")</f>
        <v>Yes</v>
      </c>
      <c r="AJ388" t="str">
        <f>IF(TwitterClean[[#This Row],[external_url]]="null","Yes","No")</f>
        <v>No</v>
      </c>
      <c r="AK388">
        <f>LEN(TwitterClean[[#This Row],[description]])</f>
        <v>81</v>
      </c>
      <c r="AL388" t="str">
        <f>IF(TwitterClean[[#This Row],[followers]]&lt;100000,"&lt;100K",IF(TwitterClean[[#This Row],[followers]]&lt;1000000,"100K-1M",IF(TwitterClean[[#This Row],[followers]]&lt;10000000,"1M-10M","10M+")))</f>
        <v>100K-1M</v>
      </c>
    </row>
    <row r="389" spans="1:38">
      <c r="A389">
        <v>1.8683556261049224E+18</v>
      </c>
      <c r="B389" t="s">
        <v>290</v>
      </c>
      <c r="C389" t="s">
        <v>291</v>
      </c>
      <c r="D389" t="s">
        <v>464</v>
      </c>
      <c r="E389" t="s">
        <v>465</v>
      </c>
      <c r="F389" t="s">
        <v>466</v>
      </c>
      <c r="G389" t="s">
        <v>467</v>
      </c>
      <c r="H389" t="s">
        <v>29</v>
      </c>
      <c r="I389">
        <v>3</v>
      </c>
      <c r="J389">
        <v>10</v>
      </c>
      <c r="K389">
        <v>200</v>
      </c>
      <c r="L389">
        <v>14932</v>
      </c>
      <c r="M389" t="s">
        <v>52</v>
      </c>
      <c r="N389" t="s">
        <v>305</v>
      </c>
      <c r="O389">
        <v>1906482</v>
      </c>
      <c r="P389" t="s">
        <v>298</v>
      </c>
      <c r="Q389">
        <v>124666</v>
      </c>
      <c r="R389" t="s">
        <v>299</v>
      </c>
      <c r="S389">
        <v>432</v>
      </c>
      <c r="T389" t="b">
        <v>0</v>
      </c>
      <c r="U389">
        <v>1</v>
      </c>
      <c r="V389">
        <v>1</v>
      </c>
      <c r="W389" t="s">
        <v>35</v>
      </c>
      <c r="X389" t="s">
        <v>29</v>
      </c>
      <c r="Y389" t="s">
        <v>29</v>
      </c>
      <c r="Z389" t="s">
        <v>37</v>
      </c>
      <c r="AA389">
        <f>TwitterClean[[#This Row],[likes]]+TwitterClean[[#This Row],[replies]]+TwitterClean[[#This Row],[reposts]]+TwitterClean[[#This Row],[quotes]]+TwitterClean[[#This Row],[bookmarks]]</f>
        <v>215</v>
      </c>
      <c r="AB389" s="1">
        <f>TwitterClean[[#This Row],[Total_Engagements]]/TwitterClean[[#This Row],[views]]</f>
        <v>1.4398607018483793E-2</v>
      </c>
      <c r="AC389" s="3">
        <f>DATEVALUE(MID(TwitterClean[[#This Row],[date_posted]],2,10))</f>
        <v>45641</v>
      </c>
      <c r="AD389">
        <f>TIMEVALUE(MID(TwitterClean[[#This Row],[date_posted]],13,8))</f>
        <v>0.75078703703703709</v>
      </c>
      <c r="AE389" s="3" t="str">
        <f>TEXT(TwitterClean[[#This Row],[Post_Date]],"dddd")</f>
        <v>Sunday</v>
      </c>
      <c r="AF389">
        <f>HOUR(TwitterClean[[#This Row],[Post_Time]])</f>
        <v>18</v>
      </c>
      <c r="AG389" t="str">
        <f>IF(TwitterClean[[#This Row],[videos]]="Null","No","Yes")</f>
        <v>No</v>
      </c>
      <c r="AH389" t="str">
        <f>IF(TwitterClean[[#This Row],[photos]]="null","No","Yes")</f>
        <v>Yes</v>
      </c>
      <c r="AI389" t="str">
        <f>IF(TwitterClean[[#This Row],[hashtags]]="null","No","Yes")</f>
        <v>Yes</v>
      </c>
      <c r="AJ389" t="str">
        <f>IF(TwitterClean[[#This Row],[external_url]]="null","Yes","No")</f>
        <v>No</v>
      </c>
      <c r="AK389">
        <f>LEN(TwitterClean[[#This Row],[description]])</f>
        <v>65</v>
      </c>
      <c r="AL389" t="str">
        <f>IF(TwitterClean[[#This Row],[followers]]&lt;100000,"&lt;100K",IF(TwitterClean[[#This Row],[followers]]&lt;1000000,"100K-1M",IF(TwitterClean[[#This Row],[followers]]&lt;10000000,"1M-10M","10M+")))</f>
        <v>1M-10M</v>
      </c>
    </row>
    <row r="390" spans="1:38">
      <c r="A390">
        <v>1.8683138174924186E+18</v>
      </c>
      <c r="B390" t="s">
        <v>228</v>
      </c>
      <c r="C390" t="s">
        <v>228</v>
      </c>
      <c r="D390" t="s">
        <v>836</v>
      </c>
      <c r="E390" t="s">
        <v>837</v>
      </c>
      <c r="F390" t="s">
        <v>838</v>
      </c>
      <c r="G390" t="s">
        <v>839</v>
      </c>
      <c r="H390" t="s">
        <v>29</v>
      </c>
      <c r="I390">
        <v>1</v>
      </c>
      <c r="J390">
        <v>14</v>
      </c>
      <c r="K390">
        <v>34</v>
      </c>
      <c r="L390">
        <v>3897</v>
      </c>
      <c r="M390" t="s">
        <v>840</v>
      </c>
      <c r="N390" t="s">
        <v>29</v>
      </c>
      <c r="O390">
        <v>1239618</v>
      </c>
      <c r="P390" t="s">
        <v>235</v>
      </c>
      <c r="Q390">
        <v>402839</v>
      </c>
      <c r="R390" t="s">
        <v>236</v>
      </c>
      <c r="S390">
        <v>1644</v>
      </c>
      <c r="T390" t="b">
        <v>0</v>
      </c>
      <c r="U390">
        <v>3</v>
      </c>
      <c r="V390">
        <v>4</v>
      </c>
      <c r="W390" t="s">
        <v>35</v>
      </c>
      <c r="X390" t="s">
        <v>29</v>
      </c>
      <c r="Y390" t="s">
        <v>29</v>
      </c>
      <c r="Z390" t="s">
        <v>37</v>
      </c>
      <c r="AA390">
        <f>TwitterClean[[#This Row],[likes]]+TwitterClean[[#This Row],[replies]]+TwitterClean[[#This Row],[reposts]]+TwitterClean[[#This Row],[quotes]]+TwitterClean[[#This Row],[bookmarks]]</f>
        <v>56</v>
      </c>
      <c r="AB390" s="1">
        <f>TwitterClean[[#This Row],[Total_Engagements]]/TwitterClean[[#This Row],[views]]</f>
        <v>1.437002822684116E-2</v>
      </c>
      <c r="AC390" s="3">
        <f>DATEVALUE(MID(TwitterClean[[#This Row],[date_posted]],2,10))</f>
        <v>45641</v>
      </c>
      <c r="AD390">
        <f>TIMEVALUE(MID(TwitterClean[[#This Row],[date_posted]],13,8))</f>
        <v>0.63541666666666663</v>
      </c>
      <c r="AE390" s="3" t="str">
        <f>TEXT(TwitterClean[[#This Row],[Post_Date]],"dddd")</f>
        <v>Sunday</v>
      </c>
      <c r="AF390">
        <f>HOUR(TwitterClean[[#This Row],[Post_Time]])</f>
        <v>15</v>
      </c>
      <c r="AG390" t="str">
        <f>IF(TwitterClean[[#This Row],[videos]]="Null","No","Yes")</f>
        <v>No</v>
      </c>
      <c r="AH390" t="str">
        <f>IF(TwitterClean[[#This Row],[photos]]="null","No","Yes")</f>
        <v>Yes</v>
      </c>
      <c r="AI390" t="str">
        <f>IF(TwitterClean[[#This Row],[hashtags]]="null","No","Yes")</f>
        <v>No</v>
      </c>
      <c r="AJ390" t="str">
        <f>IF(TwitterClean[[#This Row],[external_url]]="null","Yes","No")</f>
        <v>No</v>
      </c>
      <c r="AK390">
        <f>LEN(TwitterClean[[#This Row],[description]])</f>
        <v>218</v>
      </c>
      <c r="AL390" t="str">
        <f>IF(TwitterClean[[#This Row],[followers]]&lt;100000,"&lt;100K",IF(TwitterClean[[#This Row],[followers]]&lt;1000000,"100K-1M",IF(TwitterClean[[#This Row],[followers]]&lt;10000000,"1M-10M","10M+")))</f>
        <v>1M-10M</v>
      </c>
    </row>
    <row r="391" spans="1:38">
      <c r="A391">
        <v>1.8681021616550584E+18</v>
      </c>
      <c r="B391" t="s">
        <v>3083</v>
      </c>
      <c r="C391" t="s">
        <v>3083</v>
      </c>
      <c r="D391" t="s">
        <v>3878</v>
      </c>
      <c r="E391" t="s">
        <v>3879</v>
      </c>
      <c r="F391" t="s">
        <v>29</v>
      </c>
      <c r="G391" t="s">
        <v>3880</v>
      </c>
      <c r="H391" t="s">
        <v>3881</v>
      </c>
      <c r="I391">
        <v>68</v>
      </c>
      <c r="J391">
        <v>471</v>
      </c>
      <c r="K391">
        <v>3725</v>
      </c>
      <c r="L391">
        <v>304839</v>
      </c>
      <c r="M391" t="s">
        <v>52</v>
      </c>
      <c r="N391" t="s">
        <v>3087</v>
      </c>
      <c r="O391">
        <v>14375935</v>
      </c>
      <c r="P391" t="s">
        <v>3088</v>
      </c>
      <c r="Q391">
        <v>346973</v>
      </c>
      <c r="R391" t="s">
        <v>3089</v>
      </c>
      <c r="S391">
        <v>392</v>
      </c>
      <c r="T391" t="b">
        <v>0</v>
      </c>
      <c r="U391">
        <v>11</v>
      </c>
      <c r="V391">
        <v>103</v>
      </c>
      <c r="W391" t="s">
        <v>35</v>
      </c>
      <c r="X391" t="s">
        <v>29</v>
      </c>
      <c r="Y391" t="s">
        <v>3882</v>
      </c>
      <c r="Z391" t="s">
        <v>37</v>
      </c>
      <c r="AA391">
        <f>TwitterClean[[#This Row],[likes]]+TwitterClean[[#This Row],[replies]]+TwitterClean[[#This Row],[reposts]]+TwitterClean[[#This Row],[quotes]]+TwitterClean[[#This Row],[bookmarks]]</f>
        <v>4378</v>
      </c>
      <c r="AB391" s="1">
        <f>TwitterClean[[#This Row],[Total_Engagements]]/TwitterClean[[#This Row],[views]]</f>
        <v>1.4361679443903175E-2</v>
      </c>
      <c r="AC391" s="3">
        <f>DATEVALUE(MID(TwitterClean[[#This Row],[date_posted]],2,10))</f>
        <v>45641</v>
      </c>
      <c r="AD391">
        <f>TIMEVALUE(MID(TwitterClean[[#This Row],[date_posted]],13,8))</f>
        <v>5.1354166666666666E-2</v>
      </c>
      <c r="AE391" s="3" t="str">
        <f>TEXT(TwitterClean[[#This Row],[Post_Date]],"dddd")</f>
        <v>Sunday</v>
      </c>
      <c r="AF391">
        <f>HOUR(TwitterClean[[#This Row],[Post_Time]])</f>
        <v>1</v>
      </c>
      <c r="AG391" t="str">
        <f>IF(TwitterClean[[#This Row],[videos]]="Null","No","Yes")</f>
        <v>Yes</v>
      </c>
      <c r="AH391" t="str">
        <f>IF(TwitterClean[[#This Row],[photos]]="null","No","Yes")</f>
        <v>No</v>
      </c>
      <c r="AI391" t="str">
        <f>IF(TwitterClean[[#This Row],[hashtags]]="null","No","Yes")</f>
        <v>Yes</v>
      </c>
      <c r="AJ391" t="str">
        <f>IF(TwitterClean[[#This Row],[external_url]]="null","Yes","No")</f>
        <v>No</v>
      </c>
      <c r="AK391">
        <f>LEN(TwitterClean[[#This Row],[description]])</f>
        <v>27</v>
      </c>
      <c r="AL391" t="str">
        <f>IF(TwitterClean[[#This Row],[followers]]&lt;100000,"&lt;100K",IF(TwitterClean[[#This Row],[followers]]&lt;1000000,"100K-1M",IF(TwitterClean[[#This Row],[followers]]&lt;10000000,"1M-10M","10M+")))</f>
        <v>10M+</v>
      </c>
    </row>
    <row r="392" spans="1:38">
      <c r="A392">
        <v>1.8681707174996667E+18</v>
      </c>
      <c r="B392" t="s">
        <v>3034</v>
      </c>
      <c r="C392" t="s">
        <v>3035</v>
      </c>
      <c r="D392" t="s">
        <v>3649</v>
      </c>
      <c r="E392" t="s">
        <v>3650</v>
      </c>
      <c r="F392" t="s">
        <v>29</v>
      </c>
      <c r="G392" t="s">
        <v>3651</v>
      </c>
      <c r="H392" t="s">
        <v>3652</v>
      </c>
      <c r="I392">
        <v>93</v>
      </c>
      <c r="J392">
        <v>117</v>
      </c>
      <c r="K392">
        <v>1494</v>
      </c>
      <c r="L392">
        <v>122244</v>
      </c>
      <c r="M392" t="s">
        <v>52</v>
      </c>
      <c r="N392" t="s">
        <v>3040</v>
      </c>
      <c r="O392">
        <v>12876592</v>
      </c>
      <c r="P392" t="s">
        <v>3041</v>
      </c>
      <c r="Q392">
        <v>141401</v>
      </c>
      <c r="R392" t="s">
        <v>3042</v>
      </c>
      <c r="S392">
        <v>717</v>
      </c>
      <c r="T392" t="b">
        <v>0</v>
      </c>
      <c r="U392">
        <v>14</v>
      </c>
      <c r="V392">
        <v>33</v>
      </c>
      <c r="W392" t="s">
        <v>35</v>
      </c>
      <c r="X392" t="s">
        <v>29</v>
      </c>
      <c r="Y392" t="s">
        <v>3653</v>
      </c>
      <c r="Z392" t="s">
        <v>37</v>
      </c>
      <c r="AA392">
        <f>TwitterClean[[#This Row],[likes]]+TwitterClean[[#This Row],[replies]]+TwitterClean[[#This Row],[reposts]]+TwitterClean[[#This Row],[quotes]]+TwitterClean[[#This Row],[bookmarks]]</f>
        <v>1751</v>
      </c>
      <c r="AB392" s="1">
        <f>TwitterClean[[#This Row],[Total_Engagements]]/TwitterClean[[#This Row],[views]]</f>
        <v>1.432381139360623E-2</v>
      </c>
      <c r="AC392" s="3">
        <f>DATEVALUE(MID(TwitterClean[[#This Row],[date_posted]],2,10))</f>
        <v>45641</v>
      </c>
      <c r="AD392">
        <f>TIMEVALUE(MID(TwitterClean[[#This Row],[date_posted]],13,8))</f>
        <v>0.24053240740740742</v>
      </c>
      <c r="AE392" s="3" t="str">
        <f>TEXT(TwitterClean[[#This Row],[Post_Date]],"dddd")</f>
        <v>Sunday</v>
      </c>
      <c r="AF392">
        <f>HOUR(TwitterClean[[#This Row],[Post_Time]])</f>
        <v>5</v>
      </c>
      <c r="AG392" t="str">
        <f>IF(TwitterClean[[#This Row],[videos]]="Null","No","Yes")</f>
        <v>Yes</v>
      </c>
      <c r="AH392" t="str">
        <f>IF(TwitterClean[[#This Row],[photos]]="null","No","Yes")</f>
        <v>No</v>
      </c>
      <c r="AI392" t="str">
        <f>IF(TwitterClean[[#This Row],[hashtags]]="null","No","Yes")</f>
        <v>Yes</v>
      </c>
      <c r="AJ392" t="str">
        <f>IF(TwitterClean[[#This Row],[external_url]]="null","Yes","No")</f>
        <v>No</v>
      </c>
      <c r="AK392">
        <f>LEN(TwitterClean[[#This Row],[description]])</f>
        <v>44</v>
      </c>
      <c r="AL392" t="str">
        <f>IF(TwitterClean[[#This Row],[followers]]&lt;100000,"&lt;100K",IF(TwitterClean[[#This Row],[followers]]&lt;1000000,"100K-1M",IF(TwitterClean[[#This Row],[followers]]&lt;10000000,"1M-10M","10M+")))</f>
        <v>10M+</v>
      </c>
    </row>
    <row r="393" spans="1:38">
      <c r="A393">
        <v>1.8682881974798172E+18</v>
      </c>
      <c r="B393" t="s">
        <v>2230</v>
      </c>
      <c r="C393" t="s">
        <v>2231</v>
      </c>
      <c r="D393" t="s">
        <v>2269</v>
      </c>
      <c r="E393" t="s">
        <v>2270</v>
      </c>
      <c r="F393" t="s">
        <v>2271</v>
      </c>
      <c r="G393" t="s">
        <v>2272</v>
      </c>
      <c r="H393" t="s">
        <v>29</v>
      </c>
      <c r="I393">
        <v>90</v>
      </c>
      <c r="J393">
        <v>132</v>
      </c>
      <c r="K393">
        <v>596</v>
      </c>
      <c r="L393">
        <v>60439</v>
      </c>
      <c r="M393" t="s">
        <v>2273</v>
      </c>
      <c r="N393" t="s">
        <v>29</v>
      </c>
      <c r="O393">
        <v>3313891</v>
      </c>
      <c r="P393" t="s">
        <v>2237</v>
      </c>
      <c r="Q393">
        <v>706459</v>
      </c>
      <c r="R393" t="s">
        <v>2238</v>
      </c>
      <c r="S393">
        <v>10308</v>
      </c>
      <c r="T393" t="b">
        <v>0</v>
      </c>
      <c r="U393">
        <v>19</v>
      </c>
      <c r="V393">
        <v>28</v>
      </c>
      <c r="W393" t="s">
        <v>35</v>
      </c>
      <c r="X393" t="s">
        <v>29</v>
      </c>
      <c r="Y393" t="s">
        <v>29</v>
      </c>
      <c r="Z393" t="s">
        <v>37</v>
      </c>
      <c r="AA393">
        <f>TwitterClean[[#This Row],[likes]]+TwitterClean[[#This Row],[replies]]+TwitterClean[[#This Row],[reposts]]+TwitterClean[[#This Row],[quotes]]+TwitterClean[[#This Row],[bookmarks]]</f>
        <v>865</v>
      </c>
      <c r="AB393" s="1">
        <f>TwitterClean[[#This Row],[Total_Engagements]]/TwitterClean[[#This Row],[views]]</f>
        <v>1.4311950892635549E-2</v>
      </c>
      <c r="AC393" s="3">
        <f>DATEVALUE(MID(TwitterClean[[#This Row],[date_posted]],2,10))</f>
        <v>45641</v>
      </c>
      <c r="AD393">
        <f>TIMEVALUE(MID(TwitterClean[[#This Row],[date_posted]],13,8))</f>
        <v>0.56472222222222224</v>
      </c>
      <c r="AE393" s="3" t="str">
        <f>TEXT(TwitterClean[[#This Row],[Post_Date]],"dddd")</f>
        <v>Sunday</v>
      </c>
      <c r="AF393">
        <f>HOUR(TwitterClean[[#This Row],[Post_Time]])</f>
        <v>13</v>
      </c>
      <c r="AG393" t="str">
        <f>IF(TwitterClean[[#This Row],[videos]]="Null","No","Yes")</f>
        <v>No</v>
      </c>
      <c r="AH393" t="str">
        <f>IF(TwitterClean[[#This Row],[photos]]="null","No","Yes")</f>
        <v>Yes</v>
      </c>
      <c r="AI393" t="str">
        <f>IF(TwitterClean[[#This Row],[hashtags]]="null","No","Yes")</f>
        <v>No</v>
      </c>
      <c r="AJ393" t="str">
        <f>IF(TwitterClean[[#This Row],[external_url]]="null","Yes","No")</f>
        <v>No</v>
      </c>
      <c r="AK393">
        <f>LEN(TwitterClean[[#This Row],[description]])</f>
        <v>99</v>
      </c>
      <c r="AL393" t="str">
        <f>IF(TwitterClean[[#This Row],[followers]]&lt;100000,"&lt;100K",IF(TwitterClean[[#This Row],[followers]]&lt;1000000,"100K-1M",IF(TwitterClean[[#This Row],[followers]]&lt;10000000,"1M-10M","10M+")))</f>
        <v>1M-10M</v>
      </c>
    </row>
    <row r="394" spans="1:38">
      <c r="A394">
        <v>1.8681430576331735E+18</v>
      </c>
      <c r="B394" t="s">
        <v>3083</v>
      </c>
      <c r="C394" t="s">
        <v>3083</v>
      </c>
      <c r="D394" t="s">
        <v>3964</v>
      </c>
      <c r="E394" t="s">
        <v>3965</v>
      </c>
      <c r="F394" t="s">
        <v>29</v>
      </c>
      <c r="G394" t="s">
        <v>3966</v>
      </c>
      <c r="H394" t="s">
        <v>29</v>
      </c>
      <c r="I394">
        <v>742</v>
      </c>
      <c r="J394">
        <v>3313</v>
      </c>
      <c r="K394">
        <v>27354</v>
      </c>
      <c r="L394">
        <v>2407550</v>
      </c>
      <c r="M394" t="s">
        <v>52</v>
      </c>
      <c r="N394" t="s">
        <v>3087</v>
      </c>
      <c r="O394">
        <v>14375937</v>
      </c>
      <c r="P394" t="s">
        <v>3088</v>
      </c>
      <c r="Q394">
        <v>346973</v>
      </c>
      <c r="R394" t="s">
        <v>3089</v>
      </c>
      <c r="S394">
        <v>392</v>
      </c>
      <c r="T394" t="b">
        <v>0</v>
      </c>
      <c r="U394">
        <v>474</v>
      </c>
      <c r="V394">
        <v>2149</v>
      </c>
      <c r="W394" t="s">
        <v>35</v>
      </c>
      <c r="X394" t="s">
        <v>29</v>
      </c>
      <c r="Y394" t="s">
        <v>3967</v>
      </c>
      <c r="Z394" t="s">
        <v>37</v>
      </c>
      <c r="AA394">
        <f>TwitterClean[[#This Row],[likes]]+TwitterClean[[#This Row],[replies]]+TwitterClean[[#This Row],[reposts]]+TwitterClean[[#This Row],[quotes]]+TwitterClean[[#This Row],[bookmarks]]</f>
        <v>34032</v>
      </c>
      <c r="AB394" s="1">
        <f>TwitterClean[[#This Row],[Total_Engagements]]/TwitterClean[[#This Row],[views]]</f>
        <v>1.4135531972337023E-2</v>
      </c>
      <c r="AC394" s="3">
        <f>DATEVALUE(MID(TwitterClean[[#This Row],[date_posted]],2,10))</f>
        <v>45641</v>
      </c>
      <c r="AD394">
        <f>TIMEVALUE(MID(TwitterClean[[#This Row],[date_posted]],13,8))</f>
        <v>0.16421296296296295</v>
      </c>
      <c r="AE394" s="3" t="str">
        <f>TEXT(TwitterClean[[#This Row],[Post_Date]],"dddd")</f>
        <v>Sunday</v>
      </c>
      <c r="AF394">
        <f>HOUR(TwitterClean[[#This Row],[Post_Time]])</f>
        <v>3</v>
      </c>
      <c r="AG394" t="str">
        <f>IF(TwitterClean[[#This Row],[videos]]="Null","No","Yes")</f>
        <v>Yes</v>
      </c>
      <c r="AH394" t="str">
        <f>IF(TwitterClean[[#This Row],[photos]]="null","No","Yes")</f>
        <v>No</v>
      </c>
      <c r="AI394" t="str">
        <f>IF(TwitterClean[[#This Row],[hashtags]]="null","No","Yes")</f>
        <v>Yes</v>
      </c>
      <c r="AJ394" t="str">
        <f>IF(TwitterClean[[#This Row],[external_url]]="null","Yes","No")</f>
        <v>No</v>
      </c>
      <c r="AK394">
        <f>LEN(TwitterClean[[#This Row],[description]])</f>
        <v>81</v>
      </c>
      <c r="AL394" t="str">
        <f>IF(TwitterClean[[#This Row],[followers]]&lt;100000,"&lt;100K",IF(TwitterClean[[#This Row],[followers]]&lt;1000000,"100K-1M",IF(TwitterClean[[#This Row],[followers]]&lt;10000000,"1M-10M","10M+")))</f>
        <v>10M+</v>
      </c>
    </row>
    <row r="395" spans="1:38">
      <c r="A395">
        <v>1.8683376886315013E+18</v>
      </c>
      <c r="B395" t="s">
        <v>3837</v>
      </c>
      <c r="C395" t="s">
        <v>3838</v>
      </c>
      <c r="D395" t="s">
        <v>4588</v>
      </c>
      <c r="E395" t="s">
        <v>4589</v>
      </c>
      <c r="F395" t="s">
        <v>4590</v>
      </c>
      <c r="G395" t="s">
        <v>4591</v>
      </c>
      <c r="H395" t="s">
        <v>29</v>
      </c>
      <c r="I395">
        <v>112</v>
      </c>
      <c r="J395">
        <v>138</v>
      </c>
      <c r="K395">
        <v>1335</v>
      </c>
      <c r="L395">
        <v>115256</v>
      </c>
      <c r="M395" t="s">
        <v>4452</v>
      </c>
      <c r="N395" t="s">
        <v>3843</v>
      </c>
      <c r="O395">
        <v>984256</v>
      </c>
      <c r="P395" t="s">
        <v>3844</v>
      </c>
      <c r="Q395">
        <v>136135</v>
      </c>
      <c r="R395" t="s">
        <v>3845</v>
      </c>
      <c r="S395">
        <v>438</v>
      </c>
      <c r="T395" t="b">
        <v>0</v>
      </c>
      <c r="U395">
        <v>36</v>
      </c>
      <c r="V395">
        <v>6</v>
      </c>
      <c r="W395" t="s">
        <v>35</v>
      </c>
      <c r="X395" t="s">
        <v>29</v>
      </c>
      <c r="Y395" t="s">
        <v>29</v>
      </c>
      <c r="Z395" t="s">
        <v>37</v>
      </c>
      <c r="AA395">
        <f>TwitterClean[[#This Row],[likes]]+TwitterClean[[#This Row],[replies]]+TwitterClean[[#This Row],[reposts]]+TwitterClean[[#This Row],[quotes]]+TwitterClean[[#This Row],[bookmarks]]</f>
        <v>1627</v>
      </c>
      <c r="AB395" s="1">
        <f>TwitterClean[[#This Row],[Total_Engagements]]/TwitterClean[[#This Row],[views]]</f>
        <v>1.4116401749149719E-2</v>
      </c>
      <c r="AC395" s="3">
        <f>DATEVALUE(MID(TwitterClean[[#This Row],[date_posted]],2,10))</f>
        <v>45641</v>
      </c>
      <c r="AD395">
        <f>TIMEVALUE(MID(TwitterClean[[#This Row],[date_posted]],13,8))</f>
        <v>0.70128472222222227</v>
      </c>
      <c r="AE395" s="3" t="str">
        <f>TEXT(TwitterClean[[#This Row],[Post_Date]],"dddd")</f>
        <v>Sunday</v>
      </c>
      <c r="AF395">
        <f>HOUR(TwitterClean[[#This Row],[Post_Time]])</f>
        <v>16</v>
      </c>
      <c r="AG395" t="str">
        <f>IF(TwitterClean[[#This Row],[videos]]="Null","No","Yes")</f>
        <v>No</v>
      </c>
      <c r="AH395" t="str">
        <f>IF(TwitterClean[[#This Row],[photos]]="null","No","Yes")</f>
        <v>Yes</v>
      </c>
      <c r="AI395" t="str">
        <f>IF(TwitterClean[[#This Row],[hashtags]]="null","No","Yes")</f>
        <v>Yes</v>
      </c>
      <c r="AJ395" t="str">
        <f>IF(TwitterClean[[#This Row],[external_url]]="null","Yes","No")</f>
        <v>No</v>
      </c>
      <c r="AK395">
        <f>LEN(TwitterClean[[#This Row],[description]])</f>
        <v>80</v>
      </c>
      <c r="AL395" t="str">
        <f>IF(TwitterClean[[#This Row],[followers]]&lt;100000,"&lt;100K",IF(TwitterClean[[#This Row],[followers]]&lt;1000000,"100K-1M",IF(TwitterClean[[#This Row],[followers]]&lt;10000000,"1M-10M","10M+")))</f>
        <v>100K-1M</v>
      </c>
    </row>
    <row r="396" spans="1:38">
      <c r="A396">
        <v>1.8682194515370683E+18</v>
      </c>
      <c r="B396" t="s">
        <v>1303</v>
      </c>
      <c r="C396" t="s">
        <v>1304</v>
      </c>
      <c r="D396" t="s">
        <v>1485</v>
      </c>
      <c r="E396" t="s">
        <v>1486</v>
      </c>
      <c r="F396" t="s">
        <v>1487</v>
      </c>
      <c r="G396" t="s">
        <v>1488</v>
      </c>
      <c r="H396" t="s">
        <v>723</v>
      </c>
      <c r="I396">
        <v>26</v>
      </c>
      <c r="J396">
        <v>87</v>
      </c>
      <c r="K396">
        <v>791</v>
      </c>
      <c r="L396">
        <v>65628</v>
      </c>
      <c r="M396" t="s">
        <v>52</v>
      </c>
      <c r="N396" t="s">
        <v>1273</v>
      </c>
      <c r="O396">
        <v>240106</v>
      </c>
      <c r="P396" t="s">
        <v>1309</v>
      </c>
      <c r="Q396">
        <v>29070</v>
      </c>
      <c r="R396" t="s">
        <v>1310</v>
      </c>
      <c r="S396">
        <v>799</v>
      </c>
      <c r="T396" t="b">
        <v>0</v>
      </c>
      <c r="U396">
        <v>5</v>
      </c>
      <c r="V396">
        <v>16</v>
      </c>
      <c r="W396" t="s">
        <v>35</v>
      </c>
      <c r="X396" t="s">
        <v>29</v>
      </c>
      <c r="Y396" t="s">
        <v>29</v>
      </c>
      <c r="Z396" t="s">
        <v>37</v>
      </c>
      <c r="AA396">
        <f>TwitterClean[[#This Row],[likes]]+TwitterClean[[#This Row],[replies]]+TwitterClean[[#This Row],[reposts]]+TwitterClean[[#This Row],[quotes]]+TwitterClean[[#This Row],[bookmarks]]</f>
        <v>925</v>
      </c>
      <c r="AB396" s="1">
        <f>TwitterClean[[#This Row],[Total_Engagements]]/TwitterClean[[#This Row],[views]]</f>
        <v>1.4094593770951423E-2</v>
      </c>
      <c r="AC396" s="3">
        <f>DATEVALUE(MID(TwitterClean[[#This Row],[date_posted]],2,10))</f>
        <v>45641</v>
      </c>
      <c r="AD396">
        <f>TIMEVALUE(MID(TwitterClean[[#This Row],[date_posted]],13,8))</f>
        <v>0.37501157407407409</v>
      </c>
      <c r="AE396" s="3" t="str">
        <f>TEXT(TwitterClean[[#This Row],[Post_Date]],"dddd")</f>
        <v>Sunday</v>
      </c>
      <c r="AF396">
        <f>HOUR(TwitterClean[[#This Row],[Post_Time]])</f>
        <v>9</v>
      </c>
      <c r="AG396" t="str">
        <f>IF(TwitterClean[[#This Row],[videos]]="Null","No","Yes")</f>
        <v>No</v>
      </c>
      <c r="AH396" t="str">
        <f>IF(TwitterClean[[#This Row],[photos]]="null","No","Yes")</f>
        <v>Yes</v>
      </c>
      <c r="AI396" t="str">
        <f>IF(TwitterClean[[#This Row],[hashtags]]="null","No","Yes")</f>
        <v>Yes</v>
      </c>
      <c r="AJ396" t="str">
        <f>IF(TwitterClean[[#This Row],[external_url]]="null","Yes","No")</f>
        <v>No</v>
      </c>
      <c r="AK396">
        <f>LEN(TwitterClean[[#This Row],[description]])</f>
        <v>53</v>
      </c>
      <c r="AL396" t="str">
        <f>IF(TwitterClean[[#This Row],[followers]]&lt;100000,"&lt;100K",IF(TwitterClean[[#This Row],[followers]]&lt;1000000,"100K-1M",IF(TwitterClean[[#This Row],[followers]]&lt;10000000,"1M-10M","10M+")))</f>
        <v>100K-1M</v>
      </c>
    </row>
    <row r="397" spans="1:38">
      <c r="A397">
        <v>1.8683206298809795E+18</v>
      </c>
      <c r="B397" t="s">
        <v>3083</v>
      </c>
      <c r="C397" t="s">
        <v>3083</v>
      </c>
      <c r="D397" t="s">
        <v>5066</v>
      </c>
      <c r="E397" t="s">
        <v>5067</v>
      </c>
      <c r="F397" t="s">
        <v>5068</v>
      </c>
      <c r="G397" t="s">
        <v>5069</v>
      </c>
      <c r="H397" t="s">
        <v>29</v>
      </c>
      <c r="I397">
        <v>112</v>
      </c>
      <c r="J397">
        <v>137</v>
      </c>
      <c r="K397">
        <v>1177</v>
      </c>
      <c r="L397">
        <v>103887</v>
      </c>
      <c r="M397" t="s">
        <v>5070</v>
      </c>
      <c r="N397" t="s">
        <v>5071</v>
      </c>
      <c r="O397">
        <v>14376035</v>
      </c>
      <c r="P397" t="s">
        <v>3088</v>
      </c>
      <c r="Q397">
        <v>346973</v>
      </c>
      <c r="R397" t="s">
        <v>3089</v>
      </c>
      <c r="S397">
        <v>392</v>
      </c>
      <c r="T397" t="b">
        <v>0</v>
      </c>
      <c r="U397">
        <v>3</v>
      </c>
      <c r="V397">
        <v>32</v>
      </c>
      <c r="W397" t="s">
        <v>35</v>
      </c>
      <c r="X397" t="s">
        <v>29</v>
      </c>
      <c r="Y397" t="s">
        <v>29</v>
      </c>
      <c r="Z397" t="s">
        <v>37</v>
      </c>
      <c r="AA397">
        <f>TwitterClean[[#This Row],[likes]]+TwitterClean[[#This Row],[replies]]+TwitterClean[[#This Row],[reposts]]+TwitterClean[[#This Row],[quotes]]+TwitterClean[[#This Row],[bookmarks]]</f>
        <v>1461</v>
      </c>
      <c r="AB397" s="1">
        <f>TwitterClean[[#This Row],[Total_Engagements]]/TwitterClean[[#This Row],[views]]</f>
        <v>1.406335730168356E-2</v>
      </c>
      <c r="AC397" s="3">
        <f>DATEVALUE(MID(TwitterClean[[#This Row],[date_posted]],2,10))</f>
        <v>45641</v>
      </c>
      <c r="AD397">
        <f>TIMEVALUE(MID(TwitterClean[[#This Row],[date_posted]],13,8))</f>
        <v>0.65421296296296294</v>
      </c>
      <c r="AE397" s="3" t="str">
        <f>TEXT(TwitterClean[[#This Row],[Post_Date]],"dddd")</f>
        <v>Sunday</v>
      </c>
      <c r="AF397">
        <f>HOUR(TwitterClean[[#This Row],[Post_Time]])</f>
        <v>15</v>
      </c>
      <c r="AG397" t="str">
        <f>IF(TwitterClean[[#This Row],[videos]]="Null","No","Yes")</f>
        <v>No</v>
      </c>
      <c r="AH397" t="str">
        <f>IF(TwitterClean[[#This Row],[photos]]="null","No","Yes")</f>
        <v>Yes</v>
      </c>
      <c r="AI397" t="str">
        <f>IF(TwitterClean[[#This Row],[hashtags]]="null","No","Yes")</f>
        <v>Yes</v>
      </c>
      <c r="AJ397" t="str">
        <f>IF(TwitterClean[[#This Row],[external_url]]="null","Yes","No")</f>
        <v>No</v>
      </c>
      <c r="AK397">
        <f>LEN(TwitterClean[[#This Row],[description]])</f>
        <v>96</v>
      </c>
      <c r="AL397" t="str">
        <f>IF(TwitterClean[[#This Row],[followers]]&lt;100000,"&lt;100K",IF(TwitterClean[[#This Row],[followers]]&lt;1000000,"100K-1M",IF(TwitterClean[[#This Row],[followers]]&lt;10000000,"1M-10M","10M+")))</f>
        <v>10M+</v>
      </c>
    </row>
    <row r="398" spans="1:38">
      <c r="A398">
        <v>1.8681100455666284E+18</v>
      </c>
      <c r="B398" t="s">
        <v>3083</v>
      </c>
      <c r="C398" t="s">
        <v>3083</v>
      </c>
      <c r="D398" t="s">
        <v>4983</v>
      </c>
      <c r="E398" t="s">
        <v>4984</v>
      </c>
      <c r="F398" t="s">
        <v>4985</v>
      </c>
      <c r="G398" t="s">
        <v>4986</v>
      </c>
      <c r="H398" t="s">
        <v>29</v>
      </c>
      <c r="I398">
        <v>190</v>
      </c>
      <c r="J398">
        <v>356</v>
      </c>
      <c r="K398">
        <v>2536</v>
      </c>
      <c r="L398">
        <v>228467</v>
      </c>
      <c r="M398" t="s">
        <v>52</v>
      </c>
      <c r="N398" t="s">
        <v>3087</v>
      </c>
      <c r="O398">
        <v>14375934</v>
      </c>
      <c r="P398" t="s">
        <v>3088</v>
      </c>
      <c r="Q398">
        <v>346973</v>
      </c>
      <c r="R398" t="s">
        <v>3089</v>
      </c>
      <c r="S398">
        <v>392</v>
      </c>
      <c r="T398" t="b">
        <v>0</v>
      </c>
      <c r="U398">
        <v>44</v>
      </c>
      <c r="V398">
        <v>87</v>
      </c>
      <c r="W398" t="s">
        <v>35</v>
      </c>
      <c r="X398" t="s">
        <v>29</v>
      </c>
      <c r="Y398" t="s">
        <v>29</v>
      </c>
      <c r="Z398" t="s">
        <v>37</v>
      </c>
      <c r="AA398">
        <f>TwitterClean[[#This Row],[likes]]+TwitterClean[[#This Row],[replies]]+TwitterClean[[#This Row],[reposts]]+TwitterClean[[#This Row],[quotes]]+TwitterClean[[#This Row],[bookmarks]]</f>
        <v>3213</v>
      </c>
      <c r="AB398" s="1">
        <f>TwitterClean[[#This Row],[Total_Engagements]]/TwitterClean[[#This Row],[views]]</f>
        <v>1.4063300170265291E-2</v>
      </c>
      <c r="AC398" s="3">
        <f>DATEVALUE(MID(TwitterClean[[#This Row],[date_posted]],2,10))</f>
        <v>45641</v>
      </c>
      <c r="AD398">
        <f>TIMEVALUE(MID(TwitterClean[[#This Row],[date_posted]],13,8))</f>
        <v>7.3113425925925929E-2</v>
      </c>
      <c r="AE398" s="3" t="str">
        <f>TEXT(TwitterClean[[#This Row],[Post_Date]],"dddd")</f>
        <v>Sunday</v>
      </c>
      <c r="AF398">
        <f>HOUR(TwitterClean[[#This Row],[Post_Time]])</f>
        <v>1</v>
      </c>
      <c r="AG398" t="str">
        <f>IF(TwitterClean[[#This Row],[videos]]="Null","No","Yes")</f>
        <v>No</v>
      </c>
      <c r="AH398" t="str">
        <f>IF(TwitterClean[[#This Row],[photos]]="null","No","Yes")</f>
        <v>Yes</v>
      </c>
      <c r="AI398" t="str">
        <f>IF(TwitterClean[[#This Row],[hashtags]]="null","No","Yes")</f>
        <v>Yes</v>
      </c>
      <c r="AJ398" t="str">
        <f>IF(TwitterClean[[#This Row],[external_url]]="null","Yes","No")</f>
        <v>No</v>
      </c>
      <c r="AK398">
        <f>LEN(TwitterClean[[#This Row],[description]])</f>
        <v>68</v>
      </c>
      <c r="AL398" t="str">
        <f>IF(TwitterClean[[#This Row],[followers]]&lt;100000,"&lt;100K",IF(TwitterClean[[#This Row],[followers]]&lt;1000000,"100K-1M",IF(TwitterClean[[#This Row],[followers]]&lt;10000000,"1M-10M","10M+")))</f>
        <v>10M+</v>
      </c>
    </row>
    <row r="399" spans="1:38">
      <c r="A399">
        <v>1.8683072360631834E+18</v>
      </c>
      <c r="B399" t="s">
        <v>333</v>
      </c>
      <c r="C399" t="s">
        <v>334</v>
      </c>
      <c r="D399" t="s">
        <v>4521</v>
      </c>
      <c r="E399" t="s">
        <v>4522</v>
      </c>
      <c r="F399" t="s">
        <v>29</v>
      </c>
      <c r="G399" t="s">
        <v>4523</v>
      </c>
      <c r="H399" t="s">
        <v>4321</v>
      </c>
      <c r="I399">
        <v>4</v>
      </c>
      <c r="J399">
        <v>12</v>
      </c>
      <c r="K399">
        <v>150</v>
      </c>
      <c r="L399">
        <v>12248</v>
      </c>
      <c r="M399" t="s">
        <v>52</v>
      </c>
      <c r="N399" t="s">
        <v>340</v>
      </c>
      <c r="O399">
        <v>337839</v>
      </c>
      <c r="P399" t="s">
        <v>341</v>
      </c>
      <c r="Q399">
        <v>57638</v>
      </c>
      <c r="R399" t="s">
        <v>342</v>
      </c>
      <c r="S399">
        <v>587</v>
      </c>
      <c r="T399" t="b">
        <v>0</v>
      </c>
      <c r="U399">
        <v>3</v>
      </c>
      <c r="V399">
        <v>3</v>
      </c>
      <c r="W399" t="s">
        <v>35</v>
      </c>
      <c r="X399" t="s">
        <v>29</v>
      </c>
      <c r="Y399" t="s">
        <v>4524</v>
      </c>
      <c r="Z399" t="s">
        <v>37</v>
      </c>
      <c r="AA399">
        <f>TwitterClean[[#This Row],[likes]]+TwitterClean[[#This Row],[replies]]+TwitterClean[[#This Row],[reposts]]+TwitterClean[[#This Row],[quotes]]+TwitterClean[[#This Row],[bookmarks]]</f>
        <v>172</v>
      </c>
      <c r="AB399" s="1">
        <f>TwitterClean[[#This Row],[Total_Engagements]]/TwitterClean[[#This Row],[views]]</f>
        <v>1.4043109079033311E-2</v>
      </c>
      <c r="AC399" s="3">
        <f>DATEVALUE(MID(TwitterClean[[#This Row],[date_posted]],2,10))</f>
        <v>45641</v>
      </c>
      <c r="AD399">
        <f>TIMEVALUE(MID(TwitterClean[[#This Row],[date_posted]],13,8))</f>
        <v>0.61725694444444446</v>
      </c>
      <c r="AE399" s="3" t="str">
        <f>TEXT(TwitterClean[[#This Row],[Post_Date]],"dddd")</f>
        <v>Sunday</v>
      </c>
      <c r="AF399">
        <f>HOUR(TwitterClean[[#This Row],[Post_Time]])</f>
        <v>14</v>
      </c>
      <c r="AG399" t="str">
        <f>IF(TwitterClean[[#This Row],[videos]]="Null","No","Yes")</f>
        <v>Yes</v>
      </c>
      <c r="AH399" t="str">
        <f>IF(TwitterClean[[#This Row],[photos]]="null","No","Yes")</f>
        <v>No</v>
      </c>
      <c r="AI399" t="str">
        <f>IF(TwitterClean[[#This Row],[hashtags]]="null","No","Yes")</f>
        <v>Yes</v>
      </c>
      <c r="AJ399" t="str">
        <f>IF(TwitterClean[[#This Row],[external_url]]="null","Yes","No")</f>
        <v>No</v>
      </c>
      <c r="AK399">
        <f>LEN(TwitterClean[[#This Row],[description]])</f>
        <v>104</v>
      </c>
      <c r="AL399" t="str">
        <f>IF(TwitterClean[[#This Row],[followers]]&lt;100000,"&lt;100K",IF(TwitterClean[[#This Row],[followers]]&lt;1000000,"100K-1M",IF(TwitterClean[[#This Row],[followers]]&lt;10000000,"1M-10M","10M+")))</f>
        <v>100K-1M</v>
      </c>
    </row>
    <row r="400" spans="1:38">
      <c r="A400">
        <v>1.8684387669368138E+18</v>
      </c>
      <c r="B400" t="s">
        <v>3196</v>
      </c>
      <c r="C400" t="s">
        <v>3196</v>
      </c>
      <c r="D400" t="s">
        <v>3628</v>
      </c>
      <c r="E400" t="s">
        <v>3629</v>
      </c>
      <c r="F400" t="s">
        <v>29</v>
      </c>
      <c r="G400" t="s">
        <v>3630</v>
      </c>
      <c r="H400" t="s">
        <v>3631</v>
      </c>
      <c r="I400">
        <v>9</v>
      </c>
      <c r="J400">
        <v>5</v>
      </c>
      <c r="K400">
        <v>100</v>
      </c>
      <c r="L400">
        <v>8910</v>
      </c>
      <c r="M400" t="s">
        <v>52</v>
      </c>
      <c r="N400" t="s">
        <v>3201</v>
      </c>
      <c r="O400">
        <v>376785</v>
      </c>
      <c r="P400" t="s">
        <v>3202</v>
      </c>
      <c r="Q400">
        <v>106893</v>
      </c>
      <c r="R400" t="s">
        <v>3203</v>
      </c>
      <c r="S400">
        <v>415</v>
      </c>
      <c r="T400" t="b">
        <v>0</v>
      </c>
      <c r="U400">
        <v>0</v>
      </c>
      <c r="V400">
        <v>11</v>
      </c>
      <c r="W400" t="s">
        <v>35</v>
      </c>
      <c r="X400" t="s">
        <v>29</v>
      </c>
      <c r="Y400" t="s">
        <v>3632</v>
      </c>
      <c r="Z400" t="s">
        <v>37</v>
      </c>
      <c r="AA400">
        <f>TwitterClean[[#This Row],[likes]]+TwitterClean[[#This Row],[replies]]+TwitterClean[[#This Row],[reposts]]+TwitterClean[[#This Row],[quotes]]+TwitterClean[[#This Row],[bookmarks]]</f>
        <v>125</v>
      </c>
      <c r="AB400" s="1">
        <f>TwitterClean[[#This Row],[Total_Engagements]]/TwitterClean[[#This Row],[views]]</f>
        <v>1.4029180695847363E-2</v>
      </c>
      <c r="AC400" s="3">
        <f>DATEVALUE(MID(TwitterClean[[#This Row],[date_posted]],2,10))</f>
        <v>45641</v>
      </c>
      <c r="AD400">
        <f>TIMEVALUE(MID(TwitterClean[[#This Row],[date_posted]],13,8))</f>
        <v>0.98020833333333335</v>
      </c>
      <c r="AE400" s="3" t="str">
        <f>TEXT(TwitterClean[[#This Row],[Post_Date]],"dddd")</f>
        <v>Sunday</v>
      </c>
      <c r="AF400">
        <f>HOUR(TwitterClean[[#This Row],[Post_Time]])</f>
        <v>23</v>
      </c>
      <c r="AG400" t="str">
        <f>IF(TwitterClean[[#This Row],[videos]]="Null","No","Yes")</f>
        <v>Yes</v>
      </c>
      <c r="AH400" t="str">
        <f>IF(TwitterClean[[#This Row],[photos]]="null","No","Yes")</f>
        <v>No</v>
      </c>
      <c r="AI400" t="str">
        <f>IF(TwitterClean[[#This Row],[hashtags]]="null","No","Yes")</f>
        <v>Yes</v>
      </c>
      <c r="AJ400" t="str">
        <f>IF(TwitterClean[[#This Row],[external_url]]="null","Yes","No")</f>
        <v>No</v>
      </c>
      <c r="AK400">
        <f>LEN(TwitterClean[[#This Row],[description]])</f>
        <v>126</v>
      </c>
      <c r="AL400" t="str">
        <f>IF(TwitterClean[[#This Row],[followers]]&lt;100000,"&lt;100K",IF(TwitterClean[[#This Row],[followers]]&lt;1000000,"100K-1M",IF(TwitterClean[[#This Row],[followers]]&lt;10000000,"1M-10M","10M+")))</f>
        <v>100K-1M</v>
      </c>
    </row>
    <row r="401" spans="1:38">
      <c r="A401">
        <v>1.868118782469919E+18</v>
      </c>
      <c r="B401" t="s">
        <v>228</v>
      </c>
      <c r="C401" t="s">
        <v>228</v>
      </c>
      <c r="D401" t="s">
        <v>846</v>
      </c>
      <c r="E401" t="s">
        <v>847</v>
      </c>
      <c r="F401" t="s">
        <v>848</v>
      </c>
      <c r="G401" t="s">
        <v>849</v>
      </c>
      <c r="H401" t="s">
        <v>29</v>
      </c>
      <c r="I401">
        <v>16</v>
      </c>
      <c r="J401">
        <v>10</v>
      </c>
      <c r="K401">
        <v>109</v>
      </c>
      <c r="L401">
        <v>10011</v>
      </c>
      <c r="M401" t="s">
        <v>850</v>
      </c>
      <c r="N401" t="s">
        <v>29</v>
      </c>
      <c r="O401">
        <v>1239617</v>
      </c>
      <c r="P401" t="s">
        <v>235</v>
      </c>
      <c r="Q401">
        <v>402839</v>
      </c>
      <c r="R401" t="s">
        <v>236</v>
      </c>
      <c r="S401">
        <v>1644</v>
      </c>
      <c r="T401" t="b">
        <v>0</v>
      </c>
      <c r="U401">
        <v>3</v>
      </c>
      <c r="V401">
        <v>2</v>
      </c>
      <c r="W401" t="s">
        <v>35</v>
      </c>
      <c r="X401" t="s">
        <v>29</v>
      </c>
      <c r="Y401" t="s">
        <v>29</v>
      </c>
      <c r="Z401" t="s">
        <v>37</v>
      </c>
      <c r="AA401">
        <f>TwitterClean[[#This Row],[likes]]+TwitterClean[[#This Row],[replies]]+TwitterClean[[#This Row],[reposts]]+TwitterClean[[#This Row],[quotes]]+TwitterClean[[#This Row],[bookmarks]]</f>
        <v>140</v>
      </c>
      <c r="AB401" s="1">
        <f>TwitterClean[[#This Row],[Total_Engagements]]/TwitterClean[[#This Row],[views]]</f>
        <v>1.3984616921386474E-2</v>
      </c>
      <c r="AC401" s="3">
        <f>DATEVALUE(MID(TwitterClean[[#This Row],[date_posted]],2,10))</f>
        <v>45641</v>
      </c>
      <c r="AD401">
        <f>TIMEVALUE(MID(TwitterClean[[#This Row],[date_posted]],13,8))</f>
        <v>9.7222222222222224E-2</v>
      </c>
      <c r="AE401" s="3" t="str">
        <f>TEXT(TwitterClean[[#This Row],[Post_Date]],"dddd")</f>
        <v>Sunday</v>
      </c>
      <c r="AF401">
        <f>HOUR(TwitterClean[[#This Row],[Post_Time]])</f>
        <v>2</v>
      </c>
      <c r="AG401" t="str">
        <f>IF(TwitterClean[[#This Row],[videos]]="Null","No","Yes")</f>
        <v>No</v>
      </c>
      <c r="AH401" t="str">
        <f>IF(TwitterClean[[#This Row],[photos]]="null","No","Yes")</f>
        <v>Yes</v>
      </c>
      <c r="AI401" t="str">
        <f>IF(TwitterClean[[#This Row],[hashtags]]="null","No","Yes")</f>
        <v>No</v>
      </c>
      <c r="AJ401" t="str">
        <f>IF(TwitterClean[[#This Row],[external_url]]="null","Yes","No")</f>
        <v>No</v>
      </c>
      <c r="AK401">
        <f>LEN(TwitterClean[[#This Row],[description]])</f>
        <v>176</v>
      </c>
      <c r="AL401" t="str">
        <f>IF(TwitterClean[[#This Row],[followers]]&lt;100000,"&lt;100K",IF(TwitterClean[[#This Row],[followers]]&lt;1000000,"100K-1M",IF(TwitterClean[[#This Row],[followers]]&lt;10000000,"1M-10M","10M+")))</f>
        <v>1M-10M</v>
      </c>
    </row>
    <row r="402" spans="1:38">
      <c r="A402">
        <v>1.8683705655740708E+18</v>
      </c>
      <c r="B402" t="s">
        <v>2230</v>
      </c>
      <c r="C402" t="s">
        <v>2231</v>
      </c>
      <c r="D402" t="s">
        <v>2314</v>
      </c>
      <c r="E402" t="s">
        <v>2315</v>
      </c>
      <c r="F402" t="s">
        <v>2316</v>
      </c>
      <c r="G402" t="s">
        <v>2317</v>
      </c>
      <c r="H402" t="s">
        <v>29</v>
      </c>
      <c r="I402">
        <v>31</v>
      </c>
      <c r="J402">
        <v>32</v>
      </c>
      <c r="K402">
        <v>264</v>
      </c>
      <c r="L402">
        <v>23905</v>
      </c>
      <c r="M402" t="s">
        <v>2318</v>
      </c>
      <c r="N402" t="s">
        <v>29</v>
      </c>
      <c r="O402">
        <v>3313888</v>
      </c>
      <c r="P402" t="s">
        <v>2237</v>
      </c>
      <c r="Q402">
        <v>706459</v>
      </c>
      <c r="R402" t="s">
        <v>2238</v>
      </c>
      <c r="S402">
        <v>10308</v>
      </c>
      <c r="T402" t="b">
        <v>0</v>
      </c>
      <c r="U402">
        <v>3</v>
      </c>
      <c r="V402">
        <v>3</v>
      </c>
      <c r="W402" t="s">
        <v>35</v>
      </c>
      <c r="X402" t="s">
        <v>29</v>
      </c>
      <c r="Y402" t="s">
        <v>29</v>
      </c>
      <c r="Z402" t="s">
        <v>37</v>
      </c>
      <c r="AA402">
        <f>TwitterClean[[#This Row],[likes]]+TwitterClean[[#This Row],[replies]]+TwitterClean[[#This Row],[reposts]]+TwitterClean[[#This Row],[quotes]]+TwitterClean[[#This Row],[bookmarks]]</f>
        <v>333</v>
      </c>
      <c r="AB402" s="1">
        <f>TwitterClean[[#This Row],[Total_Engagements]]/TwitterClean[[#This Row],[views]]</f>
        <v>1.3930140138046434E-2</v>
      </c>
      <c r="AC402" s="3">
        <f>DATEVALUE(MID(TwitterClean[[#This Row],[date_posted]],2,10))</f>
        <v>45641</v>
      </c>
      <c r="AD402">
        <f>TIMEVALUE(MID(TwitterClean[[#This Row],[date_posted]],13,8))</f>
        <v>0.79201388888888891</v>
      </c>
      <c r="AE402" s="3" t="str">
        <f>TEXT(TwitterClean[[#This Row],[Post_Date]],"dddd")</f>
        <v>Sunday</v>
      </c>
      <c r="AF402">
        <f>HOUR(TwitterClean[[#This Row],[Post_Time]])</f>
        <v>19</v>
      </c>
      <c r="AG402" t="str">
        <f>IF(TwitterClean[[#This Row],[videos]]="Null","No","Yes")</f>
        <v>No</v>
      </c>
      <c r="AH402" t="str">
        <f>IF(TwitterClean[[#This Row],[photos]]="null","No","Yes")</f>
        <v>Yes</v>
      </c>
      <c r="AI402" t="str">
        <f>IF(TwitterClean[[#This Row],[hashtags]]="null","No","Yes")</f>
        <v>No</v>
      </c>
      <c r="AJ402" t="str">
        <f>IF(TwitterClean[[#This Row],[external_url]]="null","Yes","No")</f>
        <v>No</v>
      </c>
      <c r="AK402">
        <f>LEN(TwitterClean[[#This Row],[description]])</f>
        <v>101</v>
      </c>
      <c r="AL402" t="str">
        <f>IF(TwitterClean[[#This Row],[followers]]&lt;100000,"&lt;100K",IF(TwitterClean[[#This Row],[followers]]&lt;1000000,"100K-1M",IF(TwitterClean[[#This Row],[followers]]&lt;10000000,"1M-10M","10M+")))</f>
        <v>1M-10M</v>
      </c>
    </row>
    <row r="403" spans="1:38">
      <c r="A403">
        <v>1.8683948561897229E+18</v>
      </c>
      <c r="B403" t="s">
        <v>275</v>
      </c>
      <c r="C403" t="s">
        <v>276</v>
      </c>
      <c r="D403" t="s">
        <v>585</v>
      </c>
      <c r="E403" t="s">
        <v>586</v>
      </c>
      <c r="F403" t="s">
        <v>587</v>
      </c>
      <c r="G403" t="s">
        <v>588</v>
      </c>
      <c r="H403" t="s">
        <v>589</v>
      </c>
      <c r="I403">
        <v>60</v>
      </c>
      <c r="J403">
        <v>42</v>
      </c>
      <c r="K403">
        <v>413</v>
      </c>
      <c r="L403">
        <v>38425</v>
      </c>
      <c r="M403" t="s">
        <v>52</v>
      </c>
      <c r="N403" t="s">
        <v>289</v>
      </c>
      <c r="O403">
        <v>8539601</v>
      </c>
      <c r="P403" t="s">
        <v>282</v>
      </c>
      <c r="Q403">
        <v>75535</v>
      </c>
      <c r="R403" t="s">
        <v>283</v>
      </c>
      <c r="S403">
        <v>117</v>
      </c>
      <c r="T403" t="b">
        <v>0</v>
      </c>
      <c r="U403">
        <v>17</v>
      </c>
      <c r="V403">
        <v>3</v>
      </c>
      <c r="W403" t="s">
        <v>35</v>
      </c>
      <c r="X403" t="s">
        <v>29</v>
      </c>
      <c r="Y403" t="s">
        <v>29</v>
      </c>
      <c r="Z403" t="s">
        <v>37</v>
      </c>
      <c r="AA403">
        <f>TwitterClean[[#This Row],[likes]]+TwitterClean[[#This Row],[replies]]+TwitterClean[[#This Row],[reposts]]+TwitterClean[[#This Row],[quotes]]+TwitterClean[[#This Row],[bookmarks]]</f>
        <v>535</v>
      </c>
      <c r="AB403" s="1">
        <f>TwitterClean[[#This Row],[Total_Engagements]]/TwitterClean[[#This Row],[views]]</f>
        <v>1.3923227065712427E-2</v>
      </c>
      <c r="AC403" s="3">
        <f>DATEVALUE(MID(TwitterClean[[#This Row],[date_posted]],2,10))</f>
        <v>45641</v>
      </c>
      <c r="AD403">
        <f>TIMEVALUE(MID(TwitterClean[[#This Row],[date_posted]],13,8))</f>
        <v>0.85903935185185187</v>
      </c>
      <c r="AE403" s="3" t="str">
        <f>TEXT(TwitterClean[[#This Row],[Post_Date]],"dddd")</f>
        <v>Sunday</v>
      </c>
      <c r="AF403">
        <f>HOUR(TwitterClean[[#This Row],[Post_Time]])</f>
        <v>20</v>
      </c>
      <c r="AG403" t="str">
        <f>IF(TwitterClean[[#This Row],[videos]]="Null","No","Yes")</f>
        <v>No</v>
      </c>
      <c r="AH403" t="str">
        <f>IF(TwitterClean[[#This Row],[photos]]="null","No","Yes")</f>
        <v>Yes</v>
      </c>
      <c r="AI403" t="str">
        <f>IF(TwitterClean[[#This Row],[hashtags]]="null","No","Yes")</f>
        <v>Yes</v>
      </c>
      <c r="AJ403" t="str">
        <f>IF(TwitterClean[[#This Row],[external_url]]="null","Yes","No")</f>
        <v>No</v>
      </c>
      <c r="AK403">
        <f>LEN(TwitterClean[[#This Row],[description]])</f>
        <v>107</v>
      </c>
      <c r="AL403" t="str">
        <f>IF(TwitterClean[[#This Row],[followers]]&lt;100000,"&lt;100K",IF(TwitterClean[[#This Row],[followers]]&lt;1000000,"100K-1M",IF(TwitterClean[[#This Row],[followers]]&lt;10000000,"1M-10M","10M+")))</f>
        <v>1M-10M</v>
      </c>
    </row>
    <row r="404" spans="1:38">
      <c r="A404">
        <v>1.8655022563862451E+18</v>
      </c>
      <c r="B404" t="s">
        <v>3973</v>
      </c>
      <c r="C404" t="s">
        <v>3974</v>
      </c>
      <c r="D404" t="s">
        <v>4058</v>
      </c>
      <c r="E404" t="s">
        <v>4059</v>
      </c>
      <c r="F404" t="s">
        <v>4060</v>
      </c>
      <c r="G404" t="s">
        <v>4061</v>
      </c>
      <c r="H404" t="s">
        <v>4042</v>
      </c>
      <c r="I404">
        <v>6</v>
      </c>
      <c r="J404">
        <v>16</v>
      </c>
      <c r="K404">
        <v>200</v>
      </c>
      <c r="L404">
        <v>16733</v>
      </c>
      <c r="M404" t="s">
        <v>52</v>
      </c>
      <c r="N404" t="s">
        <v>29</v>
      </c>
      <c r="O404">
        <v>2035100</v>
      </c>
      <c r="P404" t="s">
        <v>3979</v>
      </c>
      <c r="Q404">
        <v>106867</v>
      </c>
      <c r="R404" t="s">
        <v>3980</v>
      </c>
      <c r="S404">
        <v>411</v>
      </c>
      <c r="T404" t="b">
        <v>0</v>
      </c>
      <c r="U404">
        <v>1</v>
      </c>
      <c r="V404">
        <v>8</v>
      </c>
      <c r="W404" t="s">
        <v>35</v>
      </c>
      <c r="X404" t="s">
        <v>29</v>
      </c>
      <c r="Y404" t="s">
        <v>29</v>
      </c>
      <c r="Z404" t="s">
        <v>37</v>
      </c>
      <c r="AA404">
        <f>TwitterClean[[#This Row],[likes]]+TwitterClean[[#This Row],[replies]]+TwitterClean[[#This Row],[reposts]]+TwitterClean[[#This Row],[quotes]]+TwitterClean[[#This Row],[bookmarks]]</f>
        <v>231</v>
      </c>
      <c r="AB404" s="1">
        <f>TwitterClean[[#This Row],[Total_Engagements]]/TwitterClean[[#This Row],[views]]</f>
        <v>1.3805055877607124E-2</v>
      </c>
      <c r="AC404" s="3">
        <f>DATEVALUE(MID(TwitterClean[[#This Row],[date_posted]],2,10))</f>
        <v>45633</v>
      </c>
      <c r="AD404">
        <f>TIMEVALUE(MID(TwitterClean[[#This Row],[date_posted]],13,8))</f>
        <v>0.87697916666666664</v>
      </c>
      <c r="AE404" s="3" t="str">
        <f>TEXT(TwitterClean[[#This Row],[Post_Date]],"dddd")</f>
        <v>Saturday</v>
      </c>
      <c r="AF404">
        <f>HOUR(TwitterClean[[#This Row],[Post_Time]])</f>
        <v>21</v>
      </c>
      <c r="AG404" t="str">
        <f>IF(TwitterClean[[#This Row],[videos]]="Null","No","Yes")</f>
        <v>No</v>
      </c>
      <c r="AH404" t="str">
        <f>IF(TwitterClean[[#This Row],[photos]]="null","No","Yes")</f>
        <v>Yes</v>
      </c>
      <c r="AI404" t="str">
        <f>IF(TwitterClean[[#This Row],[hashtags]]="null","No","Yes")</f>
        <v>No</v>
      </c>
      <c r="AJ404" t="str">
        <f>IF(TwitterClean[[#This Row],[external_url]]="null","Yes","No")</f>
        <v>No</v>
      </c>
      <c r="AK404">
        <f>LEN(TwitterClean[[#This Row],[description]])</f>
        <v>122</v>
      </c>
      <c r="AL404" t="str">
        <f>IF(TwitterClean[[#This Row],[followers]]&lt;100000,"&lt;100K",IF(TwitterClean[[#This Row],[followers]]&lt;1000000,"100K-1M",IF(TwitterClean[[#This Row],[followers]]&lt;10000000,"1M-10M","10M+")))</f>
        <v>1M-10M</v>
      </c>
    </row>
    <row r="405" spans="1:38">
      <c r="A405">
        <v>1.8683156954964833E+18</v>
      </c>
      <c r="B405" t="s">
        <v>1280</v>
      </c>
      <c r="C405" t="s">
        <v>1281</v>
      </c>
      <c r="D405" t="s">
        <v>1522</v>
      </c>
      <c r="E405" t="s">
        <v>1523</v>
      </c>
      <c r="F405" t="s">
        <v>29</v>
      </c>
      <c r="G405" t="s">
        <v>1524</v>
      </c>
      <c r="H405" t="s">
        <v>29</v>
      </c>
      <c r="I405">
        <v>111</v>
      </c>
      <c r="J405">
        <v>176</v>
      </c>
      <c r="K405">
        <v>2396</v>
      </c>
      <c r="L405">
        <v>196989</v>
      </c>
      <c r="M405" t="s">
        <v>1525</v>
      </c>
      <c r="N405" t="s">
        <v>1286</v>
      </c>
      <c r="O405">
        <v>38439072</v>
      </c>
      <c r="P405" t="s">
        <v>1287</v>
      </c>
      <c r="Q405">
        <v>92455</v>
      </c>
      <c r="R405" t="s">
        <v>1288</v>
      </c>
      <c r="S405">
        <v>145</v>
      </c>
      <c r="T405" t="b">
        <v>0</v>
      </c>
      <c r="U405">
        <v>2</v>
      </c>
      <c r="V405">
        <v>10</v>
      </c>
      <c r="W405" t="s">
        <v>35</v>
      </c>
      <c r="X405" t="s">
        <v>29</v>
      </c>
      <c r="Y405" t="s">
        <v>29</v>
      </c>
      <c r="Z405" t="s">
        <v>37</v>
      </c>
      <c r="AA405">
        <f>TwitterClean[[#This Row],[likes]]+TwitterClean[[#This Row],[replies]]+TwitterClean[[#This Row],[reposts]]+TwitterClean[[#This Row],[quotes]]+TwitterClean[[#This Row],[bookmarks]]</f>
        <v>2695</v>
      </c>
      <c r="AB405" s="1">
        <f>TwitterClean[[#This Row],[Total_Engagements]]/TwitterClean[[#This Row],[views]]</f>
        <v>1.3680966957545853E-2</v>
      </c>
      <c r="AC405" s="3">
        <f>DATEVALUE(MID(TwitterClean[[#This Row],[date_posted]],2,10))</f>
        <v>45641</v>
      </c>
      <c r="AD405">
        <f>TIMEVALUE(MID(TwitterClean[[#This Row],[date_posted]],13,8))</f>
        <v>0.64060185185185181</v>
      </c>
      <c r="AE405" s="3" t="str">
        <f>TEXT(TwitterClean[[#This Row],[Post_Date]],"dddd")</f>
        <v>Sunday</v>
      </c>
      <c r="AF405">
        <f>HOUR(TwitterClean[[#This Row],[Post_Time]])</f>
        <v>15</v>
      </c>
      <c r="AG405" t="str">
        <f>IF(TwitterClean[[#This Row],[videos]]="Null","No","Yes")</f>
        <v>No</v>
      </c>
      <c r="AH405" t="str">
        <f>IF(TwitterClean[[#This Row],[photos]]="null","No","Yes")</f>
        <v>No</v>
      </c>
      <c r="AI405" t="str">
        <f>IF(TwitterClean[[#This Row],[hashtags]]="null","No","Yes")</f>
        <v>Yes</v>
      </c>
      <c r="AJ405" t="str">
        <f>IF(TwitterClean[[#This Row],[external_url]]="null","Yes","No")</f>
        <v>No</v>
      </c>
      <c r="AK405">
        <f>LEN(TwitterClean[[#This Row],[description]])</f>
        <v>43</v>
      </c>
      <c r="AL405" t="str">
        <f>IF(TwitterClean[[#This Row],[followers]]&lt;100000,"&lt;100K",IF(TwitterClean[[#This Row],[followers]]&lt;1000000,"100K-1M",IF(TwitterClean[[#This Row],[followers]]&lt;10000000,"1M-10M","10M+")))</f>
        <v>10M+</v>
      </c>
    </row>
    <row r="406" spans="1:38">
      <c r="A406">
        <v>1.8682234628815672E+18</v>
      </c>
      <c r="B406" t="s">
        <v>3392</v>
      </c>
      <c r="C406" t="s">
        <v>3393</v>
      </c>
      <c r="D406" t="s">
        <v>4959</v>
      </c>
      <c r="E406" t="s">
        <v>4960</v>
      </c>
      <c r="F406" t="s">
        <v>4961</v>
      </c>
      <c r="G406" t="s">
        <v>4962</v>
      </c>
      <c r="H406" t="s">
        <v>29</v>
      </c>
      <c r="I406">
        <v>22</v>
      </c>
      <c r="J406">
        <v>52</v>
      </c>
      <c r="K406">
        <v>827</v>
      </c>
      <c r="L406">
        <v>68581</v>
      </c>
      <c r="M406" t="s">
        <v>52</v>
      </c>
      <c r="N406" t="s">
        <v>3405</v>
      </c>
      <c r="O406">
        <v>1480964</v>
      </c>
      <c r="P406" t="s">
        <v>3399</v>
      </c>
      <c r="Q406">
        <v>103753</v>
      </c>
      <c r="R406" t="s">
        <v>3400</v>
      </c>
      <c r="S406">
        <v>552</v>
      </c>
      <c r="T406" t="b">
        <v>0</v>
      </c>
      <c r="U406">
        <v>29</v>
      </c>
      <c r="V406">
        <v>7</v>
      </c>
      <c r="W406" t="s">
        <v>35</v>
      </c>
      <c r="X406" t="s">
        <v>29</v>
      </c>
      <c r="Y406" t="s">
        <v>29</v>
      </c>
      <c r="Z406" t="s">
        <v>37</v>
      </c>
      <c r="AA406">
        <f>TwitterClean[[#This Row],[likes]]+TwitterClean[[#This Row],[replies]]+TwitterClean[[#This Row],[reposts]]+TwitterClean[[#This Row],[quotes]]+TwitterClean[[#This Row],[bookmarks]]</f>
        <v>937</v>
      </c>
      <c r="AB406" s="1">
        <f>TwitterClean[[#This Row],[Total_Engagements]]/TwitterClean[[#This Row],[views]]</f>
        <v>1.3662676251439904E-2</v>
      </c>
      <c r="AC406" s="3">
        <f>DATEVALUE(MID(TwitterClean[[#This Row],[date_posted]],2,10))</f>
        <v>45641</v>
      </c>
      <c r="AD406">
        <f>TIMEVALUE(MID(TwitterClean[[#This Row],[date_posted]],13,8))</f>
        <v>0.38608796296296294</v>
      </c>
      <c r="AE406" s="3" t="str">
        <f>TEXT(TwitterClean[[#This Row],[Post_Date]],"dddd")</f>
        <v>Sunday</v>
      </c>
      <c r="AF406">
        <f>HOUR(TwitterClean[[#This Row],[Post_Time]])</f>
        <v>9</v>
      </c>
      <c r="AG406" t="str">
        <f>IF(TwitterClean[[#This Row],[videos]]="Null","No","Yes")</f>
        <v>No</v>
      </c>
      <c r="AH406" t="str">
        <f>IF(TwitterClean[[#This Row],[photos]]="null","No","Yes")</f>
        <v>Yes</v>
      </c>
      <c r="AI406" t="str">
        <f>IF(TwitterClean[[#This Row],[hashtags]]="null","No","Yes")</f>
        <v>Yes</v>
      </c>
      <c r="AJ406" t="str">
        <f>IF(TwitterClean[[#This Row],[external_url]]="null","Yes","No")</f>
        <v>No</v>
      </c>
      <c r="AK406">
        <f>LEN(TwitterClean[[#This Row],[description]])</f>
        <v>36</v>
      </c>
      <c r="AL406" t="str">
        <f>IF(TwitterClean[[#This Row],[followers]]&lt;100000,"&lt;100K",IF(TwitterClean[[#This Row],[followers]]&lt;1000000,"100K-1M",IF(TwitterClean[[#This Row],[followers]]&lt;10000000,"1M-10M","10M+")))</f>
        <v>1M-10M</v>
      </c>
    </row>
    <row r="407" spans="1:38">
      <c r="A407">
        <v>1.8682514261382559E+18</v>
      </c>
      <c r="B407" t="s">
        <v>3014</v>
      </c>
      <c r="C407" t="s">
        <v>3015</v>
      </c>
      <c r="D407" t="s">
        <v>3016</v>
      </c>
      <c r="E407" t="s">
        <v>3017</v>
      </c>
      <c r="F407" t="s">
        <v>29</v>
      </c>
      <c r="G407" t="s">
        <v>3018</v>
      </c>
      <c r="H407" t="s">
        <v>3019</v>
      </c>
      <c r="I407">
        <v>5</v>
      </c>
      <c r="J407">
        <v>18</v>
      </c>
      <c r="K407">
        <v>342</v>
      </c>
      <c r="L407">
        <v>27088</v>
      </c>
      <c r="M407" t="s">
        <v>52</v>
      </c>
      <c r="N407" t="s">
        <v>3020</v>
      </c>
      <c r="O407">
        <v>512376</v>
      </c>
      <c r="P407" t="s">
        <v>3021</v>
      </c>
      <c r="Q407">
        <v>138319</v>
      </c>
      <c r="R407" t="s">
        <v>3022</v>
      </c>
      <c r="S407">
        <v>1569</v>
      </c>
      <c r="T407" t="b">
        <v>0</v>
      </c>
      <c r="U407">
        <v>0</v>
      </c>
      <c r="V407">
        <v>5</v>
      </c>
      <c r="W407" t="s">
        <v>35</v>
      </c>
      <c r="X407" t="s">
        <v>29</v>
      </c>
      <c r="Y407" t="s">
        <v>3023</v>
      </c>
      <c r="Z407" t="s">
        <v>37</v>
      </c>
      <c r="AA407">
        <f>TwitterClean[[#This Row],[likes]]+TwitterClean[[#This Row],[replies]]+TwitterClean[[#This Row],[reposts]]+TwitterClean[[#This Row],[quotes]]+TwitterClean[[#This Row],[bookmarks]]</f>
        <v>370</v>
      </c>
      <c r="AB407" s="1">
        <f>TwitterClean[[#This Row],[Total_Engagements]]/TwitterClean[[#This Row],[views]]</f>
        <v>1.3659184878913173E-2</v>
      </c>
      <c r="AC407" s="3">
        <f>DATEVALUE(MID(TwitterClean[[#This Row],[date_posted]],2,10))</f>
        <v>45641</v>
      </c>
      <c r="AD407">
        <f>TIMEVALUE(MID(TwitterClean[[#This Row],[date_posted]],13,8))</f>
        <v>0.46325231481481483</v>
      </c>
      <c r="AE407" s="3" t="str">
        <f>TEXT(TwitterClean[[#This Row],[Post_Date]],"dddd")</f>
        <v>Sunday</v>
      </c>
      <c r="AF407">
        <f>HOUR(TwitterClean[[#This Row],[Post_Time]])</f>
        <v>11</v>
      </c>
      <c r="AG407" t="str">
        <f>IF(TwitterClean[[#This Row],[videos]]="Null","No","Yes")</f>
        <v>Yes</v>
      </c>
      <c r="AH407" t="str">
        <f>IF(TwitterClean[[#This Row],[photos]]="null","No","Yes")</f>
        <v>No</v>
      </c>
      <c r="AI407" t="str">
        <f>IF(TwitterClean[[#This Row],[hashtags]]="null","No","Yes")</f>
        <v>Yes</v>
      </c>
      <c r="AJ407" t="str">
        <f>IF(TwitterClean[[#This Row],[external_url]]="null","Yes","No")</f>
        <v>No</v>
      </c>
      <c r="AK407">
        <f>LEN(TwitterClean[[#This Row],[description]])</f>
        <v>100</v>
      </c>
      <c r="AL407" t="str">
        <f>IF(TwitterClean[[#This Row],[followers]]&lt;100000,"&lt;100K",IF(TwitterClean[[#This Row],[followers]]&lt;1000000,"100K-1M",IF(TwitterClean[[#This Row],[followers]]&lt;10000000,"1M-10M","10M+")))</f>
        <v>100K-1M</v>
      </c>
    </row>
    <row r="408" spans="1:38">
      <c r="A408">
        <v>1.868415574403113E+18</v>
      </c>
      <c r="B408" t="s">
        <v>4694</v>
      </c>
      <c r="C408" t="s">
        <v>4695</v>
      </c>
      <c r="D408" t="s">
        <v>4897</v>
      </c>
      <c r="E408" t="s">
        <v>4898</v>
      </c>
      <c r="F408" t="s">
        <v>4899</v>
      </c>
      <c r="G408" t="s">
        <v>4900</v>
      </c>
      <c r="H408" t="s">
        <v>4699</v>
      </c>
      <c r="I408">
        <v>3</v>
      </c>
      <c r="J408">
        <v>8</v>
      </c>
      <c r="K408">
        <v>79</v>
      </c>
      <c r="L408">
        <v>6930</v>
      </c>
      <c r="M408" t="s">
        <v>52</v>
      </c>
      <c r="N408" t="s">
        <v>4701</v>
      </c>
      <c r="O408">
        <v>1123810</v>
      </c>
      <c r="P408" t="s">
        <v>4702</v>
      </c>
      <c r="Q408">
        <v>34290</v>
      </c>
      <c r="R408" t="s">
        <v>4703</v>
      </c>
      <c r="S408">
        <v>63</v>
      </c>
      <c r="T408" t="b">
        <v>0</v>
      </c>
      <c r="U408">
        <v>3</v>
      </c>
      <c r="V408">
        <v>1</v>
      </c>
      <c r="W408" t="s">
        <v>35</v>
      </c>
      <c r="X408" t="s">
        <v>29</v>
      </c>
      <c r="Y408" t="s">
        <v>29</v>
      </c>
      <c r="Z408" t="s">
        <v>37</v>
      </c>
      <c r="AA408">
        <f>TwitterClean[[#This Row],[likes]]+TwitterClean[[#This Row],[replies]]+TwitterClean[[#This Row],[reposts]]+TwitterClean[[#This Row],[quotes]]+TwitterClean[[#This Row],[bookmarks]]</f>
        <v>94</v>
      </c>
      <c r="AB408" s="1">
        <f>TwitterClean[[#This Row],[Total_Engagements]]/TwitterClean[[#This Row],[views]]</f>
        <v>1.3564213564213565E-2</v>
      </c>
      <c r="AC408" s="3">
        <f>DATEVALUE(MID(TwitterClean[[#This Row],[date_posted]],2,10))</f>
        <v>45641</v>
      </c>
      <c r="AD408">
        <f>TIMEVALUE(MID(TwitterClean[[#This Row],[date_posted]],13,8))</f>
        <v>0.91621527777777778</v>
      </c>
      <c r="AE408" s="3" t="str">
        <f>TEXT(TwitterClean[[#This Row],[Post_Date]],"dddd")</f>
        <v>Sunday</v>
      </c>
      <c r="AF408">
        <f>HOUR(TwitterClean[[#This Row],[Post_Time]])</f>
        <v>21</v>
      </c>
      <c r="AG408" t="str">
        <f>IF(TwitterClean[[#This Row],[videos]]="Null","No","Yes")</f>
        <v>No</v>
      </c>
      <c r="AH408" t="str">
        <f>IF(TwitterClean[[#This Row],[photos]]="null","No","Yes")</f>
        <v>Yes</v>
      </c>
      <c r="AI408" t="str">
        <f>IF(TwitterClean[[#This Row],[hashtags]]="null","No","Yes")</f>
        <v>Yes</v>
      </c>
      <c r="AJ408" t="str">
        <f>IF(TwitterClean[[#This Row],[external_url]]="null","Yes","No")</f>
        <v>No</v>
      </c>
      <c r="AK408">
        <f>LEN(TwitterClean[[#This Row],[description]])</f>
        <v>173</v>
      </c>
      <c r="AL408" t="str">
        <f>IF(TwitterClean[[#This Row],[followers]]&lt;100000,"&lt;100K",IF(TwitterClean[[#This Row],[followers]]&lt;1000000,"100K-1M",IF(TwitterClean[[#This Row],[followers]]&lt;10000000,"1M-10M","10M+")))</f>
        <v>1M-10M</v>
      </c>
    </row>
    <row r="409" spans="1:38">
      <c r="A409">
        <v>1.8682949333852201E+18</v>
      </c>
      <c r="B409" t="s">
        <v>5023</v>
      </c>
      <c r="C409" t="s">
        <v>5024</v>
      </c>
      <c r="D409" t="s">
        <v>5025</v>
      </c>
      <c r="E409" t="s">
        <v>5026</v>
      </c>
      <c r="F409" t="s">
        <v>5027</v>
      </c>
      <c r="G409" t="s">
        <v>5028</v>
      </c>
      <c r="H409" t="s">
        <v>29</v>
      </c>
      <c r="I409">
        <v>80</v>
      </c>
      <c r="J409">
        <v>18</v>
      </c>
      <c r="K409">
        <v>580</v>
      </c>
      <c r="L409">
        <v>52812</v>
      </c>
      <c r="M409" t="s">
        <v>52</v>
      </c>
      <c r="N409" t="s">
        <v>5029</v>
      </c>
      <c r="O409">
        <v>92098</v>
      </c>
      <c r="P409" t="s">
        <v>5030</v>
      </c>
      <c r="Q409">
        <v>4934</v>
      </c>
      <c r="R409" t="s">
        <v>5031</v>
      </c>
      <c r="S409">
        <v>97</v>
      </c>
      <c r="T409" t="b">
        <v>0</v>
      </c>
      <c r="U409">
        <v>31</v>
      </c>
      <c r="V409">
        <v>6</v>
      </c>
      <c r="W409" t="s">
        <v>35</v>
      </c>
      <c r="X409" t="s">
        <v>29</v>
      </c>
      <c r="Y409" t="s">
        <v>29</v>
      </c>
      <c r="Z409" t="s">
        <v>37</v>
      </c>
      <c r="AA409">
        <f>TwitterClean[[#This Row],[likes]]+TwitterClean[[#This Row],[replies]]+TwitterClean[[#This Row],[reposts]]+TwitterClean[[#This Row],[quotes]]+TwitterClean[[#This Row],[bookmarks]]</f>
        <v>715</v>
      </c>
      <c r="AB409" s="1">
        <f>TwitterClean[[#This Row],[Total_Engagements]]/TwitterClean[[#This Row],[views]]</f>
        <v>1.3538589714458834E-2</v>
      </c>
      <c r="AC409" s="3">
        <f>DATEVALUE(MID(TwitterClean[[#This Row],[date_posted]],2,10))</f>
        <v>45641</v>
      </c>
      <c r="AD409">
        <f>TIMEVALUE(MID(TwitterClean[[#This Row],[date_posted]],13,8))</f>
        <v>0.58331018518518518</v>
      </c>
      <c r="AE409" s="3" t="str">
        <f>TEXT(TwitterClean[[#This Row],[Post_Date]],"dddd")</f>
        <v>Sunday</v>
      </c>
      <c r="AF409">
        <f>HOUR(TwitterClean[[#This Row],[Post_Time]])</f>
        <v>13</v>
      </c>
      <c r="AG409" t="str">
        <f>IF(TwitterClean[[#This Row],[videos]]="Null","No","Yes")</f>
        <v>No</v>
      </c>
      <c r="AH409" t="str">
        <f>IF(TwitterClean[[#This Row],[photos]]="null","No","Yes")</f>
        <v>Yes</v>
      </c>
      <c r="AI409" t="str">
        <f>IF(TwitterClean[[#This Row],[hashtags]]="null","No","Yes")</f>
        <v>Yes</v>
      </c>
      <c r="AJ409" t="str">
        <f>IF(TwitterClean[[#This Row],[external_url]]="null","Yes","No")</f>
        <v>No</v>
      </c>
      <c r="AK409">
        <f>LEN(TwitterClean[[#This Row],[description]])</f>
        <v>62</v>
      </c>
      <c r="AL409" t="str">
        <f>IF(TwitterClean[[#This Row],[followers]]&lt;100000,"&lt;100K",IF(TwitterClean[[#This Row],[followers]]&lt;1000000,"100K-1M",IF(TwitterClean[[#This Row],[followers]]&lt;10000000,"1M-10M","10M+")))</f>
        <v>&lt;100K</v>
      </c>
    </row>
    <row r="410" spans="1:38">
      <c r="A410">
        <v>1.8683398640533548E+18</v>
      </c>
      <c r="B410" t="s">
        <v>3168</v>
      </c>
      <c r="C410" t="s">
        <v>3169</v>
      </c>
      <c r="D410" t="s">
        <v>3516</v>
      </c>
      <c r="E410" t="s">
        <v>3517</v>
      </c>
      <c r="F410" t="s">
        <v>29</v>
      </c>
      <c r="G410" t="s">
        <v>3518</v>
      </c>
      <c r="H410" t="s">
        <v>3173</v>
      </c>
      <c r="I410">
        <v>1</v>
      </c>
      <c r="J410">
        <v>17</v>
      </c>
      <c r="K410">
        <v>190</v>
      </c>
      <c r="L410">
        <v>15671</v>
      </c>
      <c r="M410" t="s">
        <v>52</v>
      </c>
      <c r="N410" t="s">
        <v>29</v>
      </c>
      <c r="O410">
        <v>294711</v>
      </c>
      <c r="P410" t="s">
        <v>3175</v>
      </c>
      <c r="Q410">
        <v>66342</v>
      </c>
      <c r="R410" t="s">
        <v>3176</v>
      </c>
      <c r="S410">
        <v>1449</v>
      </c>
      <c r="T410" t="b">
        <v>0</v>
      </c>
      <c r="U410">
        <v>2</v>
      </c>
      <c r="V410">
        <v>2</v>
      </c>
      <c r="W410" t="s">
        <v>35</v>
      </c>
      <c r="X410" t="s">
        <v>29</v>
      </c>
      <c r="Y410" t="s">
        <v>3519</v>
      </c>
      <c r="Z410" t="s">
        <v>37</v>
      </c>
      <c r="AA410">
        <f>TwitterClean[[#This Row],[likes]]+TwitterClean[[#This Row],[replies]]+TwitterClean[[#This Row],[reposts]]+TwitterClean[[#This Row],[quotes]]+TwitterClean[[#This Row],[bookmarks]]</f>
        <v>212</v>
      </c>
      <c r="AB410" s="1">
        <f>TwitterClean[[#This Row],[Total_Engagements]]/TwitterClean[[#This Row],[views]]</f>
        <v>1.352817305851573E-2</v>
      </c>
      <c r="AC410" s="3">
        <f>DATEVALUE(MID(TwitterClean[[#This Row],[date_posted]],2,10))</f>
        <v>45641</v>
      </c>
      <c r="AD410">
        <f>TIMEVALUE(MID(TwitterClean[[#This Row],[date_posted]],13,8))</f>
        <v>0.70729166666666665</v>
      </c>
      <c r="AE410" s="3" t="str">
        <f>TEXT(TwitterClean[[#This Row],[Post_Date]],"dddd")</f>
        <v>Sunday</v>
      </c>
      <c r="AF410">
        <f>HOUR(TwitterClean[[#This Row],[Post_Time]])</f>
        <v>16</v>
      </c>
      <c r="AG410" t="str">
        <f>IF(TwitterClean[[#This Row],[videos]]="Null","No","Yes")</f>
        <v>Yes</v>
      </c>
      <c r="AH410" t="str">
        <f>IF(TwitterClean[[#This Row],[photos]]="null","No","Yes")</f>
        <v>No</v>
      </c>
      <c r="AI410" t="str">
        <f>IF(TwitterClean[[#This Row],[hashtags]]="null","No","Yes")</f>
        <v>No</v>
      </c>
      <c r="AJ410" t="str">
        <f>IF(TwitterClean[[#This Row],[external_url]]="null","Yes","No")</f>
        <v>No</v>
      </c>
      <c r="AK410">
        <f>LEN(TwitterClean[[#This Row],[description]])</f>
        <v>120</v>
      </c>
      <c r="AL410" t="str">
        <f>IF(TwitterClean[[#This Row],[followers]]&lt;100000,"&lt;100K",IF(TwitterClean[[#This Row],[followers]]&lt;1000000,"100K-1M",IF(TwitterClean[[#This Row],[followers]]&lt;10000000,"1M-10M","10M+")))</f>
        <v>100K-1M</v>
      </c>
    </row>
    <row r="411" spans="1:38">
      <c r="A411">
        <v>1.8681024768444214E+18</v>
      </c>
      <c r="B411" t="s">
        <v>3083</v>
      </c>
      <c r="C411" t="s">
        <v>3083</v>
      </c>
      <c r="D411" t="s">
        <v>3785</v>
      </c>
      <c r="E411" t="s">
        <v>3786</v>
      </c>
      <c r="F411" t="s">
        <v>29</v>
      </c>
      <c r="G411" t="s">
        <v>3787</v>
      </c>
      <c r="H411" t="s">
        <v>3788</v>
      </c>
      <c r="I411">
        <v>116</v>
      </c>
      <c r="J411">
        <v>466</v>
      </c>
      <c r="K411">
        <v>3322</v>
      </c>
      <c r="L411">
        <v>296280</v>
      </c>
      <c r="M411" t="s">
        <v>52</v>
      </c>
      <c r="N411" t="s">
        <v>3087</v>
      </c>
      <c r="O411">
        <v>14376035</v>
      </c>
      <c r="P411" t="s">
        <v>3088</v>
      </c>
      <c r="Q411">
        <v>346973</v>
      </c>
      <c r="R411" t="s">
        <v>3089</v>
      </c>
      <c r="S411">
        <v>392</v>
      </c>
      <c r="T411" t="b">
        <v>0</v>
      </c>
      <c r="U411">
        <v>18</v>
      </c>
      <c r="V411">
        <v>86</v>
      </c>
      <c r="W411" t="s">
        <v>35</v>
      </c>
      <c r="X411" t="s">
        <v>29</v>
      </c>
      <c r="Y411" t="s">
        <v>3789</v>
      </c>
      <c r="Z411" t="s">
        <v>37</v>
      </c>
      <c r="AA411">
        <f>TwitterClean[[#This Row],[likes]]+TwitterClean[[#This Row],[replies]]+TwitterClean[[#This Row],[reposts]]+TwitterClean[[#This Row],[quotes]]+TwitterClean[[#This Row],[bookmarks]]</f>
        <v>4008</v>
      </c>
      <c r="AB411" s="1">
        <f>TwitterClean[[#This Row],[Total_Engagements]]/TwitterClean[[#This Row],[views]]</f>
        <v>1.3527744025921426E-2</v>
      </c>
      <c r="AC411" s="3">
        <f>DATEVALUE(MID(TwitterClean[[#This Row],[date_posted]],2,10))</f>
        <v>45641</v>
      </c>
      <c r="AD411">
        <f>TIMEVALUE(MID(TwitterClean[[#This Row],[date_posted]],13,8))</f>
        <v>5.2222222222222225E-2</v>
      </c>
      <c r="AE411" s="3" t="str">
        <f>TEXT(TwitterClean[[#This Row],[Post_Date]],"dddd")</f>
        <v>Sunday</v>
      </c>
      <c r="AF411">
        <f>HOUR(TwitterClean[[#This Row],[Post_Time]])</f>
        <v>1</v>
      </c>
      <c r="AG411" t="str">
        <f>IF(TwitterClean[[#This Row],[videos]]="Null","No","Yes")</f>
        <v>Yes</v>
      </c>
      <c r="AH411" t="str">
        <f>IF(TwitterClean[[#This Row],[photos]]="null","No","Yes")</f>
        <v>No</v>
      </c>
      <c r="AI411" t="str">
        <f>IF(TwitterClean[[#This Row],[hashtags]]="null","No","Yes")</f>
        <v>Yes</v>
      </c>
      <c r="AJ411" t="str">
        <f>IF(TwitterClean[[#This Row],[external_url]]="null","Yes","No")</f>
        <v>No</v>
      </c>
      <c r="AK411">
        <f>LEN(TwitterClean[[#This Row],[description]])</f>
        <v>64</v>
      </c>
      <c r="AL411" t="str">
        <f>IF(TwitterClean[[#This Row],[followers]]&lt;100000,"&lt;100K",IF(TwitterClean[[#This Row],[followers]]&lt;1000000,"100K-1M",IF(TwitterClean[[#This Row],[followers]]&lt;10000000,"1M-10M","10M+")))</f>
        <v>10M+</v>
      </c>
    </row>
    <row r="412" spans="1:38">
      <c r="A412">
        <v>1.815201979192267E+18</v>
      </c>
      <c r="B412" t="s">
        <v>2353</v>
      </c>
      <c r="C412" t="s">
        <v>2354</v>
      </c>
      <c r="D412" t="s">
        <v>2632</v>
      </c>
      <c r="E412" t="s">
        <v>2633</v>
      </c>
      <c r="F412" t="s">
        <v>2634</v>
      </c>
      <c r="G412" t="s">
        <v>2635</v>
      </c>
      <c r="H412" t="s">
        <v>2636</v>
      </c>
      <c r="I412">
        <v>1</v>
      </c>
      <c r="J412">
        <v>2</v>
      </c>
      <c r="K412">
        <v>63</v>
      </c>
      <c r="L412">
        <v>5042</v>
      </c>
      <c r="M412" t="s">
        <v>52</v>
      </c>
      <c r="N412" t="s">
        <v>29</v>
      </c>
      <c r="O412">
        <v>1293</v>
      </c>
      <c r="P412" t="s">
        <v>2361</v>
      </c>
      <c r="Q412">
        <v>2739</v>
      </c>
      <c r="R412" t="s">
        <v>2362</v>
      </c>
      <c r="S412">
        <v>900</v>
      </c>
      <c r="T412" t="b">
        <v>0</v>
      </c>
      <c r="U412">
        <v>2</v>
      </c>
      <c r="V412">
        <v>0</v>
      </c>
      <c r="W412" t="s">
        <v>35</v>
      </c>
      <c r="X412" t="s">
        <v>29</v>
      </c>
      <c r="Y412" t="s">
        <v>2637</v>
      </c>
      <c r="Z412" t="s">
        <v>37</v>
      </c>
      <c r="AA412">
        <f>TwitterClean[[#This Row],[likes]]+TwitterClean[[#This Row],[replies]]+TwitterClean[[#This Row],[reposts]]+TwitterClean[[#This Row],[quotes]]+TwitterClean[[#This Row],[bookmarks]]</f>
        <v>68</v>
      </c>
      <c r="AB412" s="1">
        <f>TwitterClean[[#This Row],[Total_Engagements]]/TwitterClean[[#This Row],[views]]</f>
        <v>1.3486711622372074E-2</v>
      </c>
      <c r="AC412" s="3">
        <f>DATEVALUE(MID(TwitterClean[[#This Row],[date_posted]],2,10))</f>
        <v>45495</v>
      </c>
      <c r="AD412">
        <f>TIMEVALUE(MID(TwitterClean[[#This Row],[date_posted]],13,8))</f>
        <v>7.4664351851851857E-2</v>
      </c>
      <c r="AE412" s="3" t="str">
        <f>TEXT(TwitterClean[[#This Row],[Post_Date]],"dddd")</f>
        <v>Monday</v>
      </c>
      <c r="AF412">
        <f>HOUR(TwitterClean[[#This Row],[Post_Time]])</f>
        <v>1</v>
      </c>
      <c r="AG412" t="str">
        <f>IF(TwitterClean[[#This Row],[videos]]="Null","No","Yes")</f>
        <v>Yes</v>
      </c>
      <c r="AH412" t="str">
        <f>IF(TwitterClean[[#This Row],[photos]]="null","No","Yes")</f>
        <v>Yes</v>
      </c>
      <c r="AI412" t="str">
        <f>IF(TwitterClean[[#This Row],[hashtags]]="null","No","Yes")</f>
        <v>No</v>
      </c>
      <c r="AJ412" t="str">
        <f>IF(TwitterClean[[#This Row],[external_url]]="null","Yes","No")</f>
        <v>No</v>
      </c>
      <c r="AK412">
        <f>LEN(TwitterClean[[#This Row],[description]])</f>
        <v>129</v>
      </c>
      <c r="AL412" t="str">
        <f>IF(TwitterClean[[#This Row],[followers]]&lt;100000,"&lt;100K",IF(TwitterClean[[#This Row],[followers]]&lt;1000000,"100K-1M",IF(TwitterClean[[#This Row],[followers]]&lt;10000000,"1M-10M","10M+")))</f>
        <v>&lt;100K</v>
      </c>
    </row>
    <row r="413" spans="1:38">
      <c r="A413">
        <v>1.8684228679368172E+18</v>
      </c>
      <c r="B413" t="s">
        <v>2230</v>
      </c>
      <c r="C413" t="s">
        <v>2231</v>
      </c>
      <c r="D413" t="s">
        <v>2494</v>
      </c>
      <c r="E413" t="s">
        <v>2495</v>
      </c>
      <c r="F413" t="s">
        <v>2496</v>
      </c>
      <c r="G413" t="s">
        <v>2497</v>
      </c>
      <c r="H413" t="s">
        <v>29</v>
      </c>
      <c r="I413">
        <v>30</v>
      </c>
      <c r="J413">
        <v>57</v>
      </c>
      <c r="K413">
        <v>269</v>
      </c>
      <c r="L413">
        <v>27095</v>
      </c>
      <c r="M413" t="s">
        <v>2498</v>
      </c>
      <c r="N413" t="s">
        <v>29</v>
      </c>
      <c r="O413">
        <v>3313886</v>
      </c>
      <c r="P413" t="s">
        <v>2237</v>
      </c>
      <c r="Q413">
        <v>706459</v>
      </c>
      <c r="R413" t="s">
        <v>2238</v>
      </c>
      <c r="S413">
        <v>10308</v>
      </c>
      <c r="T413" t="b">
        <v>0</v>
      </c>
      <c r="U413">
        <v>1</v>
      </c>
      <c r="V413">
        <v>8</v>
      </c>
      <c r="W413" t="s">
        <v>35</v>
      </c>
      <c r="X413" t="s">
        <v>29</v>
      </c>
      <c r="Y413" t="s">
        <v>29</v>
      </c>
      <c r="Z413" t="s">
        <v>37</v>
      </c>
      <c r="AA413">
        <f>TwitterClean[[#This Row],[likes]]+TwitterClean[[#This Row],[replies]]+TwitterClean[[#This Row],[reposts]]+TwitterClean[[#This Row],[quotes]]+TwitterClean[[#This Row],[bookmarks]]</f>
        <v>365</v>
      </c>
      <c r="AB413" s="1">
        <f>TwitterClean[[#This Row],[Total_Engagements]]/TwitterClean[[#This Row],[views]]</f>
        <v>1.3471120132865843E-2</v>
      </c>
      <c r="AC413" s="3">
        <f>DATEVALUE(MID(TwitterClean[[#This Row],[date_posted]],2,10))</f>
        <v>45641</v>
      </c>
      <c r="AD413">
        <f>TIMEVALUE(MID(TwitterClean[[#This Row],[date_posted]],13,8))</f>
        <v>0.93633101851851852</v>
      </c>
      <c r="AE413" s="3" t="str">
        <f>TEXT(TwitterClean[[#This Row],[Post_Date]],"dddd")</f>
        <v>Sunday</v>
      </c>
      <c r="AF413">
        <f>HOUR(TwitterClean[[#This Row],[Post_Time]])</f>
        <v>22</v>
      </c>
      <c r="AG413" t="str">
        <f>IF(TwitterClean[[#This Row],[videos]]="Null","No","Yes")</f>
        <v>No</v>
      </c>
      <c r="AH413" t="str">
        <f>IF(TwitterClean[[#This Row],[photos]]="null","No","Yes")</f>
        <v>Yes</v>
      </c>
      <c r="AI413" t="str">
        <f>IF(TwitterClean[[#This Row],[hashtags]]="null","No","Yes")</f>
        <v>No</v>
      </c>
      <c r="AJ413" t="str">
        <f>IF(TwitterClean[[#This Row],[external_url]]="null","Yes","No")</f>
        <v>No</v>
      </c>
      <c r="AK413">
        <f>LEN(TwitterClean[[#This Row],[description]])</f>
        <v>77</v>
      </c>
      <c r="AL413" t="str">
        <f>IF(TwitterClean[[#This Row],[followers]]&lt;100000,"&lt;100K",IF(TwitterClean[[#This Row],[followers]]&lt;1000000,"100K-1M",IF(TwitterClean[[#This Row],[followers]]&lt;10000000,"1M-10M","10M+")))</f>
        <v>1M-10M</v>
      </c>
    </row>
    <row r="414" spans="1:38">
      <c r="A414">
        <v>1.8665985831155837E+18</v>
      </c>
      <c r="B414" t="s">
        <v>3973</v>
      </c>
      <c r="C414" t="s">
        <v>3974</v>
      </c>
      <c r="D414" t="s">
        <v>4002</v>
      </c>
      <c r="E414" t="s">
        <v>4003</v>
      </c>
      <c r="F414" t="s">
        <v>29</v>
      </c>
      <c r="G414" t="s">
        <v>4004</v>
      </c>
      <c r="H414" t="s">
        <v>4005</v>
      </c>
      <c r="I414">
        <v>9</v>
      </c>
      <c r="J414">
        <v>61</v>
      </c>
      <c r="K414">
        <v>648</v>
      </c>
      <c r="L414">
        <v>56290</v>
      </c>
      <c r="M414" t="s">
        <v>52</v>
      </c>
      <c r="N414" t="s">
        <v>29</v>
      </c>
      <c r="O414">
        <v>2035100</v>
      </c>
      <c r="P414" t="s">
        <v>3979</v>
      </c>
      <c r="Q414">
        <v>106867</v>
      </c>
      <c r="R414" t="s">
        <v>3980</v>
      </c>
      <c r="S414">
        <v>411</v>
      </c>
      <c r="T414" t="b">
        <v>0</v>
      </c>
      <c r="U414">
        <v>5</v>
      </c>
      <c r="V414">
        <v>35</v>
      </c>
      <c r="W414" t="s">
        <v>35</v>
      </c>
      <c r="X414" t="s">
        <v>29</v>
      </c>
      <c r="Y414" t="s">
        <v>4006</v>
      </c>
      <c r="Z414" t="s">
        <v>37</v>
      </c>
      <c r="AA414">
        <f>TwitterClean[[#This Row],[likes]]+TwitterClean[[#This Row],[replies]]+TwitterClean[[#This Row],[reposts]]+TwitterClean[[#This Row],[quotes]]+TwitterClean[[#This Row],[bookmarks]]</f>
        <v>758</v>
      </c>
      <c r="AB414" s="1">
        <f>TwitterClean[[#This Row],[Total_Engagements]]/TwitterClean[[#This Row],[views]]</f>
        <v>1.3465979747734945E-2</v>
      </c>
      <c r="AC414" s="3">
        <f>DATEVALUE(MID(TwitterClean[[#This Row],[date_posted]],2,10))</f>
        <v>45636</v>
      </c>
      <c r="AD414">
        <f>TIMEVALUE(MID(TwitterClean[[#This Row],[date_posted]],13,8))</f>
        <v>0.90226851851851853</v>
      </c>
      <c r="AE414" s="3" t="str">
        <f>TEXT(TwitterClean[[#This Row],[Post_Date]],"dddd")</f>
        <v>Tuesday</v>
      </c>
      <c r="AF414">
        <f>HOUR(TwitterClean[[#This Row],[Post_Time]])</f>
        <v>21</v>
      </c>
      <c r="AG414" t="str">
        <f>IF(TwitterClean[[#This Row],[videos]]="Null","No","Yes")</f>
        <v>Yes</v>
      </c>
      <c r="AH414" t="str">
        <f>IF(TwitterClean[[#This Row],[photos]]="null","No","Yes")</f>
        <v>No</v>
      </c>
      <c r="AI414" t="str">
        <f>IF(TwitterClean[[#This Row],[hashtags]]="null","No","Yes")</f>
        <v>No</v>
      </c>
      <c r="AJ414" t="str">
        <f>IF(TwitterClean[[#This Row],[external_url]]="null","Yes","No")</f>
        <v>No</v>
      </c>
      <c r="AK414">
        <f>LEN(TwitterClean[[#This Row],[description]])</f>
        <v>87</v>
      </c>
      <c r="AL414" t="str">
        <f>IF(TwitterClean[[#This Row],[followers]]&lt;100000,"&lt;100K",IF(TwitterClean[[#This Row],[followers]]&lt;1000000,"100K-1M",IF(TwitterClean[[#This Row],[followers]]&lt;10000000,"1M-10M","10M+")))</f>
        <v>1M-10M</v>
      </c>
    </row>
    <row r="415" spans="1:38">
      <c r="A415">
        <v>1.8682216160079176E+18</v>
      </c>
      <c r="B415" t="s">
        <v>1656</v>
      </c>
      <c r="C415" t="s">
        <v>1657</v>
      </c>
      <c r="D415" t="s">
        <v>2046</v>
      </c>
      <c r="E415" t="s">
        <v>2047</v>
      </c>
      <c r="F415" t="s">
        <v>29</v>
      </c>
      <c r="G415" t="s">
        <v>2048</v>
      </c>
      <c r="H415" t="s">
        <v>2049</v>
      </c>
      <c r="I415">
        <v>29</v>
      </c>
      <c r="J415">
        <v>40</v>
      </c>
      <c r="K415">
        <v>154</v>
      </c>
      <c r="L415">
        <v>18057</v>
      </c>
      <c r="M415" t="s">
        <v>2050</v>
      </c>
      <c r="N415" t="s">
        <v>29</v>
      </c>
      <c r="O415">
        <v>2819409</v>
      </c>
      <c r="P415" t="s">
        <v>1662</v>
      </c>
      <c r="Q415">
        <v>286269</v>
      </c>
      <c r="R415" t="s">
        <v>1663</v>
      </c>
      <c r="S415">
        <v>4</v>
      </c>
      <c r="T415" t="b">
        <v>0</v>
      </c>
      <c r="U415">
        <v>6</v>
      </c>
      <c r="V415">
        <v>14</v>
      </c>
      <c r="W415" t="s">
        <v>35</v>
      </c>
      <c r="X415" t="s">
        <v>2051</v>
      </c>
      <c r="Y415" t="s">
        <v>29</v>
      </c>
      <c r="Z415" t="s">
        <v>37</v>
      </c>
      <c r="AA415">
        <f>TwitterClean[[#This Row],[likes]]+TwitterClean[[#This Row],[replies]]+TwitterClean[[#This Row],[reposts]]+TwitterClean[[#This Row],[quotes]]+TwitterClean[[#This Row],[bookmarks]]</f>
        <v>243</v>
      </c>
      <c r="AB415" s="1">
        <f>TwitterClean[[#This Row],[Total_Engagements]]/TwitterClean[[#This Row],[views]]</f>
        <v>1.3457384947665725E-2</v>
      </c>
      <c r="AC415" s="3">
        <f>DATEVALUE(MID(TwitterClean[[#This Row],[date_posted]],2,10))</f>
        <v>45641</v>
      </c>
      <c r="AD415">
        <f>TIMEVALUE(MID(TwitterClean[[#This Row],[date_posted]],13,8))</f>
        <v>0.38098379629629631</v>
      </c>
      <c r="AE415" s="3" t="str">
        <f>TEXT(TwitterClean[[#This Row],[Post_Date]],"dddd")</f>
        <v>Sunday</v>
      </c>
      <c r="AF415">
        <f>HOUR(TwitterClean[[#This Row],[Post_Time]])</f>
        <v>9</v>
      </c>
      <c r="AG415" t="str">
        <f>IF(TwitterClean[[#This Row],[videos]]="Null","No","Yes")</f>
        <v>No</v>
      </c>
      <c r="AH415" t="str">
        <f>IF(TwitterClean[[#This Row],[photos]]="null","No","Yes")</f>
        <v>No</v>
      </c>
      <c r="AI415" t="str">
        <f>IF(TwitterClean[[#This Row],[hashtags]]="null","No","Yes")</f>
        <v>No</v>
      </c>
      <c r="AJ415" t="str">
        <f>IF(TwitterClean[[#This Row],[external_url]]="null","Yes","No")</f>
        <v>No</v>
      </c>
      <c r="AK415">
        <f>LEN(TwitterClean[[#This Row],[description]])</f>
        <v>89</v>
      </c>
      <c r="AL415" t="str">
        <f>IF(TwitterClean[[#This Row],[followers]]&lt;100000,"&lt;100K",IF(TwitterClean[[#This Row],[followers]]&lt;1000000,"100K-1M",IF(TwitterClean[[#This Row],[followers]]&lt;10000000,"1M-10M","10M+")))</f>
        <v>1M-10M</v>
      </c>
    </row>
    <row r="416" spans="1:38">
      <c r="A416">
        <v>1.8653414819319073E+18</v>
      </c>
      <c r="B416" t="s">
        <v>2714</v>
      </c>
      <c r="C416" t="s">
        <v>2715</v>
      </c>
      <c r="D416" t="s">
        <v>2868</v>
      </c>
      <c r="E416" t="s">
        <v>2869</v>
      </c>
      <c r="F416" t="s">
        <v>29</v>
      </c>
      <c r="G416" t="s">
        <v>2870</v>
      </c>
      <c r="H416" t="s">
        <v>2719</v>
      </c>
      <c r="I416">
        <v>6</v>
      </c>
      <c r="J416">
        <v>18</v>
      </c>
      <c r="K416">
        <v>118</v>
      </c>
      <c r="L416">
        <v>10940</v>
      </c>
      <c r="M416" t="s">
        <v>52</v>
      </c>
      <c r="N416" t="s">
        <v>29</v>
      </c>
      <c r="O416">
        <v>182895</v>
      </c>
      <c r="P416" t="s">
        <v>2720</v>
      </c>
      <c r="Q416">
        <v>30781</v>
      </c>
      <c r="R416" t="s">
        <v>2721</v>
      </c>
      <c r="S416">
        <v>559</v>
      </c>
      <c r="T416" t="b">
        <v>0</v>
      </c>
      <c r="U416">
        <v>2</v>
      </c>
      <c r="V416">
        <v>3</v>
      </c>
      <c r="W416" t="s">
        <v>35</v>
      </c>
      <c r="X416" t="s">
        <v>29</v>
      </c>
      <c r="Y416" t="s">
        <v>2871</v>
      </c>
      <c r="Z416" t="s">
        <v>37</v>
      </c>
      <c r="AA416">
        <f>TwitterClean[[#This Row],[likes]]+TwitterClean[[#This Row],[replies]]+TwitterClean[[#This Row],[reposts]]+TwitterClean[[#This Row],[quotes]]+TwitterClean[[#This Row],[bookmarks]]</f>
        <v>147</v>
      </c>
      <c r="AB416" s="1">
        <f>TwitterClean[[#This Row],[Total_Engagements]]/TwitterClean[[#This Row],[views]]</f>
        <v>1.3436928702010969E-2</v>
      </c>
      <c r="AC416" s="3">
        <f>DATEVALUE(MID(TwitterClean[[#This Row],[date_posted]],2,10))</f>
        <v>45633</v>
      </c>
      <c r="AD416">
        <f>TIMEVALUE(MID(TwitterClean[[#This Row],[date_posted]],13,8))</f>
        <v>0.43333333333333335</v>
      </c>
      <c r="AE416" s="3" t="str">
        <f>TEXT(TwitterClean[[#This Row],[Post_Date]],"dddd")</f>
        <v>Saturday</v>
      </c>
      <c r="AF416">
        <f>HOUR(TwitterClean[[#This Row],[Post_Time]])</f>
        <v>10</v>
      </c>
      <c r="AG416" t="str">
        <f>IF(TwitterClean[[#This Row],[videos]]="Null","No","Yes")</f>
        <v>Yes</v>
      </c>
      <c r="AH416" t="str">
        <f>IF(TwitterClean[[#This Row],[photos]]="null","No","Yes")</f>
        <v>No</v>
      </c>
      <c r="AI416" t="str">
        <f>IF(TwitterClean[[#This Row],[hashtags]]="null","No","Yes")</f>
        <v>No</v>
      </c>
      <c r="AJ416" t="str">
        <f>IF(TwitterClean[[#This Row],[external_url]]="null","Yes","No")</f>
        <v>No</v>
      </c>
      <c r="AK416">
        <f>LEN(TwitterClean[[#This Row],[description]])</f>
        <v>87</v>
      </c>
      <c r="AL416" t="str">
        <f>IF(TwitterClean[[#This Row],[followers]]&lt;100000,"&lt;100K",IF(TwitterClean[[#This Row],[followers]]&lt;1000000,"100K-1M",IF(TwitterClean[[#This Row],[followers]]&lt;10000000,"1M-10M","10M+")))</f>
        <v>100K-1M</v>
      </c>
    </row>
    <row r="417" spans="1:38">
      <c r="A417">
        <v>1.8684413820227174E+18</v>
      </c>
      <c r="B417" t="s">
        <v>46</v>
      </c>
      <c r="C417" t="s">
        <v>47</v>
      </c>
      <c r="D417" t="s">
        <v>57</v>
      </c>
      <c r="E417" t="s">
        <v>58</v>
      </c>
      <c r="F417" t="s">
        <v>59</v>
      </c>
      <c r="G417" t="s">
        <v>60</v>
      </c>
      <c r="H417" t="s">
        <v>61</v>
      </c>
      <c r="I417">
        <v>6</v>
      </c>
      <c r="J417">
        <v>5</v>
      </c>
      <c r="K417">
        <v>230</v>
      </c>
      <c r="L417">
        <v>18267</v>
      </c>
      <c r="M417" t="s">
        <v>52</v>
      </c>
      <c r="N417" t="s">
        <v>29</v>
      </c>
      <c r="O417">
        <v>8293189</v>
      </c>
      <c r="P417" t="s">
        <v>54</v>
      </c>
      <c r="Q417">
        <v>456734</v>
      </c>
      <c r="R417" t="s">
        <v>55</v>
      </c>
      <c r="S417">
        <v>859</v>
      </c>
      <c r="T417" t="b">
        <v>0</v>
      </c>
      <c r="U417">
        <v>1</v>
      </c>
      <c r="V417">
        <v>3</v>
      </c>
      <c r="W417" t="s">
        <v>35</v>
      </c>
      <c r="X417" t="s">
        <v>29</v>
      </c>
      <c r="Y417" t="s">
        <v>29</v>
      </c>
      <c r="Z417" t="s">
        <v>37</v>
      </c>
      <c r="AA417">
        <f>TwitterClean[[#This Row],[likes]]+TwitterClean[[#This Row],[replies]]+TwitterClean[[#This Row],[reposts]]+TwitterClean[[#This Row],[quotes]]+TwitterClean[[#This Row],[bookmarks]]</f>
        <v>245</v>
      </c>
      <c r="AB417" s="1">
        <f>TwitterClean[[#This Row],[Total_Engagements]]/TwitterClean[[#This Row],[views]]</f>
        <v>1.3412164011605627E-2</v>
      </c>
      <c r="AC417" s="3">
        <f>DATEVALUE(MID(TwitterClean[[#This Row],[date_posted]],2,10))</f>
        <v>45641</v>
      </c>
      <c r="AD417">
        <f>TIMEVALUE(MID(TwitterClean[[#This Row],[date_posted]],13,8))</f>
        <v>0.98743055555555559</v>
      </c>
      <c r="AE417" s="3" t="str">
        <f>TEXT(TwitterClean[[#This Row],[Post_Date]],"dddd")</f>
        <v>Sunday</v>
      </c>
      <c r="AF417">
        <f>HOUR(TwitterClean[[#This Row],[Post_Time]])</f>
        <v>23</v>
      </c>
      <c r="AG417" t="str">
        <f>IF(TwitterClean[[#This Row],[videos]]="Null","No","Yes")</f>
        <v>No</v>
      </c>
      <c r="AH417" t="str">
        <f>IF(TwitterClean[[#This Row],[photos]]="null","No","Yes")</f>
        <v>Yes</v>
      </c>
      <c r="AI417" t="str">
        <f>IF(TwitterClean[[#This Row],[hashtags]]="null","No","Yes")</f>
        <v>No</v>
      </c>
      <c r="AJ417" t="str">
        <f>IF(TwitterClean[[#This Row],[external_url]]="null","Yes","No")</f>
        <v>No</v>
      </c>
      <c r="AK417">
        <f>LEN(TwitterClean[[#This Row],[description]])</f>
        <v>121</v>
      </c>
      <c r="AL417" t="str">
        <f>IF(TwitterClean[[#This Row],[followers]]&lt;100000,"&lt;100K",IF(TwitterClean[[#This Row],[followers]]&lt;1000000,"100K-1M",IF(TwitterClean[[#This Row],[followers]]&lt;10000000,"1M-10M","10M+")))</f>
        <v>1M-10M</v>
      </c>
    </row>
    <row r="418" spans="1:38">
      <c r="A418">
        <v>1.8683553459379942E+18</v>
      </c>
      <c r="B418" t="s">
        <v>4681</v>
      </c>
      <c r="C418" t="s">
        <v>4682</v>
      </c>
      <c r="D418" t="s">
        <v>4683</v>
      </c>
      <c r="E418" t="s">
        <v>4684</v>
      </c>
      <c r="F418" t="s">
        <v>29</v>
      </c>
      <c r="G418" t="s">
        <v>4685</v>
      </c>
      <c r="H418" t="s">
        <v>4686</v>
      </c>
      <c r="I418">
        <v>1</v>
      </c>
      <c r="J418">
        <v>7</v>
      </c>
      <c r="K418">
        <v>101</v>
      </c>
      <c r="L418">
        <v>8285</v>
      </c>
      <c r="M418" t="s">
        <v>4687</v>
      </c>
      <c r="N418" t="s">
        <v>4688</v>
      </c>
      <c r="O418">
        <v>325211</v>
      </c>
      <c r="P418" t="s">
        <v>4689</v>
      </c>
      <c r="Q418">
        <v>33518</v>
      </c>
      <c r="R418" t="s">
        <v>4690</v>
      </c>
      <c r="S418">
        <v>711</v>
      </c>
      <c r="T418" t="b">
        <v>0</v>
      </c>
      <c r="U418">
        <v>1</v>
      </c>
      <c r="V418">
        <v>1</v>
      </c>
      <c r="W418" t="s">
        <v>35</v>
      </c>
      <c r="X418" t="s">
        <v>29</v>
      </c>
      <c r="Y418" t="s">
        <v>29</v>
      </c>
      <c r="Z418" t="s">
        <v>37</v>
      </c>
      <c r="AA418">
        <f>TwitterClean[[#This Row],[likes]]+TwitterClean[[#This Row],[replies]]+TwitterClean[[#This Row],[reposts]]+TwitterClean[[#This Row],[quotes]]+TwitterClean[[#This Row],[bookmarks]]</f>
        <v>111</v>
      </c>
      <c r="AB418" s="1">
        <f>TwitterClean[[#This Row],[Total_Engagements]]/TwitterClean[[#This Row],[views]]</f>
        <v>1.3397706698853349E-2</v>
      </c>
      <c r="AC418" s="3">
        <f>DATEVALUE(MID(TwitterClean[[#This Row],[date_posted]],2,10))</f>
        <v>45641</v>
      </c>
      <c r="AD418">
        <f>TIMEVALUE(MID(TwitterClean[[#This Row],[date_posted]],13,8))</f>
        <v>0.75001157407407404</v>
      </c>
      <c r="AE418" s="3" t="str">
        <f>TEXT(TwitterClean[[#This Row],[Post_Date]],"dddd")</f>
        <v>Sunday</v>
      </c>
      <c r="AF418">
        <f>HOUR(TwitterClean[[#This Row],[Post_Time]])</f>
        <v>18</v>
      </c>
      <c r="AG418" t="str">
        <f>IF(TwitterClean[[#This Row],[videos]]="Null","No","Yes")</f>
        <v>No</v>
      </c>
      <c r="AH418" t="str">
        <f>IF(TwitterClean[[#This Row],[photos]]="null","No","Yes")</f>
        <v>No</v>
      </c>
      <c r="AI418" t="str">
        <f>IF(TwitterClean[[#This Row],[hashtags]]="null","No","Yes")</f>
        <v>Yes</v>
      </c>
      <c r="AJ418" t="str">
        <f>IF(TwitterClean[[#This Row],[external_url]]="null","Yes","No")</f>
        <v>No</v>
      </c>
      <c r="AK418">
        <f>LEN(TwitterClean[[#This Row],[description]])</f>
        <v>118</v>
      </c>
      <c r="AL418" t="str">
        <f>IF(TwitterClean[[#This Row],[followers]]&lt;100000,"&lt;100K",IF(TwitterClean[[#This Row],[followers]]&lt;1000000,"100K-1M",IF(TwitterClean[[#This Row],[followers]]&lt;10000000,"1M-10M","10M+")))</f>
        <v>100K-1M</v>
      </c>
    </row>
    <row r="419" spans="1:38">
      <c r="A419">
        <v>1.8683007441700129E+18</v>
      </c>
      <c r="B419" t="s">
        <v>1303</v>
      </c>
      <c r="C419" t="s">
        <v>1304</v>
      </c>
      <c r="D419" t="s">
        <v>1542</v>
      </c>
      <c r="E419" t="s">
        <v>1543</v>
      </c>
      <c r="F419" t="s">
        <v>1544</v>
      </c>
      <c r="G419" t="s">
        <v>1545</v>
      </c>
      <c r="H419" t="s">
        <v>1333</v>
      </c>
      <c r="I419">
        <v>93</v>
      </c>
      <c r="J419">
        <v>69</v>
      </c>
      <c r="K419">
        <v>832</v>
      </c>
      <c r="L419">
        <v>85620</v>
      </c>
      <c r="M419" t="s">
        <v>52</v>
      </c>
      <c r="N419" t="s">
        <v>1273</v>
      </c>
      <c r="O419">
        <v>240106</v>
      </c>
      <c r="P419" t="s">
        <v>1309</v>
      </c>
      <c r="Q419">
        <v>29070</v>
      </c>
      <c r="R419" t="s">
        <v>1310</v>
      </c>
      <c r="S419">
        <v>799</v>
      </c>
      <c r="T419" t="b">
        <v>0</v>
      </c>
      <c r="U419">
        <v>141</v>
      </c>
      <c r="V419">
        <v>12</v>
      </c>
      <c r="W419" t="s">
        <v>35</v>
      </c>
      <c r="X419" t="s">
        <v>29</v>
      </c>
      <c r="Y419" t="s">
        <v>29</v>
      </c>
      <c r="Z419" t="s">
        <v>37</v>
      </c>
      <c r="AA419">
        <f>TwitterClean[[#This Row],[likes]]+TwitterClean[[#This Row],[replies]]+TwitterClean[[#This Row],[reposts]]+TwitterClean[[#This Row],[quotes]]+TwitterClean[[#This Row],[bookmarks]]</f>
        <v>1147</v>
      </c>
      <c r="AB419" s="1">
        <f>TwitterClean[[#This Row],[Total_Engagements]]/TwitterClean[[#This Row],[views]]</f>
        <v>1.3396402709647278E-2</v>
      </c>
      <c r="AC419" s="3">
        <f>DATEVALUE(MID(TwitterClean[[#This Row],[date_posted]],2,10))</f>
        <v>45641</v>
      </c>
      <c r="AD419">
        <f>TIMEVALUE(MID(TwitterClean[[#This Row],[date_posted]],13,8))</f>
        <v>0.59934027777777776</v>
      </c>
      <c r="AE419" s="3" t="str">
        <f>TEXT(TwitterClean[[#This Row],[Post_Date]],"dddd")</f>
        <v>Sunday</v>
      </c>
      <c r="AF419">
        <f>HOUR(TwitterClean[[#This Row],[Post_Time]])</f>
        <v>14</v>
      </c>
      <c r="AG419" t="str">
        <f>IF(TwitterClean[[#This Row],[videos]]="Null","No","Yes")</f>
        <v>No</v>
      </c>
      <c r="AH419" t="str">
        <f>IF(TwitterClean[[#This Row],[photos]]="null","No","Yes")</f>
        <v>Yes</v>
      </c>
      <c r="AI419" t="str">
        <f>IF(TwitterClean[[#This Row],[hashtags]]="null","No","Yes")</f>
        <v>Yes</v>
      </c>
      <c r="AJ419" t="str">
        <f>IF(TwitterClean[[#This Row],[external_url]]="null","Yes","No")</f>
        <v>No</v>
      </c>
      <c r="AK419">
        <f>LEN(TwitterClean[[#This Row],[description]])</f>
        <v>32</v>
      </c>
      <c r="AL419" t="str">
        <f>IF(TwitterClean[[#This Row],[followers]]&lt;100000,"&lt;100K",IF(TwitterClean[[#This Row],[followers]]&lt;1000000,"100K-1M",IF(TwitterClean[[#This Row],[followers]]&lt;10000000,"1M-10M","10M+")))</f>
        <v>100K-1M</v>
      </c>
    </row>
    <row r="420" spans="1:38">
      <c r="A420">
        <v>1.8684151588186033E+18</v>
      </c>
      <c r="B420" t="s">
        <v>26</v>
      </c>
      <c r="C420" t="s">
        <v>26</v>
      </c>
      <c r="D420" t="s">
        <v>161</v>
      </c>
      <c r="E420" t="s">
        <v>162</v>
      </c>
      <c r="F420" t="s">
        <v>29</v>
      </c>
      <c r="G420" t="s">
        <v>163</v>
      </c>
      <c r="H420" t="s">
        <v>29</v>
      </c>
      <c r="I420">
        <v>51</v>
      </c>
      <c r="J420">
        <v>14</v>
      </c>
      <c r="K420">
        <v>117</v>
      </c>
      <c r="L420">
        <v>14127</v>
      </c>
      <c r="M420" t="s">
        <v>31</v>
      </c>
      <c r="N420" t="s">
        <v>66</v>
      </c>
      <c r="O420">
        <v>5771758</v>
      </c>
      <c r="P420" t="s">
        <v>33</v>
      </c>
      <c r="Q420">
        <v>222223</v>
      </c>
      <c r="R420" t="s">
        <v>34</v>
      </c>
      <c r="S420">
        <v>122</v>
      </c>
      <c r="T420" t="b">
        <v>0</v>
      </c>
      <c r="U420">
        <v>2</v>
      </c>
      <c r="V420">
        <v>5</v>
      </c>
      <c r="W420" t="s">
        <v>35</v>
      </c>
      <c r="X420" t="s">
        <v>29</v>
      </c>
      <c r="Y420" t="s">
        <v>164</v>
      </c>
      <c r="Z420" t="s">
        <v>37</v>
      </c>
      <c r="AA420">
        <f>TwitterClean[[#This Row],[likes]]+TwitterClean[[#This Row],[replies]]+TwitterClean[[#This Row],[reposts]]+TwitterClean[[#This Row],[quotes]]+TwitterClean[[#This Row],[bookmarks]]</f>
        <v>189</v>
      </c>
      <c r="AB420" s="1">
        <f>TwitterClean[[#This Row],[Total_Engagements]]/TwitterClean[[#This Row],[views]]</f>
        <v>1.3378636653217243E-2</v>
      </c>
      <c r="AC420" s="3">
        <f>DATEVALUE(MID(TwitterClean[[#This Row],[date_posted]],2,10))</f>
        <v>45641</v>
      </c>
      <c r="AD420">
        <f>TIMEVALUE(MID(TwitterClean[[#This Row],[date_posted]],13,8))</f>
        <v>0.91505787037037034</v>
      </c>
      <c r="AE420" s="3" t="str">
        <f>TEXT(TwitterClean[[#This Row],[Post_Date]],"dddd")</f>
        <v>Sunday</v>
      </c>
      <c r="AF420">
        <f>HOUR(TwitterClean[[#This Row],[Post_Time]])</f>
        <v>21</v>
      </c>
      <c r="AG420" t="str">
        <f>IF(TwitterClean[[#This Row],[videos]]="Null","No","Yes")</f>
        <v>Yes</v>
      </c>
      <c r="AH420" t="str">
        <f>IF(TwitterClean[[#This Row],[photos]]="null","No","Yes")</f>
        <v>No</v>
      </c>
      <c r="AI420" t="str">
        <f>IF(TwitterClean[[#This Row],[hashtags]]="null","No","Yes")</f>
        <v>Yes</v>
      </c>
      <c r="AJ420" t="str">
        <f>IF(TwitterClean[[#This Row],[external_url]]="null","Yes","No")</f>
        <v>No</v>
      </c>
      <c r="AK420">
        <f>LEN(TwitterClean[[#This Row],[description]])</f>
        <v>209</v>
      </c>
      <c r="AL420" t="str">
        <f>IF(TwitterClean[[#This Row],[followers]]&lt;100000,"&lt;100K",IF(TwitterClean[[#This Row],[followers]]&lt;1000000,"100K-1M",IF(TwitterClean[[#This Row],[followers]]&lt;10000000,"1M-10M","10M+")))</f>
        <v>1M-10M</v>
      </c>
    </row>
    <row r="421" spans="1:38">
      <c r="A421">
        <v>1.8682949474531738E+18</v>
      </c>
      <c r="B421" t="s">
        <v>1267</v>
      </c>
      <c r="C421" t="s">
        <v>1268</v>
      </c>
      <c r="D421" t="s">
        <v>1568</v>
      </c>
      <c r="E421" t="s">
        <v>1155</v>
      </c>
      <c r="F421" t="s">
        <v>1569</v>
      </c>
      <c r="G421" t="s">
        <v>1570</v>
      </c>
      <c r="H421" t="s">
        <v>1323</v>
      </c>
      <c r="I421">
        <v>161</v>
      </c>
      <c r="J421">
        <v>99</v>
      </c>
      <c r="K421">
        <v>1024</v>
      </c>
      <c r="L421">
        <v>97263</v>
      </c>
      <c r="M421" t="s">
        <v>52</v>
      </c>
      <c r="N421" t="s">
        <v>1273</v>
      </c>
      <c r="O421">
        <v>17891377</v>
      </c>
      <c r="P421" t="s">
        <v>1274</v>
      </c>
      <c r="Q421">
        <v>168939</v>
      </c>
      <c r="R421" t="s">
        <v>1275</v>
      </c>
      <c r="S421">
        <v>47365</v>
      </c>
      <c r="T421" t="b">
        <v>0</v>
      </c>
      <c r="U421">
        <v>6</v>
      </c>
      <c r="V421">
        <v>6</v>
      </c>
      <c r="W421" t="s">
        <v>35</v>
      </c>
      <c r="X421" t="s">
        <v>29</v>
      </c>
      <c r="Y421" t="s">
        <v>29</v>
      </c>
      <c r="Z421" t="s">
        <v>37</v>
      </c>
      <c r="AA421">
        <f>TwitterClean[[#This Row],[likes]]+TwitterClean[[#This Row],[replies]]+TwitterClean[[#This Row],[reposts]]+TwitterClean[[#This Row],[quotes]]+TwitterClean[[#This Row],[bookmarks]]</f>
        <v>1296</v>
      </c>
      <c r="AB421" s="1">
        <f>TwitterClean[[#This Row],[Total_Engagements]]/TwitterClean[[#This Row],[views]]</f>
        <v>1.3324696955676877E-2</v>
      </c>
      <c r="AC421" s="3">
        <f>DATEVALUE(MID(TwitterClean[[#This Row],[date_posted]],2,10))</f>
        <v>45641</v>
      </c>
      <c r="AD421">
        <f>TIMEVALUE(MID(TwitterClean[[#This Row],[date_posted]],13,8))</f>
        <v>0.58334490740740741</v>
      </c>
      <c r="AE421" s="3" t="str">
        <f>TEXT(TwitterClean[[#This Row],[Post_Date]],"dddd")</f>
        <v>Sunday</v>
      </c>
      <c r="AF421">
        <f>HOUR(TwitterClean[[#This Row],[Post_Time]])</f>
        <v>14</v>
      </c>
      <c r="AG421" t="str">
        <f>IF(TwitterClean[[#This Row],[videos]]="Null","No","Yes")</f>
        <v>No</v>
      </c>
      <c r="AH421" t="str">
        <f>IF(TwitterClean[[#This Row],[photos]]="null","No","Yes")</f>
        <v>Yes</v>
      </c>
      <c r="AI421" t="str">
        <f>IF(TwitterClean[[#This Row],[hashtags]]="null","No","Yes")</f>
        <v>Yes</v>
      </c>
      <c r="AJ421" t="str">
        <f>IF(TwitterClean[[#This Row],[external_url]]="null","Yes","No")</f>
        <v>No</v>
      </c>
      <c r="AK421">
        <f>LEN(TwitterClean[[#This Row],[description]])</f>
        <v>83</v>
      </c>
      <c r="AL421" t="str">
        <f>IF(TwitterClean[[#This Row],[followers]]&lt;100000,"&lt;100K",IF(TwitterClean[[#This Row],[followers]]&lt;1000000,"100K-1M",IF(TwitterClean[[#This Row],[followers]]&lt;10000000,"1M-10M","10M+")))</f>
        <v>10M+</v>
      </c>
    </row>
    <row r="422" spans="1:38">
      <c r="A422">
        <v>1.8683482811658529E+18</v>
      </c>
      <c r="B422" t="s">
        <v>2994</v>
      </c>
      <c r="C422" t="s">
        <v>3615</v>
      </c>
      <c r="D422" t="s">
        <v>3616</v>
      </c>
      <c r="E422" t="s">
        <v>3617</v>
      </c>
      <c r="F422" t="s">
        <v>29</v>
      </c>
      <c r="G422" t="s">
        <v>3618</v>
      </c>
      <c r="H422" t="s">
        <v>3619</v>
      </c>
      <c r="I422">
        <v>23</v>
      </c>
      <c r="J422">
        <v>86</v>
      </c>
      <c r="K422">
        <v>1298</v>
      </c>
      <c r="L422">
        <v>108147</v>
      </c>
      <c r="M422" t="s">
        <v>52</v>
      </c>
      <c r="N422" t="s">
        <v>3174</v>
      </c>
      <c r="O422">
        <v>812163</v>
      </c>
      <c r="P422" t="s">
        <v>3000</v>
      </c>
      <c r="Q422">
        <v>110924</v>
      </c>
      <c r="R422" t="s">
        <v>3001</v>
      </c>
      <c r="S422">
        <v>322</v>
      </c>
      <c r="T422" t="b">
        <v>0</v>
      </c>
      <c r="U422">
        <v>8</v>
      </c>
      <c r="V422">
        <v>25</v>
      </c>
      <c r="W422" t="s">
        <v>35</v>
      </c>
      <c r="X422" t="s">
        <v>29</v>
      </c>
      <c r="Y422" t="s">
        <v>3190</v>
      </c>
      <c r="Z422" t="s">
        <v>37</v>
      </c>
      <c r="AA422">
        <f>TwitterClean[[#This Row],[likes]]+TwitterClean[[#This Row],[replies]]+TwitterClean[[#This Row],[reposts]]+TwitterClean[[#This Row],[quotes]]+TwitterClean[[#This Row],[bookmarks]]</f>
        <v>1440</v>
      </c>
      <c r="AB422" s="1">
        <f>TwitterClean[[#This Row],[Total_Engagements]]/TwitterClean[[#This Row],[views]]</f>
        <v>1.3315209853255291E-2</v>
      </c>
      <c r="AC422" s="3">
        <f>DATEVALUE(MID(TwitterClean[[#This Row],[date_posted]],2,10))</f>
        <v>45641</v>
      </c>
      <c r="AD422">
        <f>TIMEVALUE(MID(TwitterClean[[#This Row],[date_posted]],13,8))</f>
        <v>0.73052083333333329</v>
      </c>
      <c r="AE422" s="3" t="str">
        <f>TEXT(TwitterClean[[#This Row],[Post_Date]],"dddd")</f>
        <v>Sunday</v>
      </c>
      <c r="AF422">
        <f>HOUR(TwitterClean[[#This Row],[Post_Time]])</f>
        <v>17</v>
      </c>
      <c r="AG422" t="str">
        <f>IF(TwitterClean[[#This Row],[videos]]="Null","No","Yes")</f>
        <v>Yes</v>
      </c>
      <c r="AH422" t="str">
        <f>IF(TwitterClean[[#This Row],[photos]]="null","No","Yes")</f>
        <v>No</v>
      </c>
      <c r="AI422" t="str">
        <f>IF(TwitterClean[[#This Row],[hashtags]]="null","No","Yes")</f>
        <v>Yes</v>
      </c>
      <c r="AJ422" t="str">
        <f>IF(TwitterClean[[#This Row],[external_url]]="null","Yes","No")</f>
        <v>No</v>
      </c>
      <c r="AK422">
        <f>LEN(TwitterClean[[#This Row],[description]])</f>
        <v>37</v>
      </c>
      <c r="AL422" t="str">
        <f>IF(TwitterClean[[#This Row],[followers]]&lt;100000,"&lt;100K",IF(TwitterClean[[#This Row],[followers]]&lt;1000000,"100K-1M",IF(TwitterClean[[#This Row],[followers]]&lt;10000000,"1M-10M","10M+")))</f>
        <v>100K-1M</v>
      </c>
    </row>
    <row r="423" spans="1:38">
      <c r="A423">
        <v>1.8684006457046636E+18</v>
      </c>
      <c r="B423" t="s">
        <v>2801</v>
      </c>
      <c r="C423" t="s">
        <v>2802</v>
      </c>
      <c r="D423" t="s">
        <v>2843</v>
      </c>
      <c r="E423" t="s">
        <v>2067</v>
      </c>
      <c r="F423" t="s">
        <v>29</v>
      </c>
      <c r="G423" t="s">
        <v>2844</v>
      </c>
      <c r="H423" t="s">
        <v>29</v>
      </c>
      <c r="I423">
        <v>99</v>
      </c>
      <c r="J423">
        <v>43</v>
      </c>
      <c r="K423">
        <v>120</v>
      </c>
      <c r="L423">
        <v>21904</v>
      </c>
      <c r="M423" t="s">
        <v>2845</v>
      </c>
      <c r="N423" t="s">
        <v>29</v>
      </c>
      <c r="O423">
        <v>6379301</v>
      </c>
      <c r="P423" t="s">
        <v>2806</v>
      </c>
      <c r="Q423">
        <v>83466</v>
      </c>
      <c r="R423" t="s">
        <v>2807</v>
      </c>
      <c r="S423">
        <v>354</v>
      </c>
      <c r="T423" t="b">
        <v>0</v>
      </c>
      <c r="U423">
        <v>15</v>
      </c>
      <c r="V423">
        <v>10</v>
      </c>
      <c r="W423" t="s">
        <v>35</v>
      </c>
      <c r="X423" t="s">
        <v>2846</v>
      </c>
      <c r="Y423" t="s">
        <v>29</v>
      </c>
      <c r="Z423" t="s">
        <v>37</v>
      </c>
      <c r="AA423">
        <f>TwitterClean[[#This Row],[likes]]+TwitterClean[[#This Row],[replies]]+TwitterClean[[#This Row],[reposts]]+TwitterClean[[#This Row],[quotes]]+TwitterClean[[#This Row],[bookmarks]]</f>
        <v>287</v>
      </c>
      <c r="AB423" s="1">
        <f>TwitterClean[[#This Row],[Total_Engagements]]/TwitterClean[[#This Row],[views]]</f>
        <v>1.310262965668371E-2</v>
      </c>
      <c r="AC423" s="3">
        <f>DATEVALUE(MID(TwitterClean[[#This Row],[date_posted]],2,10))</f>
        <v>45641</v>
      </c>
      <c r="AD423">
        <f>TIMEVALUE(MID(TwitterClean[[#This Row],[date_posted]],13,8))</f>
        <v>0.87501157407407404</v>
      </c>
      <c r="AE423" s="3" t="str">
        <f>TEXT(TwitterClean[[#This Row],[Post_Date]],"dddd")</f>
        <v>Sunday</v>
      </c>
      <c r="AF423">
        <f>HOUR(TwitterClean[[#This Row],[Post_Time]])</f>
        <v>21</v>
      </c>
      <c r="AG423" t="str">
        <f>IF(TwitterClean[[#This Row],[videos]]="Null","No","Yes")</f>
        <v>No</v>
      </c>
      <c r="AH423" t="str">
        <f>IF(TwitterClean[[#This Row],[photos]]="null","No","Yes")</f>
        <v>No</v>
      </c>
      <c r="AI423" t="str">
        <f>IF(TwitterClean[[#This Row],[hashtags]]="null","No","Yes")</f>
        <v>No</v>
      </c>
      <c r="AJ423" t="str">
        <f>IF(TwitterClean[[#This Row],[external_url]]="null","Yes","No")</f>
        <v>No</v>
      </c>
      <c r="AK423">
        <f>LEN(TwitterClean[[#This Row],[description]])</f>
        <v>226</v>
      </c>
      <c r="AL423" t="str">
        <f>IF(TwitterClean[[#This Row],[followers]]&lt;100000,"&lt;100K",IF(TwitterClean[[#This Row],[followers]]&lt;1000000,"100K-1M",IF(TwitterClean[[#This Row],[followers]]&lt;10000000,"1M-10M","10M+")))</f>
        <v>1M-10M</v>
      </c>
    </row>
    <row r="424" spans="1:38">
      <c r="A424">
        <v>1.8682881482430876E+18</v>
      </c>
      <c r="B424" t="s">
        <v>1862</v>
      </c>
      <c r="C424" t="s">
        <v>1863</v>
      </c>
      <c r="D424" t="s">
        <v>1954</v>
      </c>
      <c r="E424" t="s">
        <v>1955</v>
      </c>
      <c r="F424" t="s">
        <v>29</v>
      </c>
      <c r="G424" t="s">
        <v>1956</v>
      </c>
      <c r="H424" t="s">
        <v>29</v>
      </c>
      <c r="I424">
        <v>8</v>
      </c>
      <c r="J424">
        <v>19</v>
      </c>
      <c r="K424">
        <v>130</v>
      </c>
      <c r="L424">
        <v>13069</v>
      </c>
      <c r="M424" t="s">
        <v>52</v>
      </c>
      <c r="N424" t="s">
        <v>1867</v>
      </c>
      <c r="O424">
        <v>13492430</v>
      </c>
      <c r="P424" t="s">
        <v>1868</v>
      </c>
      <c r="Q424">
        <v>314515</v>
      </c>
      <c r="R424" t="s">
        <v>1869</v>
      </c>
      <c r="S424">
        <v>708</v>
      </c>
      <c r="T424" t="b">
        <v>0</v>
      </c>
      <c r="U424">
        <v>11</v>
      </c>
      <c r="V424">
        <v>3</v>
      </c>
      <c r="W424" t="s">
        <v>35</v>
      </c>
      <c r="X424" t="s">
        <v>29</v>
      </c>
      <c r="Y424" t="s">
        <v>1957</v>
      </c>
      <c r="Z424" t="s">
        <v>37</v>
      </c>
      <c r="AA424">
        <f>TwitterClean[[#This Row],[likes]]+TwitterClean[[#This Row],[replies]]+TwitterClean[[#This Row],[reposts]]+TwitterClean[[#This Row],[quotes]]+TwitterClean[[#This Row],[bookmarks]]</f>
        <v>171</v>
      </c>
      <c r="AB424" s="1">
        <f>TwitterClean[[#This Row],[Total_Engagements]]/TwitterClean[[#This Row],[views]]</f>
        <v>1.3084398194200016E-2</v>
      </c>
      <c r="AC424" s="3">
        <f>DATEVALUE(MID(TwitterClean[[#This Row],[date_posted]],2,10))</f>
        <v>45641</v>
      </c>
      <c r="AD424">
        <f>TIMEVALUE(MID(TwitterClean[[#This Row],[date_posted]],13,8))</f>
        <v>0.56458333333333333</v>
      </c>
      <c r="AE424" s="3" t="str">
        <f>TEXT(TwitterClean[[#This Row],[Post_Date]],"dddd")</f>
        <v>Sunday</v>
      </c>
      <c r="AF424">
        <f>HOUR(TwitterClean[[#This Row],[Post_Time]])</f>
        <v>13</v>
      </c>
      <c r="AG424" t="str">
        <f>IF(TwitterClean[[#This Row],[videos]]="Null","No","Yes")</f>
        <v>Yes</v>
      </c>
      <c r="AH424" t="str">
        <f>IF(TwitterClean[[#This Row],[photos]]="null","No","Yes")</f>
        <v>No</v>
      </c>
      <c r="AI424" t="str">
        <f>IF(TwitterClean[[#This Row],[hashtags]]="null","No","Yes")</f>
        <v>Yes</v>
      </c>
      <c r="AJ424" t="str">
        <f>IF(TwitterClean[[#This Row],[external_url]]="null","Yes","No")</f>
        <v>No</v>
      </c>
      <c r="AK424">
        <f>LEN(TwitterClean[[#This Row],[description]])</f>
        <v>99</v>
      </c>
      <c r="AL424" t="str">
        <f>IF(TwitterClean[[#This Row],[followers]]&lt;100000,"&lt;100K",IF(TwitterClean[[#This Row],[followers]]&lt;1000000,"100K-1M",IF(TwitterClean[[#This Row],[followers]]&lt;10000000,"1M-10M","10M+")))</f>
        <v>10M+</v>
      </c>
    </row>
    <row r="425" spans="1:38">
      <c r="A425">
        <v>1.8682644920246029E+18</v>
      </c>
      <c r="B425" t="s">
        <v>4338</v>
      </c>
      <c r="C425" t="s">
        <v>4339</v>
      </c>
      <c r="D425" t="s">
        <v>4576</v>
      </c>
      <c r="E425" t="s">
        <v>4577</v>
      </c>
      <c r="F425" t="s">
        <v>4578</v>
      </c>
      <c r="G425" t="s">
        <v>4579</v>
      </c>
      <c r="H425" t="s">
        <v>4580</v>
      </c>
      <c r="I425">
        <v>6</v>
      </c>
      <c r="J425">
        <v>16</v>
      </c>
      <c r="K425">
        <v>390</v>
      </c>
      <c r="L425">
        <v>31765</v>
      </c>
      <c r="M425" t="s">
        <v>52</v>
      </c>
      <c r="N425" t="s">
        <v>29</v>
      </c>
      <c r="O425">
        <v>1676505</v>
      </c>
      <c r="P425" t="s">
        <v>4346</v>
      </c>
      <c r="Q425">
        <v>35438</v>
      </c>
      <c r="R425" t="s">
        <v>4347</v>
      </c>
      <c r="S425">
        <v>175</v>
      </c>
      <c r="T425" t="b">
        <v>0</v>
      </c>
      <c r="U425">
        <v>1</v>
      </c>
      <c r="V425">
        <v>1</v>
      </c>
      <c r="W425" t="s">
        <v>35</v>
      </c>
      <c r="X425" t="s">
        <v>29</v>
      </c>
      <c r="Y425" t="s">
        <v>29</v>
      </c>
      <c r="Z425" t="s">
        <v>37</v>
      </c>
      <c r="AA425">
        <f>TwitterClean[[#This Row],[likes]]+TwitterClean[[#This Row],[replies]]+TwitterClean[[#This Row],[reposts]]+TwitterClean[[#This Row],[quotes]]+TwitterClean[[#This Row],[bookmarks]]</f>
        <v>414</v>
      </c>
      <c r="AB425" s="1">
        <f>TwitterClean[[#This Row],[Total_Engagements]]/TwitterClean[[#This Row],[views]]</f>
        <v>1.3033212655438376E-2</v>
      </c>
      <c r="AC425" s="3">
        <f>DATEVALUE(MID(TwitterClean[[#This Row],[date_posted]],2,10))</f>
        <v>45641</v>
      </c>
      <c r="AD425">
        <f>TIMEVALUE(MID(TwitterClean[[#This Row],[date_posted]],13,8))</f>
        <v>0.49930555555555556</v>
      </c>
      <c r="AE425" s="3" t="str">
        <f>TEXT(TwitterClean[[#This Row],[Post_Date]],"dddd")</f>
        <v>Sunday</v>
      </c>
      <c r="AF425">
        <f>HOUR(TwitterClean[[#This Row],[Post_Time]])</f>
        <v>11</v>
      </c>
      <c r="AG425" t="str">
        <f>IF(TwitterClean[[#This Row],[videos]]="Null","No","Yes")</f>
        <v>No</v>
      </c>
      <c r="AH425" t="str">
        <f>IF(TwitterClean[[#This Row],[photos]]="null","No","Yes")</f>
        <v>Yes</v>
      </c>
      <c r="AI425" t="str">
        <f>IF(TwitterClean[[#This Row],[hashtags]]="null","No","Yes")</f>
        <v>No</v>
      </c>
      <c r="AJ425" t="str">
        <f>IF(TwitterClean[[#This Row],[external_url]]="null","Yes","No")</f>
        <v>No</v>
      </c>
      <c r="AK425">
        <f>LEN(TwitterClean[[#This Row],[description]])</f>
        <v>93</v>
      </c>
      <c r="AL425" t="str">
        <f>IF(TwitterClean[[#This Row],[followers]]&lt;100000,"&lt;100K",IF(TwitterClean[[#This Row],[followers]]&lt;1000000,"100K-1M",IF(TwitterClean[[#This Row],[followers]]&lt;10000000,"1M-10M","10M+")))</f>
        <v>1M-10M</v>
      </c>
    </row>
    <row r="426" spans="1:38">
      <c r="A426">
        <v>1.8683633928196058E+18</v>
      </c>
      <c r="B426" t="s">
        <v>275</v>
      </c>
      <c r="C426" t="s">
        <v>276</v>
      </c>
      <c r="D426" t="s">
        <v>709</v>
      </c>
      <c r="E426" t="s">
        <v>710</v>
      </c>
      <c r="F426" t="s">
        <v>29</v>
      </c>
      <c r="G426" t="s">
        <v>711</v>
      </c>
      <c r="H426" t="s">
        <v>29</v>
      </c>
      <c r="I426">
        <v>21</v>
      </c>
      <c r="J426">
        <v>50</v>
      </c>
      <c r="K426">
        <v>353</v>
      </c>
      <c r="L426">
        <v>33350</v>
      </c>
      <c r="M426" t="s">
        <v>712</v>
      </c>
      <c r="N426" t="s">
        <v>281</v>
      </c>
      <c r="O426">
        <v>8539601</v>
      </c>
      <c r="P426" t="s">
        <v>282</v>
      </c>
      <c r="Q426">
        <v>75535</v>
      </c>
      <c r="R426" t="s">
        <v>283</v>
      </c>
      <c r="S426">
        <v>117</v>
      </c>
      <c r="T426" t="b">
        <v>0</v>
      </c>
      <c r="U426">
        <v>6</v>
      </c>
      <c r="V426">
        <v>3</v>
      </c>
      <c r="W426" t="s">
        <v>35</v>
      </c>
      <c r="X426" t="s">
        <v>29</v>
      </c>
      <c r="Y426" t="s">
        <v>29</v>
      </c>
      <c r="Z426" t="s">
        <v>37</v>
      </c>
      <c r="AA426">
        <f>TwitterClean[[#This Row],[likes]]+TwitterClean[[#This Row],[replies]]+TwitterClean[[#This Row],[reposts]]+TwitterClean[[#This Row],[quotes]]+TwitterClean[[#This Row],[bookmarks]]</f>
        <v>433</v>
      </c>
      <c r="AB426" s="1">
        <f>TwitterClean[[#This Row],[Total_Engagements]]/TwitterClean[[#This Row],[views]]</f>
        <v>1.2983508245877061E-2</v>
      </c>
      <c r="AC426" s="3">
        <f>DATEVALUE(MID(TwitterClean[[#This Row],[date_posted]],2,10))</f>
        <v>45641</v>
      </c>
      <c r="AD426">
        <f>TIMEVALUE(MID(TwitterClean[[#This Row],[date_posted]],13,8))</f>
        <v>0.77222222222222225</v>
      </c>
      <c r="AE426" s="3" t="str">
        <f>TEXT(TwitterClean[[#This Row],[Post_Date]],"dddd")</f>
        <v>Sunday</v>
      </c>
      <c r="AF426">
        <f>HOUR(TwitterClean[[#This Row],[Post_Time]])</f>
        <v>18</v>
      </c>
      <c r="AG426" t="str">
        <f>IF(TwitterClean[[#This Row],[videos]]="Null","No","Yes")</f>
        <v>No</v>
      </c>
      <c r="AH426" t="str">
        <f>IF(TwitterClean[[#This Row],[photos]]="null","No","Yes")</f>
        <v>No</v>
      </c>
      <c r="AI426" t="str">
        <f>IF(TwitterClean[[#This Row],[hashtags]]="null","No","Yes")</f>
        <v>Yes</v>
      </c>
      <c r="AJ426" t="str">
        <f>IF(TwitterClean[[#This Row],[external_url]]="null","Yes","No")</f>
        <v>No</v>
      </c>
      <c r="AK426">
        <f>LEN(TwitterClean[[#This Row],[description]])</f>
        <v>157</v>
      </c>
      <c r="AL426" t="str">
        <f>IF(TwitterClean[[#This Row],[followers]]&lt;100000,"&lt;100K",IF(TwitterClean[[#This Row],[followers]]&lt;1000000,"100K-1M",IF(TwitterClean[[#This Row],[followers]]&lt;10000000,"1M-10M","10M+")))</f>
        <v>1M-10M</v>
      </c>
    </row>
    <row r="427" spans="1:38">
      <c r="A427">
        <v>1.865203251383276E+18</v>
      </c>
      <c r="B427" t="s">
        <v>3159</v>
      </c>
      <c r="C427" t="s">
        <v>3160</v>
      </c>
      <c r="D427" t="s">
        <v>3161</v>
      </c>
      <c r="E427" t="s">
        <v>3162</v>
      </c>
      <c r="F427" t="s">
        <v>3163</v>
      </c>
      <c r="G427" t="s">
        <v>3164</v>
      </c>
      <c r="H427" t="s">
        <v>29</v>
      </c>
      <c r="I427">
        <v>1</v>
      </c>
      <c r="J427">
        <v>2</v>
      </c>
      <c r="K427">
        <v>25</v>
      </c>
      <c r="L427">
        <v>2320</v>
      </c>
      <c r="M427" t="s">
        <v>52</v>
      </c>
      <c r="N427" t="s">
        <v>3165</v>
      </c>
      <c r="O427">
        <v>397</v>
      </c>
      <c r="P427" t="s">
        <v>3166</v>
      </c>
      <c r="Q427">
        <v>19975</v>
      </c>
      <c r="R427" t="s">
        <v>3167</v>
      </c>
      <c r="S427">
        <v>70</v>
      </c>
      <c r="T427" t="b">
        <v>0</v>
      </c>
      <c r="U427">
        <v>1</v>
      </c>
      <c r="V427">
        <v>1</v>
      </c>
      <c r="W427" t="s">
        <v>35</v>
      </c>
      <c r="X427" t="s">
        <v>29</v>
      </c>
      <c r="Y427" t="s">
        <v>29</v>
      </c>
      <c r="Z427" t="s">
        <v>37</v>
      </c>
      <c r="AA427">
        <f>TwitterClean[[#This Row],[likes]]+TwitterClean[[#This Row],[replies]]+TwitterClean[[#This Row],[reposts]]+TwitterClean[[#This Row],[quotes]]+TwitterClean[[#This Row],[bookmarks]]</f>
        <v>30</v>
      </c>
      <c r="AB427" s="1">
        <f>TwitterClean[[#This Row],[Total_Engagements]]/TwitterClean[[#This Row],[views]]</f>
        <v>1.2931034482758621E-2</v>
      </c>
      <c r="AC427" s="3">
        <f>DATEVALUE(MID(TwitterClean[[#This Row],[date_posted]],2,10))</f>
        <v>45633</v>
      </c>
      <c r="AD427">
        <f>TIMEVALUE(MID(TwitterClean[[#This Row],[date_posted]],13,8))</f>
        <v>5.1886574074074071E-2</v>
      </c>
      <c r="AE427" s="3" t="str">
        <f>TEXT(TwitterClean[[#This Row],[Post_Date]],"dddd")</f>
        <v>Saturday</v>
      </c>
      <c r="AF427">
        <f>HOUR(TwitterClean[[#This Row],[Post_Time]])</f>
        <v>1</v>
      </c>
      <c r="AG427" t="str">
        <f>IF(TwitterClean[[#This Row],[videos]]="Null","No","Yes")</f>
        <v>No</v>
      </c>
      <c r="AH427" t="str">
        <f>IF(TwitterClean[[#This Row],[photos]]="null","No","Yes")</f>
        <v>Yes</v>
      </c>
      <c r="AI427" t="str">
        <f>IF(TwitterClean[[#This Row],[hashtags]]="null","No","Yes")</f>
        <v>Yes</v>
      </c>
      <c r="AJ427" t="str">
        <f>IF(TwitterClean[[#This Row],[external_url]]="null","Yes","No")</f>
        <v>No</v>
      </c>
      <c r="AK427">
        <f>LEN(TwitterClean[[#This Row],[description]])</f>
        <v>352</v>
      </c>
      <c r="AL427" t="str">
        <f>IF(TwitterClean[[#This Row],[followers]]&lt;100000,"&lt;100K",IF(TwitterClean[[#This Row],[followers]]&lt;1000000,"100K-1M",IF(TwitterClean[[#This Row],[followers]]&lt;10000000,"1M-10M","10M+")))</f>
        <v>&lt;100K</v>
      </c>
    </row>
    <row r="428" spans="1:38">
      <c r="A428">
        <v>1.8680910764660905E+18</v>
      </c>
      <c r="B428" t="s">
        <v>1862</v>
      </c>
      <c r="C428" t="s">
        <v>1863</v>
      </c>
      <c r="D428" t="s">
        <v>2113</v>
      </c>
      <c r="E428" t="s">
        <v>2114</v>
      </c>
      <c r="F428" t="s">
        <v>29</v>
      </c>
      <c r="G428" t="s">
        <v>2115</v>
      </c>
      <c r="H428" t="s">
        <v>29</v>
      </c>
      <c r="I428">
        <v>4</v>
      </c>
      <c r="J428">
        <v>7</v>
      </c>
      <c r="K428">
        <v>122</v>
      </c>
      <c r="L428">
        <v>10865</v>
      </c>
      <c r="M428" t="s">
        <v>52</v>
      </c>
      <c r="N428" t="s">
        <v>1961</v>
      </c>
      <c r="O428">
        <v>13492430</v>
      </c>
      <c r="P428" t="s">
        <v>1868</v>
      </c>
      <c r="Q428">
        <v>314515</v>
      </c>
      <c r="R428" t="s">
        <v>1869</v>
      </c>
      <c r="S428">
        <v>708</v>
      </c>
      <c r="T428" t="b">
        <v>0</v>
      </c>
      <c r="U428">
        <v>1</v>
      </c>
      <c r="V428">
        <v>6</v>
      </c>
      <c r="W428" t="s">
        <v>35</v>
      </c>
      <c r="X428" t="s">
        <v>29</v>
      </c>
      <c r="Y428" t="s">
        <v>2116</v>
      </c>
      <c r="Z428" t="s">
        <v>37</v>
      </c>
      <c r="AA428">
        <f>TwitterClean[[#This Row],[likes]]+TwitterClean[[#This Row],[replies]]+TwitterClean[[#This Row],[reposts]]+TwitterClean[[#This Row],[quotes]]+TwitterClean[[#This Row],[bookmarks]]</f>
        <v>140</v>
      </c>
      <c r="AB428" s="1">
        <f>TwitterClean[[#This Row],[Total_Engagements]]/TwitterClean[[#This Row],[views]]</f>
        <v>1.2885411872986655E-2</v>
      </c>
      <c r="AC428" s="3">
        <f>DATEVALUE(MID(TwitterClean[[#This Row],[date_posted]],2,10))</f>
        <v>45641</v>
      </c>
      <c r="AD428">
        <f>TIMEVALUE(MID(TwitterClean[[#This Row],[date_posted]],13,8))</f>
        <v>2.0763888888888887E-2</v>
      </c>
      <c r="AE428" s="3" t="str">
        <f>TEXT(TwitterClean[[#This Row],[Post_Date]],"dddd")</f>
        <v>Sunday</v>
      </c>
      <c r="AF428">
        <f>HOUR(TwitterClean[[#This Row],[Post_Time]])</f>
        <v>0</v>
      </c>
      <c r="AG428" t="str">
        <f>IF(TwitterClean[[#This Row],[videos]]="Null","No","Yes")</f>
        <v>Yes</v>
      </c>
      <c r="AH428" t="str">
        <f>IF(TwitterClean[[#This Row],[photos]]="null","No","Yes")</f>
        <v>No</v>
      </c>
      <c r="AI428" t="str">
        <f>IF(TwitterClean[[#This Row],[hashtags]]="null","No","Yes")</f>
        <v>Yes</v>
      </c>
      <c r="AJ428" t="str">
        <f>IF(TwitterClean[[#This Row],[external_url]]="null","Yes","No")</f>
        <v>No</v>
      </c>
      <c r="AK428">
        <f>LEN(TwitterClean[[#This Row],[description]])</f>
        <v>33</v>
      </c>
      <c r="AL428" t="str">
        <f>IF(TwitterClean[[#This Row],[followers]]&lt;100000,"&lt;100K",IF(TwitterClean[[#This Row],[followers]]&lt;1000000,"100K-1M",IF(TwitterClean[[#This Row],[followers]]&lt;10000000,"1M-10M","10M+")))</f>
        <v>10M+</v>
      </c>
    </row>
    <row r="429" spans="1:38">
      <c r="A429">
        <v>1.8684534789111688E+18</v>
      </c>
      <c r="B429" t="s">
        <v>1646</v>
      </c>
      <c r="C429" t="s">
        <v>1647</v>
      </c>
      <c r="D429" t="s">
        <v>1813</v>
      </c>
      <c r="E429" t="s">
        <v>1814</v>
      </c>
      <c r="F429" t="s">
        <v>29</v>
      </c>
      <c r="G429" t="s">
        <v>1815</v>
      </c>
      <c r="H429" t="s">
        <v>29</v>
      </c>
      <c r="I429">
        <v>10</v>
      </c>
      <c r="J429">
        <v>15</v>
      </c>
      <c r="K429">
        <v>144</v>
      </c>
      <c r="L429">
        <v>13487</v>
      </c>
      <c r="M429" t="s">
        <v>1816</v>
      </c>
      <c r="N429" t="s">
        <v>1817</v>
      </c>
      <c r="O429">
        <v>3768943</v>
      </c>
      <c r="P429" t="s">
        <v>1653</v>
      </c>
      <c r="Q429">
        <v>897934</v>
      </c>
      <c r="R429" t="s">
        <v>1654</v>
      </c>
      <c r="S429">
        <v>28</v>
      </c>
      <c r="T429" t="b">
        <v>0</v>
      </c>
      <c r="U429">
        <v>3</v>
      </c>
      <c r="V429">
        <v>1</v>
      </c>
      <c r="W429" t="s">
        <v>35</v>
      </c>
      <c r="X429" t="s">
        <v>1818</v>
      </c>
      <c r="Y429" t="s">
        <v>29</v>
      </c>
      <c r="Z429" t="s">
        <v>37</v>
      </c>
      <c r="AA429">
        <f>TwitterClean[[#This Row],[likes]]+TwitterClean[[#This Row],[replies]]+TwitterClean[[#This Row],[reposts]]+TwitterClean[[#This Row],[quotes]]+TwitterClean[[#This Row],[bookmarks]]</f>
        <v>173</v>
      </c>
      <c r="AB429" s="1">
        <f>TwitterClean[[#This Row],[Total_Engagements]]/TwitterClean[[#This Row],[views]]</f>
        <v>1.2827166901460666E-2</v>
      </c>
      <c r="AC429" s="3">
        <f>DATEVALUE(MID(TwitterClean[[#This Row],[date_posted]],2,10))</f>
        <v>45642</v>
      </c>
      <c r="AD429">
        <f>TIMEVALUE(MID(TwitterClean[[#This Row],[date_posted]],13,8))</f>
        <v>2.0810185185185185E-2</v>
      </c>
      <c r="AE429" s="3" t="str">
        <f>TEXT(TwitterClean[[#This Row],[Post_Date]],"dddd")</f>
        <v>Monday</v>
      </c>
      <c r="AF429">
        <f>HOUR(TwitterClean[[#This Row],[Post_Time]])</f>
        <v>0</v>
      </c>
      <c r="AG429" t="str">
        <f>IF(TwitterClean[[#This Row],[videos]]="Null","No","Yes")</f>
        <v>No</v>
      </c>
      <c r="AH429" t="str">
        <f>IF(TwitterClean[[#This Row],[photos]]="null","No","Yes")</f>
        <v>No</v>
      </c>
      <c r="AI429" t="str">
        <f>IF(TwitterClean[[#This Row],[hashtags]]="null","No","Yes")</f>
        <v>Yes</v>
      </c>
      <c r="AJ429" t="str">
        <f>IF(TwitterClean[[#This Row],[external_url]]="null","Yes","No")</f>
        <v>No</v>
      </c>
      <c r="AK429">
        <f>LEN(TwitterClean[[#This Row],[description]])</f>
        <v>221</v>
      </c>
      <c r="AL429" t="str">
        <f>IF(TwitterClean[[#This Row],[followers]]&lt;100000,"&lt;100K",IF(TwitterClean[[#This Row],[followers]]&lt;1000000,"100K-1M",IF(TwitterClean[[#This Row],[followers]]&lt;10000000,"1M-10M","10M+")))</f>
        <v>1M-10M</v>
      </c>
    </row>
    <row r="430" spans="1:38">
      <c r="A430">
        <v>1.8683835894207081E+18</v>
      </c>
      <c r="B430" t="s">
        <v>26</v>
      </c>
      <c r="C430" t="s">
        <v>26</v>
      </c>
      <c r="D430" t="s">
        <v>106</v>
      </c>
      <c r="E430" t="s">
        <v>107</v>
      </c>
      <c r="F430" t="s">
        <v>29</v>
      </c>
      <c r="G430" t="s">
        <v>108</v>
      </c>
      <c r="H430" t="s">
        <v>29</v>
      </c>
      <c r="I430">
        <v>18</v>
      </c>
      <c r="J430">
        <v>17</v>
      </c>
      <c r="K430">
        <v>111</v>
      </c>
      <c r="L430">
        <v>11871</v>
      </c>
      <c r="M430" t="s">
        <v>31</v>
      </c>
      <c r="N430" t="s">
        <v>71</v>
      </c>
      <c r="O430">
        <v>5771760</v>
      </c>
      <c r="P430" t="s">
        <v>33</v>
      </c>
      <c r="Q430">
        <v>222223</v>
      </c>
      <c r="R430" t="s">
        <v>34</v>
      </c>
      <c r="S430">
        <v>122</v>
      </c>
      <c r="T430" t="b">
        <v>0</v>
      </c>
      <c r="U430">
        <v>3</v>
      </c>
      <c r="V430">
        <v>3</v>
      </c>
      <c r="W430" t="s">
        <v>35</v>
      </c>
      <c r="X430" t="s">
        <v>29</v>
      </c>
      <c r="Y430" t="s">
        <v>109</v>
      </c>
      <c r="Z430" t="s">
        <v>37</v>
      </c>
      <c r="AA430">
        <f>TwitterClean[[#This Row],[likes]]+TwitterClean[[#This Row],[replies]]+TwitterClean[[#This Row],[reposts]]+TwitterClean[[#This Row],[quotes]]+TwitterClean[[#This Row],[bookmarks]]</f>
        <v>152</v>
      </c>
      <c r="AB430" s="1">
        <f>TwitterClean[[#This Row],[Total_Engagements]]/TwitterClean[[#This Row],[views]]</f>
        <v>1.2804313031758066E-2</v>
      </c>
      <c r="AC430" s="3">
        <f>DATEVALUE(MID(TwitterClean[[#This Row],[date_posted]],2,10))</f>
        <v>45641</v>
      </c>
      <c r="AD430">
        <f>TIMEVALUE(MID(TwitterClean[[#This Row],[date_posted]],13,8))</f>
        <v>0.82795138888888886</v>
      </c>
      <c r="AE430" s="3" t="str">
        <f>TEXT(TwitterClean[[#This Row],[Post_Date]],"dddd")</f>
        <v>Sunday</v>
      </c>
      <c r="AF430">
        <f>HOUR(TwitterClean[[#This Row],[Post_Time]])</f>
        <v>19</v>
      </c>
      <c r="AG430" t="str">
        <f>IF(TwitterClean[[#This Row],[videos]]="Null","No","Yes")</f>
        <v>Yes</v>
      </c>
      <c r="AH430" t="str">
        <f>IF(TwitterClean[[#This Row],[photos]]="null","No","Yes")</f>
        <v>No</v>
      </c>
      <c r="AI430" t="str">
        <f>IF(TwitterClean[[#This Row],[hashtags]]="null","No","Yes")</f>
        <v>Yes</v>
      </c>
      <c r="AJ430" t="str">
        <f>IF(TwitterClean[[#This Row],[external_url]]="null","Yes","No")</f>
        <v>No</v>
      </c>
      <c r="AK430">
        <f>LEN(TwitterClean[[#This Row],[description]])</f>
        <v>217</v>
      </c>
      <c r="AL430" t="str">
        <f>IF(TwitterClean[[#This Row],[followers]]&lt;100000,"&lt;100K",IF(TwitterClean[[#This Row],[followers]]&lt;1000000,"100K-1M",IF(TwitterClean[[#This Row],[followers]]&lt;10000000,"1M-10M","10M+")))</f>
        <v>1M-10M</v>
      </c>
    </row>
    <row r="431" spans="1:38">
      <c r="A431">
        <v>1.8683852737149832E+18</v>
      </c>
      <c r="B431" t="s">
        <v>290</v>
      </c>
      <c r="C431" t="s">
        <v>291</v>
      </c>
      <c r="D431" t="s">
        <v>713</v>
      </c>
      <c r="E431" t="s">
        <v>714</v>
      </c>
      <c r="F431" t="s">
        <v>715</v>
      </c>
      <c r="G431" t="s">
        <v>716</v>
      </c>
      <c r="H431" t="s">
        <v>29</v>
      </c>
      <c r="I431">
        <v>245</v>
      </c>
      <c r="J431">
        <v>38</v>
      </c>
      <c r="K431">
        <v>353</v>
      </c>
      <c r="L431">
        <v>55805</v>
      </c>
      <c r="M431" t="s">
        <v>52</v>
      </c>
      <c r="N431" t="s">
        <v>305</v>
      </c>
      <c r="O431">
        <v>1906482</v>
      </c>
      <c r="P431" t="s">
        <v>298</v>
      </c>
      <c r="Q431">
        <v>124666</v>
      </c>
      <c r="R431" t="s">
        <v>299</v>
      </c>
      <c r="S431">
        <v>432</v>
      </c>
      <c r="T431" t="b">
        <v>0</v>
      </c>
      <c r="U431">
        <v>68</v>
      </c>
      <c r="V431">
        <v>5</v>
      </c>
      <c r="W431" t="s">
        <v>35</v>
      </c>
      <c r="X431" t="s">
        <v>29</v>
      </c>
      <c r="Y431" t="s">
        <v>29</v>
      </c>
      <c r="Z431" t="s">
        <v>37</v>
      </c>
      <c r="AA431">
        <f>TwitterClean[[#This Row],[likes]]+TwitterClean[[#This Row],[replies]]+TwitterClean[[#This Row],[reposts]]+TwitterClean[[#This Row],[quotes]]+TwitterClean[[#This Row],[bookmarks]]</f>
        <v>709</v>
      </c>
      <c r="AB431" s="1">
        <f>TwitterClean[[#This Row],[Total_Engagements]]/TwitterClean[[#This Row],[views]]</f>
        <v>1.270495475315832E-2</v>
      </c>
      <c r="AC431" s="3">
        <f>DATEVALUE(MID(TwitterClean[[#This Row],[date_posted]],2,10))</f>
        <v>45641</v>
      </c>
      <c r="AD431">
        <f>TIMEVALUE(MID(TwitterClean[[#This Row],[date_posted]],13,8))</f>
        <v>0.83259259259259255</v>
      </c>
      <c r="AE431" s="3" t="str">
        <f>TEXT(TwitterClean[[#This Row],[Post_Date]],"dddd")</f>
        <v>Sunday</v>
      </c>
      <c r="AF431">
        <f>HOUR(TwitterClean[[#This Row],[Post_Time]])</f>
        <v>19</v>
      </c>
      <c r="AG431" t="str">
        <f>IF(TwitterClean[[#This Row],[videos]]="Null","No","Yes")</f>
        <v>No</v>
      </c>
      <c r="AH431" t="str">
        <f>IF(TwitterClean[[#This Row],[photos]]="null","No","Yes")</f>
        <v>Yes</v>
      </c>
      <c r="AI431" t="str">
        <f>IF(TwitterClean[[#This Row],[hashtags]]="null","No","Yes")</f>
        <v>Yes</v>
      </c>
      <c r="AJ431" t="str">
        <f>IF(TwitterClean[[#This Row],[external_url]]="null","Yes","No")</f>
        <v>No</v>
      </c>
      <c r="AK431">
        <f>LEN(TwitterClean[[#This Row],[description]])</f>
        <v>52</v>
      </c>
      <c r="AL431" t="str">
        <f>IF(TwitterClean[[#This Row],[followers]]&lt;100000,"&lt;100K",IF(TwitterClean[[#This Row],[followers]]&lt;1000000,"100K-1M",IF(TwitterClean[[#This Row],[followers]]&lt;10000000,"1M-10M","10M+")))</f>
        <v>1M-10M</v>
      </c>
    </row>
    <row r="432" spans="1:38">
      <c r="A432">
        <v>1.8681579013590062E+18</v>
      </c>
      <c r="B432" t="s">
        <v>3083</v>
      </c>
      <c r="C432" t="s">
        <v>3083</v>
      </c>
      <c r="D432" t="s">
        <v>3790</v>
      </c>
      <c r="E432" t="s">
        <v>3791</v>
      </c>
      <c r="F432" t="s">
        <v>29</v>
      </c>
      <c r="G432" t="s">
        <v>3792</v>
      </c>
      <c r="H432" t="s">
        <v>3793</v>
      </c>
      <c r="I432">
        <v>68</v>
      </c>
      <c r="J432">
        <v>383</v>
      </c>
      <c r="K432">
        <v>2495</v>
      </c>
      <c r="L432">
        <v>247283</v>
      </c>
      <c r="M432" t="s">
        <v>52</v>
      </c>
      <c r="N432" t="s">
        <v>3087</v>
      </c>
      <c r="O432">
        <v>14375934</v>
      </c>
      <c r="P432" t="s">
        <v>3088</v>
      </c>
      <c r="Q432">
        <v>346973</v>
      </c>
      <c r="R432" t="s">
        <v>3089</v>
      </c>
      <c r="S432">
        <v>392</v>
      </c>
      <c r="T432" t="b">
        <v>0</v>
      </c>
      <c r="U432">
        <v>15</v>
      </c>
      <c r="V432">
        <v>177</v>
      </c>
      <c r="W432" t="s">
        <v>35</v>
      </c>
      <c r="X432" t="s">
        <v>29</v>
      </c>
      <c r="Y432" t="s">
        <v>3794</v>
      </c>
      <c r="Z432" t="s">
        <v>37</v>
      </c>
      <c r="AA432">
        <f>TwitterClean[[#This Row],[likes]]+TwitterClean[[#This Row],[replies]]+TwitterClean[[#This Row],[reposts]]+TwitterClean[[#This Row],[quotes]]+TwitterClean[[#This Row],[bookmarks]]</f>
        <v>3138</v>
      </c>
      <c r="AB432" s="1">
        <f>TwitterClean[[#This Row],[Total_Engagements]]/TwitterClean[[#This Row],[views]]</f>
        <v>1.2689913985191056E-2</v>
      </c>
      <c r="AC432" s="3">
        <f>DATEVALUE(MID(TwitterClean[[#This Row],[date_posted]],2,10))</f>
        <v>45641</v>
      </c>
      <c r="AD432">
        <f>TIMEVALUE(MID(TwitterClean[[#This Row],[date_posted]],13,8))</f>
        <v>0.2051736111111111</v>
      </c>
      <c r="AE432" s="3" t="str">
        <f>TEXT(TwitterClean[[#This Row],[Post_Date]],"dddd")</f>
        <v>Sunday</v>
      </c>
      <c r="AF432">
        <f>HOUR(TwitterClean[[#This Row],[Post_Time]])</f>
        <v>4</v>
      </c>
      <c r="AG432" t="str">
        <f>IF(TwitterClean[[#This Row],[videos]]="Null","No","Yes")</f>
        <v>Yes</v>
      </c>
      <c r="AH432" t="str">
        <f>IF(TwitterClean[[#This Row],[photos]]="null","No","Yes")</f>
        <v>No</v>
      </c>
      <c r="AI432" t="str">
        <f>IF(TwitterClean[[#This Row],[hashtags]]="null","No","Yes")</f>
        <v>Yes</v>
      </c>
      <c r="AJ432" t="str">
        <f>IF(TwitterClean[[#This Row],[external_url]]="null","Yes","No")</f>
        <v>No</v>
      </c>
      <c r="AK432">
        <f>LEN(TwitterClean[[#This Row],[description]])</f>
        <v>116</v>
      </c>
      <c r="AL432" t="str">
        <f>IF(TwitterClean[[#This Row],[followers]]&lt;100000,"&lt;100K",IF(TwitterClean[[#This Row],[followers]]&lt;1000000,"100K-1M",IF(TwitterClean[[#This Row],[followers]]&lt;10000000,"1M-10M","10M+")))</f>
        <v>10M+</v>
      </c>
    </row>
    <row r="433" spans="1:38">
      <c r="A433">
        <v>1.8681638953129331E+18</v>
      </c>
      <c r="B433" t="s">
        <v>3034</v>
      </c>
      <c r="C433" t="s">
        <v>3035</v>
      </c>
      <c r="D433" t="s">
        <v>3073</v>
      </c>
      <c r="E433" t="s">
        <v>3074</v>
      </c>
      <c r="F433" t="s">
        <v>29</v>
      </c>
      <c r="G433" t="s">
        <v>3075</v>
      </c>
      <c r="H433" t="s">
        <v>3076</v>
      </c>
      <c r="I433">
        <v>142</v>
      </c>
      <c r="J433">
        <v>153</v>
      </c>
      <c r="K433">
        <v>1621</v>
      </c>
      <c r="L433">
        <v>155631</v>
      </c>
      <c r="M433" t="s">
        <v>52</v>
      </c>
      <c r="N433" t="s">
        <v>3040</v>
      </c>
      <c r="O433">
        <v>12876593</v>
      </c>
      <c r="P433" t="s">
        <v>3041</v>
      </c>
      <c r="Q433">
        <v>141401</v>
      </c>
      <c r="R433" t="s">
        <v>3042</v>
      </c>
      <c r="S433">
        <v>717</v>
      </c>
      <c r="T433" t="b">
        <v>0</v>
      </c>
      <c r="U433">
        <v>25</v>
      </c>
      <c r="V433">
        <v>25</v>
      </c>
      <c r="W433" t="s">
        <v>35</v>
      </c>
      <c r="X433" t="s">
        <v>29</v>
      </c>
      <c r="Y433" t="s">
        <v>3077</v>
      </c>
      <c r="Z433" t="s">
        <v>37</v>
      </c>
      <c r="AA433">
        <f>TwitterClean[[#This Row],[likes]]+TwitterClean[[#This Row],[replies]]+TwitterClean[[#This Row],[reposts]]+TwitterClean[[#This Row],[quotes]]+TwitterClean[[#This Row],[bookmarks]]</f>
        <v>1966</v>
      </c>
      <c r="AB433" s="1">
        <f>TwitterClean[[#This Row],[Total_Engagements]]/TwitterClean[[#This Row],[views]]</f>
        <v>1.2632444692895374E-2</v>
      </c>
      <c r="AC433" s="3">
        <f>DATEVALUE(MID(TwitterClean[[#This Row],[date_posted]],2,10))</f>
        <v>45641</v>
      </c>
      <c r="AD433">
        <f>TIMEVALUE(MID(TwitterClean[[#This Row],[date_posted]],13,8))</f>
        <v>0.22171296296296297</v>
      </c>
      <c r="AE433" s="3" t="str">
        <f>TEXT(TwitterClean[[#This Row],[Post_Date]],"dddd")</f>
        <v>Sunday</v>
      </c>
      <c r="AF433">
        <f>HOUR(TwitterClean[[#This Row],[Post_Time]])</f>
        <v>5</v>
      </c>
      <c r="AG433" t="str">
        <f>IF(TwitterClean[[#This Row],[videos]]="Null","No","Yes")</f>
        <v>Yes</v>
      </c>
      <c r="AH433" t="str">
        <f>IF(TwitterClean[[#This Row],[photos]]="null","No","Yes")</f>
        <v>No</v>
      </c>
      <c r="AI433" t="str">
        <f>IF(TwitterClean[[#This Row],[hashtags]]="null","No","Yes")</f>
        <v>Yes</v>
      </c>
      <c r="AJ433" t="str">
        <f>IF(TwitterClean[[#This Row],[external_url]]="null","Yes","No")</f>
        <v>No</v>
      </c>
      <c r="AK433">
        <f>LEN(TwitterClean[[#This Row],[description]])</f>
        <v>75</v>
      </c>
      <c r="AL433" t="str">
        <f>IF(TwitterClean[[#This Row],[followers]]&lt;100000,"&lt;100K",IF(TwitterClean[[#This Row],[followers]]&lt;1000000,"100K-1M",IF(TwitterClean[[#This Row],[followers]]&lt;10000000,"1M-10M","10M+")))</f>
        <v>10M+</v>
      </c>
    </row>
    <row r="434" spans="1:38">
      <c r="A434">
        <v>1.8684006413342561E+18</v>
      </c>
      <c r="B434" t="s">
        <v>3837</v>
      </c>
      <c r="C434" t="s">
        <v>3838</v>
      </c>
      <c r="D434" t="s">
        <v>4738</v>
      </c>
      <c r="E434" t="s">
        <v>4739</v>
      </c>
      <c r="F434" t="s">
        <v>29</v>
      </c>
      <c r="G434" t="s">
        <v>4740</v>
      </c>
      <c r="H434" t="s">
        <v>29</v>
      </c>
      <c r="I434">
        <v>2</v>
      </c>
      <c r="J434">
        <v>27</v>
      </c>
      <c r="K434">
        <v>412</v>
      </c>
      <c r="L434">
        <v>35513</v>
      </c>
      <c r="M434" t="s">
        <v>4741</v>
      </c>
      <c r="N434" t="s">
        <v>4742</v>
      </c>
      <c r="O434">
        <v>984256</v>
      </c>
      <c r="P434" t="s">
        <v>3844</v>
      </c>
      <c r="Q434">
        <v>136135</v>
      </c>
      <c r="R434" t="s">
        <v>3845</v>
      </c>
      <c r="S434">
        <v>438</v>
      </c>
      <c r="T434" t="b">
        <v>0</v>
      </c>
      <c r="U434">
        <v>2</v>
      </c>
      <c r="V434">
        <v>3</v>
      </c>
      <c r="W434" t="s">
        <v>35</v>
      </c>
      <c r="X434" t="s">
        <v>29</v>
      </c>
      <c r="Y434" t="s">
        <v>29</v>
      </c>
      <c r="Z434" t="s">
        <v>37</v>
      </c>
      <c r="AA434">
        <f>TwitterClean[[#This Row],[likes]]+TwitterClean[[#This Row],[replies]]+TwitterClean[[#This Row],[reposts]]+TwitterClean[[#This Row],[quotes]]+TwitterClean[[#This Row],[bookmarks]]</f>
        <v>446</v>
      </c>
      <c r="AB434" s="1">
        <f>TwitterClean[[#This Row],[Total_Engagements]]/TwitterClean[[#This Row],[views]]</f>
        <v>1.2558781291358094E-2</v>
      </c>
      <c r="AC434" s="3">
        <f>DATEVALUE(MID(TwitterClean[[#This Row],[date_posted]],2,10))</f>
        <v>45641</v>
      </c>
      <c r="AD434">
        <f>TIMEVALUE(MID(TwitterClean[[#This Row],[date_posted]],13,8))</f>
        <v>0.875</v>
      </c>
      <c r="AE434" s="3" t="str">
        <f>TEXT(TwitterClean[[#This Row],[Post_Date]],"dddd")</f>
        <v>Sunday</v>
      </c>
      <c r="AF434">
        <f>HOUR(TwitterClean[[#This Row],[Post_Time]])</f>
        <v>21</v>
      </c>
      <c r="AG434" t="str">
        <f>IF(TwitterClean[[#This Row],[videos]]="Null","No","Yes")</f>
        <v>No</v>
      </c>
      <c r="AH434" t="str">
        <f>IF(TwitterClean[[#This Row],[photos]]="null","No","Yes")</f>
        <v>No</v>
      </c>
      <c r="AI434" t="str">
        <f>IF(TwitterClean[[#This Row],[hashtags]]="null","No","Yes")</f>
        <v>Yes</v>
      </c>
      <c r="AJ434" t="str">
        <f>IF(TwitterClean[[#This Row],[external_url]]="null","Yes","No")</f>
        <v>No</v>
      </c>
      <c r="AK434">
        <f>LEN(TwitterClean[[#This Row],[description]])</f>
        <v>104</v>
      </c>
      <c r="AL434" t="str">
        <f>IF(TwitterClean[[#This Row],[followers]]&lt;100000,"&lt;100K",IF(TwitterClean[[#This Row],[followers]]&lt;1000000,"100K-1M",IF(TwitterClean[[#This Row],[followers]]&lt;10000000,"1M-10M","10M+")))</f>
        <v>100K-1M</v>
      </c>
    </row>
    <row r="435" spans="1:38">
      <c r="A435">
        <v>1.8682873955036856E+18</v>
      </c>
      <c r="B435" t="s">
        <v>228</v>
      </c>
      <c r="C435" t="s">
        <v>228</v>
      </c>
      <c r="D435" t="s">
        <v>968</v>
      </c>
      <c r="E435" t="s">
        <v>969</v>
      </c>
      <c r="F435" t="s">
        <v>970</v>
      </c>
      <c r="G435" t="s">
        <v>971</v>
      </c>
      <c r="H435" t="s">
        <v>29</v>
      </c>
      <c r="I435">
        <v>34</v>
      </c>
      <c r="J435">
        <v>9</v>
      </c>
      <c r="K435">
        <v>42</v>
      </c>
      <c r="L435">
        <v>7254</v>
      </c>
      <c r="M435" t="s">
        <v>972</v>
      </c>
      <c r="N435" t="s">
        <v>29</v>
      </c>
      <c r="O435">
        <v>1239617</v>
      </c>
      <c r="P435" t="s">
        <v>235</v>
      </c>
      <c r="Q435">
        <v>402839</v>
      </c>
      <c r="R435" t="s">
        <v>236</v>
      </c>
      <c r="S435">
        <v>1644</v>
      </c>
      <c r="T435" t="b">
        <v>0</v>
      </c>
      <c r="U435">
        <v>5</v>
      </c>
      <c r="V435">
        <v>1</v>
      </c>
      <c r="W435" t="s">
        <v>35</v>
      </c>
      <c r="X435" t="s">
        <v>29</v>
      </c>
      <c r="Y435" t="s">
        <v>29</v>
      </c>
      <c r="Z435" t="s">
        <v>37</v>
      </c>
      <c r="AA435">
        <f>TwitterClean[[#This Row],[likes]]+TwitterClean[[#This Row],[replies]]+TwitterClean[[#This Row],[reposts]]+TwitterClean[[#This Row],[quotes]]+TwitterClean[[#This Row],[bookmarks]]</f>
        <v>91</v>
      </c>
      <c r="AB435" s="1">
        <f>TwitterClean[[#This Row],[Total_Engagements]]/TwitterClean[[#This Row],[views]]</f>
        <v>1.2544802867383513E-2</v>
      </c>
      <c r="AC435" s="3">
        <f>DATEVALUE(MID(TwitterClean[[#This Row],[date_posted]],2,10))</f>
        <v>45641</v>
      </c>
      <c r="AD435">
        <f>TIMEVALUE(MID(TwitterClean[[#This Row],[date_posted]],13,8))</f>
        <v>0.5625</v>
      </c>
      <c r="AE435" s="3" t="str">
        <f>TEXT(TwitterClean[[#This Row],[Post_Date]],"dddd")</f>
        <v>Sunday</v>
      </c>
      <c r="AF435">
        <f>HOUR(TwitterClean[[#This Row],[Post_Time]])</f>
        <v>13</v>
      </c>
      <c r="AG435" t="str">
        <f>IF(TwitterClean[[#This Row],[videos]]="Null","No","Yes")</f>
        <v>No</v>
      </c>
      <c r="AH435" t="str">
        <f>IF(TwitterClean[[#This Row],[photos]]="null","No","Yes")</f>
        <v>Yes</v>
      </c>
      <c r="AI435" t="str">
        <f>IF(TwitterClean[[#This Row],[hashtags]]="null","No","Yes")</f>
        <v>No</v>
      </c>
      <c r="AJ435" t="str">
        <f>IF(TwitterClean[[#This Row],[external_url]]="null","Yes","No")</f>
        <v>No</v>
      </c>
      <c r="AK435">
        <f>LEN(TwitterClean[[#This Row],[description]])</f>
        <v>217</v>
      </c>
      <c r="AL435" t="str">
        <f>IF(TwitterClean[[#This Row],[followers]]&lt;100000,"&lt;100K",IF(TwitterClean[[#This Row],[followers]]&lt;1000000,"100K-1M",IF(TwitterClean[[#This Row],[followers]]&lt;10000000,"1M-10M","10M+")))</f>
        <v>1M-10M</v>
      </c>
    </row>
    <row r="436" spans="1:38">
      <c r="A436">
        <v>1.7938202940226604E+18</v>
      </c>
      <c r="B436" t="s">
        <v>4138</v>
      </c>
      <c r="C436" t="s">
        <v>4139</v>
      </c>
      <c r="D436" t="s">
        <v>4126</v>
      </c>
      <c r="E436" t="s">
        <v>4453</v>
      </c>
      <c r="F436" t="s">
        <v>4454</v>
      </c>
      <c r="G436" t="s">
        <v>4455</v>
      </c>
      <c r="H436" t="s">
        <v>29</v>
      </c>
      <c r="I436">
        <v>62</v>
      </c>
      <c r="J436">
        <v>16</v>
      </c>
      <c r="K436">
        <v>724</v>
      </c>
      <c r="L436">
        <v>65102</v>
      </c>
      <c r="M436" t="s">
        <v>52</v>
      </c>
      <c r="N436" t="s">
        <v>4130</v>
      </c>
      <c r="O436">
        <v>11185</v>
      </c>
      <c r="P436" t="s">
        <v>4143</v>
      </c>
      <c r="Q436">
        <v>22677</v>
      </c>
      <c r="R436" t="s">
        <v>4144</v>
      </c>
      <c r="S436">
        <v>2557</v>
      </c>
      <c r="T436" t="b">
        <v>0</v>
      </c>
      <c r="U436">
        <v>1</v>
      </c>
      <c r="V436">
        <v>13</v>
      </c>
      <c r="W436" t="s">
        <v>35</v>
      </c>
      <c r="X436" t="s">
        <v>29</v>
      </c>
      <c r="Y436" t="s">
        <v>29</v>
      </c>
      <c r="Z436" t="s">
        <v>37</v>
      </c>
      <c r="AA436">
        <f>TwitterClean[[#This Row],[likes]]+TwitterClean[[#This Row],[replies]]+TwitterClean[[#This Row],[reposts]]+TwitterClean[[#This Row],[quotes]]+TwitterClean[[#This Row],[bookmarks]]</f>
        <v>816</v>
      </c>
      <c r="AB436" s="1">
        <f>TwitterClean[[#This Row],[Total_Engagements]]/TwitterClean[[#This Row],[views]]</f>
        <v>1.2534177137415134E-2</v>
      </c>
      <c r="AC436" s="3">
        <f>DATEVALUE(MID(TwitterClean[[#This Row],[date_posted]],2,10))</f>
        <v>45436</v>
      </c>
      <c r="AD436">
        <f>TIMEVALUE(MID(TwitterClean[[#This Row],[date_posted]],13,8))</f>
        <v>7.2453703703703701E-2</v>
      </c>
      <c r="AE436" s="3" t="str">
        <f>TEXT(TwitterClean[[#This Row],[Post_Date]],"dddd")</f>
        <v>Friday</v>
      </c>
      <c r="AF436">
        <f>HOUR(TwitterClean[[#This Row],[Post_Time]])</f>
        <v>1</v>
      </c>
      <c r="AG436" t="str">
        <f>IF(TwitterClean[[#This Row],[videos]]="Null","No","Yes")</f>
        <v>No</v>
      </c>
      <c r="AH436" t="str">
        <f>IF(TwitterClean[[#This Row],[photos]]="null","No","Yes")</f>
        <v>Yes</v>
      </c>
      <c r="AI436" t="str">
        <f>IF(TwitterClean[[#This Row],[hashtags]]="null","No","Yes")</f>
        <v>Yes</v>
      </c>
      <c r="AJ436" t="str">
        <f>IF(TwitterClean[[#This Row],[external_url]]="null","Yes","No")</f>
        <v>No</v>
      </c>
      <c r="AK436">
        <f>LEN(TwitterClean[[#This Row],[description]])</f>
        <v>7</v>
      </c>
      <c r="AL436" t="str">
        <f>IF(TwitterClean[[#This Row],[followers]]&lt;100000,"&lt;100K",IF(TwitterClean[[#This Row],[followers]]&lt;1000000,"100K-1M",IF(TwitterClean[[#This Row],[followers]]&lt;10000000,"1M-10M","10M+")))</f>
        <v>&lt;100K</v>
      </c>
    </row>
    <row r="437" spans="1:38">
      <c r="A437">
        <v>1.8682960819075932E+18</v>
      </c>
      <c r="B437" t="s">
        <v>3837</v>
      </c>
      <c r="C437" t="s">
        <v>3838</v>
      </c>
      <c r="D437" t="s">
        <v>4348</v>
      </c>
      <c r="E437" t="s">
        <v>4349</v>
      </c>
      <c r="F437" t="s">
        <v>4350</v>
      </c>
      <c r="G437" t="s">
        <v>4351</v>
      </c>
      <c r="H437" t="s">
        <v>29</v>
      </c>
      <c r="I437">
        <v>22</v>
      </c>
      <c r="J437">
        <v>85</v>
      </c>
      <c r="K437">
        <v>1484</v>
      </c>
      <c r="L437">
        <v>128215</v>
      </c>
      <c r="M437" t="s">
        <v>52</v>
      </c>
      <c r="N437" t="s">
        <v>4254</v>
      </c>
      <c r="O437">
        <v>984256</v>
      </c>
      <c r="P437" t="s">
        <v>3844</v>
      </c>
      <c r="Q437">
        <v>136135</v>
      </c>
      <c r="R437" t="s">
        <v>3845</v>
      </c>
      <c r="S437">
        <v>438</v>
      </c>
      <c r="T437" t="b">
        <v>0</v>
      </c>
      <c r="U437">
        <v>7</v>
      </c>
      <c r="V437">
        <v>7</v>
      </c>
      <c r="W437" t="s">
        <v>35</v>
      </c>
      <c r="X437" t="s">
        <v>29</v>
      </c>
      <c r="Y437" t="s">
        <v>29</v>
      </c>
      <c r="Z437" t="s">
        <v>37</v>
      </c>
      <c r="AA437">
        <f>TwitterClean[[#This Row],[likes]]+TwitterClean[[#This Row],[replies]]+TwitterClean[[#This Row],[reposts]]+TwitterClean[[#This Row],[quotes]]+TwitterClean[[#This Row],[bookmarks]]</f>
        <v>1605</v>
      </c>
      <c r="AB437" s="1">
        <f>TwitterClean[[#This Row],[Total_Engagements]]/TwitterClean[[#This Row],[views]]</f>
        <v>1.2518036111219436E-2</v>
      </c>
      <c r="AC437" s="3">
        <f>DATEVALUE(MID(TwitterClean[[#This Row],[date_posted]],2,10))</f>
        <v>45641</v>
      </c>
      <c r="AD437">
        <f>TIMEVALUE(MID(TwitterClean[[#This Row],[date_posted]],13,8))</f>
        <v>0.58646990740740745</v>
      </c>
      <c r="AE437" s="3" t="str">
        <f>TEXT(TwitterClean[[#This Row],[Post_Date]],"dddd")</f>
        <v>Sunday</v>
      </c>
      <c r="AF437">
        <f>HOUR(TwitterClean[[#This Row],[Post_Time]])</f>
        <v>14</v>
      </c>
      <c r="AG437" t="str">
        <f>IF(TwitterClean[[#This Row],[videos]]="Null","No","Yes")</f>
        <v>No</v>
      </c>
      <c r="AH437" t="str">
        <f>IF(TwitterClean[[#This Row],[photos]]="null","No","Yes")</f>
        <v>Yes</v>
      </c>
      <c r="AI437" t="str">
        <f>IF(TwitterClean[[#This Row],[hashtags]]="null","No","Yes")</f>
        <v>Yes</v>
      </c>
      <c r="AJ437" t="str">
        <f>IF(TwitterClean[[#This Row],[external_url]]="null","Yes","No")</f>
        <v>No</v>
      </c>
      <c r="AK437">
        <f>LEN(TwitterClean[[#This Row],[description]])</f>
        <v>96</v>
      </c>
      <c r="AL437" t="str">
        <f>IF(TwitterClean[[#This Row],[followers]]&lt;100000,"&lt;100K",IF(TwitterClean[[#This Row],[followers]]&lt;1000000,"100K-1M",IF(TwitterClean[[#This Row],[followers]]&lt;10000000,"1M-10M","10M+")))</f>
        <v>100K-1M</v>
      </c>
    </row>
    <row r="438" spans="1:38">
      <c r="A438">
        <v>1.8682144074253768E+18</v>
      </c>
      <c r="B438" t="s">
        <v>1656</v>
      </c>
      <c r="C438" t="s">
        <v>1657</v>
      </c>
      <c r="D438" t="s">
        <v>1967</v>
      </c>
      <c r="E438" t="s">
        <v>1968</v>
      </c>
      <c r="F438" t="s">
        <v>29</v>
      </c>
      <c r="G438" t="s">
        <v>1969</v>
      </c>
      <c r="H438" t="s">
        <v>29</v>
      </c>
      <c r="I438">
        <v>94</v>
      </c>
      <c r="J438">
        <v>5</v>
      </c>
      <c r="K438">
        <v>69</v>
      </c>
      <c r="L438">
        <v>14061</v>
      </c>
      <c r="M438" t="s">
        <v>1970</v>
      </c>
      <c r="N438" t="s">
        <v>29</v>
      </c>
      <c r="O438">
        <v>2819409</v>
      </c>
      <c r="P438" t="s">
        <v>1662</v>
      </c>
      <c r="Q438">
        <v>286269</v>
      </c>
      <c r="R438" t="s">
        <v>1663</v>
      </c>
      <c r="S438">
        <v>4</v>
      </c>
      <c r="T438" t="b">
        <v>0</v>
      </c>
      <c r="U438">
        <v>4</v>
      </c>
      <c r="V438">
        <v>4</v>
      </c>
      <c r="W438" t="s">
        <v>35</v>
      </c>
      <c r="X438" t="s">
        <v>1971</v>
      </c>
      <c r="Y438" t="s">
        <v>29</v>
      </c>
      <c r="Z438" t="s">
        <v>37</v>
      </c>
      <c r="AA438">
        <f>TwitterClean[[#This Row],[likes]]+TwitterClean[[#This Row],[replies]]+TwitterClean[[#This Row],[reposts]]+TwitterClean[[#This Row],[quotes]]+TwitterClean[[#This Row],[bookmarks]]</f>
        <v>176</v>
      </c>
      <c r="AB438" s="1">
        <f>TwitterClean[[#This Row],[Total_Engagements]]/TwitterClean[[#This Row],[views]]</f>
        <v>1.2516890690562549E-2</v>
      </c>
      <c r="AC438" s="3">
        <f>DATEVALUE(MID(TwitterClean[[#This Row],[date_posted]],2,10))</f>
        <v>45641</v>
      </c>
      <c r="AD438">
        <f>TIMEVALUE(MID(TwitterClean[[#This Row],[date_posted]],13,8))</f>
        <v>0.36109953703703701</v>
      </c>
      <c r="AE438" s="3" t="str">
        <f>TEXT(TwitterClean[[#This Row],[Post_Date]],"dddd")</f>
        <v>Sunday</v>
      </c>
      <c r="AF438">
        <f>HOUR(TwitterClean[[#This Row],[Post_Time]])</f>
        <v>8</v>
      </c>
      <c r="AG438" t="str">
        <f>IF(TwitterClean[[#This Row],[videos]]="Null","No","Yes")</f>
        <v>No</v>
      </c>
      <c r="AH438" t="str">
        <f>IF(TwitterClean[[#This Row],[photos]]="null","No","Yes")</f>
        <v>No</v>
      </c>
      <c r="AI438" t="str">
        <f>IF(TwitterClean[[#This Row],[hashtags]]="null","No","Yes")</f>
        <v>No</v>
      </c>
      <c r="AJ438" t="str">
        <f>IF(TwitterClean[[#This Row],[external_url]]="null","Yes","No")</f>
        <v>No</v>
      </c>
      <c r="AK438">
        <f>LEN(TwitterClean[[#This Row],[description]])</f>
        <v>44</v>
      </c>
      <c r="AL438" t="str">
        <f>IF(TwitterClean[[#This Row],[followers]]&lt;100000,"&lt;100K",IF(TwitterClean[[#This Row],[followers]]&lt;1000000,"100K-1M",IF(TwitterClean[[#This Row],[followers]]&lt;10000000,"1M-10M","10M+")))</f>
        <v>1M-10M</v>
      </c>
    </row>
    <row r="439" spans="1:38">
      <c r="A439">
        <v>1.8682191802872302E+18</v>
      </c>
      <c r="B439" t="s">
        <v>3014</v>
      </c>
      <c r="C439" t="s">
        <v>3015</v>
      </c>
      <c r="D439" t="s">
        <v>3191</v>
      </c>
      <c r="E439" t="s">
        <v>3192</v>
      </c>
      <c r="F439" t="s">
        <v>29</v>
      </c>
      <c r="G439" t="s">
        <v>3193</v>
      </c>
      <c r="H439" t="s">
        <v>3194</v>
      </c>
      <c r="I439">
        <v>9</v>
      </c>
      <c r="J439">
        <v>2</v>
      </c>
      <c r="K439">
        <v>185</v>
      </c>
      <c r="L439">
        <v>16060</v>
      </c>
      <c r="M439" t="s">
        <v>52</v>
      </c>
      <c r="N439" t="s">
        <v>3020</v>
      </c>
      <c r="O439">
        <v>512376</v>
      </c>
      <c r="P439" t="s">
        <v>3021</v>
      </c>
      <c r="Q439">
        <v>138319</v>
      </c>
      <c r="R439" t="s">
        <v>3022</v>
      </c>
      <c r="S439">
        <v>1569</v>
      </c>
      <c r="T439" t="b">
        <v>0</v>
      </c>
      <c r="U439">
        <v>1</v>
      </c>
      <c r="V439">
        <v>3</v>
      </c>
      <c r="W439" t="s">
        <v>35</v>
      </c>
      <c r="X439" t="s">
        <v>29</v>
      </c>
      <c r="Y439" t="s">
        <v>3195</v>
      </c>
      <c r="Z439" t="s">
        <v>37</v>
      </c>
      <c r="AA439">
        <f>TwitterClean[[#This Row],[likes]]+TwitterClean[[#This Row],[replies]]+TwitterClean[[#This Row],[reposts]]+TwitterClean[[#This Row],[quotes]]+TwitterClean[[#This Row],[bookmarks]]</f>
        <v>200</v>
      </c>
      <c r="AB439" s="1">
        <f>TwitterClean[[#This Row],[Total_Engagements]]/TwitterClean[[#This Row],[views]]</f>
        <v>1.2453300124533001E-2</v>
      </c>
      <c r="AC439" s="3">
        <f>DATEVALUE(MID(TwitterClean[[#This Row],[date_posted]],2,10))</f>
        <v>45641</v>
      </c>
      <c r="AD439">
        <f>TIMEVALUE(MID(TwitterClean[[#This Row],[date_posted]],13,8))</f>
        <v>0.37427083333333333</v>
      </c>
      <c r="AE439" s="3" t="str">
        <f>TEXT(TwitterClean[[#This Row],[Post_Date]],"dddd")</f>
        <v>Sunday</v>
      </c>
      <c r="AF439">
        <f>HOUR(TwitterClean[[#This Row],[Post_Time]])</f>
        <v>8</v>
      </c>
      <c r="AG439" t="str">
        <f>IF(TwitterClean[[#This Row],[videos]]="Null","No","Yes")</f>
        <v>Yes</v>
      </c>
      <c r="AH439" t="str">
        <f>IF(TwitterClean[[#This Row],[photos]]="null","No","Yes")</f>
        <v>No</v>
      </c>
      <c r="AI439" t="str">
        <f>IF(TwitterClean[[#This Row],[hashtags]]="null","No","Yes")</f>
        <v>Yes</v>
      </c>
      <c r="AJ439" t="str">
        <f>IF(TwitterClean[[#This Row],[external_url]]="null","Yes","No")</f>
        <v>No</v>
      </c>
      <c r="AK439">
        <f>LEN(TwitterClean[[#This Row],[description]])</f>
        <v>76</v>
      </c>
      <c r="AL439" t="str">
        <f>IF(TwitterClean[[#This Row],[followers]]&lt;100000,"&lt;100K",IF(TwitterClean[[#This Row],[followers]]&lt;1000000,"100K-1M",IF(TwitterClean[[#This Row],[followers]]&lt;10000000,"1M-10M","10M+")))</f>
        <v>100K-1M</v>
      </c>
    </row>
    <row r="440" spans="1:38">
      <c r="A440">
        <v>1.8683203603300682E+18</v>
      </c>
      <c r="B440" t="s">
        <v>4777</v>
      </c>
      <c r="C440" t="s">
        <v>4778</v>
      </c>
      <c r="D440" t="s">
        <v>5181</v>
      </c>
      <c r="E440" t="s">
        <v>5182</v>
      </c>
      <c r="F440" t="s">
        <v>5183</v>
      </c>
      <c r="G440" t="s">
        <v>5184</v>
      </c>
      <c r="H440" t="s">
        <v>4917</v>
      </c>
      <c r="I440">
        <v>135</v>
      </c>
      <c r="J440">
        <v>240</v>
      </c>
      <c r="K440">
        <v>4929</v>
      </c>
      <c r="L440">
        <v>443490</v>
      </c>
      <c r="M440" t="s">
        <v>52</v>
      </c>
      <c r="N440" t="s">
        <v>742</v>
      </c>
      <c r="O440">
        <v>10795892</v>
      </c>
      <c r="P440" t="s">
        <v>4783</v>
      </c>
      <c r="Q440">
        <v>95508</v>
      </c>
      <c r="R440" t="s">
        <v>4784</v>
      </c>
      <c r="S440">
        <v>98</v>
      </c>
      <c r="T440" t="b">
        <v>0</v>
      </c>
      <c r="U440">
        <v>70</v>
      </c>
      <c r="V440">
        <v>117</v>
      </c>
      <c r="W440" t="s">
        <v>35</v>
      </c>
      <c r="X440" t="s">
        <v>29</v>
      </c>
      <c r="Y440" t="s">
        <v>29</v>
      </c>
      <c r="Z440" t="s">
        <v>37</v>
      </c>
      <c r="AA440">
        <f>TwitterClean[[#This Row],[likes]]+TwitterClean[[#This Row],[replies]]+TwitterClean[[#This Row],[reposts]]+TwitterClean[[#This Row],[quotes]]+TwitterClean[[#This Row],[bookmarks]]</f>
        <v>5491</v>
      </c>
      <c r="AB440" s="1">
        <f>TwitterClean[[#This Row],[Total_Engagements]]/TwitterClean[[#This Row],[views]]</f>
        <v>1.2381338925342173E-2</v>
      </c>
      <c r="AC440" s="3">
        <f>DATEVALUE(MID(TwitterClean[[#This Row],[date_posted]],2,10))</f>
        <v>45641</v>
      </c>
      <c r="AD440">
        <f>TIMEVALUE(MID(TwitterClean[[#This Row],[date_posted]],13,8))</f>
        <v>0.65347222222222223</v>
      </c>
      <c r="AE440" s="3" t="str">
        <f>TEXT(TwitterClean[[#This Row],[Post_Date]],"dddd")</f>
        <v>Sunday</v>
      </c>
      <c r="AF440">
        <f>HOUR(TwitterClean[[#This Row],[Post_Time]])</f>
        <v>15</v>
      </c>
      <c r="AG440" t="str">
        <f>IF(TwitterClean[[#This Row],[videos]]="Null","No","Yes")</f>
        <v>No</v>
      </c>
      <c r="AH440" t="str">
        <f>IF(TwitterClean[[#This Row],[photos]]="null","No","Yes")</f>
        <v>Yes</v>
      </c>
      <c r="AI440" t="str">
        <f>IF(TwitterClean[[#This Row],[hashtags]]="null","No","Yes")</f>
        <v>Yes</v>
      </c>
      <c r="AJ440" t="str">
        <f>IF(TwitterClean[[#This Row],[external_url]]="null","Yes","No")</f>
        <v>No</v>
      </c>
      <c r="AK440">
        <f>LEN(TwitterClean[[#This Row],[description]])</f>
        <v>106</v>
      </c>
      <c r="AL440" t="str">
        <f>IF(TwitterClean[[#This Row],[followers]]&lt;100000,"&lt;100K",IF(TwitterClean[[#This Row],[followers]]&lt;1000000,"100K-1M",IF(TwitterClean[[#This Row],[followers]]&lt;10000000,"1M-10M","10M+")))</f>
        <v>10M+</v>
      </c>
    </row>
    <row r="441" spans="1:38">
      <c r="A441">
        <v>1.8652538727400573E+18</v>
      </c>
      <c r="B441" t="s">
        <v>3973</v>
      </c>
      <c r="C441" t="s">
        <v>3974</v>
      </c>
      <c r="D441" t="s">
        <v>4030</v>
      </c>
      <c r="E441" t="s">
        <v>4031</v>
      </c>
      <c r="F441" t="s">
        <v>4032</v>
      </c>
      <c r="G441" t="s">
        <v>4033</v>
      </c>
      <c r="H441" t="s">
        <v>4034</v>
      </c>
      <c r="I441">
        <v>1</v>
      </c>
      <c r="J441">
        <v>22</v>
      </c>
      <c r="K441">
        <v>200</v>
      </c>
      <c r="L441">
        <v>18665</v>
      </c>
      <c r="M441" t="s">
        <v>52</v>
      </c>
      <c r="N441" t="s">
        <v>29</v>
      </c>
      <c r="O441">
        <v>2035100</v>
      </c>
      <c r="P441" t="s">
        <v>3979</v>
      </c>
      <c r="Q441">
        <v>106867</v>
      </c>
      <c r="R441" t="s">
        <v>3980</v>
      </c>
      <c r="S441">
        <v>411</v>
      </c>
      <c r="T441" t="b">
        <v>0</v>
      </c>
      <c r="U441">
        <v>6</v>
      </c>
      <c r="V441">
        <v>2</v>
      </c>
      <c r="W441" t="s">
        <v>35</v>
      </c>
      <c r="X441" t="s">
        <v>29</v>
      </c>
      <c r="Y441" t="s">
        <v>29</v>
      </c>
      <c r="Z441" t="s">
        <v>37</v>
      </c>
      <c r="AA441">
        <f>TwitterClean[[#This Row],[likes]]+TwitterClean[[#This Row],[replies]]+TwitterClean[[#This Row],[reposts]]+TwitterClean[[#This Row],[quotes]]+TwitterClean[[#This Row],[bookmarks]]</f>
        <v>231</v>
      </c>
      <c r="AB441" s="1">
        <f>TwitterClean[[#This Row],[Total_Engagements]]/TwitterClean[[#This Row],[views]]</f>
        <v>1.2376105009375837E-2</v>
      </c>
      <c r="AC441" s="3">
        <f>DATEVALUE(MID(TwitterClean[[#This Row],[date_posted]],2,10))</f>
        <v>45633</v>
      </c>
      <c r="AD441">
        <f>TIMEVALUE(MID(TwitterClean[[#This Row],[date_posted]],13,8))</f>
        <v>0.19157407407407406</v>
      </c>
      <c r="AE441" s="3" t="str">
        <f>TEXT(TwitterClean[[#This Row],[Post_Date]],"dddd")</f>
        <v>Saturday</v>
      </c>
      <c r="AF441">
        <f>HOUR(TwitterClean[[#This Row],[Post_Time]])</f>
        <v>4</v>
      </c>
      <c r="AG441" t="str">
        <f>IF(TwitterClean[[#This Row],[videos]]="Null","No","Yes")</f>
        <v>No</v>
      </c>
      <c r="AH441" t="str">
        <f>IF(TwitterClean[[#This Row],[photos]]="null","No","Yes")</f>
        <v>Yes</v>
      </c>
      <c r="AI441" t="str">
        <f>IF(TwitterClean[[#This Row],[hashtags]]="null","No","Yes")</f>
        <v>No</v>
      </c>
      <c r="AJ441" t="str">
        <f>IF(TwitterClean[[#This Row],[external_url]]="null","Yes","No")</f>
        <v>No</v>
      </c>
      <c r="AK441">
        <f>LEN(TwitterClean[[#This Row],[description]])</f>
        <v>55</v>
      </c>
      <c r="AL441" t="str">
        <f>IF(TwitterClean[[#This Row],[followers]]&lt;100000,"&lt;100K",IF(TwitterClean[[#This Row],[followers]]&lt;1000000,"100K-1M",IF(TwitterClean[[#This Row],[followers]]&lt;10000000,"1M-10M","10M+")))</f>
        <v>1M-10M</v>
      </c>
    </row>
    <row r="442" spans="1:38">
      <c r="A442">
        <v>1.8682678493763136E+18</v>
      </c>
      <c r="B442" t="s">
        <v>290</v>
      </c>
      <c r="C442" t="s">
        <v>291</v>
      </c>
      <c r="D442" t="s">
        <v>861</v>
      </c>
      <c r="E442" t="s">
        <v>862</v>
      </c>
      <c r="F442" t="s">
        <v>863</v>
      </c>
      <c r="G442" t="s">
        <v>864</v>
      </c>
      <c r="H442" t="s">
        <v>296</v>
      </c>
      <c r="I442">
        <v>3</v>
      </c>
      <c r="J442">
        <v>9</v>
      </c>
      <c r="K442">
        <v>113</v>
      </c>
      <c r="L442">
        <v>10266</v>
      </c>
      <c r="M442" t="s">
        <v>52</v>
      </c>
      <c r="N442" t="s">
        <v>859</v>
      </c>
      <c r="O442">
        <v>1906482</v>
      </c>
      <c r="P442" t="s">
        <v>298</v>
      </c>
      <c r="Q442">
        <v>124666</v>
      </c>
      <c r="R442" t="s">
        <v>299</v>
      </c>
      <c r="S442">
        <v>432</v>
      </c>
      <c r="T442" t="b">
        <v>0</v>
      </c>
      <c r="U442">
        <v>1</v>
      </c>
      <c r="V442">
        <v>1</v>
      </c>
      <c r="W442" t="s">
        <v>865</v>
      </c>
      <c r="X442" t="s">
        <v>29</v>
      </c>
      <c r="Y442" t="s">
        <v>29</v>
      </c>
      <c r="Z442" t="s">
        <v>37</v>
      </c>
      <c r="AA442">
        <f>TwitterClean[[#This Row],[likes]]+TwitterClean[[#This Row],[replies]]+TwitterClean[[#This Row],[reposts]]+TwitterClean[[#This Row],[quotes]]+TwitterClean[[#This Row],[bookmarks]]</f>
        <v>127</v>
      </c>
      <c r="AB442" s="1">
        <f>TwitterClean[[#This Row],[Total_Engagements]]/TwitterClean[[#This Row],[views]]</f>
        <v>1.2370933177479056E-2</v>
      </c>
      <c r="AC442" s="3">
        <f>DATEVALUE(MID(TwitterClean[[#This Row],[date_posted]],2,10))</f>
        <v>45641</v>
      </c>
      <c r="AD442">
        <f>TIMEVALUE(MID(TwitterClean[[#This Row],[date_posted]],13,8))</f>
        <v>0.50856481481481486</v>
      </c>
      <c r="AE442" s="3" t="str">
        <f>TEXT(TwitterClean[[#This Row],[Post_Date]],"dddd")</f>
        <v>Sunday</v>
      </c>
      <c r="AF442">
        <f>HOUR(TwitterClean[[#This Row],[Post_Time]])</f>
        <v>12</v>
      </c>
      <c r="AG442" t="str">
        <f>IF(TwitterClean[[#This Row],[videos]]="Null","No","Yes")</f>
        <v>No</v>
      </c>
      <c r="AH442" t="str">
        <f>IF(TwitterClean[[#This Row],[photos]]="null","No","Yes")</f>
        <v>Yes</v>
      </c>
      <c r="AI442" t="str">
        <f>IF(TwitterClean[[#This Row],[hashtags]]="null","No","Yes")</f>
        <v>Yes</v>
      </c>
      <c r="AJ442" t="str">
        <f>IF(TwitterClean[[#This Row],[external_url]]="null","Yes","No")</f>
        <v>No</v>
      </c>
      <c r="AK442">
        <f>LEN(TwitterClean[[#This Row],[description]])</f>
        <v>102</v>
      </c>
      <c r="AL442" t="str">
        <f>IF(TwitterClean[[#This Row],[followers]]&lt;100000,"&lt;100K",IF(TwitterClean[[#This Row],[followers]]&lt;1000000,"100K-1M",IF(TwitterClean[[#This Row],[followers]]&lt;10000000,"1M-10M","10M+")))</f>
        <v>1M-10M</v>
      </c>
    </row>
    <row r="443" spans="1:38">
      <c r="A443">
        <v>1.8683415235549924E+18</v>
      </c>
      <c r="B443" t="s">
        <v>1280</v>
      </c>
      <c r="C443" t="s">
        <v>1281</v>
      </c>
      <c r="D443" t="s">
        <v>1334</v>
      </c>
      <c r="E443" t="s">
        <v>1335</v>
      </c>
      <c r="F443" t="s">
        <v>1336</v>
      </c>
      <c r="G443" t="s">
        <v>1337</v>
      </c>
      <c r="H443" t="s">
        <v>29</v>
      </c>
      <c r="I443">
        <v>166</v>
      </c>
      <c r="J443">
        <v>182</v>
      </c>
      <c r="K443">
        <v>2703</v>
      </c>
      <c r="L443">
        <v>250355</v>
      </c>
      <c r="M443" t="s">
        <v>52</v>
      </c>
      <c r="N443" t="s">
        <v>1286</v>
      </c>
      <c r="O443">
        <v>38438997</v>
      </c>
      <c r="P443" t="s">
        <v>1287</v>
      </c>
      <c r="Q443">
        <v>92455</v>
      </c>
      <c r="R443" t="s">
        <v>1288</v>
      </c>
      <c r="S443">
        <v>145</v>
      </c>
      <c r="T443" t="b">
        <v>0</v>
      </c>
      <c r="U443">
        <v>15</v>
      </c>
      <c r="V443">
        <v>14</v>
      </c>
      <c r="W443" t="s">
        <v>35</v>
      </c>
      <c r="X443" t="s">
        <v>29</v>
      </c>
      <c r="Y443" t="s">
        <v>29</v>
      </c>
      <c r="Z443" t="s">
        <v>37</v>
      </c>
      <c r="AA443">
        <f>TwitterClean[[#This Row],[likes]]+TwitterClean[[#This Row],[replies]]+TwitterClean[[#This Row],[reposts]]+TwitterClean[[#This Row],[quotes]]+TwitterClean[[#This Row],[bookmarks]]</f>
        <v>3080</v>
      </c>
      <c r="AB443" s="1">
        <f>TwitterClean[[#This Row],[Total_Engagements]]/TwitterClean[[#This Row],[views]]</f>
        <v>1.2302530406822313E-2</v>
      </c>
      <c r="AC443" s="3">
        <f>DATEVALUE(MID(TwitterClean[[#This Row],[date_posted]],2,10))</f>
        <v>45641</v>
      </c>
      <c r="AD443">
        <f>TIMEVALUE(MID(TwitterClean[[#This Row],[date_posted]],13,8))</f>
        <v>0.71186342592592589</v>
      </c>
      <c r="AE443" s="3" t="str">
        <f>TEXT(TwitterClean[[#This Row],[Post_Date]],"dddd")</f>
        <v>Sunday</v>
      </c>
      <c r="AF443">
        <f>HOUR(TwitterClean[[#This Row],[Post_Time]])</f>
        <v>17</v>
      </c>
      <c r="AG443" t="str">
        <f>IF(TwitterClean[[#This Row],[videos]]="Null","No","Yes")</f>
        <v>No</v>
      </c>
      <c r="AH443" t="str">
        <f>IF(TwitterClean[[#This Row],[photos]]="null","No","Yes")</f>
        <v>Yes</v>
      </c>
      <c r="AI443" t="str">
        <f>IF(TwitterClean[[#This Row],[hashtags]]="null","No","Yes")</f>
        <v>Yes</v>
      </c>
      <c r="AJ443" t="str">
        <f>IF(TwitterClean[[#This Row],[external_url]]="null","Yes","No")</f>
        <v>No</v>
      </c>
      <c r="AK443">
        <f>LEN(TwitterClean[[#This Row],[description]])</f>
        <v>48</v>
      </c>
      <c r="AL443" t="str">
        <f>IF(TwitterClean[[#This Row],[followers]]&lt;100000,"&lt;100K",IF(TwitterClean[[#This Row],[followers]]&lt;1000000,"100K-1M",IF(TwitterClean[[#This Row],[followers]]&lt;10000000,"1M-10M","10M+")))</f>
        <v>10M+</v>
      </c>
    </row>
    <row r="444" spans="1:38">
      <c r="A444">
        <v>1.868314841339073E+18</v>
      </c>
      <c r="B444" t="s">
        <v>2994</v>
      </c>
      <c r="C444" t="s">
        <v>2995</v>
      </c>
      <c r="D444" t="s">
        <v>3373</v>
      </c>
      <c r="E444" t="s">
        <v>3374</v>
      </c>
      <c r="F444" t="s">
        <v>29</v>
      </c>
      <c r="G444" t="s">
        <v>3375</v>
      </c>
      <c r="H444" t="s">
        <v>29</v>
      </c>
      <c r="I444">
        <v>15</v>
      </c>
      <c r="J444">
        <v>32</v>
      </c>
      <c r="K444">
        <v>666</v>
      </c>
      <c r="L444">
        <v>58820</v>
      </c>
      <c r="M444" t="s">
        <v>52</v>
      </c>
      <c r="N444" t="s">
        <v>3376</v>
      </c>
      <c r="O444">
        <v>812161</v>
      </c>
      <c r="P444" t="s">
        <v>3000</v>
      </c>
      <c r="Q444">
        <v>110924</v>
      </c>
      <c r="R444" t="s">
        <v>3001</v>
      </c>
      <c r="S444">
        <v>322</v>
      </c>
      <c r="T444" t="b">
        <v>0</v>
      </c>
      <c r="U444">
        <v>2</v>
      </c>
      <c r="V444">
        <v>7</v>
      </c>
      <c r="W444" t="s">
        <v>35</v>
      </c>
      <c r="X444" t="s">
        <v>29</v>
      </c>
      <c r="Y444" t="s">
        <v>3377</v>
      </c>
      <c r="Z444" t="s">
        <v>37</v>
      </c>
      <c r="AA444">
        <f>TwitterClean[[#This Row],[likes]]+TwitterClean[[#This Row],[replies]]+TwitterClean[[#This Row],[reposts]]+TwitterClean[[#This Row],[quotes]]+TwitterClean[[#This Row],[bookmarks]]</f>
        <v>722</v>
      </c>
      <c r="AB444" s="1">
        <f>TwitterClean[[#This Row],[Total_Engagements]]/TwitterClean[[#This Row],[views]]</f>
        <v>1.2274736484189051E-2</v>
      </c>
      <c r="AC444" s="3">
        <f>DATEVALUE(MID(TwitterClean[[#This Row],[date_posted]],2,10))</f>
        <v>45641</v>
      </c>
      <c r="AD444">
        <f>TIMEVALUE(MID(TwitterClean[[#This Row],[date_posted]],13,8))</f>
        <v>0.63824074074074078</v>
      </c>
      <c r="AE444" s="3" t="str">
        <f>TEXT(TwitterClean[[#This Row],[Post_Date]],"dddd")</f>
        <v>Sunday</v>
      </c>
      <c r="AF444">
        <f>HOUR(TwitterClean[[#This Row],[Post_Time]])</f>
        <v>15</v>
      </c>
      <c r="AG444" t="str">
        <f>IF(TwitterClean[[#This Row],[videos]]="Null","No","Yes")</f>
        <v>Yes</v>
      </c>
      <c r="AH444" t="str">
        <f>IF(TwitterClean[[#This Row],[photos]]="null","No","Yes")</f>
        <v>No</v>
      </c>
      <c r="AI444" t="str">
        <f>IF(TwitterClean[[#This Row],[hashtags]]="null","No","Yes")</f>
        <v>Yes</v>
      </c>
      <c r="AJ444" t="str">
        <f>IF(TwitterClean[[#This Row],[external_url]]="null","Yes","No")</f>
        <v>No</v>
      </c>
      <c r="AK444">
        <f>LEN(TwitterClean[[#This Row],[description]])</f>
        <v>20</v>
      </c>
      <c r="AL444" t="str">
        <f>IF(TwitterClean[[#This Row],[followers]]&lt;100000,"&lt;100K",IF(TwitterClean[[#This Row],[followers]]&lt;1000000,"100K-1M",IF(TwitterClean[[#This Row],[followers]]&lt;10000000,"1M-10M","10M+")))</f>
        <v>100K-1M</v>
      </c>
    </row>
    <row r="445" spans="1:38">
      <c r="A445">
        <v>1.8683459406226762E+18</v>
      </c>
      <c r="B445" t="s">
        <v>46</v>
      </c>
      <c r="C445" t="s">
        <v>47</v>
      </c>
      <c r="D445" t="s">
        <v>915</v>
      </c>
      <c r="E445" t="s">
        <v>916</v>
      </c>
      <c r="F445" t="s">
        <v>917</v>
      </c>
      <c r="G445" t="s">
        <v>918</v>
      </c>
      <c r="H445" t="s">
        <v>29</v>
      </c>
      <c r="I445">
        <v>4</v>
      </c>
      <c r="J445">
        <v>3</v>
      </c>
      <c r="K445">
        <v>298</v>
      </c>
      <c r="L445">
        <v>25184</v>
      </c>
      <c r="M445" t="s">
        <v>52</v>
      </c>
      <c r="N445" t="s">
        <v>182</v>
      </c>
      <c r="O445">
        <v>8293203</v>
      </c>
      <c r="P445" t="s">
        <v>54</v>
      </c>
      <c r="Q445">
        <v>456734</v>
      </c>
      <c r="R445" t="s">
        <v>55</v>
      </c>
      <c r="S445">
        <v>859</v>
      </c>
      <c r="T445" t="b">
        <v>0</v>
      </c>
      <c r="U445">
        <v>2</v>
      </c>
      <c r="V445">
        <v>2</v>
      </c>
      <c r="W445" t="s">
        <v>35</v>
      </c>
      <c r="X445" t="s">
        <v>29</v>
      </c>
      <c r="Y445" t="s">
        <v>29</v>
      </c>
      <c r="Z445" t="s">
        <v>37</v>
      </c>
      <c r="AA445">
        <f>TwitterClean[[#This Row],[likes]]+TwitterClean[[#This Row],[replies]]+TwitterClean[[#This Row],[reposts]]+TwitterClean[[#This Row],[quotes]]+TwitterClean[[#This Row],[bookmarks]]</f>
        <v>309</v>
      </c>
      <c r="AB445" s="1">
        <f>TwitterClean[[#This Row],[Total_Engagements]]/TwitterClean[[#This Row],[views]]</f>
        <v>1.2269695044472681E-2</v>
      </c>
      <c r="AC445" s="3">
        <f>DATEVALUE(MID(TwitterClean[[#This Row],[date_posted]],2,10))</f>
        <v>45641</v>
      </c>
      <c r="AD445">
        <f>TIMEVALUE(MID(TwitterClean[[#This Row],[date_posted]],13,8))</f>
        <v>0.72406250000000005</v>
      </c>
      <c r="AE445" s="3" t="str">
        <f>TEXT(TwitterClean[[#This Row],[Post_Date]],"dddd")</f>
        <v>Sunday</v>
      </c>
      <c r="AF445">
        <f>HOUR(TwitterClean[[#This Row],[Post_Time]])</f>
        <v>17</v>
      </c>
      <c r="AG445" t="str">
        <f>IF(TwitterClean[[#This Row],[videos]]="Null","No","Yes")</f>
        <v>No</v>
      </c>
      <c r="AH445" t="str">
        <f>IF(TwitterClean[[#This Row],[photos]]="null","No","Yes")</f>
        <v>Yes</v>
      </c>
      <c r="AI445" t="str">
        <f>IF(TwitterClean[[#This Row],[hashtags]]="null","No","Yes")</f>
        <v>Yes</v>
      </c>
      <c r="AJ445" t="str">
        <f>IF(TwitterClean[[#This Row],[external_url]]="null","Yes","No")</f>
        <v>No</v>
      </c>
      <c r="AK445">
        <f>LEN(TwitterClean[[#This Row],[description]])</f>
        <v>119</v>
      </c>
      <c r="AL445" t="str">
        <f>IF(TwitterClean[[#This Row],[followers]]&lt;100000,"&lt;100K",IF(TwitterClean[[#This Row],[followers]]&lt;1000000,"100K-1M",IF(TwitterClean[[#This Row],[followers]]&lt;10000000,"1M-10M","10M+")))</f>
        <v>1M-10M</v>
      </c>
    </row>
    <row r="446" spans="1:38">
      <c r="A446">
        <v>1.8684119641727593E+18</v>
      </c>
      <c r="B446" t="s">
        <v>228</v>
      </c>
      <c r="C446" t="s">
        <v>228</v>
      </c>
      <c r="D446" t="s">
        <v>415</v>
      </c>
      <c r="E446" t="s">
        <v>416</v>
      </c>
      <c r="F446" t="s">
        <v>417</v>
      </c>
      <c r="G446" t="s">
        <v>418</v>
      </c>
      <c r="H446" t="s">
        <v>29</v>
      </c>
      <c r="I446">
        <v>30</v>
      </c>
      <c r="J446">
        <v>4</v>
      </c>
      <c r="K446">
        <v>44</v>
      </c>
      <c r="L446">
        <v>6791</v>
      </c>
      <c r="M446" t="s">
        <v>419</v>
      </c>
      <c r="N446" t="s">
        <v>29</v>
      </c>
      <c r="O446">
        <v>1239616</v>
      </c>
      <c r="P446" t="s">
        <v>235</v>
      </c>
      <c r="Q446">
        <v>402839</v>
      </c>
      <c r="R446" t="s">
        <v>236</v>
      </c>
      <c r="S446">
        <v>1644</v>
      </c>
      <c r="T446" t="b">
        <v>0</v>
      </c>
      <c r="U446">
        <v>3</v>
      </c>
      <c r="V446">
        <v>2</v>
      </c>
      <c r="W446" t="s">
        <v>35</v>
      </c>
      <c r="X446" t="s">
        <v>29</v>
      </c>
      <c r="Y446" t="s">
        <v>29</v>
      </c>
      <c r="Z446" t="s">
        <v>37</v>
      </c>
      <c r="AA446">
        <f>TwitterClean[[#This Row],[likes]]+TwitterClean[[#This Row],[replies]]+TwitterClean[[#This Row],[reposts]]+TwitterClean[[#This Row],[quotes]]+TwitterClean[[#This Row],[bookmarks]]</f>
        <v>83</v>
      </c>
      <c r="AB446" s="1">
        <f>TwitterClean[[#This Row],[Total_Engagements]]/TwitterClean[[#This Row],[views]]</f>
        <v>1.2222058606979827E-2</v>
      </c>
      <c r="AC446" s="3">
        <f>DATEVALUE(MID(TwitterClean[[#This Row],[date_posted]],2,10))</f>
        <v>45641</v>
      </c>
      <c r="AD446">
        <f>TIMEVALUE(MID(TwitterClean[[#This Row],[date_posted]],13,8))</f>
        <v>0.90625</v>
      </c>
      <c r="AE446" s="3" t="str">
        <f>TEXT(TwitterClean[[#This Row],[Post_Date]],"dddd")</f>
        <v>Sunday</v>
      </c>
      <c r="AF446">
        <f>HOUR(TwitterClean[[#This Row],[Post_Time]])</f>
        <v>21</v>
      </c>
      <c r="AG446" t="str">
        <f>IF(TwitterClean[[#This Row],[videos]]="Null","No","Yes")</f>
        <v>No</v>
      </c>
      <c r="AH446" t="str">
        <f>IF(TwitterClean[[#This Row],[photos]]="null","No","Yes")</f>
        <v>Yes</v>
      </c>
      <c r="AI446" t="str">
        <f>IF(TwitterClean[[#This Row],[hashtags]]="null","No","Yes")</f>
        <v>No</v>
      </c>
      <c r="AJ446" t="str">
        <f>IF(TwitterClean[[#This Row],[external_url]]="null","Yes","No")</f>
        <v>No</v>
      </c>
      <c r="AK446">
        <f>LEN(TwitterClean[[#This Row],[description]])</f>
        <v>205</v>
      </c>
      <c r="AL446" t="str">
        <f>IF(TwitterClean[[#This Row],[followers]]&lt;100000,"&lt;100K",IF(TwitterClean[[#This Row],[followers]]&lt;1000000,"100K-1M",IF(TwitterClean[[#This Row],[followers]]&lt;10000000,"1M-10M","10M+")))</f>
        <v>1M-10M</v>
      </c>
    </row>
    <row r="447" spans="1:38">
      <c r="A447">
        <v>1.86834924734029E+18</v>
      </c>
      <c r="B447" t="s">
        <v>2230</v>
      </c>
      <c r="C447" t="s">
        <v>2231</v>
      </c>
      <c r="D447" t="s">
        <v>2244</v>
      </c>
      <c r="E447" t="s">
        <v>2245</v>
      </c>
      <c r="F447" t="s">
        <v>2246</v>
      </c>
      <c r="G447" t="s">
        <v>2247</v>
      </c>
      <c r="H447" t="s">
        <v>29</v>
      </c>
      <c r="I447">
        <v>120</v>
      </c>
      <c r="J447">
        <v>62</v>
      </c>
      <c r="K447">
        <v>353</v>
      </c>
      <c r="L447">
        <v>46025</v>
      </c>
      <c r="M447" t="s">
        <v>2248</v>
      </c>
      <c r="N447" t="s">
        <v>29</v>
      </c>
      <c r="O447">
        <v>3313888</v>
      </c>
      <c r="P447" t="s">
        <v>2237</v>
      </c>
      <c r="Q447">
        <v>706459</v>
      </c>
      <c r="R447" t="s">
        <v>2238</v>
      </c>
      <c r="S447">
        <v>10308</v>
      </c>
      <c r="T447" t="b">
        <v>0</v>
      </c>
      <c r="U447">
        <v>11</v>
      </c>
      <c r="V447">
        <v>12</v>
      </c>
      <c r="W447" t="s">
        <v>35</v>
      </c>
      <c r="X447" t="s">
        <v>29</v>
      </c>
      <c r="Y447" t="s">
        <v>29</v>
      </c>
      <c r="Z447" t="s">
        <v>37</v>
      </c>
      <c r="AA447">
        <f>TwitterClean[[#This Row],[likes]]+TwitterClean[[#This Row],[replies]]+TwitterClean[[#This Row],[reposts]]+TwitterClean[[#This Row],[quotes]]+TwitterClean[[#This Row],[bookmarks]]</f>
        <v>558</v>
      </c>
      <c r="AB447" s="1">
        <f>TwitterClean[[#This Row],[Total_Engagements]]/TwitterClean[[#This Row],[views]]</f>
        <v>1.2123845736013036E-2</v>
      </c>
      <c r="AC447" s="3">
        <f>DATEVALUE(MID(TwitterClean[[#This Row],[date_posted]],2,10))</f>
        <v>45641</v>
      </c>
      <c r="AD447">
        <f>TIMEVALUE(MID(TwitterClean[[#This Row],[date_posted]],13,8))</f>
        <v>0.73318287037037033</v>
      </c>
      <c r="AE447" s="3" t="str">
        <f>TEXT(TwitterClean[[#This Row],[Post_Date]],"dddd")</f>
        <v>Sunday</v>
      </c>
      <c r="AF447">
        <f>HOUR(TwitterClean[[#This Row],[Post_Time]])</f>
        <v>17</v>
      </c>
      <c r="AG447" t="str">
        <f>IF(TwitterClean[[#This Row],[videos]]="Null","No","Yes")</f>
        <v>No</v>
      </c>
      <c r="AH447" t="str">
        <f>IF(TwitterClean[[#This Row],[photos]]="null","No","Yes")</f>
        <v>Yes</v>
      </c>
      <c r="AI447" t="str">
        <f>IF(TwitterClean[[#This Row],[hashtags]]="null","No","Yes")</f>
        <v>No</v>
      </c>
      <c r="AJ447" t="str">
        <f>IF(TwitterClean[[#This Row],[external_url]]="null","Yes","No")</f>
        <v>No</v>
      </c>
      <c r="AK447">
        <f>LEN(TwitterClean[[#This Row],[description]])</f>
        <v>102</v>
      </c>
      <c r="AL447" t="str">
        <f>IF(TwitterClean[[#This Row],[followers]]&lt;100000,"&lt;100K",IF(TwitterClean[[#This Row],[followers]]&lt;1000000,"100K-1M",IF(TwitterClean[[#This Row],[followers]]&lt;10000000,"1M-10M","10M+")))</f>
        <v>1M-10M</v>
      </c>
    </row>
    <row r="448" spans="1:38">
      <c r="A448">
        <v>1.8682644853934042E+18</v>
      </c>
      <c r="B448" t="s">
        <v>3743</v>
      </c>
      <c r="C448" t="s">
        <v>3744</v>
      </c>
      <c r="D448" t="s">
        <v>4733</v>
      </c>
      <c r="E448" t="s">
        <v>4734</v>
      </c>
      <c r="F448" t="s">
        <v>4735</v>
      </c>
      <c r="G448" t="s">
        <v>4736</v>
      </c>
      <c r="H448" t="s">
        <v>29</v>
      </c>
      <c r="I448">
        <v>6</v>
      </c>
      <c r="J448">
        <v>6</v>
      </c>
      <c r="K448">
        <v>171</v>
      </c>
      <c r="L448">
        <v>15260</v>
      </c>
      <c r="M448" t="s">
        <v>52</v>
      </c>
      <c r="N448" t="s">
        <v>4737</v>
      </c>
      <c r="O448">
        <v>668750</v>
      </c>
      <c r="P448" t="s">
        <v>3751</v>
      </c>
      <c r="Q448">
        <v>76510</v>
      </c>
      <c r="R448" t="s">
        <v>3752</v>
      </c>
      <c r="S448">
        <v>860</v>
      </c>
      <c r="T448" t="b">
        <v>0</v>
      </c>
      <c r="U448">
        <v>1</v>
      </c>
      <c r="V448">
        <v>1</v>
      </c>
      <c r="W448" t="s">
        <v>35</v>
      </c>
      <c r="X448" t="s">
        <v>29</v>
      </c>
      <c r="Y448" t="s">
        <v>29</v>
      </c>
      <c r="Z448" t="s">
        <v>37</v>
      </c>
      <c r="AA448">
        <f>TwitterClean[[#This Row],[likes]]+TwitterClean[[#This Row],[replies]]+TwitterClean[[#This Row],[reposts]]+TwitterClean[[#This Row],[quotes]]+TwitterClean[[#This Row],[bookmarks]]</f>
        <v>185</v>
      </c>
      <c r="AB448" s="1">
        <f>TwitterClean[[#This Row],[Total_Engagements]]/TwitterClean[[#This Row],[views]]</f>
        <v>1.2123197903014417E-2</v>
      </c>
      <c r="AC448" s="3">
        <f>DATEVALUE(MID(TwitterClean[[#This Row],[date_posted]],2,10))</f>
        <v>45641</v>
      </c>
      <c r="AD448">
        <f>TIMEVALUE(MID(TwitterClean[[#This Row],[date_posted]],13,8))</f>
        <v>0.49928240740740742</v>
      </c>
      <c r="AE448" s="3" t="str">
        <f>TEXT(TwitterClean[[#This Row],[Post_Date]],"dddd")</f>
        <v>Sunday</v>
      </c>
      <c r="AF448">
        <f>HOUR(TwitterClean[[#This Row],[Post_Time]])</f>
        <v>11</v>
      </c>
      <c r="AG448" t="str">
        <f>IF(TwitterClean[[#This Row],[videos]]="Null","No","Yes")</f>
        <v>No</v>
      </c>
      <c r="AH448" t="str">
        <f>IF(TwitterClean[[#This Row],[photos]]="null","No","Yes")</f>
        <v>Yes</v>
      </c>
      <c r="AI448" t="str">
        <f>IF(TwitterClean[[#This Row],[hashtags]]="null","No","Yes")</f>
        <v>Yes</v>
      </c>
      <c r="AJ448" t="str">
        <f>IF(TwitterClean[[#This Row],[external_url]]="null","Yes","No")</f>
        <v>No</v>
      </c>
      <c r="AK448">
        <f>LEN(TwitterClean[[#This Row],[description]])</f>
        <v>49</v>
      </c>
      <c r="AL448" t="str">
        <f>IF(TwitterClean[[#This Row],[followers]]&lt;100000,"&lt;100K",IF(TwitterClean[[#This Row],[followers]]&lt;1000000,"100K-1M",IF(TwitterClean[[#This Row],[followers]]&lt;10000000,"1M-10M","10M+")))</f>
        <v>100K-1M</v>
      </c>
    </row>
    <row r="449" spans="1:38">
      <c r="A449">
        <v>1.8682043461457311E+18</v>
      </c>
      <c r="B449" t="s">
        <v>3024</v>
      </c>
      <c r="C449" t="s">
        <v>3025</v>
      </c>
      <c r="D449" t="s">
        <v>3026</v>
      </c>
      <c r="E449" t="s">
        <v>3027</v>
      </c>
      <c r="F449" t="s">
        <v>29</v>
      </c>
      <c r="G449" t="s">
        <v>3028</v>
      </c>
      <c r="H449" t="s">
        <v>3029</v>
      </c>
      <c r="I449">
        <v>2</v>
      </c>
      <c r="J449">
        <v>10</v>
      </c>
      <c r="K449">
        <v>104</v>
      </c>
      <c r="L449">
        <v>9981</v>
      </c>
      <c r="M449" t="s">
        <v>52</v>
      </c>
      <c r="N449" t="s">
        <v>3030</v>
      </c>
      <c r="O449">
        <v>1076244</v>
      </c>
      <c r="P449" t="s">
        <v>3031</v>
      </c>
      <c r="Q449">
        <v>55798</v>
      </c>
      <c r="R449" t="s">
        <v>3032</v>
      </c>
      <c r="S449">
        <v>1771</v>
      </c>
      <c r="T449" t="b">
        <v>0</v>
      </c>
      <c r="U449">
        <v>1</v>
      </c>
      <c r="V449">
        <v>4</v>
      </c>
      <c r="W449" t="s">
        <v>35</v>
      </c>
      <c r="X449" t="s">
        <v>29</v>
      </c>
      <c r="Y449" t="s">
        <v>3033</v>
      </c>
      <c r="Z449" t="s">
        <v>37</v>
      </c>
      <c r="AA449">
        <f>TwitterClean[[#This Row],[likes]]+TwitterClean[[#This Row],[replies]]+TwitterClean[[#This Row],[reposts]]+TwitterClean[[#This Row],[quotes]]+TwitterClean[[#This Row],[bookmarks]]</f>
        <v>121</v>
      </c>
      <c r="AB449" s="1">
        <f>TwitterClean[[#This Row],[Total_Engagements]]/TwitterClean[[#This Row],[views]]</f>
        <v>1.2123033764151889E-2</v>
      </c>
      <c r="AC449" s="3">
        <f>DATEVALUE(MID(TwitterClean[[#This Row],[date_posted]],2,10))</f>
        <v>45641</v>
      </c>
      <c r="AD449">
        <f>TIMEVALUE(MID(TwitterClean[[#This Row],[date_posted]],13,8))</f>
        <v>0.33333333333333331</v>
      </c>
      <c r="AE449" s="3" t="str">
        <f>TEXT(TwitterClean[[#This Row],[Post_Date]],"dddd")</f>
        <v>Sunday</v>
      </c>
      <c r="AF449">
        <f>HOUR(TwitterClean[[#This Row],[Post_Time]])</f>
        <v>8</v>
      </c>
      <c r="AG449" t="str">
        <f>IF(TwitterClean[[#This Row],[videos]]="Null","No","Yes")</f>
        <v>Yes</v>
      </c>
      <c r="AH449" t="str">
        <f>IF(TwitterClean[[#This Row],[photos]]="null","No","Yes")</f>
        <v>No</v>
      </c>
      <c r="AI449" t="str">
        <f>IF(TwitterClean[[#This Row],[hashtags]]="null","No","Yes")</f>
        <v>Yes</v>
      </c>
      <c r="AJ449" t="str">
        <f>IF(TwitterClean[[#This Row],[external_url]]="null","Yes","No")</f>
        <v>No</v>
      </c>
      <c r="AK449">
        <f>LEN(TwitterClean[[#This Row],[description]])</f>
        <v>72</v>
      </c>
      <c r="AL449" t="str">
        <f>IF(TwitterClean[[#This Row],[followers]]&lt;100000,"&lt;100K",IF(TwitterClean[[#This Row],[followers]]&lt;1000000,"100K-1M",IF(TwitterClean[[#This Row],[followers]]&lt;10000000,"1M-10M","10M+")))</f>
        <v>1M-10M</v>
      </c>
    </row>
    <row r="450" spans="1:38">
      <c r="A450">
        <v>1.8684051906315267E+18</v>
      </c>
      <c r="B450" t="s">
        <v>1862</v>
      </c>
      <c r="C450" t="s">
        <v>1863</v>
      </c>
      <c r="D450" t="s">
        <v>2056</v>
      </c>
      <c r="E450" t="s">
        <v>2057</v>
      </c>
      <c r="F450" t="s">
        <v>29</v>
      </c>
      <c r="G450" t="s">
        <v>2058</v>
      </c>
      <c r="H450" t="s">
        <v>2059</v>
      </c>
      <c r="I450">
        <v>5</v>
      </c>
      <c r="J450">
        <v>18</v>
      </c>
      <c r="K450">
        <v>196</v>
      </c>
      <c r="L450">
        <v>19291</v>
      </c>
      <c r="M450" t="s">
        <v>52</v>
      </c>
      <c r="N450" t="s">
        <v>1867</v>
      </c>
      <c r="O450">
        <v>13492430</v>
      </c>
      <c r="P450" t="s">
        <v>1868</v>
      </c>
      <c r="Q450">
        <v>314515</v>
      </c>
      <c r="R450" t="s">
        <v>1869</v>
      </c>
      <c r="S450">
        <v>708</v>
      </c>
      <c r="T450" t="b">
        <v>0</v>
      </c>
      <c r="U450">
        <v>2</v>
      </c>
      <c r="V450">
        <v>11</v>
      </c>
      <c r="W450" t="s">
        <v>35</v>
      </c>
      <c r="X450" t="s">
        <v>29</v>
      </c>
      <c r="Y450" t="s">
        <v>2060</v>
      </c>
      <c r="Z450" t="s">
        <v>37</v>
      </c>
      <c r="AA450">
        <f>TwitterClean[[#This Row],[likes]]+TwitterClean[[#This Row],[replies]]+TwitterClean[[#This Row],[reposts]]+TwitterClean[[#This Row],[quotes]]+TwitterClean[[#This Row],[bookmarks]]</f>
        <v>232</v>
      </c>
      <c r="AB450" s="1">
        <f>TwitterClean[[#This Row],[Total_Engagements]]/TwitterClean[[#This Row],[views]]</f>
        <v>1.2026333523404696E-2</v>
      </c>
      <c r="AC450" s="3">
        <f>DATEVALUE(MID(TwitterClean[[#This Row],[date_posted]],2,10))</f>
        <v>45641</v>
      </c>
      <c r="AD450">
        <f>TIMEVALUE(MID(TwitterClean[[#This Row],[date_posted]],13,8))</f>
        <v>0.88755787037037037</v>
      </c>
      <c r="AE450" s="3" t="str">
        <f>TEXT(TwitterClean[[#This Row],[Post_Date]],"dddd")</f>
        <v>Sunday</v>
      </c>
      <c r="AF450">
        <f>HOUR(TwitterClean[[#This Row],[Post_Time]])</f>
        <v>21</v>
      </c>
      <c r="AG450" t="str">
        <f>IF(TwitterClean[[#This Row],[videos]]="Null","No","Yes")</f>
        <v>Yes</v>
      </c>
      <c r="AH450" t="str">
        <f>IF(TwitterClean[[#This Row],[photos]]="null","No","Yes")</f>
        <v>No</v>
      </c>
      <c r="AI450" t="str">
        <f>IF(TwitterClean[[#This Row],[hashtags]]="null","No","Yes")</f>
        <v>Yes</v>
      </c>
      <c r="AJ450" t="str">
        <f>IF(TwitterClean[[#This Row],[external_url]]="null","Yes","No")</f>
        <v>No</v>
      </c>
      <c r="AK450">
        <f>LEN(TwitterClean[[#This Row],[description]])</f>
        <v>52</v>
      </c>
      <c r="AL450" t="str">
        <f>IF(TwitterClean[[#This Row],[followers]]&lt;100000,"&lt;100K",IF(TwitterClean[[#This Row],[followers]]&lt;1000000,"100K-1M",IF(TwitterClean[[#This Row],[followers]]&lt;10000000,"1M-10M","10M+")))</f>
        <v>10M+</v>
      </c>
    </row>
    <row r="451" spans="1:38">
      <c r="A451">
        <v>1.8682913536012539E+18</v>
      </c>
      <c r="B451" t="s">
        <v>5141</v>
      </c>
      <c r="C451" t="s">
        <v>5142</v>
      </c>
      <c r="D451" t="s">
        <v>5143</v>
      </c>
      <c r="E451" t="s">
        <v>5144</v>
      </c>
      <c r="F451" t="s">
        <v>5145</v>
      </c>
      <c r="G451" t="s">
        <v>5146</v>
      </c>
      <c r="H451" t="s">
        <v>5147</v>
      </c>
      <c r="I451">
        <v>1</v>
      </c>
      <c r="J451">
        <v>1</v>
      </c>
      <c r="K451">
        <v>16</v>
      </c>
      <c r="L451">
        <v>1498</v>
      </c>
      <c r="M451" t="s">
        <v>5148</v>
      </c>
      <c r="N451" t="s">
        <v>5149</v>
      </c>
      <c r="O451">
        <v>18440</v>
      </c>
      <c r="P451" t="s">
        <v>5150</v>
      </c>
      <c r="Q451">
        <v>19725</v>
      </c>
      <c r="R451" t="s">
        <v>5151</v>
      </c>
      <c r="S451">
        <v>154</v>
      </c>
      <c r="T451" t="b">
        <v>0</v>
      </c>
      <c r="U451">
        <v>0</v>
      </c>
      <c r="V451">
        <v>0</v>
      </c>
      <c r="W451" t="s">
        <v>35</v>
      </c>
      <c r="X451" t="s">
        <v>29</v>
      </c>
      <c r="Y451" t="s">
        <v>29</v>
      </c>
      <c r="Z451" t="s">
        <v>37</v>
      </c>
      <c r="AA451">
        <f>TwitterClean[[#This Row],[likes]]+TwitterClean[[#This Row],[replies]]+TwitterClean[[#This Row],[reposts]]+TwitterClean[[#This Row],[quotes]]+TwitterClean[[#This Row],[bookmarks]]</f>
        <v>18</v>
      </c>
      <c r="AB451" s="1">
        <f>TwitterClean[[#This Row],[Total_Engagements]]/TwitterClean[[#This Row],[views]]</f>
        <v>1.2016021361815754E-2</v>
      </c>
      <c r="AC451" s="3">
        <f>DATEVALUE(MID(TwitterClean[[#This Row],[date_posted]],2,10))</f>
        <v>45641</v>
      </c>
      <c r="AD451">
        <f>TIMEVALUE(MID(TwitterClean[[#This Row],[date_posted]],13,8))</f>
        <v>0.57342592592592589</v>
      </c>
      <c r="AE451" s="3" t="str">
        <f>TEXT(TwitterClean[[#This Row],[Post_Date]],"dddd")</f>
        <v>Sunday</v>
      </c>
      <c r="AF451">
        <f>HOUR(TwitterClean[[#This Row],[Post_Time]])</f>
        <v>13</v>
      </c>
      <c r="AG451" t="str">
        <f>IF(TwitterClean[[#This Row],[videos]]="Null","No","Yes")</f>
        <v>No</v>
      </c>
      <c r="AH451" t="str">
        <f>IF(TwitterClean[[#This Row],[photos]]="null","No","Yes")</f>
        <v>Yes</v>
      </c>
      <c r="AI451" t="str">
        <f>IF(TwitterClean[[#This Row],[hashtags]]="null","No","Yes")</f>
        <v>Yes</v>
      </c>
      <c r="AJ451" t="str">
        <f>IF(TwitterClean[[#This Row],[external_url]]="null","Yes","No")</f>
        <v>No</v>
      </c>
      <c r="AK451">
        <f>LEN(TwitterClean[[#This Row],[description]])</f>
        <v>176</v>
      </c>
      <c r="AL451" t="str">
        <f>IF(TwitterClean[[#This Row],[followers]]&lt;100000,"&lt;100K",IF(TwitterClean[[#This Row],[followers]]&lt;1000000,"100K-1M",IF(TwitterClean[[#This Row],[followers]]&lt;10000000,"1M-10M","10M+")))</f>
        <v>&lt;100K</v>
      </c>
    </row>
    <row r="452" spans="1:38">
      <c r="A452">
        <v>1.8683457008719711E+18</v>
      </c>
      <c r="B452" t="s">
        <v>333</v>
      </c>
      <c r="C452" t="s">
        <v>334</v>
      </c>
      <c r="D452" t="s">
        <v>4369</v>
      </c>
      <c r="E452" t="s">
        <v>4370</v>
      </c>
      <c r="F452" t="s">
        <v>29</v>
      </c>
      <c r="G452" t="s">
        <v>4371</v>
      </c>
      <c r="H452" t="s">
        <v>489</v>
      </c>
      <c r="I452">
        <v>2</v>
      </c>
      <c r="J452">
        <v>9</v>
      </c>
      <c r="K452">
        <v>133</v>
      </c>
      <c r="L452">
        <v>12531</v>
      </c>
      <c r="M452" t="s">
        <v>52</v>
      </c>
      <c r="N452" t="s">
        <v>340</v>
      </c>
      <c r="O452">
        <v>337839</v>
      </c>
      <c r="P452" t="s">
        <v>341</v>
      </c>
      <c r="Q452">
        <v>57638</v>
      </c>
      <c r="R452" t="s">
        <v>342</v>
      </c>
      <c r="S452">
        <v>587</v>
      </c>
      <c r="T452" t="b">
        <v>0</v>
      </c>
      <c r="U452">
        <v>4</v>
      </c>
      <c r="V452">
        <v>1</v>
      </c>
      <c r="W452" t="s">
        <v>35</v>
      </c>
      <c r="X452" t="s">
        <v>29</v>
      </c>
      <c r="Y452" t="s">
        <v>4317</v>
      </c>
      <c r="Z452" t="s">
        <v>37</v>
      </c>
      <c r="AA452">
        <f>TwitterClean[[#This Row],[likes]]+TwitterClean[[#This Row],[replies]]+TwitterClean[[#This Row],[reposts]]+TwitterClean[[#This Row],[quotes]]+TwitterClean[[#This Row],[bookmarks]]</f>
        <v>149</v>
      </c>
      <c r="AB452" s="1">
        <f>TwitterClean[[#This Row],[Total_Engagements]]/TwitterClean[[#This Row],[views]]</f>
        <v>1.1890511531402123E-2</v>
      </c>
      <c r="AC452" s="3">
        <f>DATEVALUE(MID(TwitterClean[[#This Row],[date_posted]],2,10))</f>
        <v>45641</v>
      </c>
      <c r="AD452">
        <f>TIMEVALUE(MID(TwitterClean[[#This Row],[date_posted]],13,8))</f>
        <v>0.72339120370370369</v>
      </c>
      <c r="AE452" s="3" t="str">
        <f>TEXT(TwitterClean[[#This Row],[Post_Date]],"dddd")</f>
        <v>Sunday</v>
      </c>
      <c r="AF452">
        <f>HOUR(TwitterClean[[#This Row],[Post_Time]])</f>
        <v>17</v>
      </c>
      <c r="AG452" t="str">
        <f>IF(TwitterClean[[#This Row],[videos]]="Null","No","Yes")</f>
        <v>Yes</v>
      </c>
      <c r="AH452" t="str">
        <f>IF(TwitterClean[[#This Row],[photos]]="null","No","Yes")</f>
        <v>No</v>
      </c>
      <c r="AI452" t="str">
        <f>IF(TwitterClean[[#This Row],[hashtags]]="null","No","Yes")</f>
        <v>Yes</v>
      </c>
      <c r="AJ452" t="str">
        <f>IF(TwitterClean[[#This Row],[external_url]]="null","Yes","No")</f>
        <v>No</v>
      </c>
      <c r="AK452">
        <f>LEN(TwitterClean[[#This Row],[description]])</f>
        <v>119</v>
      </c>
      <c r="AL452" t="str">
        <f>IF(TwitterClean[[#This Row],[followers]]&lt;100000,"&lt;100K",IF(TwitterClean[[#This Row],[followers]]&lt;1000000,"100K-1M",IF(TwitterClean[[#This Row],[followers]]&lt;10000000,"1M-10M","10M+")))</f>
        <v>100K-1M</v>
      </c>
    </row>
    <row r="453" spans="1:38">
      <c r="A453">
        <v>1.8682925287616064E+18</v>
      </c>
      <c r="B453" t="s">
        <v>1303</v>
      </c>
      <c r="C453" t="s">
        <v>1304</v>
      </c>
      <c r="D453" t="s">
        <v>1359</v>
      </c>
      <c r="E453" t="s">
        <v>1360</v>
      </c>
      <c r="F453" t="s">
        <v>1361</v>
      </c>
      <c r="G453" t="s">
        <v>1362</v>
      </c>
      <c r="H453" t="s">
        <v>29</v>
      </c>
      <c r="I453">
        <v>11</v>
      </c>
      <c r="J453">
        <v>6</v>
      </c>
      <c r="K453">
        <v>183</v>
      </c>
      <c r="L453">
        <v>17435</v>
      </c>
      <c r="M453" t="s">
        <v>52</v>
      </c>
      <c r="N453" t="s">
        <v>1273</v>
      </c>
      <c r="O453">
        <v>240106</v>
      </c>
      <c r="P453" t="s">
        <v>1309</v>
      </c>
      <c r="Q453">
        <v>29070</v>
      </c>
      <c r="R453" t="s">
        <v>1310</v>
      </c>
      <c r="S453">
        <v>799</v>
      </c>
      <c r="T453" t="b">
        <v>0</v>
      </c>
      <c r="U453">
        <v>4</v>
      </c>
      <c r="V453">
        <v>3</v>
      </c>
      <c r="W453" t="s">
        <v>35</v>
      </c>
      <c r="X453" t="s">
        <v>29</v>
      </c>
      <c r="Y453" t="s">
        <v>29</v>
      </c>
      <c r="Z453" t="s">
        <v>37</v>
      </c>
      <c r="AA453">
        <f>TwitterClean[[#This Row],[likes]]+TwitterClean[[#This Row],[replies]]+TwitterClean[[#This Row],[reposts]]+TwitterClean[[#This Row],[quotes]]+TwitterClean[[#This Row],[bookmarks]]</f>
        <v>207</v>
      </c>
      <c r="AB453" s="1">
        <f>TwitterClean[[#This Row],[Total_Engagements]]/TwitterClean[[#This Row],[views]]</f>
        <v>1.1872669916833955E-2</v>
      </c>
      <c r="AC453" s="3">
        <f>DATEVALUE(MID(TwitterClean[[#This Row],[date_posted]],2,10))</f>
        <v>45641</v>
      </c>
      <c r="AD453">
        <f>TIMEVALUE(MID(TwitterClean[[#This Row],[date_posted]],13,8))</f>
        <v>0.57666666666666666</v>
      </c>
      <c r="AE453" s="3" t="str">
        <f>TEXT(TwitterClean[[#This Row],[Post_Date]],"dddd")</f>
        <v>Sunday</v>
      </c>
      <c r="AF453">
        <f>HOUR(TwitterClean[[#This Row],[Post_Time]])</f>
        <v>13</v>
      </c>
      <c r="AG453" t="str">
        <f>IF(TwitterClean[[#This Row],[videos]]="Null","No","Yes")</f>
        <v>No</v>
      </c>
      <c r="AH453" t="str">
        <f>IF(TwitterClean[[#This Row],[photos]]="null","No","Yes")</f>
        <v>Yes</v>
      </c>
      <c r="AI453" t="str">
        <f>IF(TwitterClean[[#This Row],[hashtags]]="null","No","Yes")</f>
        <v>Yes</v>
      </c>
      <c r="AJ453" t="str">
        <f>IF(TwitterClean[[#This Row],[external_url]]="null","Yes","No")</f>
        <v>No</v>
      </c>
      <c r="AK453">
        <f>LEN(TwitterClean[[#This Row],[description]])</f>
        <v>49</v>
      </c>
      <c r="AL453" t="str">
        <f>IF(TwitterClean[[#This Row],[followers]]&lt;100000,"&lt;100K",IF(TwitterClean[[#This Row],[followers]]&lt;1000000,"100K-1M",IF(TwitterClean[[#This Row],[followers]]&lt;10000000,"1M-10M","10M+")))</f>
        <v>100K-1M</v>
      </c>
    </row>
    <row r="454" spans="1:38">
      <c r="A454">
        <v>1.8683453905225979E+18</v>
      </c>
      <c r="B454" t="s">
        <v>3837</v>
      </c>
      <c r="C454" t="s">
        <v>3838</v>
      </c>
      <c r="D454" t="s">
        <v>4867</v>
      </c>
      <c r="E454" t="s">
        <v>4868</v>
      </c>
      <c r="F454" t="s">
        <v>4869</v>
      </c>
      <c r="G454" t="s">
        <v>4870</v>
      </c>
      <c r="H454" t="s">
        <v>29</v>
      </c>
      <c r="I454">
        <v>58</v>
      </c>
      <c r="J454">
        <v>161</v>
      </c>
      <c r="K454">
        <v>1169</v>
      </c>
      <c r="L454">
        <v>119988</v>
      </c>
      <c r="M454" t="s">
        <v>4452</v>
      </c>
      <c r="N454" t="s">
        <v>3843</v>
      </c>
      <c r="O454">
        <v>984256</v>
      </c>
      <c r="P454" t="s">
        <v>3844</v>
      </c>
      <c r="Q454">
        <v>136135</v>
      </c>
      <c r="R454" t="s">
        <v>3845</v>
      </c>
      <c r="S454">
        <v>438</v>
      </c>
      <c r="T454" t="b">
        <v>0</v>
      </c>
      <c r="U454">
        <v>30</v>
      </c>
      <c r="V454">
        <v>3</v>
      </c>
      <c r="W454" t="s">
        <v>35</v>
      </c>
      <c r="X454" t="s">
        <v>29</v>
      </c>
      <c r="Y454" t="s">
        <v>29</v>
      </c>
      <c r="Z454" t="s">
        <v>37</v>
      </c>
      <c r="AA454">
        <f>TwitterClean[[#This Row],[likes]]+TwitterClean[[#This Row],[replies]]+TwitterClean[[#This Row],[reposts]]+TwitterClean[[#This Row],[quotes]]+TwitterClean[[#This Row],[bookmarks]]</f>
        <v>1421</v>
      </c>
      <c r="AB454" s="1">
        <f>TwitterClean[[#This Row],[Total_Engagements]]/TwitterClean[[#This Row],[views]]</f>
        <v>1.1842850951761843E-2</v>
      </c>
      <c r="AC454" s="3">
        <f>DATEVALUE(MID(TwitterClean[[#This Row],[date_posted]],2,10))</f>
        <v>45641</v>
      </c>
      <c r="AD454">
        <f>TIMEVALUE(MID(TwitterClean[[#This Row],[date_posted]],13,8))</f>
        <v>0.72253472222222226</v>
      </c>
      <c r="AE454" s="3" t="str">
        <f>TEXT(TwitterClean[[#This Row],[Post_Date]],"dddd")</f>
        <v>Sunday</v>
      </c>
      <c r="AF454">
        <f>HOUR(TwitterClean[[#This Row],[Post_Time]])</f>
        <v>17</v>
      </c>
      <c r="AG454" t="str">
        <f>IF(TwitterClean[[#This Row],[videos]]="Null","No","Yes")</f>
        <v>No</v>
      </c>
      <c r="AH454" t="str">
        <f>IF(TwitterClean[[#This Row],[photos]]="null","No","Yes")</f>
        <v>Yes</v>
      </c>
      <c r="AI454" t="str">
        <f>IF(TwitterClean[[#This Row],[hashtags]]="null","No","Yes")</f>
        <v>Yes</v>
      </c>
      <c r="AJ454" t="str">
        <f>IF(TwitterClean[[#This Row],[external_url]]="null","Yes","No")</f>
        <v>No</v>
      </c>
      <c r="AK454">
        <f>LEN(TwitterClean[[#This Row],[description]])</f>
        <v>68</v>
      </c>
      <c r="AL454" t="str">
        <f>IF(TwitterClean[[#This Row],[followers]]&lt;100000,"&lt;100K",IF(TwitterClean[[#This Row],[followers]]&lt;1000000,"100K-1M",IF(TwitterClean[[#This Row],[followers]]&lt;10000000,"1M-10M","10M+")))</f>
        <v>100K-1M</v>
      </c>
    </row>
    <row r="455" spans="1:38">
      <c r="A455">
        <v>1.8683205890874204E+18</v>
      </c>
      <c r="B455" t="s">
        <v>628</v>
      </c>
      <c r="C455" t="s">
        <v>629</v>
      </c>
      <c r="D455" t="s">
        <v>1376</v>
      </c>
      <c r="E455" t="s">
        <v>1377</v>
      </c>
      <c r="F455" t="s">
        <v>1378</v>
      </c>
      <c r="G455" t="s">
        <v>1379</v>
      </c>
      <c r="H455" t="s">
        <v>29</v>
      </c>
      <c r="I455">
        <v>1</v>
      </c>
      <c r="J455">
        <v>1</v>
      </c>
      <c r="K455">
        <v>52</v>
      </c>
      <c r="L455">
        <v>5037</v>
      </c>
      <c r="M455" t="s">
        <v>52</v>
      </c>
      <c r="N455" t="s">
        <v>340</v>
      </c>
      <c r="O455">
        <v>66296</v>
      </c>
      <c r="P455" t="s">
        <v>634</v>
      </c>
      <c r="Q455">
        <v>23738</v>
      </c>
      <c r="R455" t="s">
        <v>635</v>
      </c>
      <c r="S455">
        <v>115</v>
      </c>
      <c r="T455" t="b">
        <v>0</v>
      </c>
      <c r="U455">
        <v>3</v>
      </c>
      <c r="V455">
        <v>2</v>
      </c>
      <c r="W455" t="s">
        <v>35</v>
      </c>
      <c r="X455" t="s">
        <v>29</v>
      </c>
      <c r="Y455" t="s">
        <v>29</v>
      </c>
      <c r="Z455" t="s">
        <v>37</v>
      </c>
      <c r="AA455">
        <f>TwitterClean[[#This Row],[likes]]+TwitterClean[[#This Row],[replies]]+TwitterClean[[#This Row],[reposts]]+TwitterClean[[#This Row],[quotes]]+TwitterClean[[#This Row],[bookmarks]]</f>
        <v>59</v>
      </c>
      <c r="AB455" s="1">
        <f>TwitterClean[[#This Row],[Total_Engagements]]/TwitterClean[[#This Row],[views]]</f>
        <v>1.171332142148104E-2</v>
      </c>
      <c r="AC455" s="3">
        <f>DATEVALUE(MID(TwitterClean[[#This Row],[date_posted]],2,10))</f>
        <v>45641</v>
      </c>
      <c r="AD455">
        <f>TIMEVALUE(MID(TwitterClean[[#This Row],[date_posted]],13,8))</f>
        <v>0.65409722222222222</v>
      </c>
      <c r="AE455" s="3" t="str">
        <f>TEXT(TwitterClean[[#This Row],[Post_Date]],"dddd")</f>
        <v>Sunday</v>
      </c>
      <c r="AF455">
        <f>HOUR(TwitterClean[[#This Row],[Post_Time]])</f>
        <v>15</v>
      </c>
      <c r="AG455" t="str">
        <f>IF(TwitterClean[[#This Row],[videos]]="Null","No","Yes")</f>
        <v>No</v>
      </c>
      <c r="AH455" t="str">
        <f>IF(TwitterClean[[#This Row],[photos]]="null","No","Yes")</f>
        <v>Yes</v>
      </c>
      <c r="AI455" t="str">
        <f>IF(TwitterClean[[#This Row],[hashtags]]="null","No","Yes")</f>
        <v>Yes</v>
      </c>
      <c r="AJ455" t="str">
        <f>IF(TwitterClean[[#This Row],[external_url]]="null","Yes","No")</f>
        <v>No</v>
      </c>
      <c r="AK455">
        <f>LEN(TwitterClean[[#This Row],[description]])</f>
        <v>58</v>
      </c>
      <c r="AL455" t="str">
        <f>IF(TwitterClean[[#This Row],[followers]]&lt;100000,"&lt;100K",IF(TwitterClean[[#This Row],[followers]]&lt;1000000,"100K-1M",IF(TwitterClean[[#This Row],[followers]]&lt;10000000,"1M-10M","10M+")))</f>
        <v>&lt;100K</v>
      </c>
    </row>
    <row r="456" spans="1:38">
      <c r="A456">
        <v>1.868321722774004E+18</v>
      </c>
      <c r="B456" t="s">
        <v>4076</v>
      </c>
      <c r="C456" t="s">
        <v>4077</v>
      </c>
      <c r="D456" t="s">
        <v>4078</v>
      </c>
      <c r="E456" t="s">
        <v>4079</v>
      </c>
      <c r="F456" t="s">
        <v>4080</v>
      </c>
      <c r="G456" t="s">
        <v>4081</v>
      </c>
      <c r="H456" t="s">
        <v>4082</v>
      </c>
      <c r="I456">
        <v>5</v>
      </c>
      <c r="J456">
        <v>15</v>
      </c>
      <c r="K456">
        <v>114</v>
      </c>
      <c r="L456">
        <v>12958</v>
      </c>
      <c r="M456" t="s">
        <v>52</v>
      </c>
      <c r="N456" t="s">
        <v>29</v>
      </c>
      <c r="O456">
        <v>132993</v>
      </c>
      <c r="P456" t="s">
        <v>4083</v>
      </c>
      <c r="Q456">
        <v>28316</v>
      </c>
      <c r="R456" t="s">
        <v>4084</v>
      </c>
      <c r="S456">
        <v>2746</v>
      </c>
      <c r="T456" t="b">
        <v>0</v>
      </c>
      <c r="U456">
        <v>5</v>
      </c>
      <c r="V456">
        <v>11</v>
      </c>
      <c r="W456" t="s">
        <v>35</v>
      </c>
      <c r="X456" t="s">
        <v>29</v>
      </c>
      <c r="Y456" t="s">
        <v>29</v>
      </c>
      <c r="Z456" t="s">
        <v>37</v>
      </c>
      <c r="AA456">
        <f>TwitterClean[[#This Row],[likes]]+TwitterClean[[#This Row],[replies]]+TwitterClean[[#This Row],[reposts]]+TwitterClean[[#This Row],[quotes]]+TwitterClean[[#This Row],[bookmarks]]</f>
        <v>150</v>
      </c>
      <c r="AB456" s="1">
        <f>TwitterClean[[#This Row],[Total_Engagements]]/TwitterClean[[#This Row],[views]]</f>
        <v>1.1575860472295108E-2</v>
      </c>
      <c r="AC456" s="3">
        <f>DATEVALUE(MID(TwitterClean[[#This Row],[date_posted]],2,10))</f>
        <v>45641</v>
      </c>
      <c r="AD456">
        <f>TIMEVALUE(MID(TwitterClean[[#This Row],[date_posted]],13,8))</f>
        <v>0.6572337962962963</v>
      </c>
      <c r="AE456" s="3" t="str">
        <f>TEXT(TwitterClean[[#This Row],[Post_Date]],"dddd")</f>
        <v>Sunday</v>
      </c>
      <c r="AF456">
        <f>HOUR(TwitterClean[[#This Row],[Post_Time]])</f>
        <v>15</v>
      </c>
      <c r="AG456" t="str">
        <f>IF(TwitterClean[[#This Row],[videos]]="Null","No","Yes")</f>
        <v>No</v>
      </c>
      <c r="AH456" t="str">
        <f>IF(TwitterClean[[#This Row],[photos]]="null","No","Yes")</f>
        <v>Yes</v>
      </c>
      <c r="AI456" t="str">
        <f>IF(TwitterClean[[#This Row],[hashtags]]="null","No","Yes")</f>
        <v>No</v>
      </c>
      <c r="AJ456" t="str">
        <f>IF(TwitterClean[[#This Row],[external_url]]="null","Yes","No")</f>
        <v>No</v>
      </c>
      <c r="AK456">
        <f>LEN(TwitterClean[[#This Row],[description]])</f>
        <v>216</v>
      </c>
      <c r="AL456" t="str">
        <f>IF(TwitterClean[[#This Row],[followers]]&lt;100000,"&lt;100K",IF(TwitterClean[[#This Row],[followers]]&lt;1000000,"100K-1M",IF(TwitterClean[[#This Row],[followers]]&lt;10000000,"1M-10M","10M+")))</f>
        <v>100K-1M</v>
      </c>
    </row>
    <row r="457" spans="1:38">
      <c r="A457">
        <v>1.8683330817673382E+18</v>
      </c>
      <c r="B457" t="s">
        <v>1280</v>
      </c>
      <c r="C457" t="s">
        <v>1281</v>
      </c>
      <c r="D457" t="s">
        <v>1299</v>
      </c>
      <c r="E457" t="s">
        <v>1300</v>
      </c>
      <c r="F457" t="s">
        <v>29</v>
      </c>
      <c r="G457" t="s">
        <v>1301</v>
      </c>
      <c r="H457" t="s">
        <v>29</v>
      </c>
      <c r="I457">
        <v>142</v>
      </c>
      <c r="J457">
        <v>269</v>
      </c>
      <c r="K457">
        <v>1755</v>
      </c>
      <c r="L457">
        <v>190541</v>
      </c>
      <c r="M457" t="s">
        <v>1302</v>
      </c>
      <c r="N457" t="s">
        <v>1286</v>
      </c>
      <c r="O457">
        <v>38439077</v>
      </c>
      <c r="P457" t="s">
        <v>1287</v>
      </c>
      <c r="Q457">
        <v>92455</v>
      </c>
      <c r="R457" t="s">
        <v>1288</v>
      </c>
      <c r="S457">
        <v>145</v>
      </c>
      <c r="T457" t="b">
        <v>0</v>
      </c>
      <c r="U457">
        <v>24</v>
      </c>
      <c r="V457">
        <v>10</v>
      </c>
      <c r="W457" t="s">
        <v>35</v>
      </c>
      <c r="X457" t="s">
        <v>29</v>
      </c>
      <c r="Y457" t="s">
        <v>29</v>
      </c>
      <c r="Z457" t="s">
        <v>37</v>
      </c>
      <c r="AA457">
        <f>TwitterClean[[#This Row],[likes]]+TwitterClean[[#This Row],[replies]]+TwitterClean[[#This Row],[reposts]]+TwitterClean[[#This Row],[quotes]]+TwitterClean[[#This Row],[bookmarks]]</f>
        <v>2200</v>
      </c>
      <c r="AB457" s="1">
        <f>TwitterClean[[#This Row],[Total_Engagements]]/TwitterClean[[#This Row],[views]]</f>
        <v>1.1546071449189413E-2</v>
      </c>
      <c r="AC457" s="3">
        <f>DATEVALUE(MID(TwitterClean[[#This Row],[date_posted]],2,10))</f>
        <v>45641</v>
      </c>
      <c r="AD457">
        <f>TIMEVALUE(MID(TwitterClean[[#This Row],[date_posted]],13,8))</f>
        <v>0.68857638888888884</v>
      </c>
      <c r="AE457" s="3" t="str">
        <f>TEXT(TwitterClean[[#This Row],[Post_Date]],"dddd")</f>
        <v>Sunday</v>
      </c>
      <c r="AF457">
        <f>HOUR(TwitterClean[[#This Row],[Post_Time]])</f>
        <v>16</v>
      </c>
      <c r="AG457" t="str">
        <f>IF(TwitterClean[[#This Row],[videos]]="Null","No","Yes")</f>
        <v>No</v>
      </c>
      <c r="AH457" t="str">
        <f>IF(TwitterClean[[#This Row],[photos]]="null","No","Yes")</f>
        <v>No</v>
      </c>
      <c r="AI457" t="str">
        <f>IF(TwitterClean[[#This Row],[hashtags]]="null","No","Yes")</f>
        <v>Yes</v>
      </c>
      <c r="AJ457" t="str">
        <f>IF(TwitterClean[[#This Row],[external_url]]="null","Yes","No")</f>
        <v>No</v>
      </c>
      <c r="AK457">
        <f>LEN(TwitterClean[[#This Row],[description]])</f>
        <v>34</v>
      </c>
      <c r="AL457" t="str">
        <f>IF(TwitterClean[[#This Row],[followers]]&lt;100000,"&lt;100K",IF(TwitterClean[[#This Row],[followers]]&lt;1000000,"100K-1M",IF(TwitterClean[[#This Row],[followers]]&lt;10000000,"1M-10M","10M+")))</f>
        <v>10M+</v>
      </c>
    </row>
    <row r="458" spans="1:38">
      <c r="A458">
        <v>1.7509318623344151E+18</v>
      </c>
      <c r="B458" t="s">
        <v>4114</v>
      </c>
      <c r="C458" t="s">
        <v>4115</v>
      </c>
      <c r="D458" t="s">
        <v>4116</v>
      </c>
      <c r="E458" t="s">
        <v>4117</v>
      </c>
      <c r="F458" t="s">
        <v>29</v>
      </c>
      <c r="G458" t="s">
        <v>4118</v>
      </c>
      <c r="H458" t="s">
        <v>29</v>
      </c>
      <c r="I458">
        <v>116</v>
      </c>
      <c r="J458">
        <v>720</v>
      </c>
      <c r="K458">
        <v>2581</v>
      </c>
      <c r="L458">
        <v>330931</v>
      </c>
      <c r="M458" t="s">
        <v>4119</v>
      </c>
      <c r="N458" t="s">
        <v>4120</v>
      </c>
      <c r="O458">
        <v>234550</v>
      </c>
      <c r="P458" t="s">
        <v>4121</v>
      </c>
      <c r="Q458">
        <v>102643</v>
      </c>
      <c r="R458" t="s">
        <v>4122</v>
      </c>
      <c r="S458">
        <v>5173</v>
      </c>
      <c r="T458" t="b">
        <v>0</v>
      </c>
      <c r="U458">
        <v>55</v>
      </c>
      <c r="V458">
        <v>335</v>
      </c>
      <c r="W458" t="s">
        <v>35</v>
      </c>
      <c r="X458" t="s">
        <v>29</v>
      </c>
      <c r="Y458" t="s">
        <v>4123</v>
      </c>
      <c r="Z458" t="s">
        <v>37</v>
      </c>
      <c r="AA458">
        <f>TwitterClean[[#This Row],[likes]]+TwitterClean[[#This Row],[replies]]+TwitterClean[[#This Row],[reposts]]+TwitterClean[[#This Row],[quotes]]+TwitterClean[[#This Row],[bookmarks]]</f>
        <v>3807</v>
      </c>
      <c r="AB458" s="1">
        <f>TwitterClean[[#This Row],[Total_Engagements]]/TwitterClean[[#This Row],[views]]</f>
        <v>1.1503908669783127E-2</v>
      </c>
      <c r="AC458" s="3">
        <f>DATEVALUE(MID(TwitterClean[[#This Row],[date_posted]],2,10))</f>
        <v>45317</v>
      </c>
      <c r="AD458">
        <f>TIMEVALUE(MID(TwitterClean[[#This Row],[date_posted]],13,8))</f>
        <v>0.72292824074074069</v>
      </c>
      <c r="AE458" s="3" t="str">
        <f>TEXT(TwitterClean[[#This Row],[Post_Date]],"dddd")</f>
        <v>Friday</v>
      </c>
      <c r="AF458">
        <f>HOUR(TwitterClean[[#This Row],[Post_Time]])</f>
        <v>17</v>
      </c>
      <c r="AG458" t="str">
        <f>IF(TwitterClean[[#This Row],[videos]]="Null","No","Yes")</f>
        <v>Yes</v>
      </c>
      <c r="AH458" t="str">
        <f>IF(TwitterClean[[#This Row],[photos]]="null","No","Yes")</f>
        <v>No</v>
      </c>
      <c r="AI458" t="str">
        <f>IF(TwitterClean[[#This Row],[hashtags]]="null","No","Yes")</f>
        <v>Yes</v>
      </c>
      <c r="AJ458" t="str">
        <f>IF(TwitterClean[[#This Row],[external_url]]="null","Yes","No")</f>
        <v>No</v>
      </c>
      <c r="AK458">
        <f>LEN(TwitterClean[[#This Row],[description]])</f>
        <v>24</v>
      </c>
      <c r="AL458" t="str">
        <f>IF(TwitterClean[[#This Row],[followers]]&lt;100000,"&lt;100K",IF(TwitterClean[[#This Row],[followers]]&lt;1000000,"100K-1M",IF(TwitterClean[[#This Row],[followers]]&lt;10000000,"1M-10M","10M+")))</f>
        <v>100K-1M</v>
      </c>
    </row>
    <row r="459" spans="1:38">
      <c r="A459">
        <v>1.8683553436269407E+18</v>
      </c>
      <c r="B459" t="s">
        <v>3024</v>
      </c>
      <c r="C459" t="s">
        <v>3025</v>
      </c>
      <c r="D459" t="s">
        <v>3233</v>
      </c>
      <c r="E459" t="s">
        <v>3234</v>
      </c>
      <c r="F459" t="s">
        <v>29</v>
      </c>
      <c r="G459" t="s">
        <v>3235</v>
      </c>
      <c r="H459" t="s">
        <v>3236</v>
      </c>
      <c r="I459">
        <v>5</v>
      </c>
      <c r="J459">
        <v>7</v>
      </c>
      <c r="K459">
        <v>83</v>
      </c>
      <c r="L459">
        <v>8455</v>
      </c>
      <c r="M459" t="s">
        <v>52</v>
      </c>
      <c r="N459" t="s">
        <v>3030</v>
      </c>
      <c r="O459">
        <v>1076237</v>
      </c>
      <c r="P459" t="s">
        <v>3031</v>
      </c>
      <c r="Q459">
        <v>55798</v>
      </c>
      <c r="R459" t="s">
        <v>3032</v>
      </c>
      <c r="S459">
        <v>1771</v>
      </c>
      <c r="T459" t="b">
        <v>0</v>
      </c>
      <c r="U459">
        <v>0</v>
      </c>
      <c r="V459">
        <v>2</v>
      </c>
      <c r="W459" t="s">
        <v>35</v>
      </c>
      <c r="X459" t="s">
        <v>29</v>
      </c>
      <c r="Y459" t="s">
        <v>3237</v>
      </c>
      <c r="Z459" t="s">
        <v>37</v>
      </c>
      <c r="AA459">
        <f>TwitterClean[[#This Row],[likes]]+TwitterClean[[#This Row],[replies]]+TwitterClean[[#This Row],[reposts]]+TwitterClean[[#This Row],[quotes]]+TwitterClean[[#This Row],[bookmarks]]</f>
        <v>97</v>
      </c>
      <c r="AB459" s="1">
        <f>TwitterClean[[#This Row],[Total_Engagements]]/TwitterClean[[#This Row],[views]]</f>
        <v>1.1472501478415139E-2</v>
      </c>
      <c r="AC459" s="3">
        <f>DATEVALUE(MID(TwitterClean[[#This Row],[date_posted]],2,10))</f>
        <v>45641</v>
      </c>
      <c r="AD459">
        <f>TIMEVALUE(MID(TwitterClean[[#This Row],[date_posted]],13,8))</f>
        <v>0.75</v>
      </c>
      <c r="AE459" s="3" t="str">
        <f>TEXT(TwitterClean[[#This Row],[Post_Date]],"dddd")</f>
        <v>Sunday</v>
      </c>
      <c r="AF459">
        <f>HOUR(TwitterClean[[#This Row],[Post_Time]])</f>
        <v>18</v>
      </c>
      <c r="AG459" t="str">
        <f>IF(TwitterClean[[#This Row],[videos]]="Null","No","Yes")</f>
        <v>Yes</v>
      </c>
      <c r="AH459" t="str">
        <f>IF(TwitterClean[[#This Row],[photos]]="null","No","Yes")</f>
        <v>No</v>
      </c>
      <c r="AI459" t="str">
        <f>IF(TwitterClean[[#This Row],[hashtags]]="null","No","Yes")</f>
        <v>Yes</v>
      </c>
      <c r="AJ459" t="str">
        <f>IF(TwitterClean[[#This Row],[external_url]]="null","Yes","No")</f>
        <v>No</v>
      </c>
      <c r="AK459">
        <f>LEN(TwitterClean[[#This Row],[description]])</f>
        <v>55</v>
      </c>
      <c r="AL459" t="str">
        <f>IF(TwitterClean[[#This Row],[followers]]&lt;100000,"&lt;100K",IF(TwitterClean[[#This Row],[followers]]&lt;1000000,"100K-1M",IF(TwitterClean[[#This Row],[followers]]&lt;10000000,"1M-10M","10M+")))</f>
        <v>1M-10M</v>
      </c>
    </row>
    <row r="460" spans="1:38">
      <c r="A460">
        <v>1.8680987122764964E+18</v>
      </c>
      <c r="B460" t="s">
        <v>3083</v>
      </c>
      <c r="C460" t="s">
        <v>3083</v>
      </c>
      <c r="D460" t="s">
        <v>5263</v>
      </c>
      <c r="E460" t="s">
        <v>5264</v>
      </c>
      <c r="F460" t="s">
        <v>29</v>
      </c>
      <c r="G460" t="s">
        <v>5265</v>
      </c>
      <c r="H460" t="s">
        <v>5266</v>
      </c>
      <c r="I460">
        <v>122</v>
      </c>
      <c r="J460">
        <v>393</v>
      </c>
      <c r="K460">
        <v>2579</v>
      </c>
      <c r="L460">
        <v>279472</v>
      </c>
      <c r="M460" t="s">
        <v>52</v>
      </c>
      <c r="N460" t="s">
        <v>3087</v>
      </c>
      <c r="O460">
        <v>14375935</v>
      </c>
      <c r="P460" t="s">
        <v>3088</v>
      </c>
      <c r="Q460">
        <v>346973</v>
      </c>
      <c r="R460" t="s">
        <v>3089</v>
      </c>
      <c r="S460">
        <v>392</v>
      </c>
      <c r="T460" t="b">
        <v>0</v>
      </c>
      <c r="U460">
        <v>32</v>
      </c>
      <c r="V460">
        <v>39</v>
      </c>
      <c r="W460" t="s">
        <v>35</v>
      </c>
      <c r="X460" t="s">
        <v>29</v>
      </c>
      <c r="Y460" t="s">
        <v>29</v>
      </c>
      <c r="Z460" t="s">
        <v>37</v>
      </c>
      <c r="AA460">
        <f>TwitterClean[[#This Row],[likes]]+TwitterClean[[#This Row],[replies]]+TwitterClean[[#This Row],[reposts]]+TwitterClean[[#This Row],[quotes]]+TwitterClean[[#This Row],[bookmarks]]</f>
        <v>3165</v>
      </c>
      <c r="AB460" s="1">
        <f>TwitterClean[[#This Row],[Total_Engagements]]/TwitterClean[[#This Row],[views]]</f>
        <v>1.1324927005209824E-2</v>
      </c>
      <c r="AC460" s="3">
        <f>DATEVALUE(MID(TwitterClean[[#This Row],[date_posted]],2,10))</f>
        <v>45641</v>
      </c>
      <c r="AD460">
        <f>TIMEVALUE(MID(TwitterClean[[#This Row],[date_posted]],13,8))</f>
        <v>4.1840277777777775E-2</v>
      </c>
      <c r="AE460" s="3" t="str">
        <f>TEXT(TwitterClean[[#This Row],[Post_Date]],"dddd")</f>
        <v>Sunday</v>
      </c>
      <c r="AF460">
        <f>HOUR(TwitterClean[[#This Row],[Post_Time]])</f>
        <v>1</v>
      </c>
      <c r="AG460" t="str">
        <f>IF(TwitterClean[[#This Row],[videos]]="Null","No","Yes")</f>
        <v>No</v>
      </c>
      <c r="AH460" t="str">
        <f>IF(TwitterClean[[#This Row],[photos]]="null","No","Yes")</f>
        <v>No</v>
      </c>
      <c r="AI460" t="str">
        <f>IF(TwitterClean[[#This Row],[hashtags]]="null","No","Yes")</f>
        <v>Yes</v>
      </c>
      <c r="AJ460" t="str">
        <f>IF(TwitterClean[[#This Row],[external_url]]="null","Yes","No")</f>
        <v>No</v>
      </c>
      <c r="AK460">
        <f>LEN(TwitterClean[[#This Row],[description]])</f>
        <v>62</v>
      </c>
      <c r="AL460" t="str">
        <f>IF(TwitterClean[[#This Row],[followers]]&lt;100000,"&lt;100K",IF(TwitterClean[[#This Row],[followers]]&lt;1000000,"100K-1M",IF(TwitterClean[[#This Row],[followers]]&lt;10000000,"1M-10M","10M+")))</f>
        <v>10M+</v>
      </c>
    </row>
    <row r="461" spans="1:38">
      <c r="A461">
        <v>1.8683442270019873E+18</v>
      </c>
      <c r="B461" t="s">
        <v>875</v>
      </c>
      <c r="C461" t="s">
        <v>876</v>
      </c>
      <c r="D461" t="s">
        <v>1149</v>
      </c>
      <c r="E461" t="s">
        <v>1150</v>
      </c>
      <c r="F461" t="s">
        <v>1151</v>
      </c>
      <c r="G461" t="s">
        <v>1152</v>
      </c>
      <c r="H461" t="s">
        <v>29</v>
      </c>
      <c r="I461">
        <v>2</v>
      </c>
      <c r="J461">
        <v>4</v>
      </c>
      <c r="K461">
        <v>47</v>
      </c>
      <c r="L461">
        <v>4951</v>
      </c>
      <c r="M461" t="s">
        <v>52</v>
      </c>
      <c r="N461" t="s">
        <v>1153</v>
      </c>
      <c r="O461">
        <v>95473</v>
      </c>
      <c r="P461" t="s">
        <v>882</v>
      </c>
      <c r="Q461">
        <v>46289</v>
      </c>
      <c r="R461" t="s">
        <v>883</v>
      </c>
      <c r="S461">
        <v>1327</v>
      </c>
      <c r="T461" t="b">
        <v>0</v>
      </c>
      <c r="U461">
        <v>1</v>
      </c>
      <c r="V461">
        <v>2</v>
      </c>
      <c r="W461" t="s">
        <v>35</v>
      </c>
      <c r="X461" t="s">
        <v>29</v>
      </c>
      <c r="Y461" t="s">
        <v>29</v>
      </c>
      <c r="Z461" t="s">
        <v>37</v>
      </c>
      <c r="AA461">
        <f>TwitterClean[[#This Row],[likes]]+TwitterClean[[#This Row],[replies]]+TwitterClean[[#This Row],[reposts]]+TwitterClean[[#This Row],[quotes]]+TwitterClean[[#This Row],[bookmarks]]</f>
        <v>56</v>
      </c>
      <c r="AB461" s="1">
        <f>TwitterClean[[#This Row],[Total_Engagements]]/TwitterClean[[#This Row],[views]]</f>
        <v>1.1310846293678045E-2</v>
      </c>
      <c r="AC461" s="3">
        <f>DATEVALUE(MID(TwitterClean[[#This Row],[date_posted]],2,10))</f>
        <v>45641</v>
      </c>
      <c r="AD461">
        <f>TIMEVALUE(MID(TwitterClean[[#This Row],[date_posted]],13,8))</f>
        <v>0.71932870370370372</v>
      </c>
      <c r="AE461" s="3" t="str">
        <f>TEXT(TwitterClean[[#This Row],[Post_Date]],"dddd")</f>
        <v>Sunday</v>
      </c>
      <c r="AF461">
        <f>HOUR(TwitterClean[[#This Row],[Post_Time]])</f>
        <v>17</v>
      </c>
      <c r="AG461" t="str">
        <f>IF(TwitterClean[[#This Row],[videos]]="Null","No","Yes")</f>
        <v>No</v>
      </c>
      <c r="AH461" t="str">
        <f>IF(TwitterClean[[#This Row],[photos]]="null","No","Yes")</f>
        <v>Yes</v>
      </c>
      <c r="AI461" t="str">
        <f>IF(TwitterClean[[#This Row],[hashtags]]="null","No","Yes")</f>
        <v>Yes</v>
      </c>
      <c r="AJ461" t="str">
        <f>IF(TwitterClean[[#This Row],[external_url]]="null","Yes","No")</f>
        <v>No</v>
      </c>
      <c r="AK461">
        <f>LEN(TwitterClean[[#This Row],[description]])</f>
        <v>85</v>
      </c>
      <c r="AL461" t="str">
        <f>IF(TwitterClean[[#This Row],[followers]]&lt;100000,"&lt;100K",IF(TwitterClean[[#This Row],[followers]]&lt;1000000,"100K-1M",IF(TwitterClean[[#This Row],[followers]]&lt;10000000,"1M-10M","10M+")))</f>
        <v>&lt;100K</v>
      </c>
    </row>
    <row r="462" spans="1:38">
      <c r="A462">
        <v>1.8660047213385485E+18</v>
      </c>
      <c r="B462" t="s">
        <v>266</v>
      </c>
      <c r="C462" t="s">
        <v>266</v>
      </c>
      <c r="D462" t="s">
        <v>3368</v>
      </c>
      <c r="E462" t="s">
        <v>3369</v>
      </c>
      <c r="F462" t="s">
        <v>3370</v>
      </c>
      <c r="G462" t="s">
        <v>3371</v>
      </c>
      <c r="H462" t="s">
        <v>29</v>
      </c>
      <c r="I462">
        <v>83</v>
      </c>
      <c r="J462">
        <v>301</v>
      </c>
      <c r="K462">
        <v>2002</v>
      </c>
      <c r="L462">
        <v>218069</v>
      </c>
      <c r="M462" t="s">
        <v>3372</v>
      </c>
      <c r="N462" t="s">
        <v>29</v>
      </c>
      <c r="O462">
        <v>47705598</v>
      </c>
      <c r="P462" t="s">
        <v>272</v>
      </c>
      <c r="Q462">
        <v>367157</v>
      </c>
      <c r="R462" t="s">
        <v>273</v>
      </c>
      <c r="S462">
        <v>2012</v>
      </c>
      <c r="T462" t="b">
        <v>0</v>
      </c>
      <c r="U462">
        <v>47</v>
      </c>
      <c r="V462">
        <v>31</v>
      </c>
      <c r="W462" t="s">
        <v>35</v>
      </c>
      <c r="X462" t="s">
        <v>29</v>
      </c>
      <c r="Y462" t="s">
        <v>29</v>
      </c>
      <c r="Z462" t="s">
        <v>37</v>
      </c>
      <c r="AA462">
        <f>TwitterClean[[#This Row],[likes]]+TwitterClean[[#This Row],[replies]]+TwitterClean[[#This Row],[reposts]]+TwitterClean[[#This Row],[quotes]]+TwitterClean[[#This Row],[bookmarks]]</f>
        <v>2464</v>
      </c>
      <c r="AB462" s="1">
        <f>TwitterClean[[#This Row],[Total_Engagements]]/TwitterClean[[#This Row],[views]]</f>
        <v>1.1299175948896909E-2</v>
      </c>
      <c r="AC462" s="3">
        <f>DATEVALUE(MID(TwitterClean[[#This Row],[date_posted]],2,10))</f>
        <v>45635</v>
      </c>
      <c r="AD462">
        <f>TIMEVALUE(MID(TwitterClean[[#This Row],[date_posted]],13,8))</f>
        <v>0.26351851851851854</v>
      </c>
      <c r="AE462" s="3" t="str">
        <f>TEXT(TwitterClean[[#This Row],[Post_Date]],"dddd")</f>
        <v>Monday</v>
      </c>
      <c r="AF462">
        <f>HOUR(TwitterClean[[#This Row],[Post_Time]])</f>
        <v>6</v>
      </c>
      <c r="AG462" t="str">
        <f>IF(TwitterClean[[#This Row],[videos]]="Null","No","Yes")</f>
        <v>No</v>
      </c>
      <c r="AH462" t="str">
        <f>IF(TwitterClean[[#This Row],[photos]]="null","No","Yes")</f>
        <v>Yes</v>
      </c>
      <c r="AI462" t="str">
        <f>IF(TwitterClean[[#This Row],[hashtags]]="null","No","Yes")</f>
        <v>No</v>
      </c>
      <c r="AJ462" t="str">
        <f>IF(TwitterClean[[#This Row],[external_url]]="null","Yes","No")</f>
        <v>No</v>
      </c>
      <c r="AK462">
        <f>LEN(TwitterClean[[#This Row],[description]])</f>
        <v>144</v>
      </c>
      <c r="AL462" t="str">
        <f>IF(TwitterClean[[#This Row],[followers]]&lt;100000,"&lt;100K",IF(TwitterClean[[#This Row],[followers]]&lt;1000000,"100K-1M",IF(TwitterClean[[#This Row],[followers]]&lt;10000000,"1M-10M","10M+")))</f>
        <v>10M+</v>
      </c>
    </row>
    <row r="463" spans="1:38">
      <c r="A463">
        <v>1.8683319339205309E+18</v>
      </c>
      <c r="B463" t="s">
        <v>333</v>
      </c>
      <c r="C463" t="s">
        <v>334</v>
      </c>
      <c r="D463" t="s">
        <v>904</v>
      </c>
      <c r="E463" t="s">
        <v>905</v>
      </c>
      <c r="F463" t="s">
        <v>906</v>
      </c>
      <c r="G463" t="s">
        <v>907</v>
      </c>
      <c r="H463" t="s">
        <v>908</v>
      </c>
      <c r="I463">
        <v>3</v>
      </c>
      <c r="J463">
        <v>12</v>
      </c>
      <c r="K463">
        <v>70</v>
      </c>
      <c r="L463">
        <v>7927</v>
      </c>
      <c r="M463" t="s">
        <v>52</v>
      </c>
      <c r="N463" t="s">
        <v>340</v>
      </c>
      <c r="O463">
        <v>337840</v>
      </c>
      <c r="P463" t="s">
        <v>341</v>
      </c>
      <c r="Q463">
        <v>57638</v>
      </c>
      <c r="R463" t="s">
        <v>342</v>
      </c>
      <c r="S463">
        <v>587</v>
      </c>
      <c r="T463" t="b">
        <v>0</v>
      </c>
      <c r="U463">
        <v>2</v>
      </c>
      <c r="V463">
        <v>2</v>
      </c>
      <c r="W463" t="s">
        <v>909</v>
      </c>
      <c r="X463" t="s">
        <v>29</v>
      </c>
      <c r="Y463" t="s">
        <v>29</v>
      </c>
      <c r="Z463" t="s">
        <v>37</v>
      </c>
      <c r="AA463">
        <f>TwitterClean[[#This Row],[likes]]+TwitterClean[[#This Row],[replies]]+TwitterClean[[#This Row],[reposts]]+TwitterClean[[#This Row],[quotes]]+TwitterClean[[#This Row],[bookmarks]]</f>
        <v>89</v>
      </c>
      <c r="AB463" s="1">
        <f>TwitterClean[[#This Row],[Total_Engagements]]/TwitterClean[[#This Row],[views]]</f>
        <v>1.1227450485681847E-2</v>
      </c>
      <c r="AC463" s="3">
        <f>DATEVALUE(MID(TwitterClean[[#This Row],[date_posted]],2,10))</f>
        <v>45641</v>
      </c>
      <c r="AD463">
        <f>TIMEVALUE(MID(TwitterClean[[#This Row],[date_posted]],13,8))</f>
        <v>0.68540509259259264</v>
      </c>
      <c r="AE463" s="3" t="str">
        <f>TEXT(TwitterClean[[#This Row],[Post_Date]],"dddd")</f>
        <v>Sunday</v>
      </c>
      <c r="AF463">
        <f>HOUR(TwitterClean[[#This Row],[Post_Time]])</f>
        <v>16</v>
      </c>
      <c r="AG463" t="str">
        <f>IF(TwitterClean[[#This Row],[videos]]="Null","No","Yes")</f>
        <v>No</v>
      </c>
      <c r="AH463" t="str">
        <f>IF(TwitterClean[[#This Row],[photos]]="null","No","Yes")</f>
        <v>Yes</v>
      </c>
      <c r="AI463" t="str">
        <f>IF(TwitterClean[[#This Row],[hashtags]]="null","No","Yes")</f>
        <v>Yes</v>
      </c>
      <c r="AJ463" t="str">
        <f>IF(TwitterClean[[#This Row],[external_url]]="null","Yes","No")</f>
        <v>No</v>
      </c>
      <c r="AK463">
        <f>LEN(TwitterClean[[#This Row],[description]])</f>
        <v>62</v>
      </c>
      <c r="AL463" t="str">
        <f>IF(TwitterClean[[#This Row],[followers]]&lt;100000,"&lt;100K",IF(TwitterClean[[#This Row],[followers]]&lt;1000000,"100K-1M",IF(TwitterClean[[#This Row],[followers]]&lt;10000000,"1M-10M","10M+")))</f>
        <v>100K-1M</v>
      </c>
    </row>
    <row r="464" spans="1:38">
      <c r="A464">
        <v>1.8680915033875052E+18</v>
      </c>
      <c r="B464" t="s">
        <v>2230</v>
      </c>
      <c r="C464" t="s">
        <v>2231</v>
      </c>
      <c r="D464" t="s">
        <v>2687</v>
      </c>
      <c r="E464" t="s">
        <v>2688</v>
      </c>
      <c r="F464" t="s">
        <v>2689</v>
      </c>
      <c r="G464" t="s">
        <v>2690</v>
      </c>
      <c r="H464" t="s">
        <v>29</v>
      </c>
      <c r="I464">
        <v>3058</v>
      </c>
      <c r="J464">
        <v>449</v>
      </c>
      <c r="K464">
        <v>5092</v>
      </c>
      <c r="L464">
        <v>822990</v>
      </c>
      <c r="M464" t="s">
        <v>2691</v>
      </c>
      <c r="N464" t="s">
        <v>29</v>
      </c>
      <c r="O464">
        <v>3313897</v>
      </c>
      <c r="P464" t="s">
        <v>2237</v>
      </c>
      <c r="Q464">
        <v>706459</v>
      </c>
      <c r="R464" t="s">
        <v>2238</v>
      </c>
      <c r="S464">
        <v>10308</v>
      </c>
      <c r="T464" t="b">
        <v>0</v>
      </c>
      <c r="U464">
        <v>509</v>
      </c>
      <c r="V464">
        <v>127</v>
      </c>
      <c r="W464" t="s">
        <v>35</v>
      </c>
      <c r="X464" t="s">
        <v>29</v>
      </c>
      <c r="Y464" t="s">
        <v>29</v>
      </c>
      <c r="Z464" t="s">
        <v>37</v>
      </c>
      <c r="AA464">
        <f>TwitterClean[[#This Row],[likes]]+TwitterClean[[#This Row],[replies]]+TwitterClean[[#This Row],[reposts]]+TwitterClean[[#This Row],[quotes]]+TwitterClean[[#This Row],[bookmarks]]</f>
        <v>9235</v>
      </c>
      <c r="AB464" s="1">
        <f>TwitterClean[[#This Row],[Total_Engagements]]/TwitterClean[[#This Row],[views]]</f>
        <v>1.122127850885187E-2</v>
      </c>
      <c r="AC464" s="3">
        <f>DATEVALUE(MID(TwitterClean[[#This Row],[date_posted]],2,10))</f>
        <v>45641</v>
      </c>
      <c r="AD464">
        <f>TIMEVALUE(MID(TwitterClean[[#This Row],[date_posted]],13,8))</f>
        <v>2.1944444444444444E-2</v>
      </c>
      <c r="AE464" s="3" t="str">
        <f>TEXT(TwitterClean[[#This Row],[Post_Date]],"dddd")</f>
        <v>Sunday</v>
      </c>
      <c r="AF464">
        <f>HOUR(TwitterClean[[#This Row],[Post_Time]])</f>
        <v>0</v>
      </c>
      <c r="AG464" t="str">
        <f>IF(TwitterClean[[#This Row],[videos]]="Null","No","Yes")</f>
        <v>No</v>
      </c>
      <c r="AH464" t="str">
        <f>IF(TwitterClean[[#This Row],[photos]]="null","No","Yes")</f>
        <v>Yes</v>
      </c>
      <c r="AI464" t="str">
        <f>IF(TwitterClean[[#This Row],[hashtags]]="null","No","Yes")</f>
        <v>No</v>
      </c>
      <c r="AJ464" t="str">
        <f>IF(TwitterClean[[#This Row],[external_url]]="null","Yes","No")</f>
        <v>No</v>
      </c>
      <c r="AK464">
        <f>LEN(TwitterClean[[#This Row],[description]])</f>
        <v>86</v>
      </c>
      <c r="AL464" t="str">
        <f>IF(TwitterClean[[#This Row],[followers]]&lt;100000,"&lt;100K",IF(TwitterClean[[#This Row],[followers]]&lt;1000000,"100K-1M",IF(TwitterClean[[#This Row],[followers]]&lt;10000000,"1M-10M","10M+")))</f>
        <v>1M-10M</v>
      </c>
    </row>
    <row r="465" spans="1:38">
      <c r="A465">
        <v>1.8683018149253204E+18</v>
      </c>
      <c r="B465" t="s">
        <v>333</v>
      </c>
      <c r="C465" t="s">
        <v>334</v>
      </c>
      <c r="D465" t="s">
        <v>4474</v>
      </c>
      <c r="E465" t="s">
        <v>4475</v>
      </c>
      <c r="F465" t="s">
        <v>29</v>
      </c>
      <c r="G465" t="s">
        <v>4476</v>
      </c>
      <c r="H465" t="s">
        <v>4477</v>
      </c>
      <c r="I465">
        <v>4</v>
      </c>
      <c r="J465">
        <v>11</v>
      </c>
      <c r="K465">
        <v>99</v>
      </c>
      <c r="L465">
        <v>10345</v>
      </c>
      <c r="M465" t="s">
        <v>52</v>
      </c>
      <c r="N465" t="s">
        <v>340</v>
      </c>
      <c r="O465">
        <v>337839</v>
      </c>
      <c r="P465" t="s">
        <v>341</v>
      </c>
      <c r="Q465">
        <v>57638</v>
      </c>
      <c r="R465" t="s">
        <v>342</v>
      </c>
      <c r="S465">
        <v>587</v>
      </c>
      <c r="T465" t="b">
        <v>0</v>
      </c>
      <c r="U465">
        <v>0</v>
      </c>
      <c r="V465">
        <v>2</v>
      </c>
      <c r="W465" t="s">
        <v>35</v>
      </c>
      <c r="X465" t="s">
        <v>29</v>
      </c>
      <c r="Y465" t="s">
        <v>4478</v>
      </c>
      <c r="Z465" t="s">
        <v>37</v>
      </c>
      <c r="AA465">
        <f>TwitterClean[[#This Row],[likes]]+TwitterClean[[#This Row],[replies]]+TwitterClean[[#This Row],[reposts]]+TwitterClean[[#This Row],[quotes]]+TwitterClean[[#This Row],[bookmarks]]</f>
        <v>116</v>
      </c>
      <c r="AB465" s="1">
        <f>TwitterClean[[#This Row],[Total_Engagements]]/TwitterClean[[#This Row],[views]]</f>
        <v>1.1213146447559207E-2</v>
      </c>
      <c r="AC465" s="3">
        <f>DATEVALUE(MID(TwitterClean[[#This Row],[date_posted]],2,10))</f>
        <v>45641</v>
      </c>
      <c r="AD465">
        <f>TIMEVALUE(MID(TwitterClean[[#This Row],[date_posted]],13,8))</f>
        <v>0.60229166666666667</v>
      </c>
      <c r="AE465" s="3" t="str">
        <f>TEXT(TwitterClean[[#This Row],[Post_Date]],"dddd")</f>
        <v>Sunday</v>
      </c>
      <c r="AF465">
        <f>HOUR(TwitterClean[[#This Row],[Post_Time]])</f>
        <v>14</v>
      </c>
      <c r="AG465" t="str">
        <f>IF(TwitterClean[[#This Row],[videos]]="Null","No","Yes")</f>
        <v>Yes</v>
      </c>
      <c r="AH465" t="str">
        <f>IF(TwitterClean[[#This Row],[photos]]="null","No","Yes")</f>
        <v>No</v>
      </c>
      <c r="AI465" t="str">
        <f>IF(TwitterClean[[#This Row],[hashtags]]="null","No","Yes")</f>
        <v>Yes</v>
      </c>
      <c r="AJ465" t="str">
        <f>IF(TwitterClean[[#This Row],[external_url]]="null","Yes","No")</f>
        <v>No</v>
      </c>
      <c r="AK465">
        <f>LEN(TwitterClean[[#This Row],[description]])</f>
        <v>76</v>
      </c>
      <c r="AL465" t="str">
        <f>IF(TwitterClean[[#This Row],[followers]]&lt;100000,"&lt;100K",IF(TwitterClean[[#This Row],[followers]]&lt;1000000,"100K-1M",IF(TwitterClean[[#This Row],[followers]]&lt;10000000,"1M-10M","10M+")))</f>
        <v>100K-1M</v>
      </c>
    </row>
    <row r="466" spans="1:38">
      <c r="A466">
        <v>1.8682458698642964E+18</v>
      </c>
      <c r="B466" t="s">
        <v>228</v>
      </c>
      <c r="C466" t="s">
        <v>228</v>
      </c>
      <c r="D466" t="s">
        <v>694</v>
      </c>
      <c r="E466" t="s">
        <v>695</v>
      </c>
      <c r="F466" t="s">
        <v>696</v>
      </c>
      <c r="G466" t="s">
        <v>697</v>
      </c>
      <c r="H466" t="s">
        <v>29</v>
      </c>
      <c r="I466">
        <v>139</v>
      </c>
      <c r="J466">
        <v>6</v>
      </c>
      <c r="K466">
        <v>259</v>
      </c>
      <c r="L466">
        <v>37762</v>
      </c>
      <c r="M466" t="s">
        <v>698</v>
      </c>
      <c r="N466" t="s">
        <v>29</v>
      </c>
      <c r="O466">
        <v>1239617</v>
      </c>
      <c r="P466" t="s">
        <v>235</v>
      </c>
      <c r="Q466">
        <v>402839</v>
      </c>
      <c r="R466" t="s">
        <v>236</v>
      </c>
      <c r="S466">
        <v>1644</v>
      </c>
      <c r="T466" t="b">
        <v>0</v>
      </c>
      <c r="U466">
        <v>11</v>
      </c>
      <c r="V466">
        <v>8</v>
      </c>
      <c r="W466" t="s">
        <v>35</v>
      </c>
      <c r="X466" t="s">
        <v>29</v>
      </c>
      <c r="Y466" t="s">
        <v>29</v>
      </c>
      <c r="Z466" t="s">
        <v>37</v>
      </c>
      <c r="AA466">
        <f>TwitterClean[[#This Row],[likes]]+TwitterClean[[#This Row],[replies]]+TwitterClean[[#This Row],[reposts]]+TwitterClean[[#This Row],[quotes]]+TwitterClean[[#This Row],[bookmarks]]</f>
        <v>423</v>
      </c>
      <c r="AB466" s="1">
        <f>TwitterClean[[#This Row],[Total_Engagements]]/TwitterClean[[#This Row],[views]]</f>
        <v>1.1201737196123086E-2</v>
      </c>
      <c r="AC466" s="3">
        <f>DATEVALUE(MID(TwitterClean[[#This Row],[date_posted]],2,10))</f>
        <v>45641</v>
      </c>
      <c r="AD466">
        <f>TIMEVALUE(MID(TwitterClean[[#This Row],[date_posted]],13,8))</f>
        <v>0.44791666666666669</v>
      </c>
      <c r="AE466" s="3" t="str">
        <f>TEXT(TwitterClean[[#This Row],[Post_Date]],"dddd")</f>
        <v>Sunday</v>
      </c>
      <c r="AF466">
        <f>HOUR(TwitterClean[[#This Row],[Post_Time]])</f>
        <v>10</v>
      </c>
      <c r="AG466" t="str">
        <f>IF(TwitterClean[[#This Row],[videos]]="Null","No","Yes")</f>
        <v>No</v>
      </c>
      <c r="AH466" t="str">
        <f>IF(TwitterClean[[#This Row],[photos]]="null","No","Yes")</f>
        <v>Yes</v>
      </c>
      <c r="AI466" t="str">
        <f>IF(TwitterClean[[#This Row],[hashtags]]="null","No","Yes")</f>
        <v>No</v>
      </c>
      <c r="AJ466" t="str">
        <f>IF(TwitterClean[[#This Row],[external_url]]="null","Yes","No")</f>
        <v>No</v>
      </c>
      <c r="AK466">
        <f>LEN(TwitterClean[[#This Row],[description]])</f>
        <v>190</v>
      </c>
      <c r="AL466" t="str">
        <f>IF(TwitterClean[[#This Row],[followers]]&lt;100000,"&lt;100K",IF(TwitterClean[[#This Row],[followers]]&lt;1000000,"100K-1M",IF(TwitterClean[[#This Row],[followers]]&lt;10000000,"1M-10M","10M+")))</f>
        <v>1M-10M</v>
      </c>
    </row>
    <row r="467" spans="1:38">
      <c r="A467">
        <v>1.8061395310932585E+18</v>
      </c>
      <c r="B467" t="s">
        <v>2353</v>
      </c>
      <c r="C467" t="s">
        <v>2354</v>
      </c>
      <c r="D467" t="s">
        <v>2355</v>
      </c>
      <c r="E467" t="s">
        <v>2356</v>
      </c>
      <c r="F467" t="s">
        <v>29</v>
      </c>
      <c r="G467" t="s">
        <v>2357</v>
      </c>
      <c r="H467" t="s">
        <v>2358</v>
      </c>
      <c r="I467">
        <v>9</v>
      </c>
      <c r="J467">
        <v>3</v>
      </c>
      <c r="K467">
        <v>86</v>
      </c>
      <c r="L467">
        <v>9270</v>
      </c>
      <c r="M467" t="s">
        <v>2359</v>
      </c>
      <c r="N467" t="s">
        <v>2360</v>
      </c>
      <c r="O467">
        <v>1293</v>
      </c>
      <c r="P467" t="s">
        <v>2361</v>
      </c>
      <c r="Q467">
        <v>2739</v>
      </c>
      <c r="R467" t="s">
        <v>2362</v>
      </c>
      <c r="S467">
        <v>900</v>
      </c>
      <c r="T467" t="b">
        <v>0</v>
      </c>
      <c r="U467">
        <v>5</v>
      </c>
      <c r="V467">
        <v>0</v>
      </c>
      <c r="W467" t="s">
        <v>35</v>
      </c>
      <c r="X467" t="s">
        <v>2363</v>
      </c>
      <c r="Y467" t="s">
        <v>29</v>
      </c>
      <c r="Z467" t="s">
        <v>37</v>
      </c>
      <c r="AA467">
        <f>TwitterClean[[#This Row],[likes]]+TwitterClean[[#This Row],[replies]]+TwitterClean[[#This Row],[reposts]]+TwitterClean[[#This Row],[quotes]]+TwitterClean[[#This Row],[bookmarks]]</f>
        <v>103</v>
      </c>
      <c r="AB467" s="1">
        <f>TwitterClean[[#This Row],[Total_Engagements]]/TwitterClean[[#This Row],[views]]</f>
        <v>1.1111111111111112E-2</v>
      </c>
      <c r="AC467" s="3">
        <f>DATEVALUE(MID(TwitterClean[[#This Row],[date_posted]],2,10))</f>
        <v>45470</v>
      </c>
      <c r="AD467">
        <f>TIMEVALUE(MID(TwitterClean[[#This Row],[date_posted]],13,8))</f>
        <v>6.7071759259259262E-2</v>
      </c>
      <c r="AE467" s="3" t="str">
        <f>TEXT(TwitterClean[[#This Row],[Post_Date]],"dddd")</f>
        <v>Thursday</v>
      </c>
      <c r="AF467">
        <f>HOUR(TwitterClean[[#This Row],[Post_Time]])</f>
        <v>1</v>
      </c>
      <c r="AG467" t="str">
        <f>IF(TwitterClean[[#This Row],[videos]]="Null","No","Yes")</f>
        <v>No</v>
      </c>
      <c r="AH467" t="str">
        <f>IF(TwitterClean[[#This Row],[photos]]="null","No","Yes")</f>
        <v>No</v>
      </c>
      <c r="AI467" t="str">
        <f>IF(TwitterClean[[#This Row],[hashtags]]="null","No","Yes")</f>
        <v>Yes</v>
      </c>
      <c r="AJ467" t="str">
        <f>IF(TwitterClean[[#This Row],[external_url]]="null","Yes","No")</f>
        <v>No</v>
      </c>
      <c r="AK467">
        <f>LEN(TwitterClean[[#This Row],[description]])</f>
        <v>222</v>
      </c>
      <c r="AL467" t="str">
        <f>IF(TwitterClean[[#This Row],[followers]]&lt;100000,"&lt;100K",IF(TwitterClean[[#This Row],[followers]]&lt;1000000,"100K-1M",IF(TwitterClean[[#This Row],[followers]]&lt;10000000,"1M-10M","10M+")))</f>
        <v>&lt;100K</v>
      </c>
    </row>
    <row r="468" spans="1:38">
      <c r="A468">
        <v>1.8680835539105303E+18</v>
      </c>
      <c r="B468" t="s">
        <v>1862</v>
      </c>
      <c r="C468" t="s">
        <v>1863</v>
      </c>
      <c r="D468" t="s">
        <v>2226</v>
      </c>
      <c r="E468" t="s">
        <v>1784</v>
      </c>
      <c r="F468" t="s">
        <v>29</v>
      </c>
      <c r="G468" t="s">
        <v>2227</v>
      </c>
      <c r="H468" t="s">
        <v>29</v>
      </c>
      <c r="I468">
        <v>3</v>
      </c>
      <c r="J468">
        <v>3</v>
      </c>
      <c r="K468">
        <v>81</v>
      </c>
      <c r="L468">
        <v>8192</v>
      </c>
      <c r="M468" t="s">
        <v>52</v>
      </c>
      <c r="N468" t="s">
        <v>2228</v>
      </c>
      <c r="O468">
        <v>13492432</v>
      </c>
      <c r="P468" t="s">
        <v>1868</v>
      </c>
      <c r="Q468">
        <v>314515</v>
      </c>
      <c r="R468" t="s">
        <v>1869</v>
      </c>
      <c r="S468">
        <v>708</v>
      </c>
      <c r="T468" t="b">
        <v>0</v>
      </c>
      <c r="U468">
        <v>3</v>
      </c>
      <c r="V468">
        <v>1</v>
      </c>
      <c r="W468" t="s">
        <v>35</v>
      </c>
      <c r="X468" t="s">
        <v>29</v>
      </c>
      <c r="Y468" t="s">
        <v>2229</v>
      </c>
      <c r="Z468" t="s">
        <v>37</v>
      </c>
      <c r="AA468">
        <f>TwitterClean[[#This Row],[likes]]+TwitterClean[[#This Row],[replies]]+TwitterClean[[#This Row],[reposts]]+TwitterClean[[#This Row],[quotes]]+TwitterClean[[#This Row],[bookmarks]]</f>
        <v>91</v>
      </c>
      <c r="AB468" s="1">
        <f>TwitterClean[[#This Row],[Total_Engagements]]/TwitterClean[[#This Row],[views]]</f>
        <v>1.11083984375E-2</v>
      </c>
      <c r="AC468" s="3">
        <f>DATEVALUE(MID(TwitterClean[[#This Row],[date_posted]],2,10))</f>
        <v>45641</v>
      </c>
      <c r="AD468">
        <f>TIMEVALUE(MID(TwitterClean[[#This Row],[date_posted]],13,8))</f>
        <v>1.1574074074074073E-5</v>
      </c>
      <c r="AE468" s="3" t="str">
        <f>TEXT(TwitterClean[[#This Row],[Post_Date]],"dddd")</f>
        <v>Sunday</v>
      </c>
      <c r="AF468">
        <f>HOUR(TwitterClean[[#This Row],[Post_Time]])</f>
        <v>0</v>
      </c>
      <c r="AG468" t="str">
        <f>IF(TwitterClean[[#This Row],[videos]]="Null","No","Yes")</f>
        <v>Yes</v>
      </c>
      <c r="AH468" t="str">
        <f>IF(TwitterClean[[#This Row],[photos]]="null","No","Yes")</f>
        <v>No</v>
      </c>
      <c r="AI468" t="str">
        <f>IF(TwitterClean[[#This Row],[hashtags]]="null","No","Yes")</f>
        <v>Yes</v>
      </c>
      <c r="AJ468" t="str">
        <f>IF(TwitterClean[[#This Row],[external_url]]="null","Yes","No")</f>
        <v>No</v>
      </c>
      <c r="AK468">
        <f>LEN(TwitterClean[[#This Row],[description]])</f>
        <v>75</v>
      </c>
      <c r="AL468" t="str">
        <f>IF(TwitterClean[[#This Row],[followers]]&lt;100000,"&lt;100K",IF(TwitterClean[[#This Row],[followers]]&lt;1000000,"100K-1M",IF(TwitterClean[[#This Row],[followers]]&lt;10000000,"1M-10M","10M+")))</f>
        <v>10M+</v>
      </c>
    </row>
    <row r="469" spans="1:38">
      <c r="A469">
        <v>1.8681536139204854E+18</v>
      </c>
      <c r="B469" t="s">
        <v>3083</v>
      </c>
      <c r="C469" t="s">
        <v>3083</v>
      </c>
      <c r="D469" t="s">
        <v>3091</v>
      </c>
      <c r="E469" t="s">
        <v>3092</v>
      </c>
      <c r="F469" t="s">
        <v>29</v>
      </c>
      <c r="G469" t="s">
        <v>3093</v>
      </c>
      <c r="H469" t="s">
        <v>3094</v>
      </c>
      <c r="I469">
        <v>42</v>
      </c>
      <c r="J469">
        <v>260</v>
      </c>
      <c r="K469">
        <v>1776</v>
      </c>
      <c r="L469">
        <v>199425</v>
      </c>
      <c r="M469" t="s">
        <v>52</v>
      </c>
      <c r="N469" t="s">
        <v>3087</v>
      </c>
      <c r="O469">
        <v>14375936</v>
      </c>
      <c r="P469" t="s">
        <v>3088</v>
      </c>
      <c r="Q469">
        <v>346973</v>
      </c>
      <c r="R469" t="s">
        <v>3089</v>
      </c>
      <c r="S469">
        <v>392</v>
      </c>
      <c r="T469" t="b">
        <v>0</v>
      </c>
      <c r="U469">
        <v>11</v>
      </c>
      <c r="V469">
        <v>120</v>
      </c>
      <c r="W469" t="s">
        <v>35</v>
      </c>
      <c r="X469" t="s">
        <v>29</v>
      </c>
      <c r="Y469" t="s">
        <v>3095</v>
      </c>
      <c r="Z469" t="s">
        <v>37</v>
      </c>
      <c r="AA469">
        <f>TwitterClean[[#This Row],[likes]]+TwitterClean[[#This Row],[replies]]+TwitterClean[[#This Row],[reposts]]+TwitterClean[[#This Row],[quotes]]+TwitterClean[[#This Row],[bookmarks]]</f>
        <v>2209</v>
      </c>
      <c r="AB469" s="1">
        <f>TwitterClean[[#This Row],[Total_Engagements]]/TwitterClean[[#This Row],[views]]</f>
        <v>1.1076845932054658E-2</v>
      </c>
      <c r="AC469" s="3">
        <f>DATEVALUE(MID(TwitterClean[[#This Row],[date_posted]],2,10))</f>
        <v>45641</v>
      </c>
      <c r="AD469">
        <f>TIMEVALUE(MID(TwitterClean[[#This Row],[date_posted]],13,8))</f>
        <v>0.19333333333333333</v>
      </c>
      <c r="AE469" s="3" t="str">
        <f>TEXT(TwitterClean[[#This Row],[Post_Date]],"dddd")</f>
        <v>Sunday</v>
      </c>
      <c r="AF469">
        <f>HOUR(TwitterClean[[#This Row],[Post_Time]])</f>
        <v>4</v>
      </c>
      <c r="AG469" t="str">
        <f>IF(TwitterClean[[#This Row],[videos]]="Null","No","Yes")</f>
        <v>Yes</v>
      </c>
      <c r="AH469" t="str">
        <f>IF(TwitterClean[[#This Row],[photos]]="null","No","Yes")</f>
        <v>No</v>
      </c>
      <c r="AI469" t="str">
        <f>IF(TwitterClean[[#This Row],[hashtags]]="null","No","Yes")</f>
        <v>Yes</v>
      </c>
      <c r="AJ469" t="str">
        <f>IF(TwitterClean[[#This Row],[external_url]]="null","Yes","No")</f>
        <v>No</v>
      </c>
      <c r="AK469">
        <f>LEN(TwitterClean[[#This Row],[description]])</f>
        <v>142</v>
      </c>
      <c r="AL469" t="str">
        <f>IF(TwitterClean[[#This Row],[followers]]&lt;100000,"&lt;100K",IF(TwitterClean[[#This Row],[followers]]&lt;1000000,"100K-1M",IF(TwitterClean[[#This Row],[followers]]&lt;10000000,"1M-10M","10M+")))</f>
        <v>10M+</v>
      </c>
    </row>
    <row r="470" spans="1:38">
      <c r="A470">
        <v>1.868356093929247E+18</v>
      </c>
      <c r="B470" t="s">
        <v>3083</v>
      </c>
      <c r="C470" t="s">
        <v>3083</v>
      </c>
      <c r="D470" t="s">
        <v>4704</v>
      </c>
      <c r="E470" t="s">
        <v>4705</v>
      </c>
      <c r="F470" t="s">
        <v>4706</v>
      </c>
      <c r="G470" t="s">
        <v>4707</v>
      </c>
      <c r="H470" t="s">
        <v>29</v>
      </c>
      <c r="I470">
        <v>44</v>
      </c>
      <c r="J470">
        <v>136</v>
      </c>
      <c r="K470">
        <v>809</v>
      </c>
      <c r="L470">
        <v>93120</v>
      </c>
      <c r="M470" t="s">
        <v>4708</v>
      </c>
      <c r="N470" t="s">
        <v>4709</v>
      </c>
      <c r="O470">
        <v>14376035</v>
      </c>
      <c r="P470" t="s">
        <v>3088</v>
      </c>
      <c r="Q470">
        <v>346973</v>
      </c>
      <c r="R470" t="s">
        <v>3089</v>
      </c>
      <c r="S470">
        <v>392</v>
      </c>
      <c r="T470" t="b">
        <v>0</v>
      </c>
      <c r="U470">
        <v>6</v>
      </c>
      <c r="V470">
        <v>31</v>
      </c>
      <c r="W470" t="s">
        <v>35</v>
      </c>
      <c r="X470" t="s">
        <v>29</v>
      </c>
      <c r="Y470" t="s">
        <v>29</v>
      </c>
      <c r="Z470" t="s">
        <v>37</v>
      </c>
      <c r="AA470">
        <f>TwitterClean[[#This Row],[likes]]+TwitterClean[[#This Row],[replies]]+TwitterClean[[#This Row],[reposts]]+TwitterClean[[#This Row],[quotes]]+TwitterClean[[#This Row],[bookmarks]]</f>
        <v>1026</v>
      </c>
      <c r="AB470" s="1">
        <f>TwitterClean[[#This Row],[Total_Engagements]]/TwitterClean[[#This Row],[views]]</f>
        <v>1.1018041237113403E-2</v>
      </c>
      <c r="AC470" s="3">
        <f>DATEVALUE(MID(TwitterClean[[#This Row],[date_posted]],2,10))</f>
        <v>45641</v>
      </c>
      <c r="AD470">
        <f>TIMEVALUE(MID(TwitterClean[[#This Row],[date_posted]],13,8))</f>
        <v>0.75207175925925929</v>
      </c>
      <c r="AE470" s="3" t="str">
        <f>TEXT(TwitterClean[[#This Row],[Post_Date]],"dddd")</f>
        <v>Sunday</v>
      </c>
      <c r="AF470">
        <f>HOUR(TwitterClean[[#This Row],[Post_Time]])</f>
        <v>18</v>
      </c>
      <c r="AG470" t="str">
        <f>IF(TwitterClean[[#This Row],[videos]]="Null","No","Yes")</f>
        <v>No</v>
      </c>
      <c r="AH470" t="str">
        <f>IF(TwitterClean[[#This Row],[photos]]="null","No","Yes")</f>
        <v>Yes</v>
      </c>
      <c r="AI470" t="str">
        <f>IF(TwitterClean[[#This Row],[hashtags]]="null","No","Yes")</f>
        <v>Yes</v>
      </c>
      <c r="AJ470" t="str">
        <f>IF(TwitterClean[[#This Row],[external_url]]="null","Yes","No")</f>
        <v>No</v>
      </c>
      <c r="AK470">
        <f>LEN(TwitterClean[[#This Row],[description]])</f>
        <v>120</v>
      </c>
      <c r="AL470" t="str">
        <f>IF(TwitterClean[[#This Row],[followers]]&lt;100000,"&lt;100K",IF(TwitterClean[[#This Row],[followers]]&lt;1000000,"100K-1M",IF(TwitterClean[[#This Row],[followers]]&lt;10000000,"1M-10M","10M+")))</f>
        <v>10M+</v>
      </c>
    </row>
    <row r="471" spans="1:38">
      <c r="A471">
        <v>1.8684421629431685E+18</v>
      </c>
      <c r="B471" t="s">
        <v>275</v>
      </c>
      <c r="C471" t="s">
        <v>276</v>
      </c>
      <c r="D471" t="s">
        <v>4456</v>
      </c>
      <c r="E471" t="s">
        <v>4457</v>
      </c>
      <c r="F471" t="s">
        <v>29</v>
      </c>
      <c r="G471" t="s">
        <v>4458</v>
      </c>
      <c r="H471" t="s">
        <v>29</v>
      </c>
      <c r="I471">
        <v>172</v>
      </c>
      <c r="J471">
        <v>22</v>
      </c>
      <c r="K471">
        <v>262</v>
      </c>
      <c r="L471">
        <v>44095</v>
      </c>
      <c r="M471" t="s">
        <v>52</v>
      </c>
      <c r="N471" t="s">
        <v>289</v>
      </c>
      <c r="O471">
        <v>8539601</v>
      </c>
      <c r="P471" t="s">
        <v>282</v>
      </c>
      <c r="Q471">
        <v>75535</v>
      </c>
      <c r="R471" t="s">
        <v>283</v>
      </c>
      <c r="S471">
        <v>117</v>
      </c>
      <c r="T471" t="b">
        <v>0</v>
      </c>
      <c r="U471">
        <v>21</v>
      </c>
      <c r="V471">
        <v>8</v>
      </c>
      <c r="W471" t="s">
        <v>35</v>
      </c>
      <c r="X471" t="s">
        <v>29</v>
      </c>
      <c r="Y471" t="s">
        <v>4459</v>
      </c>
      <c r="Z471" t="s">
        <v>37</v>
      </c>
      <c r="AA471">
        <f>TwitterClean[[#This Row],[likes]]+TwitterClean[[#This Row],[replies]]+TwitterClean[[#This Row],[reposts]]+TwitterClean[[#This Row],[quotes]]+TwitterClean[[#This Row],[bookmarks]]</f>
        <v>485</v>
      </c>
      <c r="AB471" s="1">
        <f>TwitterClean[[#This Row],[Total_Engagements]]/TwitterClean[[#This Row],[views]]</f>
        <v>1.0998979476131081E-2</v>
      </c>
      <c r="AC471" s="3">
        <f>DATEVALUE(MID(TwitterClean[[#This Row],[date_posted]],2,10))</f>
        <v>45641</v>
      </c>
      <c r="AD471">
        <f>TIMEVALUE(MID(TwitterClean[[#This Row],[date_posted]],13,8))</f>
        <v>0.98958333333333337</v>
      </c>
      <c r="AE471" s="3" t="str">
        <f>TEXT(TwitterClean[[#This Row],[Post_Date]],"dddd")</f>
        <v>Sunday</v>
      </c>
      <c r="AF471">
        <f>HOUR(TwitterClean[[#This Row],[Post_Time]])</f>
        <v>23</v>
      </c>
      <c r="AG471" t="str">
        <f>IF(TwitterClean[[#This Row],[videos]]="Null","No","Yes")</f>
        <v>Yes</v>
      </c>
      <c r="AH471" t="str">
        <f>IF(TwitterClean[[#This Row],[photos]]="null","No","Yes")</f>
        <v>No</v>
      </c>
      <c r="AI471" t="str">
        <f>IF(TwitterClean[[#This Row],[hashtags]]="null","No","Yes")</f>
        <v>Yes</v>
      </c>
      <c r="AJ471" t="str">
        <f>IF(TwitterClean[[#This Row],[external_url]]="null","Yes","No")</f>
        <v>No</v>
      </c>
      <c r="AK471">
        <f>LEN(TwitterClean[[#This Row],[description]])</f>
        <v>48</v>
      </c>
      <c r="AL471" t="str">
        <f>IF(TwitterClean[[#This Row],[followers]]&lt;100000,"&lt;100K",IF(TwitterClean[[#This Row],[followers]]&lt;1000000,"100K-1M",IF(TwitterClean[[#This Row],[followers]]&lt;10000000,"1M-10M","10M+")))</f>
        <v>1M-10M</v>
      </c>
    </row>
    <row r="472" spans="1:38">
      <c r="A472">
        <v>1.868092274002764E+18</v>
      </c>
      <c r="B472" t="s">
        <v>1862</v>
      </c>
      <c r="C472" t="s">
        <v>1863</v>
      </c>
      <c r="D472" t="s">
        <v>1963</v>
      </c>
      <c r="E472" t="s">
        <v>1964</v>
      </c>
      <c r="F472" t="s">
        <v>29</v>
      </c>
      <c r="G472" t="s">
        <v>1965</v>
      </c>
      <c r="H472" t="s">
        <v>29</v>
      </c>
      <c r="I472">
        <v>4</v>
      </c>
      <c r="J472">
        <v>9</v>
      </c>
      <c r="K472">
        <v>88</v>
      </c>
      <c r="L472">
        <v>9825</v>
      </c>
      <c r="M472" t="s">
        <v>52</v>
      </c>
      <c r="N472" t="s">
        <v>1961</v>
      </c>
      <c r="O472">
        <v>13492372</v>
      </c>
      <c r="P472" t="s">
        <v>1868</v>
      </c>
      <c r="Q472">
        <v>314515</v>
      </c>
      <c r="R472" t="s">
        <v>1869</v>
      </c>
      <c r="S472">
        <v>708</v>
      </c>
      <c r="T472" t="b">
        <v>0</v>
      </c>
      <c r="U472">
        <v>3</v>
      </c>
      <c r="V472">
        <v>4</v>
      </c>
      <c r="W472" t="s">
        <v>35</v>
      </c>
      <c r="X472" t="s">
        <v>29</v>
      </c>
      <c r="Y472" t="s">
        <v>1966</v>
      </c>
      <c r="Z472" t="s">
        <v>37</v>
      </c>
      <c r="AA472">
        <f>TwitterClean[[#This Row],[likes]]+TwitterClean[[#This Row],[replies]]+TwitterClean[[#This Row],[reposts]]+TwitterClean[[#This Row],[quotes]]+TwitterClean[[#This Row],[bookmarks]]</f>
        <v>108</v>
      </c>
      <c r="AB472" s="1">
        <f>TwitterClean[[#This Row],[Total_Engagements]]/TwitterClean[[#This Row],[views]]</f>
        <v>1.0992366412213741E-2</v>
      </c>
      <c r="AC472" s="3">
        <f>DATEVALUE(MID(TwitterClean[[#This Row],[date_posted]],2,10))</f>
        <v>45641</v>
      </c>
      <c r="AD472">
        <f>TIMEVALUE(MID(TwitterClean[[#This Row],[date_posted]],13,8))</f>
        <v>2.4074074074074074E-2</v>
      </c>
      <c r="AE472" s="3" t="str">
        <f>TEXT(TwitterClean[[#This Row],[Post_Date]],"dddd")</f>
        <v>Sunday</v>
      </c>
      <c r="AF472">
        <f>HOUR(TwitterClean[[#This Row],[Post_Time]])</f>
        <v>0</v>
      </c>
      <c r="AG472" t="str">
        <f>IF(TwitterClean[[#This Row],[videos]]="Null","No","Yes")</f>
        <v>Yes</v>
      </c>
      <c r="AH472" t="str">
        <f>IF(TwitterClean[[#This Row],[photos]]="null","No","Yes")</f>
        <v>No</v>
      </c>
      <c r="AI472" t="str">
        <f>IF(TwitterClean[[#This Row],[hashtags]]="null","No","Yes")</f>
        <v>Yes</v>
      </c>
      <c r="AJ472" t="str">
        <f>IF(TwitterClean[[#This Row],[external_url]]="null","Yes","No")</f>
        <v>No</v>
      </c>
      <c r="AK472">
        <f>LEN(TwitterClean[[#This Row],[description]])</f>
        <v>99</v>
      </c>
      <c r="AL472" t="str">
        <f>IF(TwitterClean[[#This Row],[followers]]&lt;100000,"&lt;100K",IF(TwitterClean[[#This Row],[followers]]&lt;1000000,"100K-1M",IF(TwitterClean[[#This Row],[followers]]&lt;10000000,"1M-10M","10M+")))</f>
        <v>10M+</v>
      </c>
    </row>
    <row r="473" spans="1:38">
      <c r="A473">
        <v>1.8668839138950062E+18</v>
      </c>
      <c r="B473" t="s">
        <v>3973</v>
      </c>
      <c r="C473" t="s">
        <v>3974</v>
      </c>
      <c r="D473" t="s">
        <v>4091</v>
      </c>
      <c r="E473" t="s">
        <v>4092</v>
      </c>
      <c r="F473" t="s">
        <v>4093</v>
      </c>
      <c r="G473" t="s">
        <v>4094</v>
      </c>
      <c r="H473" t="s">
        <v>4095</v>
      </c>
      <c r="I473">
        <v>11</v>
      </c>
      <c r="J473">
        <v>19</v>
      </c>
      <c r="K473">
        <v>226</v>
      </c>
      <c r="L473">
        <v>23935</v>
      </c>
      <c r="M473" t="s">
        <v>52</v>
      </c>
      <c r="N473" t="s">
        <v>29</v>
      </c>
      <c r="O473">
        <v>2035097</v>
      </c>
      <c r="P473" t="s">
        <v>3979</v>
      </c>
      <c r="Q473">
        <v>106867</v>
      </c>
      <c r="R473" t="s">
        <v>3980</v>
      </c>
      <c r="S473">
        <v>411</v>
      </c>
      <c r="T473" t="b">
        <v>0</v>
      </c>
      <c r="U473">
        <v>3</v>
      </c>
      <c r="V473">
        <v>1</v>
      </c>
      <c r="W473" t="s">
        <v>35</v>
      </c>
      <c r="X473" t="s">
        <v>29</v>
      </c>
      <c r="Y473" t="s">
        <v>29</v>
      </c>
      <c r="Z473" t="s">
        <v>37</v>
      </c>
      <c r="AA473">
        <f>TwitterClean[[#This Row],[likes]]+TwitterClean[[#This Row],[replies]]+TwitterClean[[#This Row],[reposts]]+TwitterClean[[#This Row],[quotes]]+TwitterClean[[#This Row],[bookmarks]]</f>
        <v>260</v>
      </c>
      <c r="AB473" s="1">
        <f>TwitterClean[[#This Row],[Total_Engagements]]/TwitterClean[[#This Row],[views]]</f>
        <v>1.0862753290160853E-2</v>
      </c>
      <c r="AC473" s="3">
        <f>DATEVALUE(MID(TwitterClean[[#This Row],[date_posted]],2,10))</f>
        <v>45637</v>
      </c>
      <c r="AD473">
        <f>TIMEVALUE(MID(TwitterClean[[#This Row],[date_posted]],13,8))</f>
        <v>0.68962962962962959</v>
      </c>
      <c r="AE473" s="3" t="str">
        <f>TEXT(TwitterClean[[#This Row],[Post_Date]],"dddd")</f>
        <v>Wednesday</v>
      </c>
      <c r="AF473">
        <f>HOUR(TwitterClean[[#This Row],[Post_Time]])</f>
        <v>16</v>
      </c>
      <c r="AG473" t="str">
        <f>IF(TwitterClean[[#This Row],[videos]]="Null","No","Yes")</f>
        <v>No</v>
      </c>
      <c r="AH473" t="str">
        <f>IF(TwitterClean[[#This Row],[photos]]="null","No","Yes")</f>
        <v>Yes</v>
      </c>
      <c r="AI473" t="str">
        <f>IF(TwitterClean[[#This Row],[hashtags]]="null","No","Yes")</f>
        <v>No</v>
      </c>
      <c r="AJ473" t="str">
        <f>IF(TwitterClean[[#This Row],[external_url]]="null","Yes","No")</f>
        <v>No</v>
      </c>
      <c r="AK473">
        <f>LEN(TwitterClean[[#This Row],[description]])</f>
        <v>51</v>
      </c>
      <c r="AL473" t="str">
        <f>IF(TwitterClean[[#This Row],[followers]]&lt;100000,"&lt;100K",IF(TwitterClean[[#This Row],[followers]]&lt;1000000,"100K-1M",IF(TwitterClean[[#This Row],[followers]]&lt;10000000,"1M-10M","10M+")))</f>
        <v>1M-10M</v>
      </c>
    </row>
    <row r="474" spans="1:38">
      <c r="A474">
        <v>1.8663022108684575E+18</v>
      </c>
      <c r="B474" t="s">
        <v>3973</v>
      </c>
      <c r="C474" t="s">
        <v>3974</v>
      </c>
      <c r="D474" t="s">
        <v>4013</v>
      </c>
      <c r="E474" t="s">
        <v>4014</v>
      </c>
      <c r="F474" t="s">
        <v>4015</v>
      </c>
      <c r="G474" t="s">
        <v>4016</v>
      </c>
      <c r="H474" t="s">
        <v>4017</v>
      </c>
      <c r="I474">
        <v>4</v>
      </c>
      <c r="J474">
        <v>10</v>
      </c>
      <c r="K474">
        <v>141</v>
      </c>
      <c r="L474">
        <v>14547</v>
      </c>
      <c r="M474" t="s">
        <v>52</v>
      </c>
      <c r="N474" t="s">
        <v>29</v>
      </c>
      <c r="O474">
        <v>2035100</v>
      </c>
      <c r="P474" t="s">
        <v>3979</v>
      </c>
      <c r="Q474">
        <v>106867</v>
      </c>
      <c r="R474" t="s">
        <v>3980</v>
      </c>
      <c r="S474">
        <v>411</v>
      </c>
      <c r="T474" t="b">
        <v>0</v>
      </c>
      <c r="U474">
        <v>2</v>
      </c>
      <c r="V474">
        <v>1</v>
      </c>
      <c r="W474" t="s">
        <v>35</v>
      </c>
      <c r="X474" t="s">
        <v>29</v>
      </c>
      <c r="Y474" t="s">
        <v>29</v>
      </c>
      <c r="Z474" t="s">
        <v>37</v>
      </c>
      <c r="AA474">
        <f>TwitterClean[[#This Row],[likes]]+TwitterClean[[#This Row],[replies]]+TwitterClean[[#This Row],[reposts]]+TwitterClean[[#This Row],[quotes]]+TwitterClean[[#This Row],[bookmarks]]</f>
        <v>158</v>
      </c>
      <c r="AB474" s="1">
        <f>TwitterClean[[#This Row],[Total_Engagements]]/TwitterClean[[#This Row],[views]]</f>
        <v>1.0861345981989413E-2</v>
      </c>
      <c r="AC474" s="3">
        <f>DATEVALUE(MID(TwitterClean[[#This Row],[date_posted]],2,10))</f>
        <v>45636</v>
      </c>
      <c r="AD474">
        <f>TIMEVALUE(MID(TwitterClean[[#This Row],[date_posted]],13,8))</f>
        <v>8.4432870370370366E-2</v>
      </c>
      <c r="AE474" s="3" t="str">
        <f>TEXT(TwitterClean[[#This Row],[Post_Date]],"dddd")</f>
        <v>Tuesday</v>
      </c>
      <c r="AF474">
        <f>HOUR(TwitterClean[[#This Row],[Post_Time]])</f>
        <v>2</v>
      </c>
      <c r="AG474" t="str">
        <f>IF(TwitterClean[[#This Row],[videos]]="Null","No","Yes")</f>
        <v>No</v>
      </c>
      <c r="AH474" t="str">
        <f>IF(TwitterClean[[#This Row],[photos]]="null","No","Yes")</f>
        <v>Yes</v>
      </c>
      <c r="AI474" t="str">
        <f>IF(TwitterClean[[#This Row],[hashtags]]="null","No","Yes")</f>
        <v>No</v>
      </c>
      <c r="AJ474" t="str">
        <f>IF(TwitterClean[[#This Row],[external_url]]="null","Yes","No")</f>
        <v>No</v>
      </c>
      <c r="AK474">
        <f>LEN(TwitterClean[[#This Row],[description]])</f>
        <v>179</v>
      </c>
      <c r="AL474" t="str">
        <f>IF(TwitterClean[[#This Row],[followers]]&lt;100000,"&lt;100K",IF(TwitterClean[[#This Row],[followers]]&lt;1000000,"100K-1M",IF(TwitterClean[[#This Row],[followers]]&lt;10000000,"1M-10M","10M+")))</f>
        <v>1M-10M</v>
      </c>
    </row>
    <row r="475" spans="1:38">
      <c r="A475">
        <v>1.818486327991468E+18</v>
      </c>
      <c r="B475" t="s">
        <v>2353</v>
      </c>
      <c r="C475" t="s">
        <v>2354</v>
      </c>
      <c r="D475" t="s">
        <v>2483</v>
      </c>
      <c r="E475" t="s">
        <v>2484</v>
      </c>
      <c r="F475" t="s">
        <v>2485</v>
      </c>
      <c r="G475" t="s">
        <v>2486</v>
      </c>
      <c r="H475" t="s">
        <v>2487</v>
      </c>
      <c r="I475">
        <v>7</v>
      </c>
      <c r="J475">
        <v>10</v>
      </c>
      <c r="K475">
        <v>209</v>
      </c>
      <c r="L475">
        <v>21525</v>
      </c>
      <c r="M475" t="s">
        <v>52</v>
      </c>
      <c r="N475" t="s">
        <v>2488</v>
      </c>
      <c r="O475">
        <v>1293</v>
      </c>
      <c r="P475" t="s">
        <v>2361</v>
      </c>
      <c r="Q475">
        <v>2739</v>
      </c>
      <c r="R475" t="s">
        <v>2362</v>
      </c>
      <c r="S475">
        <v>900</v>
      </c>
      <c r="T475" t="b">
        <v>0</v>
      </c>
      <c r="U475">
        <v>6</v>
      </c>
      <c r="V475">
        <v>1</v>
      </c>
      <c r="W475" t="s">
        <v>35</v>
      </c>
      <c r="X475" t="s">
        <v>29</v>
      </c>
      <c r="Y475" t="s">
        <v>29</v>
      </c>
      <c r="Z475" t="s">
        <v>37</v>
      </c>
      <c r="AA475">
        <f>TwitterClean[[#This Row],[likes]]+TwitterClean[[#This Row],[replies]]+TwitterClean[[#This Row],[reposts]]+TwitterClean[[#This Row],[quotes]]+TwitterClean[[#This Row],[bookmarks]]</f>
        <v>233</v>
      </c>
      <c r="AB475" s="1">
        <f>TwitterClean[[#This Row],[Total_Engagements]]/TwitterClean[[#This Row],[views]]</f>
        <v>1.0824622531939606E-2</v>
      </c>
      <c r="AC475" s="3">
        <f>DATEVALUE(MID(TwitterClean[[#This Row],[date_posted]],2,10))</f>
        <v>45504</v>
      </c>
      <c r="AD475">
        <f>TIMEVALUE(MID(TwitterClean[[#This Row],[date_posted]],13,8))</f>
        <v>0.13774305555555555</v>
      </c>
      <c r="AE475" s="3" t="str">
        <f>TEXT(TwitterClean[[#This Row],[Post_Date]],"dddd")</f>
        <v>Wednesday</v>
      </c>
      <c r="AF475">
        <f>HOUR(TwitterClean[[#This Row],[Post_Time]])</f>
        <v>3</v>
      </c>
      <c r="AG475" t="str">
        <f>IF(TwitterClean[[#This Row],[videos]]="Null","No","Yes")</f>
        <v>No</v>
      </c>
      <c r="AH475" t="str">
        <f>IF(TwitterClean[[#This Row],[photos]]="null","No","Yes")</f>
        <v>Yes</v>
      </c>
      <c r="AI475" t="str">
        <f>IF(TwitterClean[[#This Row],[hashtags]]="null","No","Yes")</f>
        <v>Yes</v>
      </c>
      <c r="AJ475" t="str">
        <f>IF(TwitterClean[[#This Row],[external_url]]="null","Yes","No")</f>
        <v>No</v>
      </c>
      <c r="AK475">
        <f>LEN(TwitterClean[[#This Row],[description]])</f>
        <v>101</v>
      </c>
      <c r="AL475" t="str">
        <f>IF(TwitterClean[[#This Row],[followers]]&lt;100000,"&lt;100K",IF(TwitterClean[[#This Row],[followers]]&lt;1000000,"100K-1M",IF(TwitterClean[[#This Row],[followers]]&lt;10000000,"1M-10M","10M+")))</f>
        <v>&lt;100K</v>
      </c>
    </row>
    <row r="476" spans="1:38">
      <c r="A476">
        <v>1.86746815627441E+18</v>
      </c>
      <c r="B476" t="s">
        <v>2714</v>
      </c>
      <c r="C476" t="s">
        <v>2715</v>
      </c>
      <c r="D476" t="s">
        <v>2778</v>
      </c>
      <c r="E476" t="s">
        <v>2779</v>
      </c>
      <c r="F476" t="s">
        <v>29</v>
      </c>
      <c r="G476" t="s">
        <v>2780</v>
      </c>
      <c r="H476" t="s">
        <v>2781</v>
      </c>
      <c r="I476">
        <v>18</v>
      </c>
      <c r="J476">
        <v>4</v>
      </c>
      <c r="K476">
        <v>58</v>
      </c>
      <c r="L476">
        <v>8198</v>
      </c>
      <c r="M476" t="s">
        <v>52</v>
      </c>
      <c r="N476" t="s">
        <v>29</v>
      </c>
      <c r="O476">
        <v>182895</v>
      </c>
      <c r="P476" t="s">
        <v>2720</v>
      </c>
      <c r="Q476">
        <v>30781</v>
      </c>
      <c r="R476" t="s">
        <v>2721</v>
      </c>
      <c r="S476">
        <v>559</v>
      </c>
      <c r="T476" t="b">
        <v>0</v>
      </c>
      <c r="U476">
        <v>3</v>
      </c>
      <c r="V476">
        <v>5</v>
      </c>
      <c r="W476" t="s">
        <v>35</v>
      </c>
      <c r="X476" t="s">
        <v>29</v>
      </c>
      <c r="Y476" t="s">
        <v>2782</v>
      </c>
      <c r="Z476" t="s">
        <v>37</v>
      </c>
      <c r="AA476">
        <f>TwitterClean[[#This Row],[likes]]+TwitterClean[[#This Row],[replies]]+TwitterClean[[#This Row],[reposts]]+TwitterClean[[#This Row],[quotes]]+TwitterClean[[#This Row],[bookmarks]]</f>
        <v>88</v>
      </c>
      <c r="AB476" s="1">
        <f>TwitterClean[[#This Row],[Total_Engagements]]/TwitterClean[[#This Row],[views]]</f>
        <v>1.0734325445230545E-2</v>
      </c>
      <c r="AC476" s="3">
        <f>DATEVALUE(MID(TwitterClean[[#This Row],[date_posted]],2,10))</f>
        <v>45639</v>
      </c>
      <c r="AD476">
        <f>TIMEVALUE(MID(TwitterClean[[#This Row],[date_posted]],13,8))</f>
        <v>0.30182870370370368</v>
      </c>
      <c r="AE476" s="3" t="str">
        <f>TEXT(TwitterClean[[#This Row],[Post_Date]],"dddd")</f>
        <v>Friday</v>
      </c>
      <c r="AF476">
        <f>HOUR(TwitterClean[[#This Row],[Post_Time]])</f>
        <v>7</v>
      </c>
      <c r="AG476" t="str">
        <f>IF(TwitterClean[[#This Row],[videos]]="Null","No","Yes")</f>
        <v>Yes</v>
      </c>
      <c r="AH476" t="str">
        <f>IF(TwitterClean[[#This Row],[photos]]="null","No","Yes")</f>
        <v>No</v>
      </c>
      <c r="AI476" t="str">
        <f>IF(TwitterClean[[#This Row],[hashtags]]="null","No","Yes")</f>
        <v>No</v>
      </c>
      <c r="AJ476" t="str">
        <f>IF(TwitterClean[[#This Row],[external_url]]="null","Yes","No")</f>
        <v>No</v>
      </c>
      <c r="AK476">
        <f>LEN(TwitterClean[[#This Row],[description]])</f>
        <v>172</v>
      </c>
      <c r="AL476" t="str">
        <f>IF(TwitterClean[[#This Row],[followers]]&lt;100000,"&lt;100K",IF(TwitterClean[[#This Row],[followers]]&lt;1000000,"100K-1M",IF(TwitterClean[[#This Row],[followers]]&lt;10000000,"1M-10M","10M+")))</f>
        <v>100K-1M</v>
      </c>
    </row>
    <row r="477" spans="1:38">
      <c r="A477">
        <v>1.8681659780493806E+18</v>
      </c>
      <c r="B477" t="s">
        <v>3034</v>
      </c>
      <c r="C477" t="s">
        <v>3035</v>
      </c>
      <c r="D477" t="s">
        <v>3527</v>
      </c>
      <c r="E477" t="s">
        <v>3528</v>
      </c>
      <c r="F477" t="s">
        <v>29</v>
      </c>
      <c r="G477" t="s">
        <v>3529</v>
      </c>
      <c r="H477" t="s">
        <v>3076</v>
      </c>
      <c r="I477">
        <v>97</v>
      </c>
      <c r="J477">
        <v>82</v>
      </c>
      <c r="K477">
        <v>1257</v>
      </c>
      <c r="L477">
        <v>140561</v>
      </c>
      <c r="M477" t="s">
        <v>52</v>
      </c>
      <c r="N477" t="s">
        <v>3040</v>
      </c>
      <c r="O477">
        <v>12876593</v>
      </c>
      <c r="P477" t="s">
        <v>3041</v>
      </c>
      <c r="Q477">
        <v>141401</v>
      </c>
      <c r="R477" t="s">
        <v>3042</v>
      </c>
      <c r="S477">
        <v>717</v>
      </c>
      <c r="T477" t="b">
        <v>0</v>
      </c>
      <c r="U477">
        <v>14</v>
      </c>
      <c r="V477">
        <v>55</v>
      </c>
      <c r="W477" t="s">
        <v>35</v>
      </c>
      <c r="X477" t="s">
        <v>29</v>
      </c>
      <c r="Y477" t="s">
        <v>3530</v>
      </c>
      <c r="Z477" t="s">
        <v>37</v>
      </c>
      <c r="AA477">
        <f>TwitterClean[[#This Row],[likes]]+TwitterClean[[#This Row],[replies]]+TwitterClean[[#This Row],[reposts]]+TwitterClean[[#This Row],[quotes]]+TwitterClean[[#This Row],[bookmarks]]</f>
        <v>1505</v>
      </c>
      <c r="AB477" s="1">
        <f>TwitterClean[[#This Row],[Total_Engagements]]/TwitterClean[[#This Row],[views]]</f>
        <v>1.0707095140188246E-2</v>
      </c>
      <c r="AC477" s="3">
        <f>DATEVALUE(MID(TwitterClean[[#This Row],[date_posted]],2,10))</f>
        <v>45641</v>
      </c>
      <c r="AD477">
        <f>TIMEVALUE(MID(TwitterClean[[#This Row],[date_posted]],13,8))</f>
        <v>0.22745370370370371</v>
      </c>
      <c r="AE477" s="3" t="str">
        <f>TEXT(TwitterClean[[#This Row],[Post_Date]],"dddd")</f>
        <v>Sunday</v>
      </c>
      <c r="AF477">
        <f>HOUR(TwitterClean[[#This Row],[Post_Time]])</f>
        <v>5</v>
      </c>
      <c r="AG477" t="str">
        <f>IF(TwitterClean[[#This Row],[videos]]="Null","No","Yes")</f>
        <v>Yes</v>
      </c>
      <c r="AH477" t="str">
        <f>IF(TwitterClean[[#This Row],[photos]]="null","No","Yes")</f>
        <v>No</v>
      </c>
      <c r="AI477" t="str">
        <f>IF(TwitterClean[[#This Row],[hashtags]]="null","No","Yes")</f>
        <v>Yes</v>
      </c>
      <c r="AJ477" t="str">
        <f>IF(TwitterClean[[#This Row],[external_url]]="null","Yes","No")</f>
        <v>No</v>
      </c>
      <c r="AK477">
        <f>LEN(TwitterClean[[#This Row],[description]])</f>
        <v>86</v>
      </c>
      <c r="AL477" t="str">
        <f>IF(TwitterClean[[#This Row],[followers]]&lt;100000,"&lt;100K",IF(TwitterClean[[#This Row],[followers]]&lt;1000000,"100K-1M",IF(TwitterClean[[#This Row],[followers]]&lt;10000000,"1M-10M","10M+")))</f>
        <v>10M+</v>
      </c>
    </row>
    <row r="478" spans="1:38">
      <c r="A478">
        <v>1.8683875257291369E+18</v>
      </c>
      <c r="B478" t="s">
        <v>875</v>
      </c>
      <c r="C478" t="s">
        <v>876</v>
      </c>
      <c r="D478" t="s">
        <v>877</v>
      </c>
      <c r="E478" t="s">
        <v>878</v>
      </c>
      <c r="F478" t="s">
        <v>879</v>
      </c>
      <c r="G478" t="s">
        <v>880</v>
      </c>
      <c r="H478" t="s">
        <v>29</v>
      </c>
      <c r="I478">
        <v>10</v>
      </c>
      <c r="J478">
        <v>2</v>
      </c>
      <c r="K478">
        <v>22</v>
      </c>
      <c r="L478">
        <v>3364</v>
      </c>
      <c r="M478" t="s">
        <v>52</v>
      </c>
      <c r="N478" t="s">
        <v>881</v>
      </c>
      <c r="O478">
        <v>95472</v>
      </c>
      <c r="P478" t="s">
        <v>882</v>
      </c>
      <c r="Q478">
        <v>46289</v>
      </c>
      <c r="R478" t="s">
        <v>883</v>
      </c>
      <c r="S478">
        <v>1327</v>
      </c>
      <c r="T478" t="b">
        <v>0</v>
      </c>
      <c r="U478">
        <v>1</v>
      </c>
      <c r="V478">
        <v>1</v>
      </c>
      <c r="W478" t="s">
        <v>35</v>
      </c>
      <c r="X478" t="s">
        <v>29</v>
      </c>
      <c r="Y478" t="s">
        <v>29</v>
      </c>
      <c r="Z478" t="s">
        <v>37</v>
      </c>
      <c r="AA478">
        <f>TwitterClean[[#This Row],[likes]]+TwitterClean[[#This Row],[replies]]+TwitterClean[[#This Row],[reposts]]+TwitterClean[[#This Row],[quotes]]+TwitterClean[[#This Row],[bookmarks]]</f>
        <v>36</v>
      </c>
      <c r="AB478" s="1">
        <f>TwitterClean[[#This Row],[Total_Engagements]]/TwitterClean[[#This Row],[views]]</f>
        <v>1.070154577883472E-2</v>
      </c>
      <c r="AC478" s="3">
        <f>DATEVALUE(MID(TwitterClean[[#This Row],[date_posted]],2,10))</f>
        <v>45641</v>
      </c>
      <c r="AD478">
        <f>TIMEVALUE(MID(TwitterClean[[#This Row],[date_posted]],13,8))</f>
        <v>0.83880787037037041</v>
      </c>
      <c r="AE478" s="3" t="str">
        <f>TEXT(TwitterClean[[#This Row],[Post_Date]],"dddd")</f>
        <v>Sunday</v>
      </c>
      <c r="AF478">
        <f>HOUR(TwitterClean[[#This Row],[Post_Time]])</f>
        <v>20</v>
      </c>
      <c r="AG478" t="str">
        <f>IF(TwitterClean[[#This Row],[videos]]="Null","No","Yes")</f>
        <v>No</v>
      </c>
      <c r="AH478" t="str">
        <f>IF(TwitterClean[[#This Row],[photos]]="null","No","Yes")</f>
        <v>Yes</v>
      </c>
      <c r="AI478" t="str">
        <f>IF(TwitterClean[[#This Row],[hashtags]]="null","No","Yes")</f>
        <v>Yes</v>
      </c>
      <c r="AJ478" t="str">
        <f>IF(TwitterClean[[#This Row],[external_url]]="null","Yes","No")</f>
        <v>No</v>
      </c>
      <c r="AK478">
        <f>LEN(TwitterClean[[#This Row],[description]])</f>
        <v>21</v>
      </c>
      <c r="AL478" t="str">
        <f>IF(TwitterClean[[#This Row],[followers]]&lt;100000,"&lt;100K",IF(TwitterClean[[#This Row],[followers]]&lt;1000000,"100K-1M",IF(TwitterClean[[#This Row],[followers]]&lt;10000000,"1M-10M","10M+")))</f>
        <v>&lt;100K</v>
      </c>
    </row>
    <row r="479" spans="1:38">
      <c r="A479">
        <v>1.8667465482492969E+18</v>
      </c>
      <c r="B479" t="s">
        <v>2714</v>
      </c>
      <c r="C479" t="s">
        <v>2715</v>
      </c>
      <c r="D479" t="s">
        <v>2814</v>
      </c>
      <c r="E479" t="s">
        <v>2815</v>
      </c>
      <c r="F479" t="s">
        <v>29</v>
      </c>
      <c r="G479" t="s">
        <v>2816</v>
      </c>
      <c r="H479" t="s">
        <v>29</v>
      </c>
      <c r="I479">
        <v>3</v>
      </c>
      <c r="J479">
        <v>2</v>
      </c>
      <c r="K479">
        <v>47</v>
      </c>
      <c r="L479">
        <v>6195</v>
      </c>
      <c r="M479" t="s">
        <v>52</v>
      </c>
      <c r="N479" t="s">
        <v>2817</v>
      </c>
      <c r="O479">
        <v>182895</v>
      </c>
      <c r="P479" t="s">
        <v>2720</v>
      </c>
      <c r="Q479">
        <v>30781</v>
      </c>
      <c r="R479" t="s">
        <v>2721</v>
      </c>
      <c r="S479">
        <v>559</v>
      </c>
      <c r="T479" t="b">
        <v>0</v>
      </c>
      <c r="U479">
        <v>1</v>
      </c>
      <c r="V479">
        <v>13</v>
      </c>
      <c r="W479" t="s">
        <v>35</v>
      </c>
      <c r="X479" t="s">
        <v>29</v>
      </c>
      <c r="Y479" t="s">
        <v>2818</v>
      </c>
      <c r="Z479" t="s">
        <v>37</v>
      </c>
      <c r="AA479">
        <f>TwitterClean[[#This Row],[likes]]+TwitterClean[[#This Row],[replies]]+TwitterClean[[#This Row],[reposts]]+TwitterClean[[#This Row],[quotes]]+TwitterClean[[#This Row],[bookmarks]]</f>
        <v>66</v>
      </c>
      <c r="AB479" s="1">
        <f>TwitterClean[[#This Row],[Total_Engagements]]/TwitterClean[[#This Row],[views]]</f>
        <v>1.0653753026634382E-2</v>
      </c>
      <c r="AC479" s="3">
        <f>DATEVALUE(MID(TwitterClean[[#This Row],[date_posted]],2,10))</f>
        <v>45637</v>
      </c>
      <c r="AD479">
        <f>TIMEVALUE(MID(TwitterClean[[#This Row],[date_posted]],13,8))</f>
        <v>0.31057870370370372</v>
      </c>
      <c r="AE479" s="3" t="str">
        <f>TEXT(TwitterClean[[#This Row],[Post_Date]],"dddd")</f>
        <v>Wednesday</v>
      </c>
      <c r="AF479">
        <f>HOUR(TwitterClean[[#This Row],[Post_Time]])</f>
        <v>7</v>
      </c>
      <c r="AG479" t="str">
        <f>IF(TwitterClean[[#This Row],[videos]]="Null","No","Yes")</f>
        <v>Yes</v>
      </c>
      <c r="AH479" t="str">
        <f>IF(TwitterClean[[#This Row],[photos]]="null","No","Yes")</f>
        <v>No</v>
      </c>
      <c r="AI479" t="str">
        <f>IF(TwitterClean[[#This Row],[hashtags]]="null","No","Yes")</f>
        <v>Yes</v>
      </c>
      <c r="AJ479" t="str">
        <f>IF(TwitterClean[[#This Row],[external_url]]="null","Yes","No")</f>
        <v>No</v>
      </c>
      <c r="AK479">
        <f>LEN(TwitterClean[[#This Row],[description]])</f>
        <v>158</v>
      </c>
      <c r="AL479" t="str">
        <f>IF(TwitterClean[[#This Row],[followers]]&lt;100000,"&lt;100K",IF(TwitterClean[[#This Row],[followers]]&lt;1000000,"100K-1M",IF(TwitterClean[[#This Row],[followers]]&lt;10000000,"1M-10M","10M+")))</f>
        <v>100K-1M</v>
      </c>
    </row>
    <row r="480" spans="1:38">
      <c r="A480">
        <v>1.8677654425021112E+18</v>
      </c>
      <c r="B480" t="s">
        <v>3973</v>
      </c>
      <c r="C480" t="s">
        <v>3974</v>
      </c>
      <c r="D480" t="s">
        <v>4039</v>
      </c>
      <c r="E480" t="s">
        <v>4040</v>
      </c>
      <c r="F480" t="s">
        <v>29</v>
      </c>
      <c r="G480" t="s">
        <v>4041</v>
      </c>
      <c r="H480" t="s">
        <v>4042</v>
      </c>
      <c r="I480">
        <v>6</v>
      </c>
      <c r="J480">
        <v>18</v>
      </c>
      <c r="K480">
        <v>402</v>
      </c>
      <c r="L480">
        <v>40221</v>
      </c>
      <c r="M480" t="s">
        <v>52</v>
      </c>
      <c r="N480" t="s">
        <v>29</v>
      </c>
      <c r="O480">
        <v>2035100</v>
      </c>
      <c r="P480" t="s">
        <v>3979</v>
      </c>
      <c r="Q480">
        <v>106867</v>
      </c>
      <c r="R480" t="s">
        <v>3980</v>
      </c>
      <c r="S480">
        <v>411</v>
      </c>
      <c r="T480" t="b">
        <v>0</v>
      </c>
      <c r="U480">
        <v>1</v>
      </c>
      <c r="V480">
        <v>1</v>
      </c>
      <c r="W480" t="s">
        <v>35</v>
      </c>
      <c r="X480" t="s">
        <v>29</v>
      </c>
      <c r="Y480" t="s">
        <v>4043</v>
      </c>
      <c r="Z480" t="s">
        <v>37</v>
      </c>
      <c r="AA480">
        <f>TwitterClean[[#This Row],[likes]]+TwitterClean[[#This Row],[replies]]+TwitterClean[[#This Row],[reposts]]+TwitterClean[[#This Row],[quotes]]+TwitterClean[[#This Row],[bookmarks]]</f>
        <v>428</v>
      </c>
      <c r="AB480" s="1">
        <f>TwitterClean[[#This Row],[Total_Engagements]]/TwitterClean[[#This Row],[views]]</f>
        <v>1.0641207329504488E-2</v>
      </c>
      <c r="AC480" s="3">
        <f>DATEVALUE(MID(TwitterClean[[#This Row],[date_posted]],2,10))</f>
        <v>45640</v>
      </c>
      <c r="AD480">
        <f>TIMEVALUE(MID(TwitterClean[[#This Row],[date_posted]],13,8))</f>
        <v>0.1221875</v>
      </c>
      <c r="AE480" s="3" t="str">
        <f>TEXT(TwitterClean[[#This Row],[Post_Date]],"dddd")</f>
        <v>Saturday</v>
      </c>
      <c r="AF480">
        <f>HOUR(TwitterClean[[#This Row],[Post_Time]])</f>
        <v>2</v>
      </c>
      <c r="AG480" t="str">
        <f>IF(TwitterClean[[#This Row],[videos]]="Null","No","Yes")</f>
        <v>Yes</v>
      </c>
      <c r="AH480" t="str">
        <f>IF(TwitterClean[[#This Row],[photos]]="null","No","Yes")</f>
        <v>No</v>
      </c>
      <c r="AI480" t="str">
        <f>IF(TwitterClean[[#This Row],[hashtags]]="null","No","Yes")</f>
        <v>No</v>
      </c>
      <c r="AJ480" t="str">
        <f>IF(TwitterClean[[#This Row],[external_url]]="null","Yes","No")</f>
        <v>No</v>
      </c>
      <c r="AK480">
        <f>LEN(TwitterClean[[#This Row],[description]])</f>
        <v>30</v>
      </c>
      <c r="AL480" t="str">
        <f>IF(TwitterClean[[#This Row],[followers]]&lt;100000,"&lt;100K",IF(TwitterClean[[#This Row],[followers]]&lt;1000000,"100K-1M",IF(TwitterClean[[#This Row],[followers]]&lt;10000000,"1M-10M","10M+")))</f>
        <v>1M-10M</v>
      </c>
    </row>
    <row r="481" spans="1:38">
      <c r="A481">
        <v>1.8681512493018895E+18</v>
      </c>
      <c r="B481" t="s">
        <v>3034</v>
      </c>
      <c r="C481" t="s">
        <v>3035</v>
      </c>
      <c r="D481" t="s">
        <v>5054</v>
      </c>
      <c r="E481" t="s">
        <v>5055</v>
      </c>
      <c r="F481" t="s">
        <v>5056</v>
      </c>
      <c r="G481" t="s">
        <v>5057</v>
      </c>
      <c r="H481" t="s">
        <v>3761</v>
      </c>
      <c r="I481">
        <v>42</v>
      </c>
      <c r="J481">
        <v>73</v>
      </c>
      <c r="K481">
        <v>1306</v>
      </c>
      <c r="L481">
        <v>136035</v>
      </c>
      <c r="M481" t="s">
        <v>52</v>
      </c>
      <c r="N481" t="s">
        <v>3040</v>
      </c>
      <c r="O481">
        <v>12876593</v>
      </c>
      <c r="P481" t="s">
        <v>3041</v>
      </c>
      <c r="Q481">
        <v>141401</v>
      </c>
      <c r="R481" t="s">
        <v>3042</v>
      </c>
      <c r="S481">
        <v>717</v>
      </c>
      <c r="T481" t="b">
        <v>0</v>
      </c>
      <c r="U481">
        <v>4</v>
      </c>
      <c r="V481">
        <v>19</v>
      </c>
      <c r="W481" t="s">
        <v>35</v>
      </c>
      <c r="X481" t="s">
        <v>29</v>
      </c>
      <c r="Y481" t="s">
        <v>29</v>
      </c>
      <c r="Z481" t="s">
        <v>37</v>
      </c>
      <c r="AA481">
        <f>TwitterClean[[#This Row],[likes]]+TwitterClean[[#This Row],[replies]]+TwitterClean[[#This Row],[reposts]]+TwitterClean[[#This Row],[quotes]]+TwitterClean[[#This Row],[bookmarks]]</f>
        <v>1444</v>
      </c>
      <c r="AB481" s="1">
        <f>TwitterClean[[#This Row],[Total_Engagements]]/TwitterClean[[#This Row],[views]]</f>
        <v>1.06149152791561E-2</v>
      </c>
      <c r="AC481" s="3">
        <f>DATEVALUE(MID(TwitterClean[[#This Row],[date_posted]],2,10))</f>
        <v>45641</v>
      </c>
      <c r="AD481">
        <f>TIMEVALUE(MID(TwitterClean[[#This Row],[date_posted]],13,8))</f>
        <v>0.18681712962962962</v>
      </c>
      <c r="AE481" s="3" t="str">
        <f>TEXT(TwitterClean[[#This Row],[Post_Date]],"dddd")</f>
        <v>Sunday</v>
      </c>
      <c r="AF481">
        <f>HOUR(TwitterClean[[#This Row],[Post_Time]])</f>
        <v>4</v>
      </c>
      <c r="AG481" t="str">
        <f>IF(TwitterClean[[#This Row],[videos]]="Null","No","Yes")</f>
        <v>No</v>
      </c>
      <c r="AH481" t="str">
        <f>IF(TwitterClean[[#This Row],[photos]]="null","No","Yes")</f>
        <v>Yes</v>
      </c>
      <c r="AI481" t="str">
        <f>IF(TwitterClean[[#This Row],[hashtags]]="null","No","Yes")</f>
        <v>Yes</v>
      </c>
      <c r="AJ481" t="str">
        <f>IF(TwitterClean[[#This Row],[external_url]]="null","Yes","No")</f>
        <v>No</v>
      </c>
      <c r="AK481">
        <f>LEN(TwitterClean[[#This Row],[description]])</f>
        <v>80</v>
      </c>
      <c r="AL481" t="str">
        <f>IF(TwitterClean[[#This Row],[followers]]&lt;100000,"&lt;100K",IF(TwitterClean[[#This Row],[followers]]&lt;1000000,"100K-1M",IF(TwitterClean[[#This Row],[followers]]&lt;10000000,"1M-10M","10M+")))</f>
        <v>10M+</v>
      </c>
    </row>
    <row r="482" spans="1:38">
      <c r="A482">
        <v>1.8675422843693757E+18</v>
      </c>
      <c r="B482" t="s">
        <v>2714</v>
      </c>
      <c r="C482" t="s">
        <v>2715</v>
      </c>
      <c r="D482" t="s">
        <v>2885</v>
      </c>
      <c r="E482" t="s">
        <v>2886</v>
      </c>
      <c r="F482" t="s">
        <v>2887</v>
      </c>
      <c r="G482" t="s">
        <v>2888</v>
      </c>
      <c r="H482" t="s">
        <v>2889</v>
      </c>
      <c r="I482">
        <v>7</v>
      </c>
      <c r="J482">
        <v>4</v>
      </c>
      <c r="K482">
        <v>33</v>
      </c>
      <c r="L482">
        <v>4534</v>
      </c>
      <c r="M482" t="s">
        <v>52</v>
      </c>
      <c r="N482" t="s">
        <v>29</v>
      </c>
      <c r="O482">
        <v>182895</v>
      </c>
      <c r="P482" t="s">
        <v>2720</v>
      </c>
      <c r="Q482">
        <v>30781</v>
      </c>
      <c r="R482" t="s">
        <v>2721</v>
      </c>
      <c r="S482">
        <v>559</v>
      </c>
      <c r="T482" t="b">
        <v>0</v>
      </c>
      <c r="U482">
        <v>3</v>
      </c>
      <c r="V482">
        <v>1</v>
      </c>
      <c r="W482" t="s">
        <v>35</v>
      </c>
      <c r="X482" t="s">
        <v>29</v>
      </c>
      <c r="Y482" t="s">
        <v>29</v>
      </c>
      <c r="Z482" t="s">
        <v>37</v>
      </c>
      <c r="AA482">
        <f>TwitterClean[[#This Row],[likes]]+TwitterClean[[#This Row],[replies]]+TwitterClean[[#This Row],[reposts]]+TwitterClean[[#This Row],[quotes]]+TwitterClean[[#This Row],[bookmarks]]</f>
        <v>48</v>
      </c>
      <c r="AB482" s="1">
        <f>TwitterClean[[#This Row],[Total_Engagements]]/TwitterClean[[#This Row],[views]]</f>
        <v>1.05866784296427E-2</v>
      </c>
      <c r="AC482" s="3">
        <f>DATEVALUE(MID(TwitterClean[[#This Row],[date_posted]],2,10))</f>
        <v>45639</v>
      </c>
      <c r="AD482">
        <f>TIMEVALUE(MID(TwitterClean[[#This Row],[date_posted]],13,8))</f>
        <v>0.50638888888888889</v>
      </c>
      <c r="AE482" s="3" t="str">
        <f>TEXT(TwitterClean[[#This Row],[Post_Date]],"dddd")</f>
        <v>Friday</v>
      </c>
      <c r="AF482">
        <f>HOUR(TwitterClean[[#This Row],[Post_Time]])</f>
        <v>12</v>
      </c>
      <c r="AG482" t="str">
        <f>IF(TwitterClean[[#This Row],[videos]]="Null","No","Yes")</f>
        <v>No</v>
      </c>
      <c r="AH482" t="str">
        <f>IF(TwitterClean[[#This Row],[photos]]="null","No","Yes")</f>
        <v>Yes</v>
      </c>
      <c r="AI482" t="str">
        <f>IF(TwitterClean[[#This Row],[hashtags]]="null","No","Yes")</f>
        <v>No</v>
      </c>
      <c r="AJ482" t="str">
        <f>IF(TwitterClean[[#This Row],[external_url]]="null","Yes","No")</f>
        <v>No</v>
      </c>
      <c r="AK482">
        <f>LEN(TwitterClean[[#This Row],[description]])</f>
        <v>180</v>
      </c>
      <c r="AL482" t="str">
        <f>IF(TwitterClean[[#This Row],[followers]]&lt;100000,"&lt;100K",IF(TwitterClean[[#This Row],[followers]]&lt;1000000,"100K-1M",IF(TwitterClean[[#This Row],[followers]]&lt;10000000,"1M-10M","10M+")))</f>
        <v>100K-1M</v>
      </c>
    </row>
    <row r="483" spans="1:38">
      <c r="A483">
        <v>1.8682572052267256E+18</v>
      </c>
      <c r="B483" t="s">
        <v>1464</v>
      </c>
      <c r="C483" t="s">
        <v>1465</v>
      </c>
      <c r="D483" t="s">
        <v>1466</v>
      </c>
      <c r="E483" t="s">
        <v>1467</v>
      </c>
      <c r="F483" t="s">
        <v>1468</v>
      </c>
      <c r="G483" t="s">
        <v>1469</v>
      </c>
      <c r="H483" t="s">
        <v>29</v>
      </c>
      <c r="I483">
        <v>5</v>
      </c>
      <c r="J483">
        <v>23</v>
      </c>
      <c r="K483">
        <v>145</v>
      </c>
      <c r="L483">
        <v>17227</v>
      </c>
      <c r="M483" t="s">
        <v>52</v>
      </c>
      <c r="N483" t="s">
        <v>1470</v>
      </c>
      <c r="O483">
        <v>60046</v>
      </c>
      <c r="P483" t="s">
        <v>1471</v>
      </c>
      <c r="Q483">
        <v>20517</v>
      </c>
      <c r="R483" t="s">
        <v>1472</v>
      </c>
      <c r="S483">
        <v>313</v>
      </c>
      <c r="T483" t="b">
        <v>0</v>
      </c>
      <c r="U483">
        <v>6</v>
      </c>
      <c r="V483">
        <v>2</v>
      </c>
      <c r="W483" t="s">
        <v>35</v>
      </c>
      <c r="X483" t="s">
        <v>29</v>
      </c>
      <c r="Y483" t="s">
        <v>29</v>
      </c>
      <c r="Z483" t="s">
        <v>37</v>
      </c>
      <c r="AA483">
        <f>TwitterClean[[#This Row],[likes]]+TwitterClean[[#This Row],[replies]]+TwitterClean[[#This Row],[reposts]]+TwitterClean[[#This Row],[quotes]]+TwitterClean[[#This Row],[bookmarks]]</f>
        <v>181</v>
      </c>
      <c r="AB483" s="1">
        <f>TwitterClean[[#This Row],[Total_Engagements]]/TwitterClean[[#This Row],[views]]</f>
        <v>1.0506762640041795E-2</v>
      </c>
      <c r="AC483" s="3">
        <f>DATEVALUE(MID(TwitterClean[[#This Row],[date_posted]],2,10))</f>
        <v>45641</v>
      </c>
      <c r="AD483">
        <f>TIMEVALUE(MID(TwitterClean[[#This Row],[date_posted]],13,8))</f>
        <v>0.47918981481481482</v>
      </c>
      <c r="AE483" s="3" t="str">
        <f>TEXT(TwitterClean[[#This Row],[Post_Date]],"dddd")</f>
        <v>Sunday</v>
      </c>
      <c r="AF483">
        <f>HOUR(TwitterClean[[#This Row],[Post_Time]])</f>
        <v>11</v>
      </c>
      <c r="AG483" t="str">
        <f>IF(TwitterClean[[#This Row],[videos]]="Null","No","Yes")</f>
        <v>No</v>
      </c>
      <c r="AH483" t="str">
        <f>IF(TwitterClean[[#This Row],[photos]]="null","No","Yes")</f>
        <v>Yes</v>
      </c>
      <c r="AI483" t="str">
        <f>IF(TwitterClean[[#This Row],[hashtags]]="null","No","Yes")</f>
        <v>Yes</v>
      </c>
      <c r="AJ483" t="str">
        <f>IF(TwitterClean[[#This Row],[external_url]]="null","Yes","No")</f>
        <v>No</v>
      </c>
      <c r="AK483">
        <f>LEN(TwitterClean[[#This Row],[description]])</f>
        <v>47</v>
      </c>
      <c r="AL483" t="str">
        <f>IF(TwitterClean[[#This Row],[followers]]&lt;100000,"&lt;100K",IF(TwitterClean[[#This Row],[followers]]&lt;1000000,"100K-1M",IF(TwitterClean[[#This Row],[followers]]&lt;10000000,"1M-10M","10M+")))</f>
        <v>&lt;100K</v>
      </c>
    </row>
    <row r="484" spans="1:38">
      <c r="A484">
        <v>1.8683640407385951E+18</v>
      </c>
      <c r="B484" t="s">
        <v>2230</v>
      </c>
      <c r="C484" t="s">
        <v>2231</v>
      </c>
      <c r="D484" t="s">
        <v>2574</v>
      </c>
      <c r="E484" t="s">
        <v>2575</v>
      </c>
      <c r="F484" t="s">
        <v>2576</v>
      </c>
      <c r="G484" t="s">
        <v>2577</v>
      </c>
      <c r="H484" t="s">
        <v>29</v>
      </c>
      <c r="I484">
        <v>58</v>
      </c>
      <c r="J484">
        <v>56</v>
      </c>
      <c r="K484">
        <v>157</v>
      </c>
      <c r="L484">
        <v>26593</v>
      </c>
      <c r="M484" t="s">
        <v>2578</v>
      </c>
      <c r="N484" t="s">
        <v>29</v>
      </c>
      <c r="O484">
        <v>3313888</v>
      </c>
      <c r="P484" t="s">
        <v>2237</v>
      </c>
      <c r="Q484">
        <v>706459</v>
      </c>
      <c r="R484" t="s">
        <v>2238</v>
      </c>
      <c r="S484">
        <v>10308</v>
      </c>
      <c r="T484" t="b">
        <v>0</v>
      </c>
      <c r="U484">
        <v>3</v>
      </c>
      <c r="V484">
        <v>3</v>
      </c>
      <c r="W484" t="s">
        <v>35</v>
      </c>
      <c r="X484" t="s">
        <v>29</v>
      </c>
      <c r="Y484" t="s">
        <v>29</v>
      </c>
      <c r="Z484" t="s">
        <v>37</v>
      </c>
      <c r="AA484">
        <f>TwitterClean[[#This Row],[likes]]+TwitterClean[[#This Row],[replies]]+TwitterClean[[#This Row],[reposts]]+TwitterClean[[#This Row],[quotes]]+TwitterClean[[#This Row],[bookmarks]]</f>
        <v>277</v>
      </c>
      <c r="AB484" s="1">
        <f>TwitterClean[[#This Row],[Total_Engagements]]/TwitterClean[[#This Row],[views]]</f>
        <v>1.0416274959575828E-2</v>
      </c>
      <c r="AC484" s="3">
        <f>DATEVALUE(MID(TwitterClean[[#This Row],[date_posted]],2,10))</f>
        <v>45641</v>
      </c>
      <c r="AD484">
        <f>TIMEVALUE(MID(TwitterClean[[#This Row],[date_posted]],13,8))</f>
        <v>0.77400462962962968</v>
      </c>
      <c r="AE484" s="3" t="str">
        <f>TEXT(TwitterClean[[#This Row],[Post_Date]],"dddd")</f>
        <v>Sunday</v>
      </c>
      <c r="AF484">
        <f>HOUR(TwitterClean[[#This Row],[Post_Time]])</f>
        <v>18</v>
      </c>
      <c r="AG484" t="str">
        <f>IF(TwitterClean[[#This Row],[videos]]="Null","No","Yes")</f>
        <v>No</v>
      </c>
      <c r="AH484" t="str">
        <f>IF(TwitterClean[[#This Row],[photos]]="null","No","Yes")</f>
        <v>Yes</v>
      </c>
      <c r="AI484" t="str">
        <f>IF(TwitterClean[[#This Row],[hashtags]]="null","No","Yes")</f>
        <v>No</v>
      </c>
      <c r="AJ484" t="str">
        <f>IF(TwitterClean[[#This Row],[external_url]]="null","Yes","No")</f>
        <v>No</v>
      </c>
      <c r="AK484">
        <f>LEN(TwitterClean[[#This Row],[description]])</f>
        <v>85</v>
      </c>
      <c r="AL484" t="str">
        <f>IF(TwitterClean[[#This Row],[followers]]&lt;100000,"&lt;100K",IF(TwitterClean[[#This Row],[followers]]&lt;1000000,"100K-1M",IF(TwitterClean[[#This Row],[followers]]&lt;10000000,"1M-10M","10M+")))</f>
        <v>1M-10M</v>
      </c>
    </row>
    <row r="485" spans="1:38">
      <c r="A485">
        <v>1.8684409582383557E+18</v>
      </c>
      <c r="B485" t="s">
        <v>1656</v>
      </c>
      <c r="C485" t="s">
        <v>1657</v>
      </c>
      <c r="D485" t="s">
        <v>1853</v>
      </c>
      <c r="E485" t="s">
        <v>1854</v>
      </c>
      <c r="F485" t="s">
        <v>29</v>
      </c>
      <c r="G485" t="s">
        <v>1855</v>
      </c>
      <c r="H485" t="s">
        <v>29</v>
      </c>
      <c r="I485">
        <v>19</v>
      </c>
      <c r="J485">
        <v>1</v>
      </c>
      <c r="K485">
        <v>71</v>
      </c>
      <c r="L485">
        <v>9154</v>
      </c>
      <c r="M485" t="s">
        <v>1856</v>
      </c>
      <c r="N485" t="s">
        <v>29</v>
      </c>
      <c r="O485">
        <v>2819409</v>
      </c>
      <c r="P485" t="s">
        <v>1662</v>
      </c>
      <c r="Q485">
        <v>286269</v>
      </c>
      <c r="R485" t="s">
        <v>1663</v>
      </c>
      <c r="S485">
        <v>4</v>
      </c>
      <c r="T485" t="b">
        <v>0</v>
      </c>
      <c r="U485">
        <v>2</v>
      </c>
      <c r="V485">
        <v>2</v>
      </c>
      <c r="W485" t="s">
        <v>35</v>
      </c>
      <c r="X485" t="s">
        <v>1857</v>
      </c>
      <c r="Y485" t="s">
        <v>29</v>
      </c>
      <c r="Z485" t="s">
        <v>37</v>
      </c>
      <c r="AA485">
        <f>TwitterClean[[#This Row],[likes]]+TwitterClean[[#This Row],[replies]]+TwitterClean[[#This Row],[reposts]]+TwitterClean[[#This Row],[quotes]]+TwitterClean[[#This Row],[bookmarks]]</f>
        <v>95</v>
      </c>
      <c r="AB485" s="1">
        <f>TwitterClean[[#This Row],[Total_Engagements]]/TwitterClean[[#This Row],[views]]</f>
        <v>1.0377976840725367E-2</v>
      </c>
      <c r="AC485" s="3">
        <f>DATEVALUE(MID(TwitterClean[[#This Row],[date_posted]],2,10))</f>
        <v>45641</v>
      </c>
      <c r="AD485">
        <f>TIMEVALUE(MID(TwitterClean[[#This Row],[date_posted]],13,8))</f>
        <v>0.98626157407407411</v>
      </c>
      <c r="AE485" s="3" t="str">
        <f>TEXT(TwitterClean[[#This Row],[Post_Date]],"dddd")</f>
        <v>Sunday</v>
      </c>
      <c r="AF485">
        <f>HOUR(TwitterClean[[#This Row],[Post_Time]])</f>
        <v>23</v>
      </c>
      <c r="AG485" t="str">
        <f>IF(TwitterClean[[#This Row],[videos]]="Null","No","Yes")</f>
        <v>No</v>
      </c>
      <c r="AH485" t="str">
        <f>IF(TwitterClean[[#This Row],[photos]]="null","No","Yes")</f>
        <v>No</v>
      </c>
      <c r="AI485" t="str">
        <f>IF(TwitterClean[[#This Row],[hashtags]]="null","No","Yes")</f>
        <v>No</v>
      </c>
      <c r="AJ485" t="str">
        <f>IF(TwitterClean[[#This Row],[external_url]]="null","Yes","No")</f>
        <v>No</v>
      </c>
      <c r="AK485">
        <f>LEN(TwitterClean[[#This Row],[description]])</f>
        <v>72</v>
      </c>
      <c r="AL485" t="str">
        <f>IF(TwitterClean[[#This Row],[followers]]&lt;100000,"&lt;100K",IF(TwitterClean[[#This Row],[followers]]&lt;1000000,"100K-1M",IF(TwitterClean[[#This Row],[followers]]&lt;10000000,"1M-10M","10M+")))</f>
        <v>1M-10M</v>
      </c>
    </row>
    <row r="486" spans="1:38">
      <c r="A486">
        <v>1.8442850442879962E+18</v>
      </c>
      <c r="B486" t="s">
        <v>4114</v>
      </c>
      <c r="C486" t="s">
        <v>4115</v>
      </c>
      <c r="D486" t="s">
        <v>4211</v>
      </c>
      <c r="E486" t="s">
        <v>4212</v>
      </c>
      <c r="F486" t="s">
        <v>29</v>
      </c>
      <c r="G486" t="s">
        <v>4213</v>
      </c>
      <c r="H486" t="s">
        <v>29</v>
      </c>
      <c r="I486">
        <v>51</v>
      </c>
      <c r="J486">
        <v>596</v>
      </c>
      <c r="K486">
        <v>1624</v>
      </c>
      <c r="L486">
        <v>248407</v>
      </c>
      <c r="M486" t="s">
        <v>52</v>
      </c>
      <c r="N486" t="s">
        <v>4214</v>
      </c>
      <c r="O486">
        <v>234568</v>
      </c>
      <c r="P486" t="s">
        <v>4121</v>
      </c>
      <c r="Q486">
        <v>102643</v>
      </c>
      <c r="R486" t="s">
        <v>4122</v>
      </c>
      <c r="S486">
        <v>5173</v>
      </c>
      <c r="T486" t="b">
        <v>0</v>
      </c>
      <c r="U486">
        <v>19</v>
      </c>
      <c r="V486">
        <v>278</v>
      </c>
      <c r="W486" t="s">
        <v>35</v>
      </c>
      <c r="X486" t="s">
        <v>29</v>
      </c>
      <c r="Y486" t="s">
        <v>4215</v>
      </c>
      <c r="Z486" t="s">
        <v>37</v>
      </c>
      <c r="AA486">
        <f>TwitterClean[[#This Row],[likes]]+TwitterClean[[#This Row],[replies]]+TwitterClean[[#This Row],[reposts]]+TwitterClean[[#This Row],[quotes]]+TwitterClean[[#This Row],[bookmarks]]</f>
        <v>2568</v>
      </c>
      <c r="AB486" s="1">
        <f>TwitterClean[[#This Row],[Total_Engagements]]/TwitterClean[[#This Row],[views]]</f>
        <v>1.0337872926286296E-2</v>
      </c>
      <c r="AC486" s="3">
        <f>DATEVALUE(MID(TwitterClean[[#This Row],[date_posted]],2,10))</f>
        <v>45575</v>
      </c>
      <c r="AD486">
        <f>TIMEVALUE(MID(TwitterClean[[#This Row],[date_posted]],13,8))</f>
        <v>0.32863425925925926</v>
      </c>
      <c r="AE486" s="3" t="str">
        <f>TEXT(TwitterClean[[#This Row],[Post_Date]],"dddd")</f>
        <v>Thursday</v>
      </c>
      <c r="AF486">
        <f>HOUR(TwitterClean[[#This Row],[Post_Time]])</f>
        <v>7</v>
      </c>
      <c r="AG486" t="str">
        <f>IF(TwitterClean[[#This Row],[videos]]="Null","No","Yes")</f>
        <v>Yes</v>
      </c>
      <c r="AH486" t="str">
        <f>IF(TwitterClean[[#This Row],[photos]]="null","No","Yes")</f>
        <v>No</v>
      </c>
      <c r="AI486" t="str">
        <f>IF(TwitterClean[[#This Row],[hashtags]]="null","No","Yes")</f>
        <v>Yes</v>
      </c>
      <c r="AJ486" t="str">
        <f>IF(TwitterClean[[#This Row],[external_url]]="null","Yes","No")</f>
        <v>No</v>
      </c>
      <c r="AK486">
        <f>LEN(TwitterClean[[#This Row],[description]])</f>
        <v>149</v>
      </c>
      <c r="AL486" t="str">
        <f>IF(TwitterClean[[#This Row],[followers]]&lt;100000,"&lt;100K",IF(TwitterClean[[#This Row],[followers]]&lt;1000000,"100K-1M",IF(TwitterClean[[#This Row],[followers]]&lt;10000000,"1M-10M","10M+")))</f>
        <v>100K-1M</v>
      </c>
    </row>
    <row r="487" spans="1:38">
      <c r="A487">
        <v>1.8683545119300652E+18</v>
      </c>
      <c r="B487" t="s">
        <v>2230</v>
      </c>
      <c r="C487" t="s">
        <v>2231</v>
      </c>
      <c r="D487" t="s">
        <v>2598</v>
      </c>
      <c r="E487" t="s">
        <v>2599</v>
      </c>
      <c r="F487" t="s">
        <v>2600</v>
      </c>
      <c r="G487" t="s">
        <v>2601</v>
      </c>
      <c r="H487" t="s">
        <v>29</v>
      </c>
      <c r="I487">
        <v>40</v>
      </c>
      <c r="J487">
        <v>16</v>
      </c>
      <c r="K487">
        <v>162</v>
      </c>
      <c r="L487">
        <v>21483</v>
      </c>
      <c r="M487" t="s">
        <v>2602</v>
      </c>
      <c r="N487" t="s">
        <v>29</v>
      </c>
      <c r="O487">
        <v>3313889</v>
      </c>
      <c r="P487" t="s">
        <v>2237</v>
      </c>
      <c r="Q487">
        <v>706459</v>
      </c>
      <c r="R487" t="s">
        <v>2238</v>
      </c>
      <c r="S487">
        <v>10308</v>
      </c>
      <c r="T487" t="b">
        <v>0</v>
      </c>
      <c r="U487">
        <v>1</v>
      </c>
      <c r="V487">
        <v>3</v>
      </c>
      <c r="W487" t="s">
        <v>35</v>
      </c>
      <c r="X487" t="s">
        <v>29</v>
      </c>
      <c r="Y487" t="s">
        <v>29</v>
      </c>
      <c r="Z487" t="s">
        <v>37</v>
      </c>
      <c r="AA487">
        <f>TwitterClean[[#This Row],[likes]]+TwitterClean[[#This Row],[replies]]+TwitterClean[[#This Row],[reposts]]+TwitterClean[[#This Row],[quotes]]+TwitterClean[[#This Row],[bookmarks]]</f>
        <v>222</v>
      </c>
      <c r="AB487" s="1">
        <f>TwitterClean[[#This Row],[Total_Engagements]]/TwitterClean[[#This Row],[views]]</f>
        <v>1.033375226923614E-2</v>
      </c>
      <c r="AC487" s="3">
        <f>DATEVALUE(MID(TwitterClean[[#This Row],[date_posted]],2,10))</f>
        <v>45641</v>
      </c>
      <c r="AD487">
        <f>TIMEVALUE(MID(TwitterClean[[#This Row],[date_posted]],13,8))</f>
        <v>0.74770833333333331</v>
      </c>
      <c r="AE487" s="3" t="str">
        <f>TEXT(TwitterClean[[#This Row],[Post_Date]],"dddd")</f>
        <v>Sunday</v>
      </c>
      <c r="AF487">
        <f>HOUR(TwitterClean[[#This Row],[Post_Time]])</f>
        <v>17</v>
      </c>
      <c r="AG487" t="str">
        <f>IF(TwitterClean[[#This Row],[videos]]="Null","No","Yes")</f>
        <v>No</v>
      </c>
      <c r="AH487" t="str">
        <f>IF(TwitterClean[[#This Row],[photos]]="null","No","Yes")</f>
        <v>Yes</v>
      </c>
      <c r="AI487" t="str">
        <f>IF(TwitterClean[[#This Row],[hashtags]]="null","No","Yes")</f>
        <v>No</v>
      </c>
      <c r="AJ487" t="str">
        <f>IF(TwitterClean[[#This Row],[external_url]]="null","Yes","No")</f>
        <v>No</v>
      </c>
      <c r="AK487">
        <f>LEN(TwitterClean[[#This Row],[description]])</f>
        <v>65</v>
      </c>
      <c r="AL487" t="str">
        <f>IF(TwitterClean[[#This Row],[followers]]&lt;100000,"&lt;100K",IF(TwitterClean[[#This Row],[followers]]&lt;1000000,"100K-1M",IF(TwitterClean[[#This Row],[followers]]&lt;10000000,"1M-10M","10M+")))</f>
        <v>1M-10M</v>
      </c>
    </row>
    <row r="488" spans="1:38">
      <c r="A488">
        <v>1.8682209595154271E+18</v>
      </c>
      <c r="B488" t="s">
        <v>1267</v>
      </c>
      <c r="C488" t="s">
        <v>1268</v>
      </c>
      <c r="D488" t="s">
        <v>1611</v>
      </c>
      <c r="E488" t="s">
        <v>1612</v>
      </c>
      <c r="F488" t="s">
        <v>1613</v>
      </c>
      <c r="G488" t="s">
        <v>1614</v>
      </c>
      <c r="H488" t="s">
        <v>29</v>
      </c>
      <c r="I488">
        <v>337</v>
      </c>
      <c r="J488">
        <v>861</v>
      </c>
      <c r="K488">
        <v>7699</v>
      </c>
      <c r="L488">
        <v>889292</v>
      </c>
      <c r="M488" t="s">
        <v>52</v>
      </c>
      <c r="N488" t="s">
        <v>1273</v>
      </c>
      <c r="O488">
        <v>17891377</v>
      </c>
      <c r="P488" t="s">
        <v>1274</v>
      </c>
      <c r="Q488">
        <v>168939</v>
      </c>
      <c r="R488" t="s">
        <v>1275</v>
      </c>
      <c r="S488">
        <v>47365</v>
      </c>
      <c r="T488" t="b">
        <v>0</v>
      </c>
      <c r="U488">
        <v>183</v>
      </c>
      <c r="V488">
        <v>46</v>
      </c>
      <c r="W488" t="s">
        <v>35</v>
      </c>
      <c r="X488" t="s">
        <v>29</v>
      </c>
      <c r="Y488" t="s">
        <v>29</v>
      </c>
      <c r="Z488" t="s">
        <v>37</v>
      </c>
      <c r="AA488">
        <f>TwitterClean[[#This Row],[likes]]+TwitterClean[[#This Row],[replies]]+TwitterClean[[#This Row],[reposts]]+TwitterClean[[#This Row],[quotes]]+TwitterClean[[#This Row],[bookmarks]]</f>
        <v>9126</v>
      </c>
      <c r="AB488" s="1">
        <f>TwitterClean[[#This Row],[Total_Engagements]]/TwitterClean[[#This Row],[views]]</f>
        <v>1.0262096139400781E-2</v>
      </c>
      <c r="AC488" s="3">
        <f>DATEVALUE(MID(TwitterClean[[#This Row],[date_posted]],2,10))</f>
        <v>45641</v>
      </c>
      <c r="AD488">
        <f>TIMEVALUE(MID(TwitterClean[[#This Row],[date_posted]],13,8))</f>
        <v>0.37917824074074075</v>
      </c>
      <c r="AE488" s="3" t="str">
        <f>TEXT(TwitterClean[[#This Row],[Post_Date]],"dddd")</f>
        <v>Sunday</v>
      </c>
      <c r="AF488">
        <f>HOUR(TwitterClean[[#This Row],[Post_Time]])</f>
        <v>9</v>
      </c>
      <c r="AG488" t="str">
        <f>IF(TwitterClean[[#This Row],[videos]]="Null","No","Yes")</f>
        <v>No</v>
      </c>
      <c r="AH488" t="str">
        <f>IF(TwitterClean[[#This Row],[photos]]="null","No","Yes")</f>
        <v>Yes</v>
      </c>
      <c r="AI488" t="str">
        <f>IF(TwitterClean[[#This Row],[hashtags]]="null","No","Yes")</f>
        <v>Yes</v>
      </c>
      <c r="AJ488" t="str">
        <f>IF(TwitterClean[[#This Row],[external_url]]="null","Yes","No")</f>
        <v>No</v>
      </c>
      <c r="AK488">
        <f>LEN(TwitterClean[[#This Row],[description]])</f>
        <v>27</v>
      </c>
      <c r="AL488" t="str">
        <f>IF(TwitterClean[[#This Row],[followers]]&lt;100000,"&lt;100K",IF(TwitterClean[[#This Row],[followers]]&lt;1000000,"100K-1M",IF(TwitterClean[[#This Row],[followers]]&lt;10000000,"1M-10M","10M+")))</f>
        <v>10M+</v>
      </c>
    </row>
    <row r="489" spans="1:38">
      <c r="A489">
        <v>1.8659760623472602E+18</v>
      </c>
      <c r="B489" t="s">
        <v>547</v>
      </c>
      <c r="C489" t="s">
        <v>548</v>
      </c>
      <c r="D489" t="s">
        <v>2708</v>
      </c>
      <c r="E489" t="s">
        <v>2709</v>
      </c>
      <c r="F489" t="s">
        <v>2710</v>
      </c>
      <c r="G489" t="s">
        <v>2711</v>
      </c>
      <c r="H489" t="s">
        <v>29</v>
      </c>
      <c r="I489">
        <v>28</v>
      </c>
      <c r="J489">
        <v>6</v>
      </c>
      <c r="K489">
        <v>209</v>
      </c>
      <c r="L489">
        <v>23924</v>
      </c>
      <c r="M489" t="s">
        <v>2712</v>
      </c>
      <c r="N489" t="s">
        <v>2713</v>
      </c>
      <c r="O489">
        <v>4017749</v>
      </c>
      <c r="P489" t="s">
        <v>555</v>
      </c>
      <c r="Q489">
        <v>216531</v>
      </c>
      <c r="R489" t="s">
        <v>556</v>
      </c>
      <c r="S489">
        <v>214</v>
      </c>
      <c r="T489" t="b">
        <v>0</v>
      </c>
      <c r="U489">
        <v>0</v>
      </c>
      <c r="V489">
        <v>2</v>
      </c>
      <c r="W489" t="s">
        <v>35</v>
      </c>
      <c r="X489" t="s">
        <v>29</v>
      </c>
      <c r="Y489" t="s">
        <v>29</v>
      </c>
      <c r="Z489" t="s">
        <v>37</v>
      </c>
      <c r="AA489">
        <f>TwitterClean[[#This Row],[likes]]+TwitterClean[[#This Row],[replies]]+TwitterClean[[#This Row],[reposts]]+TwitterClean[[#This Row],[quotes]]+TwitterClean[[#This Row],[bookmarks]]</f>
        <v>245</v>
      </c>
      <c r="AB489" s="1">
        <f>TwitterClean[[#This Row],[Total_Engagements]]/TwitterClean[[#This Row],[views]]</f>
        <v>1.0240762414311988E-2</v>
      </c>
      <c r="AC489" s="3">
        <f>DATEVALUE(MID(TwitterClean[[#This Row],[date_posted]],2,10))</f>
        <v>45635</v>
      </c>
      <c r="AD489">
        <f>TIMEVALUE(MID(TwitterClean[[#This Row],[date_posted]],13,8))</f>
        <v>0.18444444444444444</v>
      </c>
      <c r="AE489" s="3" t="str">
        <f>TEXT(TwitterClean[[#This Row],[Post_Date]],"dddd")</f>
        <v>Monday</v>
      </c>
      <c r="AF489">
        <f>HOUR(TwitterClean[[#This Row],[Post_Time]])</f>
        <v>4</v>
      </c>
      <c r="AG489" t="str">
        <f>IF(TwitterClean[[#This Row],[videos]]="Null","No","Yes")</f>
        <v>No</v>
      </c>
      <c r="AH489" t="str">
        <f>IF(TwitterClean[[#This Row],[photos]]="null","No","Yes")</f>
        <v>Yes</v>
      </c>
      <c r="AI489" t="str">
        <f>IF(TwitterClean[[#This Row],[hashtags]]="null","No","Yes")</f>
        <v>Yes</v>
      </c>
      <c r="AJ489" t="str">
        <f>IF(TwitterClean[[#This Row],[external_url]]="null","Yes","No")</f>
        <v>No</v>
      </c>
      <c r="AK489">
        <f>LEN(TwitterClean[[#This Row],[description]])</f>
        <v>110</v>
      </c>
      <c r="AL489" t="str">
        <f>IF(TwitterClean[[#This Row],[followers]]&lt;100000,"&lt;100K",IF(TwitterClean[[#This Row],[followers]]&lt;1000000,"100K-1M",IF(TwitterClean[[#This Row],[followers]]&lt;10000000,"1M-10M","10M+")))</f>
        <v>1M-10M</v>
      </c>
    </row>
    <row r="490" spans="1:38">
      <c r="A490">
        <v>1.8683770488400732E+18</v>
      </c>
      <c r="B490" t="s">
        <v>4831</v>
      </c>
      <c r="C490" t="s">
        <v>4832</v>
      </c>
      <c r="D490" t="s">
        <v>4833</v>
      </c>
      <c r="E490" t="s">
        <v>4834</v>
      </c>
      <c r="F490" t="s">
        <v>4835</v>
      </c>
      <c r="G490" t="s">
        <v>4836</v>
      </c>
      <c r="H490" t="s">
        <v>29</v>
      </c>
      <c r="I490">
        <v>3</v>
      </c>
      <c r="J490">
        <v>2</v>
      </c>
      <c r="K490">
        <v>93</v>
      </c>
      <c r="L490">
        <v>9962</v>
      </c>
      <c r="M490" t="s">
        <v>52</v>
      </c>
      <c r="N490" t="s">
        <v>143</v>
      </c>
      <c r="O490">
        <v>1641578</v>
      </c>
      <c r="P490" t="s">
        <v>4837</v>
      </c>
      <c r="Q490">
        <v>47630</v>
      </c>
      <c r="R490" t="s">
        <v>4838</v>
      </c>
      <c r="S490">
        <v>598</v>
      </c>
      <c r="T490" t="b">
        <v>0</v>
      </c>
      <c r="U490">
        <v>1</v>
      </c>
      <c r="V490">
        <v>3</v>
      </c>
      <c r="W490" t="s">
        <v>35</v>
      </c>
      <c r="X490" t="s">
        <v>29</v>
      </c>
      <c r="Y490" t="s">
        <v>29</v>
      </c>
      <c r="Z490" t="s">
        <v>37</v>
      </c>
      <c r="AA490">
        <f>TwitterClean[[#This Row],[likes]]+TwitterClean[[#This Row],[replies]]+TwitterClean[[#This Row],[reposts]]+TwitterClean[[#This Row],[quotes]]+TwitterClean[[#This Row],[bookmarks]]</f>
        <v>102</v>
      </c>
      <c r="AB490" s="1">
        <f>TwitterClean[[#This Row],[Total_Engagements]]/TwitterClean[[#This Row],[views]]</f>
        <v>1.0238907849829351E-2</v>
      </c>
      <c r="AC490" s="3">
        <f>DATEVALUE(MID(TwitterClean[[#This Row],[date_posted]],2,10))</f>
        <v>45641</v>
      </c>
      <c r="AD490">
        <f>TIMEVALUE(MID(TwitterClean[[#This Row],[date_posted]],13,8))</f>
        <v>0.80989583333333337</v>
      </c>
      <c r="AE490" s="3" t="str">
        <f>TEXT(TwitterClean[[#This Row],[Post_Date]],"dddd")</f>
        <v>Sunday</v>
      </c>
      <c r="AF490">
        <f>HOUR(TwitterClean[[#This Row],[Post_Time]])</f>
        <v>19</v>
      </c>
      <c r="AG490" t="str">
        <f>IF(TwitterClean[[#This Row],[videos]]="Null","No","Yes")</f>
        <v>No</v>
      </c>
      <c r="AH490" t="str">
        <f>IF(TwitterClean[[#This Row],[photos]]="null","No","Yes")</f>
        <v>Yes</v>
      </c>
      <c r="AI490" t="str">
        <f>IF(TwitterClean[[#This Row],[hashtags]]="null","No","Yes")</f>
        <v>Yes</v>
      </c>
      <c r="AJ490" t="str">
        <f>IF(TwitterClean[[#This Row],[external_url]]="null","Yes","No")</f>
        <v>No</v>
      </c>
      <c r="AK490">
        <f>LEN(TwitterClean[[#This Row],[description]])</f>
        <v>92</v>
      </c>
      <c r="AL490" t="str">
        <f>IF(TwitterClean[[#This Row],[followers]]&lt;100000,"&lt;100K",IF(TwitterClean[[#This Row],[followers]]&lt;1000000,"100K-1M",IF(TwitterClean[[#This Row],[followers]]&lt;10000000,"1M-10M","10M+")))</f>
        <v>1M-10M</v>
      </c>
    </row>
    <row r="491" spans="1:38">
      <c r="A491">
        <v>1.8683422220617075E+18</v>
      </c>
      <c r="B491" t="s">
        <v>1267</v>
      </c>
      <c r="C491" t="s">
        <v>1268</v>
      </c>
      <c r="D491" t="s">
        <v>4425</v>
      </c>
      <c r="E491" t="s">
        <v>4426</v>
      </c>
      <c r="F491" t="s">
        <v>29</v>
      </c>
      <c r="G491" t="s">
        <v>4427</v>
      </c>
      <c r="H491" t="s">
        <v>29</v>
      </c>
      <c r="I491">
        <v>196</v>
      </c>
      <c r="J491">
        <v>882</v>
      </c>
      <c r="K491">
        <v>3433</v>
      </c>
      <c r="L491">
        <v>459727</v>
      </c>
      <c r="M491" t="s">
        <v>52</v>
      </c>
      <c r="N491" t="s">
        <v>1273</v>
      </c>
      <c r="O491">
        <v>17891376</v>
      </c>
      <c r="P491" t="s">
        <v>1274</v>
      </c>
      <c r="Q491">
        <v>168939</v>
      </c>
      <c r="R491" t="s">
        <v>1275</v>
      </c>
      <c r="S491">
        <v>47365</v>
      </c>
      <c r="T491" t="b">
        <v>0</v>
      </c>
      <c r="U491">
        <v>182</v>
      </c>
      <c r="V491">
        <v>14</v>
      </c>
      <c r="W491" t="s">
        <v>35</v>
      </c>
      <c r="X491" t="s">
        <v>29</v>
      </c>
      <c r="Y491" t="s">
        <v>4428</v>
      </c>
      <c r="Z491" t="s">
        <v>37</v>
      </c>
      <c r="AA491">
        <f>TwitterClean[[#This Row],[likes]]+TwitterClean[[#This Row],[replies]]+TwitterClean[[#This Row],[reposts]]+TwitterClean[[#This Row],[quotes]]+TwitterClean[[#This Row],[bookmarks]]</f>
        <v>4707</v>
      </c>
      <c r="AB491" s="1">
        <f>TwitterClean[[#This Row],[Total_Engagements]]/TwitterClean[[#This Row],[views]]</f>
        <v>1.0238685132698318E-2</v>
      </c>
      <c r="AC491" s="3">
        <f>DATEVALUE(MID(TwitterClean[[#This Row],[date_posted]],2,10))</f>
        <v>45641</v>
      </c>
      <c r="AD491">
        <f>TIMEVALUE(MID(TwitterClean[[#This Row],[date_posted]],13,8))</f>
        <v>0.71379629629629626</v>
      </c>
      <c r="AE491" s="3" t="str">
        <f>TEXT(TwitterClean[[#This Row],[Post_Date]],"dddd")</f>
        <v>Sunday</v>
      </c>
      <c r="AF491">
        <f>HOUR(TwitterClean[[#This Row],[Post_Time]])</f>
        <v>17</v>
      </c>
      <c r="AG491" t="str">
        <f>IF(TwitterClean[[#This Row],[videos]]="Null","No","Yes")</f>
        <v>Yes</v>
      </c>
      <c r="AH491" t="str">
        <f>IF(TwitterClean[[#This Row],[photos]]="null","No","Yes")</f>
        <v>No</v>
      </c>
      <c r="AI491" t="str">
        <f>IF(TwitterClean[[#This Row],[hashtags]]="null","No","Yes")</f>
        <v>Yes</v>
      </c>
      <c r="AJ491" t="str">
        <f>IF(TwitterClean[[#This Row],[external_url]]="null","Yes","No")</f>
        <v>No</v>
      </c>
      <c r="AK491">
        <f>LEN(TwitterClean[[#This Row],[description]])</f>
        <v>38</v>
      </c>
      <c r="AL491" t="str">
        <f>IF(TwitterClean[[#This Row],[followers]]&lt;100000,"&lt;100K",IF(TwitterClean[[#This Row],[followers]]&lt;1000000,"100K-1M",IF(TwitterClean[[#This Row],[followers]]&lt;10000000,"1M-10M","10M+")))</f>
        <v>10M+</v>
      </c>
    </row>
    <row r="492" spans="1:38">
      <c r="A492">
        <v>1.8659574352041088E+18</v>
      </c>
      <c r="B492" t="s">
        <v>249</v>
      </c>
      <c r="C492" t="s">
        <v>249</v>
      </c>
      <c r="D492" t="s">
        <v>250</v>
      </c>
      <c r="E492" t="s">
        <v>251</v>
      </c>
      <c r="F492" t="s">
        <v>252</v>
      </c>
      <c r="G492" t="s">
        <v>253</v>
      </c>
      <c r="H492" t="s">
        <v>254</v>
      </c>
      <c r="I492">
        <v>22</v>
      </c>
      <c r="J492">
        <v>64</v>
      </c>
      <c r="K492">
        <v>907</v>
      </c>
      <c r="L492">
        <v>97855</v>
      </c>
      <c r="M492" t="s">
        <v>52</v>
      </c>
      <c r="N492" t="s">
        <v>29</v>
      </c>
      <c r="O492">
        <v>7196578</v>
      </c>
      <c r="P492" t="s">
        <v>255</v>
      </c>
      <c r="Q492">
        <v>258759</v>
      </c>
      <c r="R492" t="s">
        <v>256</v>
      </c>
      <c r="S492">
        <v>2150</v>
      </c>
      <c r="T492" t="b">
        <v>0</v>
      </c>
      <c r="U492">
        <v>3</v>
      </c>
      <c r="V492">
        <v>3</v>
      </c>
      <c r="W492" t="s">
        <v>35</v>
      </c>
      <c r="X492" t="s">
        <v>29</v>
      </c>
      <c r="Y492" t="s">
        <v>29</v>
      </c>
      <c r="Z492" t="s">
        <v>37</v>
      </c>
      <c r="AA492">
        <f>TwitterClean[[#This Row],[likes]]+TwitterClean[[#This Row],[replies]]+TwitterClean[[#This Row],[reposts]]+TwitterClean[[#This Row],[quotes]]+TwitterClean[[#This Row],[bookmarks]]</f>
        <v>999</v>
      </c>
      <c r="AB492" s="1">
        <f>TwitterClean[[#This Row],[Total_Engagements]]/TwitterClean[[#This Row],[views]]</f>
        <v>1.0208982678452813E-2</v>
      </c>
      <c r="AC492" s="3">
        <f>DATEVALUE(MID(TwitterClean[[#This Row],[date_posted]],2,10))</f>
        <v>45635</v>
      </c>
      <c r="AD492">
        <f>TIMEVALUE(MID(TwitterClean[[#This Row],[date_posted]],13,8))</f>
        <v>0.13304398148148147</v>
      </c>
      <c r="AE492" s="3" t="str">
        <f>TEXT(TwitterClean[[#This Row],[Post_Date]],"dddd")</f>
        <v>Monday</v>
      </c>
      <c r="AF492">
        <f>HOUR(TwitterClean[[#This Row],[Post_Time]])</f>
        <v>3</v>
      </c>
      <c r="AG492" t="str">
        <f>IF(TwitterClean[[#This Row],[videos]]="Null","No","Yes")</f>
        <v>No</v>
      </c>
      <c r="AH492" t="str">
        <f>IF(TwitterClean[[#This Row],[photos]]="null","No","Yes")</f>
        <v>Yes</v>
      </c>
      <c r="AI492" t="str">
        <f>IF(TwitterClean[[#This Row],[hashtags]]="null","No","Yes")</f>
        <v>No</v>
      </c>
      <c r="AJ492" t="str">
        <f>IF(TwitterClean[[#This Row],[external_url]]="null","Yes","No")</f>
        <v>No</v>
      </c>
      <c r="AK492">
        <f>LEN(TwitterClean[[#This Row],[description]])</f>
        <v>38</v>
      </c>
      <c r="AL492" t="str">
        <f>IF(TwitterClean[[#This Row],[followers]]&lt;100000,"&lt;100K",IF(TwitterClean[[#This Row],[followers]]&lt;1000000,"100K-1M",IF(TwitterClean[[#This Row],[followers]]&lt;10000000,"1M-10M","10M+")))</f>
        <v>1M-10M</v>
      </c>
    </row>
    <row r="493" spans="1:38">
      <c r="A493">
        <v>1.8660211267381581E+18</v>
      </c>
      <c r="B493" t="s">
        <v>4376</v>
      </c>
      <c r="C493" t="s">
        <v>4377</v>
      </c>
      <c r="D493" t="s">
        <v>4378</v>
      </c>
      <c r="E493" t="s">
        <v>4379</v>
      </c>
      <c r="F493" t="s">
        <v>4380</v>
      </c>
      <c r="G493" t="s">
        <v>4381</v>
      </c>
      <c r="H493" t="s">
        <v>29</v>
      </c>
      <c r="I493">
        <v>0</v>
      </c>
      <c r="J493">
        <v>3</v>
      </c>
      <c r="K493">
        <v>5</v>
      </c>
      <c r="L493">
        <v>1078</v>
      </c>
      <c r="M493" t="s">
        <v>4382</v>
      </c>
      <c r="N493" t="s">
        <v>4383</v>
      </c>
      <c r="O493">
        <v>128359</v>
      </c>
      <c r="P493" t="s">
        <v>4384</v>
      </c>
      <c r="Q493">
        <v>38582</v>
      </c>
      <c r="R493" t="s">
        <v>4385</v>
      </c>
      <c r="S493">
        <v>45</v>
      </c>
      <c r="T493" t="b">
        <v>0</v>
      </c>
      <c r="U493">
        <v>2</v>
      </c>
      <c r="V493">
        <v>1</v>
      </c>
      <c r="W493" t="s">
        <v>35</v>
      </c>
      <c r="X493" t="s">
        <v>29</v>
      </c>
      <c r="Y493" t="s">
        <v>29</v>
      </c>
      <c r="Z493" t="s">
        <v>37</v>
      </c>
      <c r="AA493">
        <f>TwitterClean[[#This Row],[likes]]+TwitterClean[[#This Row],[replies]]+TwitterClean[[#This Row],[reposts]]+TwitterClean[[#This Row],[quotes]]+TwitterClean[[#This Row],[bookmarks]]</f>
        <v>11</v>
      </c>
      <c r="AB493" s="1">
        <f>TwitterClean[[#This Row],[Total_Engagements]]/TwitterClean[[#This Row],[views]]</f>
        <v>1.020408163265306E-2</v>
      </c>
      <c r="AC493" s="3">
        <f>DATEVALUE(MID(TwitterClean[[#This Row],[date_posted]],2,10))</f>
        <v>45635</v>
      </c>
      <c r="AD493">
        <f>TIMEVALUE(MID(TwitterClean[[#This Row],[date_posted]],13,8))</f>
        <v>0.30879629629629629</v>
      </c>
      <c r="AE493" s="3" t="str">
        <f>TEXT(TwitterClean[[#This Row],[Post_Date]],"dddd")</f>
        <v>Monday</v>
      </c>
      <c r="AF493">
        <f>HOUR(TwitterClean[[#This Row],[Post_Time]])</f>
        <v>7</v>
      </c>
      <c r="AG493" t="str">
        <f>IF(TwitterClean[[#This Row],[videos]]="Null","No","Yes")</f>
        <v>No</v>
      </c>
      <c r="AH493" t="str">
        <f>IF(TwitterClean[[#This Row],[photos]]="null","No","Yes")</f>
        <v>Yes</v>
      </c>
      <c r="AI493" t="str">
        <f>IF(TwitterClean[[#This Row],[hashtags]]="null","No","Yes")</f>
        <v>Yes</v>
      </c>
      <c r="AJ493" t="str">
        <f>IF(TwitterClean[[#This Row],[external_url]]="null","Yes","No")</f>
        <v>No</v>
      </c>
      <c r="AK493">
        <f>LEN(TwitterClean[[#This Row],[description]])</f>
        <v>197</v>
      </c>
      <c r="AL493" t="str">
        <f>IF(TwitterClean[[#This Row],[followers]]&lt;100000,"&lt;100K",IF(TwitterClean[[#This Row],[followers]]&lt;1000000,"100K-1M",IF(TwitterClean[[#This Row],[followers]]&lt;10000000,"1M-10M","10M+")))</f>
        <v>100K-1M</v>
      </c>
    </row>
    <row r="494" spans="1:38">
      <c r="A494">
        <v>1.868497483019764E+18</v>
      </c>
      <c r="B494" t="s">
        <v>2824</v>
      </c>
      <c r="C494" t="s">
        <v>2825</v>
      </c>
      <c r="D494" t="s">
        <v>2826</v>
      </c>
      <c r="E494" t="s">
        <v>2827</v>
      </c>
      <c r="F494" t="s">
        <v>2828</v>
      </c>
      <c r="G494" t="s">
        <v>2829</v>
      </c>
      <c r="H494" t="s">
        <v>29</v>
      </c>
      <c r="I494">
        <v>3</v>
      </c>
      <c r="J494">
        <v>3</v>
      </c>
      <c r="K494">
        <v>6</v>
      </c>
      <c r="L494">
        <v>1866</v>
      </c>
      <c r="M494" t="s">
        <v>52</v>
      </c>
      <c r="N494" t="s">
        <v>29</v>
      </c>
      <c r="O494">
        <v>19982</v>
      </c>
      <c r="P494" t="s">
        <v>2830</v>
      </c>
      <c r="Q494">
        <v>6435</v>
      </c>
      <c r="R494" t="s">
        <v>2831</v>
      </c>
      <c r="S494">
        <v>416</v>
      </c>
      <c r="T494" t="b">
        <v>0</v>
      </c>
      <c r="U494">
        <v>1</v>
      </c>
      <c r="V494">
        <v>6</v>
      </c>
      <c r="W494" t="s">
        <v>35</v>
      </c>
      <c r="X494" t="s">
        <v>29</v>
      </c>
      <c r="Y494" t="s">
        <v>2832</v>
      </c>
      <c r="Z494" t="s">
        <v>2833</v>
      </c>
      <c r="AA494">
        <f>TwitterClean[[#This Row],[likes]]+TwitterClean[[#This Row],[replies]]+TwitterClean[[#This Row],[reposts]]+TwitterClean[[#This Row],[quotes]]+TwitterClean[[#This Row],[bookmarks]]</f>
        <v>19</v>
      </c>
      <c r="AB494" s="1">
        <f>TwitterClean[[#This Row],[Total_Engagements]]/TwitterClean[[#This Row],[views]]</f>
        <v>1.0182207931404072E-2</v>
      </c>
      <c r="AC494" s="3">
        <f>DATEVALUE(MID(TwitterClean[[#This Row],[date_posted]],2,10))</f>
        <v>45642</v>
      </c>
      <c r="AD494">
        <f>TIMEVALUE(MID(TwitterClean[[#This Row],[date_posted]],13,8))</f>
        <v>0.14223379629629629</v>
      </c>
      <c r="AE494" s="3" t="str">
        <f>TEXT(TwitterClean[[#This Row],[Post_Date]],"dddd")</f>
        <v>Monday</v>
      </c>
      <c r="AF494">
        <f>HOUR(TwitterClean[[#This Row],[Post_Time]])</f>
        <v>3</v>
      </c>
      <c r="AG494" t="str">
        <f>IF(TwitterClean[[#This Row],[videos]]="Null","No","Yes")</f>
        <v>Yes</v>
      </c>
      <c r="AH494" t="str">
        <f>IF(TwitterClean[[#This Row],[photos]]="null","No","Yes")</f>
        <v>Yes</v>
      </c>
      <c r="AI494" t="str">
        <f>IF(TwitterClean[[#This Row],[hashtags]]="null","No","Yes")</f>
        <v>No</v>
      </c>
      <c r="AJ494" t="str">
        <f>IF(TwitterClean[[#This Row],[external_url]]="null","Yes","No")</f>
        <v>No</v>
      </c>
      <c r="AK494">
        <f>LEN(TwitterClean[[#This Row],[description]])</f>
        <v>388</v>
      </c>
      <c r="AL494" t="str">
        <f>IF(TwitterClean[[#This Row],[followers]]&lt;100000,"&lt;100K",IF(TwitterClean[[#This Row],[followers]]&lt;1000000,"100K-1M",IF(TwitterClean[[#This Row],[followers]]&lt;10000000,"1M-10M","10M+")))</f>
        <v>&lt;100K</v>
      </c>
    </row>
    <row r="495" spans="1:38">
      <c r="A495">
        <v>1.8683306962566597E+18</v>
      </c>
      <c r="B495" t="s">
        <v>2994</v>
      </c>
      <c r="C495" t="s">
        <v>2995</v>
      </c>
      <c r="D495" t="s">
        <v>5152</v>
      </c>
      <c r="E495" t="s">
        <v>5153</v>
      </c>
      <c r="F495" t="s">
        <v>5154</v>
      </c>
      <c r="G495" t="s">
        <v>5155</v>
      </c>
      <c r="H495" t="s">
        <v>29</v>
      </c>
      <c r="I495">
        <v>91</v>
      </c>
      <c r="J495">
        <v>111</v>
      </c>
      <c r="K495">
        <v>1140</v>
      </c>
      <c r="L495">
        <v>133706</v>
      </c>
      <c r="M495" t="s">
        <v>4643</v>
      </c>
      <c r="N495" t="s">
        <v>3174</v>
      </c>
      <c r="O495">
        <v>812161</v>
      </c>
      <c r="P495" t="s">
        <v>3000</v>
      </c>
      <c r="Q495">
        <v>110924</v>
      </c>
      <c r="R495" t="s">
        <v>3001</v>
      </c>
      <c r="S495">
        <v>322</v>
      </c>
      <c r="T495" t="b">
        <v>0</v>
      </c>
      <c r="U495">
        <v>18</v>
      </c>
      <c r="V495">
        <v>1</v>
      </c>
      <c r="W495" t="s">
        <v>35</v>
      </c>
      <c r="X495" t="s">
        <v>29</v>
      </c>
      <c r="Y495" t="s">
        <v>29</v>
      </c>
      <c r="Z495" t="s">
        <v>37</v>
      </c>
      <c r="AA495">
        <f>TwitterClean[[#This Row],[likes]]+TwitterClean[[#This Row],[replies]]+TwitterClean[[#This Row],[reposts]]+TwitterClean[[#This Row],[quotes]]+TwitterClean[[#This Row],[bookmarks]]</f>
        <v>1361</v>
      </c>
      <c r="AB495" s="1">
        <f>TwitterClean[[#This Row],[Total_Engagements]]/TwitterClean[[#This Row],[views]]</f>
        <v>1.0179049556489612E-2</v>
      </c>
      <c r="AC495" s="3">
        <f>DATEVALUE(MID(TwitterClean[[#This Row],[date_posted]],2,10))</f>
        <v>45641</v>
      </c>
      <c r="AD495">
        <f>TIMEVALUE(MID(TwitterClean[[#This Row],[date_posted]],13,8))</f>
        <v>0.68199074074074073</v>
      </c>
      <c r="AE495" s="3" t="str">
        <f>TEXT(TwitterClean[[#This Row],[Post_Date]],"dddd")</f>
        <v>Sunday</v>
      </c>
      <c r="AF495">
        <f>HOUR(TwitterClean[[#This Row],[Post_Time]])</f>
        <v>16</v>
      </c>
      <c r="AG495" t="str">
        <f>IF(TwitterClean[[#This Row],[videos]]="Null","No","Yes")</f>
        <v>No</v>
      </c>
      <c r="AH495" t="str">
        <f>IF(TwitterClean[[#This Row],[photos]]="null","No","Yes")</f>
        <v>Yes</v>
      </c>
      <c r="AI495" t="str">
        <f>IF(TwitterClean[[#This Row],[hashtags]]="null","No","Yes")</f>
        <v>Yes</v>
      </c>
      <c r="AJ495" t="str">
        <f>IF(TwitterClean[[#This Row],[external_url]]="null","Yes","No")</f>
        <v>No</v>
      </c>
      <c r="AK495">
        <f>LEN(TwitterClean[[#This Row],[description]])</f>
        <v>150</v>
      </c>
      <c r="AL495" t="str">
        <f>IF(TwitterClean[[#This Row],[followers]]&lt;100000,"&lt;100K",IF(TwitterClean[[#This Row],[followers]]&lt;1000000,"100K-1M",IF(TwitterClean[[#This Row],[followers]]&lt;10000000,"1M-10M","10M+")))</f>
        <v>100K-1M</v>
      </c>
    </row>
    <row r="496" spans="1:38">
      <c r="A496">
        <v>1.8681272865930079E+18</v>
      </c>
      <c r="B496" t="s">
        <v>3083</v>
      </c>
      <c r="C496" t="s">
        <v>3083</v>
      </c>
      <c r="D496" t="s">
        <v>3671</v>
      </c>
      <c r="E496" t="s">
        <v>3672</v>
      </c>
      <c r="F496" t="s">
        <v>29</v>
      </c>
      <c r="G496" t="s">
        <v>3673</v>
      </c>
      <c r="H496" t="s">
        <v>3674</v>
      </c>
      <c r="I496">
        <v>65</v>
      </c>
      <c r="J496">
        <v>471</v>
      </c>
      <c r="K496">
        <v>4068</v>
      </c>
      <c r="L496">
        <v>469546</v>
      </c>
      <c r="M496" t="s">
        <v>52</v>
      </c>
      <c r="N496" t="s">
        <v>3087</v>
      </c>
      <c r="O496">
        <v>14375937</v>
      </c>
      <c r="P496" t="s">
        <v>3088</v>
      </c>
      <c r="Q496">
        <v>346973</v>
      </c>
      <c r="R496" t="s">
        <v>3089</v>
      </c>
      <c r="S496">
        <v>392</v>
      </c>
      <c r="T496" t="b">
        <v>0</v>
      </c>
      <c r="U496">
        <v>16</v>
      </c>
      <c r="V496">
        <v>154</v>
      </c>
      <c r="W496" t="s">
        <v>35</v>
      </c>
      <c r="X496" t="s">
        <v>29</v>
      </c>
      <c r="Y496" t="s">
        <v>3675</v>
      </c>
      <c r="Z496" t="s">
        <v>37</v>
      </c>
      <c r="AA496">
        <f>TwitterClean[[#This Row],[likes]]+TwitterClean[[#This Row],[replies]]+TwitterClean[[#This Row],[reposts]]+TwitterClean[[#This Row],[quotes]]+TwitterClean[[#This Row],[bookmarks]]</f>
        <v>4774</v>
      </c>
      <c r="AB496" s="1">
        <f>TwitterClean[[#This Row],[Total_Engagements]]/TwitterClean[[#This Row],[views]]</f>
        <v>1.0167267956707117E-2</v>
      </c>
      <c r="AC496" s="3">
        <f>DATEVALUE(MID(TwitterClean[[#This Row],[date_posted]],2,10))</f>
        <v>45641</v>
      </c>
      <c r="AD496">
        <f>TIMEVALUE(MID(TwitterClean[[#This Row],[date_posted]],13,8))</f>
        <v>0.12068287037037037</v>
      </c>
      <c r="AE496" s="3" t="str">
        <f>TEXT(TwitterClean[[#This Row],[Post_Date]],"dddd")</f>
        <v>Sunday</v>
      </c>
      <c r="AF496">
        <f>HOUR(TwitterClean[[#This Row],[Post_Time]])</f>
        <v>2</v>
      </c>
      <c r="AG496" t="str">
        <f>IF(TwitterClean[[#This Row],[videos]]="Null","No","Yes")</f>
        <v>Yes</v>
      </c>
      <c r="AH496" t="str">
        <f>IF(TwitterClean[[#This Row],[photos]]="null","No","Yes")</f>
        <v>No</v>
      </c>
      <c r="AI496" t="str">
        <f>IF(TwitterClean[[#This Row],[hashtags]]="null","No","Yes")</f>
        <v>Yes</v>
      </c>
      <c r="AJ496" t="str">
        <f>IF(TwitterClean[[#This Row],[external_url]]="null","Yes","No")</f>
        <v>No</v>
      </c>
      <c r="AK496">
        <f>LEN(TwitterClean[[#This Row],[description]])</f>
        <v>70</v>
      </c>
      <c r="AL496" t="str">
        <f>IF(TwitterClean[[#This Row],[followers]]&lt;100000,"&lt;100K",IF(TwitterClean[[#This Row],[followers]]&lt;1000000,"100K-1M",IF(TwitterClean[[#This Row],[followers]]&lt;10000000,"1M-10M","10M+")))</f>
        <v>10M+</v>
      </c>
    </row>
    <row r="497" spans="1:38">
      <c r="A497">
        <v>1.8681364725381409E+18</v>
      </c>
      <c r="B497" t="s">
        <v>3034</v>
      </c>
      <c r="C497" t="s">
        <v>3035</v>
      </c>
      <c r="D497" t="s">
        <v>5058</v>
      </c>
      <c r="E497" t="s">
        <v>5059</v>
      </c>
      <c r="F497" t="s">
        <v>5060</v>
      </c>
      <c r="G497" t="s">
        <v>5061</v>
      </c>
      <c r="H497" t="s">
        <v>3761</v>
      </c>
      <c r="I497">
        <v>42</v>
      </c>
      <c r="J497">
        <v>69</v>
      </c>
      <c r="K497">
        <v>1177</v>
      </c>
      <c r="L497">
        <v>129339</v>
      </c>
      <c r="M497" t="s">
        <v>52</v>
      </c>
      <c r="N497" t="s">
        <v>3040</v>
      </c>
      <c r="O497">
        <v>12876593</v>
      </c>
      <c r="P497" t="s">
        <v>3041</v>
      </c>
      <c r="Q497">
        <v>141401</v>
      </c>
      <c r="R497" t="s">
        <v>3042</v>
      </c>
      <c r="S497">
        <v>717</v>
      </c>
      <c r="T497" t="b">
        <v>0</v>
      </c>
      <c r="U497">
        <v>8</v>
      </c>
      <c r="V497">
        <v>16</v>
      </c>
      <c r="W497" t="s">
        <v>35</v>
      </c>
      <c r="X497" t="s">
        <v>29</v>
      </c>
      <c r="Y497" t="s">
        <v>29</v>
      </c>
      <c r="Z497" t="s">
        <v>37</v>
      </c>
      <c r="AA497">
        <f>TwitterClean[[#This Row],[likes]]+TwitterClean[[#This Row],[replies]]+TwitterClean[[#This Row],[reposts]]+TwitterClean[[#This Row],[quotes]]+TwitterClean[[#This Row],[bookmarks]]</f>
        <v>1312</v>
      </c>
      <c r="AB497" s="1">
        <f>TwitterClean[[#This Row],[Total_Engagements]]/TwitterClean[[#This Row],[views]]</f>
        <v>1.0143885448317985E-2</v>
      </c>
      <c r="AC497" s="3">
        <f>DATEVALUE(MID(TwitterClean[[#This Row],[date_posted]],2,10))</f>
        <v>45641</v>
      </c>
      <c r="AD497">
        <f>TIMEVALUE(MID(TwitterClean[[#This Row],[date_posted]],13,8))</f>
        <v>0.14604166666666665</v>
      </c>
      <c r="AE497" s="3" t="str">
        <f>TEXT(TwitterClean[[#This Row],[Post_Date]],"dddd")</f>
        <v>Sunday</v>
      </c>
      <c r="AF497">
        <f>HOUR(TwitterClean[[#This Row],[Post_Time]])</f>
        <v>3</v>
      </c>
      <c r="AG497" t="str">
        <f>IF(TwitterClean[[#This Row],[videos]]="Null","No","Yes")</f>
        <v>No</v>
      </c>
      <c r="AH497" t="str">
        <f>IF(TwitterClean[[#This Row],[photos]]="null","No","Yes")</f>
        <v>Yes</v>
      </c>
      <c r="AI497" t="str">
        <f>IF(TwitterClean[[#This Row],[hashtags]]="null","No","Yes")</f>
        <v>Yes</v>
      </c>
      <c r="AJ497" t="str">
        <f>IF(TwitterClean[[#This Row],[external_url]]="null","Yes","No")</f>
        <v>No</v>
      </c>
      <c r="AK497">
        <f>LEN(TwitterClean[[#This Row],[description]])</f>
        <v>111</v>
      </c>
      <c r="AL497" t="str">
        <f>IF(TwitterClean[[#This Row],[followers]]&lt;100000,"&lt;100K",IF(TwitterClean[[#This Row],[followers]]&lt;1000000,"100K-1M",IF(TwitterClean[[#This Row],[followers]]&lt;10000000,"1M-10M","10M+")))</f>
        <v>10M+</v>
      </c>
    </row>
    <row r="498" spans="1:38">
      <c r="A498">
        <v>1.8683474569177912E+18</v>
      </c>
      <c r="B498" t="s">
        <v>3168</v>
      </c>
      <c r="C498" t="s">
        <v>3169</v>
      </c>
      <c r="D498" t="s">
        <v>3186</v>
      </c>
      <c r="E498" t="s">
        <v>3187</v>
      </c>
      <c r="F498" t="s">
        <v>29</v>
      </c>
      <c r="G498" t="s">
        <v>3188</v>
      </c>
      <c r="H498" t="s">
        <v>3189</v>
      </c>
      <c r="I498">
        <v>5</v>
      </c>
      <c r="J498">
        <v>11</v>
      </c>
      <c r="K498">
        <v>289</v>
      </c>
      <c r="L498">
        <v>30741</v>
      </c>
      <c r="M498" t="s">
        <v>52</v>
      </c>
      <c r="N498" t="s">
        <v>29</v>
      </c>
      <c r="O498">
        <v>294711</v>
      </c>
      <c r="P498" t="s">
        <v>3175</v>
      </c>
      <c r="Q498">
        <v>66342</v>
      </c>
      <c r="R498" t="s">
        <v>3176</v>
      </c>
      <c r="S498">
        <v>1449</v>
      </c>
      <c r="T498" t="b">
        <v>0</v>
      </c>
      <c r="U498">
        <v>4</v>
      </c>
      <c r="V498">
        <v>2</v>
      </c>
      <c r="W498" t="s">
        <v>35</v>
      </c>
      <c r="X498" t="s">
        <v>29</v>
      </c>
      <c r="Y498" t="s">
        <v>3190</v>
      </c>
      <c r="Z498" t="s">
        <v>37</v>
      </c>
      <c r="AA498">
        <f>TwitterClean[[#This Row],[likes]]+TwitterClean[[#This Row],[replies]]+TwitterClean[[#This Row],[reposts]]+TwitterClean[[#This Row],[quotes]]+TwitterClean[[#This Row],[bookmarks]]</f>
        <v>311</v>
      </c>
      <c r="AB498" s="1">
        <f>TwitterClean[[#This Row],[Total_Engagements]]/TwitterClean[[#This Row],[views]]</f>
        <v>1.0116782147620441E-2</v>
      </c>
      <c r="AC498" s="3">
        <f>DATEVALUE(MID(TwitterClean[[#This Row],[date_posted]],2,10))</f>
        <v>45641</v>
      </c>
      <c r="AD498">
        <f>TIMEVALUE(MID(TwitterClean[[#This Row],[date_posted]],13,8))</f>
        <v>0.72824074074074074</v>
      </c>
      <c r="AE498" s="3" t="str">
        <f>TEXT(TwitterClean[[#This Row],[Post_Date]],"dddd")</f>
        <v>Sunday</v>
      </c>
      <c r="AF498">
        <f>HOUR(TwitterClean[[#This Row],[Post_Time]])</f>
        <v>17</v>
      </c>
      <c r="AG498" t="str">
        <f>IF(TwitterClean[[#This Row],[videos]]="Null","No","Yes")</f>
        <v>Yes</v>
      </c>
      <c r="AH498" t="str">
        <f>IF(TwitterClean[[#This Row],[photos]]="null","No","Yes")</f>
        <v>No</v>
      </c>
      <c r="AI498" t="str">
        <f>IF(TwitterClean[[#This Row],[hashtags]]="null","No","Yes")</f>
        <v>No</v>
      </c>
      <c r="AJ498" t="str">
        <f>IF(TwitterClean[[#This Row],[external_url]]="null","Yes","No")</f>
        <v>No</v>
      </c>
      <c r="AK498">
        <f>LEN(TwitterClean[[#This Row],[description]])</f>
        <v>91</v>
      </c>
      <c r="AL498" t="str">
        <f>IF(TwitterClean[[#This Row],[followers]]&lt;100000,"&lt;100K",IF(TwitterClean[[#This Row],[followers]]&lt;1000000,"100K-1M",IF(TwitterClean[[#This Row],[followers]]&lt;10000000,"1M-10M","10M+")))</f>
        <v>100K-1M</v>
      </c>
    </row>
    <row r="499" spans="1:38">
      <c r="A499">
        <v>1.8683694359431168E+18</v>
      </c>
      <c r="B499" t="s">
        <v>2230</v>
      </c>
      <c r="C499" t="s">
        <v>2231</v>
      </c>
      <c r="D499" t="s">
        <v>2324</v>
      </c>
      <c r="E499" t="s">
        <v>2325</v>
      </c>
      <c r="F499" t="s">
        <v>2326</v>
      </c>
      <c r="G499" t="s">
        <v>2327</v>
      </c>
      <c r="H499" t="s">
        <v>29</v>
      </c>
      <c r="I499">
        <v>105</v>
      </c>
      <c r="J499">
        <v>68</v>
      </c>
      <c r="K499">
        <v>177</v>
      </c>
      <c r="L499">
        <v>36570</v>
      </c>
      <c r="M499" t="s">
        <v>2328</v>
      </c>
      <c r="N499" t="s">
        <v>29</v>
      </c>
      <c r="O499">
        <v>3313888</v>
      </c>
      <c r="P499" t="s">
        <v>2237</v>
      </c>
      <c r="Q499">
        <v>706459</v>
      </c>
      <c r="R499" t="s">
        <v>2238</v>
      </c>
      <c r="S499">
        <v>10308</v>
      </c>
      <c r="T499" t="b">
        <v>0</v>
      </c>
      <c r="U499">
        <v>9</v>
      </c>
      <c r="V499">
        <v>10</v>
      </c>
      <c r="W499" t="s">
        <v>35</v>
      </c>
      <c r="X499" t="s">
        <v>29</v>
      </c>
      <c r="Y499" t="s">
        <v>29</v>
      </c>
      <c r="Z499" t="s">
        <v>37</v>
      </c>
      <c r="AA499">
        <f>TwitterClean[[#This Row],[likes]]+TwitterClean[[#This Row],[replies]]+TwitterClean[[#This Row],[reposts]]+TwitterClean[[#This Row],[quotes]]+TwitterClean[[#This Row],[bookmarks]]</f>
        <v>369</v>
      </c>
      <c r="AB499" s="1">
        <f>TwitterClean[[#This Row],[Total_Engagements]]/TwitterClean[[#This Row],[views]]</f>
        <v>1.0090237899917965E-2</v>
      </c>
      <c r="AC499" s="3">
        <f>DATEVALUE(MID(TwitterClean[[#This Row],[date_posted]],2,10))</f>
        <v>45641</v>
      </c>
      <c r="AD499">
        <f>TIMEVALUE(MID(TwitterClean[[#This Row],[date_posted]],13,8))</f>
        <v>0.78888888888888886</v>
      </c>
      <c r="AE499" s="3" t="str">
        <f>TEXT(TwitterClean[[#This Row],[Post_Date]],"dddd")</f>
        <v>Sunday</v>
      </c>
      <c r="AF499">
        <f>HOUR(TwitterClean[[#This Row],[Post_Time]])</f>
        <v>18</v>
      </c>
      <c r="AG499" t="str">
        <f>IF(TwitterClean[[#This Row],[videos]]="Null","No","Yes")</f>
        <v>No</v>
      </c>
      <c r="AH499" t="str">
        <f>IF(TwitterClean[[#This Row],[photos]]="null","No","Yes")</f>
        <v>Yes</v>
      </c>
      <c r="AI499" t="str">
        <f>IF(TwitterClean[[#This Row],[hashtags]]="null","No","Yes")</f>
        <v>No</v>
      </c>
      <c r="AJ499" t="str">
        <f>IF(TwitterClean[[#This Row],[external_url]]="null","Yes","No")</f>
        <v>No</v>
      </c>
      <c r="AK499">
        <f>LEN(TwitterClean[[#This Row],[description]])</f>
        <v>101</v>
      </c>
      <c r="AL499" t="str">
        <f>IF(TwitterClean[[#This Row],[followers]]&lt;100000,"&lt;100K",IF(TwitterClean[[#This Row],[followers]]&lt;1000000,"100K-1M",IF(TwitterClean[[#This Row],[followers]]&lt;10000000,"1M-10M","10M+")))</f>
        <v>1M-10M</v>
      </c>
    </row>
    <row r="500" spans="1:38">
      <c r="A500">
        <v>1.8683364824880748E+18</v>
      </c>
      <c r="B500" t="s">
        <v>1280</v>
      </c>
      <c r="C500" t="s">
        <v>1281</v>
      </c>
      <c r="D500" t="s">
        <v>1582</v>
      </c>
      <c r="E500" t="s">
        <v>1583</v>
      </c>
      <c r="F500" t="s">
        <v>1584</v>
      </c>
      <c r="G500" t="s">
        <v>1585</v>
      </c>
      <c r="H500" t="s">
        <v>29</v>
      </c>
      <c r="I500">
        <v>333</v>
      </c>
      <c r="J500">
        <v>219</v>
      </c>
      <c r="K500">
        <v>2073</v>
      </c>
      <c r="L500">
        <v>273466</v>
      </c>
      <c r="M500" t="s">
        <v>52</v>
      </c>
      <c r="N500" t="s">
        <v>1286</v>
      </c>
      <c r="O500">
        <v>38438998</v>
      </c>
      <c r="P500" t="s">
        <v>1287</v>
      </c>
      <c r="Q500">
        <v>92455</v>
      </c>
      <c r="R500" t="s">
        <v>1288</v>
      </c>
      <c r="S500">
        <v>145</v>
      </c>
      <c r="T500" t="b">
        <v>0</v>
      </c>
      <c r="U500">
        <v>113</v>
      </c>
      <c r="V500">
        <v>11</v>
      </c>
      <c r="W500" t="s">
        <v>35</v>
      </c>
      <c r="X500" t="s">
        <v>29</v>
      </c>
      <c r="Y500" t="s">
        <v>29</v>
      </c>
      <c r="Z500" t="s">
        <v>37</v>
      </c>
      <c r="AA500">
        <f>TwitterClean[[#This Row],[likes]]+TwitterClean[[#This Row],[replies]]+TwitterClean[[#This Row],[reposts]]+TwitterClean[[#This Row],[quotes]]+TwitterClean[[#This Row],[bookmarks]]</f>
        <v>2749</v>
      </c>
      <c r="AB500" s="1">
        <f>TwitterClean[[#This Row],[Total_Engagements]]/TwitterClean[[#This Row],[views]]</f>
        <v>1.0052437963037453E-2</v>
      </c>
      <c r="AC500" s="3">
        <f>DATEVALUE(MID(TwitterClean[[#This Row],[date_posted]],2,10))</f>
        <v>45641</v>
      </c>
      <c r="AD500">
        <f>TIMEVALUE(MID(TwitterClean[[#This Row],[date_posted]],13,8))</f>
        <v>0.69796296296296301</v>
      </c>
      <c r="AE500" s="3" t="str">
        <f>TEXT(TwitterClean[[#This Row],[Post_Date]],"dddd")</f>
        <v>Sunday</v>
      </c>
      <c r="AF500">
        <f>HOUR(TwitterClean[[#This Row],[Post_Time]])</f>
        <v>16</v>
      </c>
      <c r="AG500" t="str">
        <f>IF(TwitterClean[[#This Row],[videos]]="Null","No","Yes")</f>
        <v>No</v>
      </c>
      <c r="AH500" t="str">
        <f>IF(TwitterClean[[#This Row],[photos]]="null","No","Yes")</f>
        <v>Yes</v>
      </c>
      <c r="AI500" t="str">
        <f>IF(TwitterClean[[#This Row],[hashtags]]="null","No","Yes")</f>
        <v>Yes</v>
      </c>
      <c r="AJ500" t="str">
        <f>IF(TwitterClean[[#This Row],[external_url]]="null","Yes","No")</f>
        <v>No</v>
      </c>
      <c r="AK500">
        <f>LEN(TwitterClean[[#This Row],[description]])</f>
        <v>59</v>
      </c>
      <c r="AL500" t="str">
        <f>IF(TwitterClean[[#This Row],[followers]]&lt;100000,"&lt;100K",IF(TwitterClean[[#This Row],[followers]]&lt;1000000,"100K-1M",IF(TwitterClean[[#This Row],[followers]]&lt;10000000,"1M-10M","10M+")))</f>
        <v>10M+</v>
      </c>
    </row>
    <row r="501" spans="1:38">
      <c r="A501">
        <v>1.868330841891328E+18</v>
      </c>
      <c r="B501" t="s">
        <v>3168</v>
      </c>
      <c r="C501" t="s">
        <v>3169</v>
      </c>
      <c r="D501" t="s">
        <v>5204</v>
      </c>
      <c r="E501" t="s">
        <v>5205</v>
      </c>
      <c r="F501" t="s">
        <v>5206</v>
      </c>
      <c r="G501" t="s">
        <v>5207</v>
      </c>
      <c r="H501" t="s">
        <v>3189</v>
      </c>
      <c r="I501">
        <v>7</v>
      </c>
      <c r="J501">
        <v>9</v>
      </c>
      <c r="K501">
        <v>158</v>
      </c>
      <c r="L501">
        <v>17482</v>
      </c>
      <c r="M501" t="s">
        <v>52</v>
      </c>
      <c r="N501" t="s">
        <v>3636</v>
      </c>
      <c r="O501">
        <v>294711</v>
      </c>
      <c r="P501" t="s">
        <v>3175</v>
      </c>
      <c r="Q501">
        <v>66342</v>
      </c>
      <c r="R501" t="s">
        <v>3176</v>
      </c>
      <c r="S501">
        <v>1449</v>
      </c>
      <c r="T501" t="b">
        <v>0</v>
      </c>
      <c r="U501">
        <v>1</v>
      </c>
      <c r="V501">
        <v>0</v>
      </c>
      <c r="W501" t="s">
        <v>35</v>
      </c>
      <c r="X501" t="s">
        <v>29</v>
      </c>
      <c r="Y501" t="s">
        <v>29</v>
      </c>
      <c r="Z501" t="s">
        <v>37</v>
      </c>
      <c r="AA501">
        <f>TwitterClean[[#This Row],[likes]]+TwitterClean[[#This Row],[replies]]+TwitterClean[[#This Row],[reposts]]+TwitterClean[[#This Row],[quotes]]+TwitterClean[[#This Row],[bookmarks]]</f>
        <v>175</v>
      </c>
      <c r="AB501" s="1">
        <f>TwitterClean[[#This Row],[Total_Engagements]]/TwitterClean[[#This Row],[views]]</f>
        <v>1.0010296304770622E-2</v>
      </c>
      <c r="AC501" s="3">
        <f>DATEVALUE(MID(TwitterClean[[#This Row],[date_posted]],2,10))</f>
        <v>45641</v>
      </c>
      <c r="AD501">
        <f>TIMEVALUE(MID(TwitterClean[[#This Row],[date_posted]],13,8))</f>
        <v>0.68239583333333331</v>
      </c>
      <c r="AE501" s="3" t="str">
        <f>TEXT(TwitterClean[[#This Row],[Post_Date]],"dddd")</f>
        <v>Sunday</v>
      </c>
      <c r="AF501">
        <f>HOUR(TwitterClean[[#This Row],[Post_Time]])</f>
        <v>16</v>
      </c>
      <c r="AG501" t="str">
        <f>IF(TwitterClean[[#This Row],[videos]]="Null","No","Yes")</f>
        <v>No</v>
      </c>
      <c r="AH501" t="str">
        <f>IF(TwitterClean[[#This Row],[photos]]="null","No","Yes")</f>
        <v>Yes</v>
      </c>
      <c r="AI501" t="str">
        <f>IF(TwitterClean[[#This Row],[hashtags]]="null","No","Yes")</f>
        <v>Yes</v>
      </c>
      <c r="AJ501" t="str">
        <f>IF(TwitterClean[[#This Row],[external_url]]="null","Yes","No")</f>
        <v>No</v>
      </c>
      <c r="AK501">
        <f>LEN(TwitterClean[[#This Row],[description]])</f>
        <v>130</v>
      </c>
      <c r="AL501" t="str">
        <f>IF(TwitterClean[[#This Row],[followers]]&lt;100000,"&lt;100K",IF(TwitterClean[[#This Row],[followers]]&lt;1000000,"100K-1M",IF(TwitterClean[[#This Row],[followers]]&lt;10000000,"1M-10M","10M+")))</f>
        <v>100K-1M</v>
      </c>
    </row>
    <row r="502" spans="1:38">
      <c r="A502">
        <v>1.8684063331599529E+18</v>
      </c>
      <c r="B502" t="s">
        <v>3638</v>
      </c>
      <c r="C502" t="s">
        <v>3639</v>
      </c>
      <c r="D502" t="s">
        <v>4441</v>
      </c>
      <c r="E502" t="s">
        <v>4442</v>
      </c>
      <c r="F502" t="s">
        <v>4443</v>
      </c>
      <c r="G502" t="s">
        <v>4444</v>
      </c>
      <c r="H502" t="s">
        <v>4445</v>
      </c>
      <c r="I502">
        <v>71</v>
      </c>
      <c r="J502">
        <v>34</v>
      </c>
      <c r="K502">
        <v>755</v>
      </c>
      <c r="L502">
        <v>87579</v>
      </c>
      <c r="M502" t="s">
        <v>4446</v>
      </c>
      <c r="N502" t="s">
        <v>4447</v>
      </c>
      <c r="O502">
        <v>8885747</v>
      </c>
      <c r="P502" t="s">
        <v>3643</v>
      </c>
      <c r="Q502">
        <v>115852</v>
      </c>
      <c r="R502" t="s">
        <v>3644</v>
      </c>
      <c r="S502">
        <v>469</v>
      </c>
      <c r="T502" t="b">
        <v>0</v>
      </c>
      <c r="U502">
        <v>9</v>
      </c>
      <c r="V502">
        <v>7</v>
      </c>
      <c r="W502" t="s">
        <v>35</v>
      </c>
      <c r="X502" t="s">
        <v>29</v>
      </c>
      <c r="Y502" t="s">
        <v>29</v>
      </c>
      <c r="Z502" t="s">
        <v>37</v>
      </c>
      <c r="AA502">
        <f>TwitterClean[[#This Row],[likes]]+TwitterClean[[#This Row],[replies]]+TwitterClean[[#This Row],[reposts]]+TwitterClean[[#This Row],[quotes]]+TwitterClean[[#This Row],[bookmarks]]</f>
        <v>876</v>
      </c>
      <c r="AB502" s="1">
        <f>TwitterClean[[#This Row],[Total_Engagements]]/TwitterClean[[#This Row],[views]]</f>
        <v>1.0002397835097454E-2</v>
      </c>
      <c r="AC502" s="3">
        <f>DATEVALUE(MID(TwitterClean[[#This Row],[date_posted]],2,10))</f>
        <v>45641</v>
      </c>
      <c r="AD502">
        <f>TIMEVALUE(MID(TwitterClean[[#This Row],[date_posted]],13,8))</f>
        <v>0.89070601851851849</v>
      </c>
      <c r="AE502" s="3" t="str">
        <f>TEXT(TwitterClean[[#This Row],[Post_Date]],"dddd")</f>
        <v>Sunday</v>
      </c>
      <c r="AF502">
        <f>HOUR(TwitterClean[[#This Row],[Post_Time]])</f>
        <v>21</v>
      </c>
      <c r="AG502" t="str">
        <f>IF(TwitterClean[[#This Row],[videos]]="Null","No","Yes")</f>
        <v>No</v>
      </c>
      <c r="AH502" t="str">
        <f>IF(TwitterClean[[#This Row],[photos]]="null","No","Yes")</f>
        <v>Yes</v>
      </c>
      <c r="AI502" t="str">
        <f>IF(TwitterClean[[#This Row],[hashtags]]="null","No","Yes")</f>
        <v>Yes</v>
      </c>
      <c r="AJ502" t="str">
        <f>IF(TwitterClean[[#This Row],[external_url]]="null","Yes","No")</f>
        <v>No</v>
      </c>
      <c r="AK502">
        <f>LEN(TwitterClean[[#This Row],[description]])</f>
        <v>82</v>
      </c>
      <c r="AL502" t="str">
        <f>IF(TwitterClean[[#This Row],[followers]]&lt;100000,"&lt;100K",IF(TwitterClean[[#This Row],[followers]]&lt;1000000,"100K-1M",IF(TwitterClean[[#This Row],[followers]]&lt;10000000,"1M-10M","10M+")))</f>
        <v>1M-10M</v>
      </c>
    </row>
    <row r="503" spans="1:38">
      <c r="A503">
        <v>1.8683422623268623E+18</v>
      </c>
      <c r="B503" t="s">
        <v>2230</v>
      </c>
      <c r="C503" t="s">
        <v>2231</v>
      </c>
      <c r="D503" t="s">
        <v>2662</v>
      </c>
      <c r="E503" t="s">
        <v>2663</v>
      </c>
      <c r="F503" t="s">
        <v>2664</v>
      </c>
      <c r="G503" t="s">
        <v>2665</v>
      </c>
      <c r="H503" t="s">
        <v>29</v>
      </c>
      <c r="I503">
        <v>99</v>
      </c>
      <c r="J503">
        <v>45</v>
      </c>
      <c r="K503">
        <v>219</v>
      </c>
      <c r="L503">
        <v>38903</v>
      </c>
      <c r="M503" t="s">
        <v>2666</v>
      </c>
      <c r="N503" t="s">
        <v>29</v>
      </c>
      <c r="O503">
        <v>3313888</v>
      </c>
      <c r="P503" t="s">
        <v>2237</v>
      </c>
      <c r="Q503">
        <v>706459</v>
      </c>
      <c r="R503" t="s">
        <v>2238</v>
      </c>
      <c r="S503">
        <v>10308</v>
      </c>
      <c r="T503" t="b">
        <v>0</v>
      </c>
      <c r="U503">
        <v>18</v>
      </c>
      <c r="V503">
        <v>5</v>
      </c>
      <c r="W503" t="s">
        <v>35</v>
      </c>
      <c r="X503" t="s">
        <v>29</v>
      </c>
      <c r="Y503" t="s">
        <v>29</v>
      </c>
      <c r="Z503" t="s">
        <v>37</v>
      </c>
      <c r="AA503">
        <f>TwitterClean[[#This Row],[likes]]+TwitterClean[[#This Row],[replies]]+TwitterClean[[#This Row],[reposts]]+TwitterClean[[#This Row],[quotes]]+TwitterClean[[#This Row],[bookmarks]]</f>
        <v>386</v>
      </c>
      <c r="AB503" s="1">
        <f>TwitterClean[[#This Row],[Total_Engagements]]/TwitterClean[[#This Row],[views]]</f>
        <v>9.9221139757859293E-3</v>
      </c>
      <c r="AC503" s="3">
        <f>DATEVALUE(MID(TwitterClean[[#This Row],[date_posted]],2,10))</f>
        <v>45641</v>
      </c>
      <c r="AD503">
        <f>TIMEVALUE(MID(TwitterClean[[#This Row],[date_posted]],13,8))</f>
        <v>0.71391203703703698</v>
      </c>
      <c r="AE503" s="3" t="str">
        <f>TEXT(TwitterClean[[#This Row],[Post_Date]],"dddd")</f>
        <v>Sunday</v>
      </c>
      <c r="AF503">
        <f>HOUR(TwitterClean[[#This Row],[Post_Time]])</f>
        <v>17</v>
      </c>
      <c r="AG503" t="str">
        <f>IF(TwitterClean[[#This Row],[videos]]="Null","No","Yes")</f>
        <v>No</v>
      </c>
      <c r="AH503" t="str">
        <f>IF(TwitterClean[[#This Row],[photos]]="null","No","Yes")</f>
        <v>Yes</v>
      </c>
      <c r="AI503" t="str">
        <f>IF(TwitterClean[[#This Row],[hashtags]]="null","No","Yes")</f>
        <v>No</v>
      </c>
      <c r="AJ503" t="str">
        <f>IF(TwitterClean[[#This Row],[external_url]]="null","Yes","No")</f>
        <v>No</v>
      </c>
      <c r="AK503">
        <f>LEN(TwitterClean[[#This Row],[description]])</f>
        <v>72</v>
      </c>
      <c r="AL503" t="str">
        <f>IF(TwitterClean[[#This Row],[followers]]&lt;100000,"&lt;100K",IF(TwitterClean[[#This Row],[followers]]&lt;1000000,"100K-1M",IF(TwitterClean[[#This Row],[followers]]&lt;10000000,"1M-10M","10M+")))</f>
        <v>1M-10M</v>
      </c>
    </row>
    <row r="504" spans="1:38">
      <c r="A504">
        <v>1.8683701221983644E+18</v>
      </c>
      <c r="B504" t="s">
        <v>46</v>
      </c>
      <c r="C504" t="s">
        <v>47</v>
      </c>
      <c r="D504" t="s">
        <v>347</v>
      </c>
      <c r="E504" t="s">
        <v>348</v>
      </c>
      <c r="F504" t="s">
        <v>349</v>
      </c>
      <c r="G504" t="s">
        <v>350</v>
      </c>
      <c r="H504" t="s">
        <v>29</v>
      </c>
      <c r="I504">
        <v>6</v>
      </c>
      <c r="J504">
        <v>3</v>
      </c>
      <c r="K504">
        <v>151</v>
      </c>
      <c r="L504">
        <v>16429</v>
      </c>
      <c r="M504" t="s">
        <v>52</v>
      </c>
      <c r="N504" t="s">
        <v>182</v>
      </c>
      <c r="O504">
        <v>8293202</v>
      </c>
      <c r="P504" t="s">
        <v>54</v>
      </c>
      <c r="Q504">
        <v>456734</v>
      </c>
      <c r="R504" t="s">
        <v>55</v>
      </c>
      <c r="S504">
        <v>859</v>
      </c>
      <c r="T504" t="b">
        <v>0</v>
      </c>
      <c r="U504">
        <v>2</v>
      </c>
      <c r="V504">
        <v>1</v>
      </c>
      <c r="W504" t="s">
        <v>35</v>
      </c>
      <c r="X504" t="s">
        <v>29</v>
      </c>
      <c r="Y504" t="s">
        <v>29</v>
      </c>
      <c r="Z504" t="s">
        <v>37</v>
      </c>
      <c r="AA504">
        <f>TwitterClean[[#This Row],[likes]]+TwitterClean[[#This Row],[replies]]+TwitterClean[[#This Row],[reposts]]+TwitterClean[[#This Row],[quotes]]+TwitterClean[[#This Row],[bookmarks]]</f>
        <v>163</v>
      </c>
      <c r="AB504" s="1">
        <f>TwitterClean[[#This Row],[Total_Engagements]]/TwitterClean[[#This Row],[views]]</f>
        <v>9.9214803092093247E-3</v>
      </c>
      <c r="AC504" s="3">
        <f>DATEVALUE(MID(TwitterClean[[#This Row],[date_posted]],2,10))</f>
        <v>45641</v>
      </c>
      <c r="AD504">
        <f>TIMEVALUE(MID(TwitterClean[[#This Row],[date_posted]],13,8))</f>
        <v>0.79078703703703701</v>
      </c>
      <c r="AE504" s="3" t="str">
        <f>TEXT(TwitterClean[[#This Row],[Post_Date]],"dddd")</f>
        <v>Sunday</v>
      </c>
      <c r="AF504">
        <f>HOUR(TwitterClean[[#This Row],[Post_Time]])</f>
        <v>18</v>
      </c>
      <c r="AG504" t="str">
        <f>IF(TwitterClean[[#This Row],[videos]]="Null","No","Yes")</f>
        <v>No</v>
      </c>
      <c r="AH504" t="str">
        <f>IF(TwitterClean[[#This Row],[photos]]="null","No","Yes")</f>
        <v>Yes</v>
      </c>
      <c r="AI504" t="str">
        <f>IF(TwitterClean[[#This Row],[hashtags]]="null","No","Yes")</f>
        <v>Yes</v>
      </c>
      <c r="AJ504" t="str">
        <f>IF(TwitterClean[[#This Row],[external_url]]="null","Yes","No")</f>
        <v>No</v>
      </c>
      <c r="AK504">
        <f>LEN(TwitterClean[[#This Row],[description]])</f>
        <v>239</v>
      </c>
      <c r="AL504" t="str">
        <f>IF(TwitterClean[[#This Row],[followers]]&lt;100000,"&lt;100K",IF(TwitterClean[[#This Row],[followers]]&lt;1000000,"100K-1M",IF(TwitterClean[[#This Row],[followers]]&lt;10000000,"1M-10M","10M+")))</f>
        <v>1M-10M</v>
      </c>
    </row>
    <row r="505" spans="1:38">
      <c r="A505">
        <v>1.8668697418616586E+18</v>
      </c>
      <c r="B505" t="s">
        <v>2714</v>
      </c>
      <c r="C505" t="s">
        <v>2715</v>
      </c>
      <c r="D505" t="s">
        <v>2915</v>
      </c>
      <c r="E505" t="s">
        <v>2916</v>
      </c>
      <c r="F505" t="s">
        <v>29</v>
      </c>
      <c r="G505" t="s">
        <v>2917</v>
      </c>
      <c r="H505" t="s">
        <v>29</v>
      </c>
      <c r="I505">
        <v>63</v>
      </c>
      <c r="J505">
        <v>20</v>
      </c>
      <c r="K505">
        <v>141</v>
      </c>
      <c r="L505">
        <v>25423</v>
      </c>
      <c r="M505" t="s">
        <v>52</v>
      </c>
      <c r="N505" t="s">
        <v>2918</v>
      </c>
      <c r="O505">
        <v>182895</v>
      </c>
      <c r="P505" t="s">
        <v>2720</v>
      </c>
      <c r="Q505">
        <v>30781</v>
      </c>
      <c r="R505" t="s">
        <v>2721</v>
      </c>
      <c r="S505">
        <v>559</v>
      </c>
      <c r="T505" t="b">
        <v>0</v>
      </c>
      <c r="U505">
        <v>16</v>
      </c>
      <c r="V505">
        <v>12</v>
      </c>
      <c r="W505" t="s">
        <v>35</v>
      </c>
      <c r="X505" t="s">
        <v>29</v>
      </c>
      <c r="Y505" t="s">
        <v>2919</v>
      </c>
      <c r="Z505" t="s">
        <v>37</v>
      </c>
      <c r="AA505">
        <f>TwitterClean[[#This Row],[likes]]+TwitterClean[[#This Row],[replies]]+TwitterClean[[#This Row],[reposts]]+TwitterClean[[#This Row],[quotes]]+TwitterClean[[#This Row],[bookmarks]]</f>
        <v>252</v>
      </c>
      <c r="AB505" s="1">
        <f>TwitterClean[[#This Row],[Total_Engagements]]/TwitterClean[[#This Row],[views]]</f>
        <v>9.912284152145694E-3</v>
      </c>
      <c r="AC505" s="3">
        <f>DATEVALUE(MID(TwitterClean[[#This Row],[date_posted]],2,10))</f>
        <v>45637</v>
      </c>
      <c r="AD505">
        <f>TIMEVALUE(MID(TwitterClean[[#This Row],[date_posted]],13,8))</f>
        <v>0.65052083333333333</v>
      </c>
      <c r="AE505" s="3" t="str">
        <f>TEXT(TwitterClean[[#This Row],[Post_Date]],"dddd")</f>
        <v>Wednesday</v>
      </c>
      <c r="AF505">
        <f>HOUR(TwitterClean[[#This Row],[Post_Time]])</f>
        <v>15</v>
      </c>
      <c r="AG505" t="str">
        <f>IF(TwitterClean[[#This Row],[videos]]="Null","No","Yes")</f>
        <v>Yes</v>
      </c>
      <c r="AH505" t="str">
        <f>IF(TwitterClean[[#This Row],[photos]]="null","No","Yes")</f>
        <v>No</v>
      </c>
      <c r="AI505" t="str">
        <f>IF(TwitterClean[[#This Row],[hashtags]]="null","No","Yes")</f>
        <v>Yes</v>
      </c>
      <c r="AJ505" t="str">
        <f>IF(TwitterClean[[#This Row],[external_url]]="null","Yes","No")</f>
        <v>No</v>
      </c>
      <c r="AK505">
        <f>LEN(TwitterClean[[#This Row],[description]])</f>
        <v>141</v>
      </c>
      <c r="AL505" t="str">
        <f>IF(TwitterClean[[#This Row],[followers]]&lt;100000,"&lt;100K",IF(TwitterClean[[#This Row],[followers]]&lt;1000000,"100K-1M",IF(TwitterClean[[#This Row],[followers]]&lt;10000000,"1M-10M","10M+")))</f>
        <v>100K-1M</v>
      </c>
    </row>
    <row r="506" spans="1:38">
      <c r="A506">
        <v>1.8682134057498097E+18</v>
      </c>
      <c r="B506" t="s">
        <v>1280</v>
      </c>
      <c r="C506" t="s">
        <v>1281</v>
      </c>
      <c r="D506" t="s">
        <v>1473</v>
      </c>
      <c r="E506" t="s">
        <v>1474</v>
      </c>
      <c r="F506" t="s">
        <v>29</v>
      </c>
      <c r="G506" t="s">
        <v>1475</v>
      </c>
      <c r="H506" t="s">
        <v>29</v>
      </c>
      <c r="I506">
        <v>460</v>
      </c>
      <c r="J506">
        <v>1905</v>
      </c>
      <c r="K506">
        <v>13652</v>
      </c>
      <c r="L506">
        <v>1669790</v>
      </c>
      <c r="M506" t="s">
        <v>1476</v>
      </c>
      <c r="N506" t="s">
        <v>1286</v>
      </c>
      <c r="O506">
        <v>38439072</v>
      </c>
      <c r="P506" t="s">
        <v>1287</v>
      </c>
      <c r="Q506">
        <v>92455</v>
      </c>
      <c r="R506" t="s">
        <v>1288</v>
      </c>
      <c r="S506">
        <v>145</v>
      </c>
      <c r="T506" t="b">
        <v>0</v>
      </c>
      <c r="U506">
        <v>397</v>
      </c>
      <c r="V506">
        <v>67</v>
      </c>
      <c r="W506" t="s">
        <v>35</v>
      </c>
      <c r="X506" t="s">
        <v>29</v>
      </c>
      <c r="Y506" t="s">
        <v>29</v>
      </c>
      <c r="Z506" t="s">
        <v>37</v>
      </c>
      <c r="AA506">
        <f>TwitterClean[[#This Row],[likes]]+TwitterClean[[#This Row],[replies]]+TwitterClean[[#This Row],[reposts]]+TwitterClean[[#This Row],[quotes]]+TwitterClean[[#This Row],[bookmarks]]</f>
        <v>16481</v>
      </c>
      <c r="AB506" s="1">
        <f>TwitterClean[[#This Row],[Total_Engagements]]/TwitterClean[[#This Row],[views]]</f>
        <v>9.8701034261793399E-3</v>
      </c>
      <c r="AC506" s="3">
        <f>DATEVALUE(MID(TwitterClean[[#This Row],[date_posted]],2,10))</f>
        <v>45641</v>
      </c>
      <c r="AD506">
        <f>TIMEVALUE(MID(TwitterClean[[#This Row],[date_posted]],13,8))</f>
        <v>0.35833333333333334</v>
      </c>
      <c r="AE506" s="3" t="str">
        <f>TEXT(TwitterClean[[#This Row],[Post_Date]],"dddd")</f>
        <v>Sunday</v>
      </c>
      <c r="AF506">
        <f>HOUR(TwitterClean[[#This Row],[Post_Time]])</f>
        <v>8</v>
      </c>
      <c r="AG506" t="str">
        <f>IF(TwitterClean[[#This Row],[videos]]="Null","No","Yes")</f>
        <v>No</v>
      </c>
      <c r="AH506" t="str">
        <f>IF(TwitterClean[[#This Row],[photos]]="null","No","Yes")</f>
        <v>No</v>
      </c>
      <c r="AI506" t="str">
        <f>IF(TwitterClean[[#This Row],[hashtags]]="null","No","Yes")</f>
        <v>Yes</v>
      </c>
      <c r="AJ506" t="str">
        <f>IF(TwitterClean[[#This Row],[external_url]]="null","Yes","No")</f>
        <v>No</v>
      </c>
      <c r="AK506">
        <f>LEN(TwitterClean[[#This Row],[description]])</f>
        <v>37</v>
      </c>
      <c r="AL506" t="str">
        <f>IF(TwitterClean[[#This Row],[followers]]&lt;100000,"&lt;100K",IF(TwitterClean[[#This Row],[followers]]&lt;1000000,"100K-1M",IF(TwitterClean[[#This Row],[followers]]&lt;10000000,"1M-10M","10M+")))</f>
        <v>10M+</v>
      </c>
    </row>
    <row r="507" spans="1:38">
      <c r="A507">
        <v>1.8684006431587988E+18</v>
      </c>
      <c r="B507" t="s">
        <v>5271</v>
      </c>
      <c r="C507" t="s">
        <v>5272</v>
      </c>
      <c r="D507" t="s">
        <v>5273</v>
      </c>
      <c r="E507" t="s">
        <v>2067</v>
      </c>
      <c r="F507" t="s">
        <v>5274</v>
      </c>
      <c r="G507" t="s">
        <v>5275</v>
      </c>
      <c r="H507" t="s">
        <v>5276</v>
      </c>
      <c r="I507">
        <v>4</v>
      </c>
      <c r="J507">
        <v>3</v>
      </c>
      <c r="K507">
        <v>34</v>
      </c>
      <c r="L507">
        <v>4471</v>
      </c>
      <c r="M507" t="s">
        <v>52</v>
      </c>
      <c r="N507" t="s">
        <v>5277</v>
      </c>
      <c r="O507">
        <v>305976</v>
      </c>
      <c r="P507" t="s">
        <v>5278</v>
      </c>
      <c r="Q507">
        <v>21543</v>
      </c>
      <c r="R507" t="s">
        <v>5279</v>
      </c>
      <c r="S507">
        <v>302</v>
      </c>
      <c r="T507" t="b">
        <v>0</v>
      </c>
      <c r="U507">
        <v>1</v>
      </c>
      <c r="V507">
        <v>2</v>
      </c>
      <c r="W507" t="s">
        <v>35</v>
      </c>
      <c r="X507" t="s">
        <v>29</v>
      </c>
      <c r="Y507" t="s">
        <v>29</v>
      </c>
      <c r="Z507" t="s">
        <v>37</v>
      </c>
      <c r="AA507">
        <f>TwitterClean[[#This Row],[likes]]+TwitterClean[[#This Row],[replies]]+TwitterClean[[#This Row],[reposts]]+TwitterClean[[#This Row],[quotes]]+TwitterClean[[#This Row],[bookmarks]]</f>
        <v>44</v>
      </c>
      <c r="AB507" s="1">
        <f>TwitterClean[[#This Row],[Total_Engagements]]/TwitterClean[[#This Row],[views]]</f>
        <v>9.8411988369492276E-3</v>
      </c>
      <c r="AC507" s="3">
        <f>DATEVALUE(MID(TwitterClean[[#This Row],[date_posted]],2,10))</f>
        <v>45641</v>
      </c>
      <c r="AD507">
        <f>TIMEVALUE(MID(TwitterClean[[#This Row],[date_posted]],13,8))</f>
        <v>0.87501157407407404</v>
      </c>
      <c r="AE507" s="3" t="str">
        <f>TEXT(TwitterClean[[#This Row],[Post_Date]],"dddd")</f>
        <v>Sunday</v>
      </c>
      <c r="AF507">
        <f>HOUR(TwitterClean[[#This Row],[Post_Time]])</f>
        <v>21</v>
      </c>
      <c r="AG507" t="str">
        <f>IF(TwitterClean[[#This Row],[videos]]="Null","No","Yes")</f>
        <v>No</v>
      </c>
      <c r="AH507" t="str">
        <f>IF(TwitterClean[[#This Row],[photos]]="null","No","Yes")</f>
        <v>Yes</v>
      </c>
      <c r="AI507" t="str">
        <f>IF(TwitterClean[[#This Row],[hashtags]]="null","No","Yes")</f>
        <v>Yes</v>
      </c>
      <c r="AJ507" t="str">
        <f>IF(TwitterClean[[#This Row],[external_url]]="null","Yes","No")</f>
        <v>No</v>
      </c>
      <c r="AK507">
        <f>LEN(TwitterClean[[#This Row],[description]])</f>
        <v>120</v>
      </c>
      <c r="AL507" t="str">
        <f>IF(TwitterClean[[#This Row],[followers]]&lt;100000,"&lt;100K",IF(TwitterClean[[#This Row],[followers]]&lt;1000000,"100K-1M",IF(TwitterClean[[#This Row],[followers]]&lt;10000000,"1M-10M","10M+")))</f>
        <v>100K-1M</v>
      </c>
    </row>
    <row r="508" spans="1:38">
      <c r="A508">
        <v>1.8683557236561103E+18</v>
      </c>
      <c r="B508" t="s">
        <v>1267</v>
      </c>
      <c r="C508" t="s">
        <v>1268</v>
      </c>
      <c r="D508" t="s">
        <v>1493</v>
      </c>
      <c r="E508" t="s">
        <v>1494</v>
      </c>
      <c r="F508" t="s">
        <v>1495</v>
      </c>
      <c r="G508" t="s">
        <v>1496</v>
      </c>
      <c r="H508" t="s">
        <v>29</v>
      </c>
      <c r="I508">
        <v>80</v>
      </c>
      <c r="J508">
        <v>79</v>
      </c>
      <c r="K508">
        <v>737</v>
      </c>
      <c r="L508">
        <v>93814</v>
      </c>
      <c r="M508" t="s">
        <v>52</v>
      </c>
      <c r="N508" t="s">
        <v>1273</v>
      </c>
      <c r="O508">
        <v>17891377</v>
      </c>
      <c r="P508" t="s">
        <v>1274</v>
      </c>
      <c r="Q508">
        <v>168939</v>
      </c>
      <c r="R508" t="s">
        <v>1275</v>
      </c>
      <c r="S508">
        <v>47365</v>
      </c>
      <c r="T508" t="b">
        <v>0</v>
      </c>
      <c r="U508">
        <v>11</v>
      </c>
      <c r="V508">
        <v>5</v>
      </c>
      <c r="W508" t="s">
        <v>35</v>
      </c>
      <c r="X508" t="s">
        <v>29</v>
      </c>
      <c r="Y508" t="s">
        <v>29</v>
      </c>
      <c r="Z508" t="s">
        <v>37</v>
      </c>
      <c r="AA508">
        <f>TwitterClean[[#This Row],[likes]]+TwitterClean[[#This Row],[replies]]+TwitterClean[[#This Row],[reposts]]+TwitterClean[[#This Row],[quotes]]+TwitterClean[[#This Row],[bookmarks]]</f>
        <v>912</v>
      </c>
      <c r="AB508" s="1">
        <f>TwitterClean[[#This Row],[Total_Engagements]]/TwitterClean[[#This Row],[views]]</f>
        <v>9.7213635491504458E-3</v>
      </c>
      <c r="AC508" s="3">
        <f>DATEVALUE(MID(TwitterClean[[#This Row],[date_posted]],2,10))</f>
        <v>45641</v>
      </c>
      <c r="AD508">
        <f>TIMEVALUE(MID(TwitterClean[[#This Row],[date_posted]],13,8))</f>
        <v>0.75105324074074076</v>
      </c>
      <c r="AE508" s="3" t="str">
        <f>TEXT(TwitterClean[[#This Row],[Post_Date]],"dddd")</f>
        <v>Sunday</v>
      </c>
      <c r="AF508">
        <f>HOUR(TwitterClean[[#This Row],[Post_Time]])</f>
        <v>18</v>
      </c>
      <c r="AG508" t="str">
        <f>IF(TwitterClean[[#This Row],[videos]]="Null","No","Yes")</f>
        <v>No</v>
      </c>
      <c r="AH508" t="str">
        <f>IF(TwitterClean[[#This Row],[photos]]="null","No","Yes")</f>
        <v>Yes</v>
      </c>
      <c r="AI508" t="str">
        <f>IF(TwitterClean[[#This Row],[hashtags]]="null","No","Yes")</f>
        <v>Yes</v>
      </c>
      <c r="AJ508" t="str">
        <f>IF(TwitterClean[[#This Row],[external_url]]="null","Yes","No")</f>
        <v>No</v>
      </c>
      <c r="AK508">
        <f>LEN(TwitterClean[[#This Row],[description]])</f>
        <v>61</v>
      </c>
      <c r="AL508" t="str">
        <f>IF(TwitterClean[[#This Row],[followers]]&lt;100000,"&lt;100K",IF(TwitterClean[[#This Row],[followers]]&lt;1000000,"100K-1M",IF(TwitterClean[[#This Row],[followers]]&lt;10000000,"1M-10M","10M+")))</f>
        <v>10M+</v>
      </c>
    </row>
    <row r="509" spans="1:38">
      <c r="A509">
        <v>1.8657652747268918E+18</v>
      </c>
      <c r="B509" t="s">
        <v>3973</v>
      </c>
      <c r="C509" t="s">
        <v>3974</v>
      </c>
      <c r="D509" t="s">
        <v>3975</v>
      </c>
      <c r="E509" t="s">
        <v>3976</v>
      </c>
      <c r="F509" t="s">
        <v>29</v>
      </c>
      <c r="G509" t="s">
        <v>3977</v>
      </c>
      <c r="H509" t="s">
        <v>3978</v>
      </c>
      <c r="I509">
        <v>2</v>
      </c>
      <c r="J509">
        <v>16</v>
      </c>
      <c r="K509">
        <v>157</v>
      </c>
      <c r="L509">
        <v>18516</v>
      </c>
      <c r="M509" t="s">
        <v>52</v>
      </c>
      <c r="N509" t="s">
        <v>29</v>
      </c>
      <c r="O509">
        <v>2035100</v>
      </c>
      <c r="P509" t="s">
        <v>3979</v>
      </c>
      <c r="Q509">
        <v>106867</v>
      </c>
      <c r="R509" t="s">
        <v>3980</v>
      </c>
      <c r="S509">
        <v>411</v>
      </c>
      <c r="T509" t="b">
        <v>0</v>
      </c>
      <c r="U509">
        <v>3</v>
      </c>
      <c r="V509">
        <v>2</v>
      </c>
      <c r="W509" t="s">
        <v>35</v>
      </c>
      <c r="X509" t="s">
        <v>29</v>
      </c>
      <c r="Y509" t="s">
        <v>3981</v>
      </c>
      <c r="Z509" t="s">
        <v>37</v>
      </c>
      <c r="AA509">
        <f>TwitterClean[[#This Row],[likes]]+TwitterClean[[#This Row],[replies]]+TwitterClean[[#This Row],[reposts]]+TwitterClean[[#This Row],[quotes]]+TwitterClean[[#This Row],[bookmarks]]</f>
        <v>180</v>
      </c>
      <c r="AB509" s="1">
        <f>TwitterClean[[#This Row],[Total_Engagements]]/TwitterClean[[#This Row],[views]]</f>
        <v>9.7213220998055728E-3</v>
      </c>
      <c r="AC509" s="3">
        <f>DATEVALUE(MID(TwitterClean[[#This Row],[date_posted]],2,10))</f>
        <v>45634</v>
      </c>
      <c r="AD509">
        <f>TIMEVALUE(MID(TwitterClean[[#This Row],[date_posted]],13,8))</f>
        <v>0.60277777777777775</v>
      </c>
      <c r="AE509" s="3" t="str">
        <f>TEXT(TwitterClean[[#This Row],[Post_Date]],"dddd")</f>
        <v>Sunday</v>
      </c>
      <c r="AF509">
        <f>HOUR(TwitterClean[[#This Row],[Post_Time]])</f>
        <v>14</v>
      </c>
      <c r="AG509" t="str">
        <f>IF(TwitterClean[[#This Row],[videos]]="Null","No","Yes")</f>
        <v>Yes</v>
      </c>
      <c r="AH509" t="str">
        <f>IF(TwitterClean[[#This Row],[photos]]="null","No","Yes")</f>
        <v>No</v>
      </c>
      <c r="AI509" t="str">
        <f>IF(TwitterClean[[#This Row],[hashtags]]="null","No","Yes")</f>
        <v>No</v>
      </c>
      <c r="AJ509" t="str">
        <f>IF(TwitterClean[[#This Row],[external_url]]="null","Yes","No")</f>
        <v>No</v>
      </c>
      <c r="AK509">
        <f>LEN(TwitterClean[[#This Row],[description]])</f>
        <v>63</v>
      </c>
      <c r="AL509" t="str">
        <f>IF(TwitterClean[[#This Row],[followers]]&lt;100000,"&lt;100K",IF(TwitterClean[[#This Row],[followers]]&lt;1000000,"100K-1M",IF(TwitterClean[[#This Row],[followers]]&lt;10000000,"1M-10M","10M+")))</f>
        <v>1M-10M</v>
      </c>
    </row>
    <row r="510" spans="1:38">
      <c r="A510">
        <v>1.86837231942237E+18</v>
      </c>
      <c r="B510" t="s">
        <v>3083</v>
      </c>
      <c r="C510" t="s">
        <v>3083</v>
      </c>
      <c r="D510" t="s">
        <v>5113</v>
      </c>
      <c r="E510" t="s">
        <v>5114</v>
      </c>
      <c r="F510" t="s">
        <v>29</v>
      </c>
      <c r="G510" t="s">
        <v>5115</v>
      </c>
      <c r="H510" t="s">
        <v>5116</v>
      </c>
      <c r="I510">
        <v>38</v>
      </c>
      <c r="J510">
        <v>92</v>
      </c>
      <c r="K510">
        <v>609</v>
      </c>
      <c r="L510">
        <v>77980</v>
      </c>
      <c r="M510" t="s">
        <v>5117</v>
      </c>
      <c r="N510" t="s">
        <v>3087</v>
      </c>
      <c r="O510">
        <v>14375934</v>
      </c>
      <c r="P510" t="s">
        <v>3088</v>
      </c>
      <c r="Q510">
        <v>346973</v>
      </c>
      <c r="R510" t="s">
        <v>3089</v>
      </c>
      <c r="S510">
        <v>392</v>
      </c>
      <c r="T510" t="b">
        <v>0</v>
      </c>
      <c r="U510">
        <v>3</v>
      </c>
      <c r="V510">
        <v>16</v>
      </c>
      <c r="W510" t="s">
        <v>35</v>
      </c>
      <c r="X510" t="s">
        <v>5118</v>
      </c>
      <c r="Y510" t="s">
        <v>29</v>
      </c>
      <c r="Z510" t="s">
        <v>37</v>
      </c>
      <c r="AA510">
        <f>TwitterClean[[#This Row],[likes]]+TwitterClean[[#This Row],[replies]]+TwitterClean[[#This Row],[reposts]]+TwitterClean[[#This Row],[quotes]]+TwitterClean[[#This Row],[bookmarks]]</f>
        <v>758</v>
      </c>
      <c r="AB510" s="1">
        <f>TwitterClean[[#This Row],[Total_Engagements]]/TwitterClean[[#This Row],[views]]</f>
        <v>9.7204411387535258E-3</v>
      </c>
      <c r="AC510" s="3">
        <f>DATEVALUE(MID(TwitterClean[[#This Row],[date_posted]],2,10))</f>
        <v>45641</v>
      </c>
      <c r="AD510">
        <f>TIMEVALUE(MID(TwitterClean[[#This Row],[date_posted]],13,8))</f>
        <v>0.79685185185185181</v>
      </c>
      <c r="AE510" s="3" t="str">
        <f>TEXT(TwitterClean[[#This Row],[Post_Date]],"dddd")</f>
        <v>Sunday</v>
      </c>
      <c r="AF510">
        <f>HOUR(TwitterClean[[#This Row],[Post_Time]])</f>
        <v>19</v>
      </c>
      <c r="AG510" t="str">
        <f>IF(TwitterClean[[#This Row],[videos]]="Null","No","Yes")</f>
        <v>No</v>
      </c>
      <c r="AH510" t="str">
        <f>IF(TwitterClean[[#This Row],[photos]]="null","No","Yes")</f>
        <v>No</v>
      </c>
      <c r="AI510" t="str">
        <f>IF(TwitterClean[[#This Row],[hashtags]]="null","No","Yes")</f>
        <v>Yes</v>
      </c>
      <c r="AJ510" t="str">
        <f>IF(TwitterClean[[#This Row],[external_url]]="null","Yes","No")</f>
        <v>No</v>
      </c>
      <c r="AK510">
        <f>LEN(TwitterClean[[#This Row],[description]])</f>
        <v>82</v>
      </c>
      <c r="AL510" t="str">
        <f>IF(TwitterClean[[#This Row],[followers]]&lt;100000,"&lt;100K",IF(TwitterClean[[#This Row],[followers]]&lt;1000000,"100K-1M",IF(TwitterClean[[#This Row],[followers]]&lt;10000000,"1M-10M","10M+")))</f>
        <v>10M+</v>
      </c>
    </row>
    <row r="511" spans="1:38">
      <c r="A511">
        <v>1.8682199820035077E+18</v>
      </c>
      <c r="B511" t="s">
        <v>4710</v>
      </c>
      <c r="C511" t="s">
        <v>4711</v>
      </c>
      <c r="D511" t="s">
        <v>5267</v>
      </c>
      <c r="E511" t="s">
        <v>5268</v>
      </c>
      <c r="F511" t="s">
        <v>5269</v>
      </c>
      <c r="G511" t="s">
        <v>5270</v>
      </c>
      <c r="H511" t="s">
        <v>29</v>
      </c>
      <c r="I511">
        <v>15</v>
      </c>
      <c r="J511">
        <v>21</v>
      </c>
      <c r="K511">
        <v>764</v>
      </c>
      <c r="L511">
        <v>84181</v>
      </c>
      <c r="M511" t="s">
        <v>52</v>
      </c>
      <c r="N511" t="s">
        <v>4716</v>
      </c>
      <c r="O511">
        <v>551402</v>
      </c>
      <c r="P511" t="s">
        <v>4717</v>
      </c>
      <c r="Q511">
        <v>40407</v>
      </c>
      <c r="R511" t="s">
        <v>4718</v>
      </c>
      <c r="S511">
        <v>282</v>
      </c>
      <c r="T511" t="b">
        <v>0</v>
      </c>
      <c r="U511">
        <v>5</v>
      </c>
      <c r="V511">
        <v>13</v>
      </c>
      <c r="W511" t="s">
        <v>35</v>
      </c>
      <c r="X511" t="s">
        <v>29</v>
      </c>
      <c r="Y511" t="s">
        <v>29</v>
      </c>
      <c r="Z511" t="s">
        <v>37</v>
      </c>
      <c r="AA511">
        <f>TwitterClean[[#This Row],[likes]]+TwitterClean[[#This Row],[replies]]+TwitterClean[[#This Row],[reposts]]+TwitterClean[[#This Row],[quotes]]+TwitterClean[[#This Row],[bookmarks]]</f>
        <v>818</v>
      </c>
      <c r="AB511" s="1">
        <f>TwitterClean[[#This Row],[Total_Engagements]]/TwitterClean[[#This Row],[views]]</f>
        <v>9.7171570782005438E-3</v>
      </c>
      <c r="AC511" s="3">
        <f>DATEVALUE(MID(TwitterClean[[#This Row],[date_posted]],2,10))</f>
        <v>45641</v>
      </c>
      <c r="AD511">
        <f>TIMEVALUE(MID(TwitterClean[[#This Row],[date_posted]],13,8))</f>
        <v>0.37648148148148147</v>
      </c>
      <c r="AE511" s="3" t="str">
        <f>TEXT(TwitterClean[[#This Row],[Post_Date]],"dddd")</f>
        <v>Sunday</v>
      </c>
      <c r="AF511">
        <f>HOUR(TwitterClean[[#This Row],[Post_Time]])</f>
        <v>9</v>
      </c>
      <c r="AG511" t="str">
        <f>IF(TwitterClean[[#This Row],[videos]]="Null","No","Yes")</f>
        <v>No</v>
      </c>
      <c r="AH511" t="str">
        <f>IF(TwitterClean[[#This Row],[photos]]="null","No","Yes")</f>
        <v>Yes</v>
      </c>
      <c r="AI511" t="str">
        <f>IF(TwitterClean[[#This Row],[hashtags]]="null","No","Yes")</f>
        <v>Yes</v>
      </c>
      <c r="AJ511" t="str">
        <f>IF(TwitterClean[[#This Row],[external_url]]="null","Yes","No")</f>
        <v>No</v>
      </c>
      <c r="AK511">
        <f>LEN(TwitterClean[[#This Row],[description]])</f>
        <v>54</v>
      </c>
      <c r="AL511" t="str">
        <f>IF(TwitterClean[[#This Row],[followers]]&lt;100000,"&lt;100K",IF(TwitterClean[[#This Row],[followers]]&lt;1000000,"100K-1M",IF(TwitterClean[[#This Row],[followers]]&lt;10000000,"1M-10M","10M+")))</f>
        <v>100K-1M</v>
      </c>
    </row>
    <row r="512" spans="1:38">
      <c r="A512">
        <v>1.8683860526347843E+18</v>
      </c>
      <c r="B512" t="s">
        <v>38</v>
      </c>
      <c r="C512" t="s">
        <v>38</v>
      </c>
      <c r="D512" t="s">
        <v>73</v>
      </c>
      <c r="E512" t="s">
        <v>74</v>
      </c>
      <c r="F512" t="s">
        <v>29</v>
      </c>
      <c r="G512" t="s">
        <v>75</v>
      </c>
      <c r="H512" t="s">
        <v>29</v>
      </c>
      <c r="I512">
        <v>9</v>
      </c>
      <c r="J512">
        <v>64</v>
      </c>
      <c r="K512">
        <v>524</v>
      </c>
      <c r="L512">
        <v>63114</v>
      </c>
      <c r="M512" t="s">
        <v>76</v>
      </c>
      <c r="N512" t="s">
        <v>29</v>
      </c>
      <c r="O512">
        <v>14257907</v>
      </c>
      <c r="P512" t="s">
        <v>43</v>
      </c>
      <c r="Q512">
        <v>357584</v>
      </c>
      <c r="R512" t="s">
        <v>44</v>
      </c>
      <c r="S512">
        <v>3784</v>
      </c>
      <c r="T512" t="b">
        <v>0</v>
      </c>
      <c r="U512">
        <v>6</v>
      </c>
      <c r="V512">
        <v>9</v>
      </c>
      <c r="W512" t="s">
        <v>35</v>
      </c>
      <c r="X512" t="s">
        <v>77</v>
      </c>
      <c r="Y512" t="s">
        <v>29</v>
      </c>
      <c r="Z512" t="s">
        <v>37</v>
      </c>
      <c r="AA512">
        <f>TwitterClean[[#This Row],[likes]]+TwitterClean[[#This Row],[replies]]+TwitterClean[[#This Row],[reposts]]+TwitterClean[[#This Row],[quotes]]+TwitterClean[[#This Row],[bookmarks]]</f>
        <v>612</v>
      </c>
      <c r="AB512" s="1">
        <f>TwitterClean[[#This Row],[Total_Engagements]]/TwitterClean[[#This Row],[views]]</f>
        <v>9.6967392337674683E-3</v>
      </c>
      <c r="AC512" s="3">
        <f>DATEVALUE(MID(TwitterClean[[#This Row],[date_posted]],2,10))</f>
        <v>45641</v>
      </c>
      <c r="AD512">
        <f>TIMEVALUE(MID(TwitterClean[[#This Row],[date_posted]],13,8))</f>
        <v>0.83474537037037033</v>
      </c>
      <c r="AE512" s="3" t="str">
        <f>TEXT(TwitterClean[[#This Row],[Post_Date]],"dddd")</f>
        <v>Sunday</v>
      </c>
      <c r="AF512">
        <f>HOUR(TwitterClean[[#This Row],[Post_Time]])</f>
        <v>20</v>
      </c>
      <c r="AG512" t="str">
        <f>IF(TwitterClean[[#This Row],[videos]]="Null","No","Yes")</f>
        <v>No</v>
      </c>
      <c r="AH512" t="str">
        <f>IF(TwitterClean[[#This Row],[photos]]="null","No","Yes")</f>
        <v>No</v>
      </c>
      <c r="AI512" t="str">
        <f>IF(TwitterClean[[#This Row],[hashtags]]="null","No","Yes")</f>
        <v>No</v>
      </c>
      <c r="AJ512" t="str">
        <f>IF(TwitterClean[[#This Row],[external_url]]="null","Yes","No")</f>
        <v>No</v>
      </c>
      <c r="AK512">
        <f>LEN(TwitterClean[[#This Row],[description]])</f>
        <v>87</v>
      </c>
      <c r="AL512" t="str">
        <f>IF(TwitterClean[[#This Row],[followers]]&lt;100000,"&lt;100K",IF(TwitterClean[[#This Row],[followers]]&lt;1000000,"100K-1M",IF(TwitterClean[[#This Row],[followers]]&lt;10000000,"1M-10M","10M+")))</f>
        <v>10M+</v>
      </c>
    </row>
    <row r="513" spans="1:38">
      <c r="A513">
        <v>1.8681047791524252E+18</v>
      </c>
      <c r="B513" t="s">
        <v>1862</v>
      </c>
      <c r="C513" t="s">
        <v>1863</v>
      </c>
      <c r="D513" t="s">
        <v>1958</v>
      </c>
      <c r="E513" t="s">
        <v>1959</v>
      </c>
      <c r="F513" t="s">
        <v>29</v>
      </c>
      <c r="G513" t="s">
        <v>1960</v>
      </c>
      <c r="H513" t="s">
        <v>29</v>
      </c>
      <c r="I513">
        <v>14</v>
      </c>
      <c r="J513">
        <v>14</v>
      </c>
      <c r="K513">
        <v>126</v>
      </c>
      <c r="L513">
        <v>18466</v>
      </c>
      <c r="M513" t="s">
        <v>52</v>
      </c>
      <c r="N513" t="s">
        <v>1961</v>
      </c>
      <c r="O513">
        <v>13492430</v>
      </c>
      <c r="P513" t="s">
        <v>1868</v>
      </c>
      <c r="Q513">
        <v>314515</v>
      </c>
      <c r="R513" t="s">
        <v>1869</v>
      </c>
      <c r="S513">
        <v>708</v>
      </c>
      <c r="T513" t="b">
        <v>0</v>
      </c>
      <c r="U513">
        <v>8</v>
      </c>
      <c r="V513">
        <v>17</v>
      </c>
      <c r="W513" t="s">
        <v>35</v>
      </c>
      <c r="X513" t="s">
        <v>29</v>
      </c>
      <c r="Y513" t="s">
        <v>1962</v>
      </c>
      <c r="Z513" t="s">
        <v>37</v>
      </c>
      <c r="AA513">
        <f>TwitterClean[[#This Row],[likes]]+TwitterClean[[#This Row],[replies]]+TwitterClean[[#This Row],[reposts]]+TwitterClean[[#This Row],[quotes]]+TwitterClean[[#This Row],[bookmarks]]</f>
        <v>179</v>
      </c>
      <c r="AB513" s="1">
        <f>TwitterClean[[#This Row],[Total_Engagements]]/TwitterClean[[#This Row],[views]]</f>
        <v>9.6934907397378967E-3</v>
      </c>
      <c r="AC513" s="3">
        <f>DATEVALUE(MID(TwitterClean[[#This Row],[date_posted]],2,10))</f>
        <v>45641</v>
      </c>
      <c r="AD513">
        <f>TIMEVALUE(MID(TwitterClean[[#This Row],[date_posted]],13,8))</f>
        <v>5.8576388888888886E-2</v>
      </c>
      <c r="AE513" s="3" t="str">
        <f>TEXT(TwitterClean[[#This Row],[Post_Date]],"dddd")</f>
        <v>Sunday</v>
      </c>
      <c r="AF513">
        <f>HOUR(TwitterClean[[#This Row],[Post_Time]])</f>
        <v>1</v>
      </c>
      <c r="AG513" t="str">
        <f>IF(TwitterClean[[#This Row],[videos]]="Null","No","Yes")</f>
        <v>Yes</v>
      </c>
      <c r="AH513" t="str">
        <f>IF(TwitterClean[[#This Row],[photos]]="null","No","Yes")</f>
        <v>No</v>
      </c>
      <c r="AI513" t="str">
        <f>IF(TwitterClean[[#This Row],[hashtags]]="null","No","Yes")</f>
        <v>Yes</v>
      </c>
      <c r="AJ513" t="str">
        <f>IF(TwitterClean[[#This Row],[external_url]]="null","Yes","No")</f>
        <v>No</v>
      </c>
      <c r="AK513">
        <f>LEN(TwitterClean[[#This Row],[description]])</f>
        <v>56</v>
      </c>
      <c r="AL513" t="str">
        <f>IF(TwitterClean[[#This Row],[followers]]&lt;100000,"&lt;100K",IF(TwitterClean[[#This Row],[followers]]&lt;1000000,"100K-1M",IF(TwitterClean[[#This Row],[followers]]&lt;10000000,"1M-10M","10M+")))</f>
        <v>10M+</v>
      </c>
    </row>
    <row r="514" spans="1:38">
      <c r="A514">
        <v>1.8683599835674422E+18</v>
      </c>
      <c r="B514" t="s">
        <v>1267</v>
      </c>
      <c r="C514" t="s">
        <v>1268</v>
      </c>
      <c r="D514" t="s">
        <v>1325</v>
      </c>
      <c r="E514" t="s">
        <v>1326</v>
      </c>
      <c r="F514" t="s">
        <v>1327</v>
      </c>
      <c r="G514" t="s">
        <v>1328</v>
      </c>
      <c r="H514" t="s">
        <v>29</v>
      </c>
      <c r="I514">
        <v>74</v>
      </c>
      <c r="J514">
        <v>78</v>
      </c>
      <c r="K514">
        <v>964</v>
      </c>
      <c r="L514">
        <v>117033</v>
      </c>
      <c r="M514" t="s">
        <v>52</v>
      </c>
      <c r="N514" t="s">
        <v>1273</v>
      </c>
      <c r="O514">
        <v>17891377</v>
      </c>
      <c r="P514" t="s">
        <v>1274</v>
      </c>
      <c r="Q514">
        <v>168939</v>
      </c>
      <c r="R514" t="s">
        <v>1275</v>
      </c>
      <c r="S514">
        <v>47365</v>
      </c>
      <c r="T514" t="b">
        <v>0</v>
      </c>
      <c r="U514">
        <v>5</v>
      </c>
      <c r="V514">
        <v>13</v>
      </c>
      <c r="W514" t="s">
        <v>35</v>
      </c>
      <c r="X514" t="s">
        <v>29</v>
      </c>
      <c r="Y514" t="s">
        <v>29</v>
      </c>
      <c r="Z514" t="s">
        <v>37</v>
      </c>
      <c r="AA514">
        <f>TwitterClean[[#This Row],[likes]]+TwitterClean[[#This Row],[replies]]+TwitterClean[[#This Row],[reposts]]+TwitterClean[[#This Row],[quotes]]+TwitterClean[[#This Row],[bookmarks]]</f>
        <v>1134</v>
      </c>
      <c r="AB514" s="1">
        <f>TwitterClean[[#This Row],[Total_Engagements]]/TwitterClean[[#This Row],[views]]</f>
        <v>9.6895747353310611E-3</v>
      </c>
      <c r="AC514" s="3">
        <f>DATEVALUE(MID(TwitterClean[[#This Row],[date_posted]],2,10))</f>
        <v>45641</v>
      </c>
      <c r="AD514">
        <f>TIMEVALUE(MID(TwitterClean[[#This Row],[date_posted]],13,8))</f>
        <v>0.7628125</v>
      </c>
      <c r="AE514" s="3" t="str">
        <f>TEXT(TwitterClean[[#This Row],[Post_Date]],"dddd")</f>
        <v>Sunday</v>
      </c>
      <c r="AF514">
        <f>HOUR(TwitterClean[[#This Row],[Post_Time]])</f>
        <v>18</v>
      </c>
      <c r="AG514" t="str">
        <f>IF(TwitterClean[[#This Row],[videos]]="Null","No","Yes")</f>
        <v>No</v>
      </c>
      <c r="AH514" t="str">
        <f>IF(TwitterClean[[#This Row],[photos]]="null","No","Yes")</f>
        <v>Yes</v>
      </c>
      <c r="AI514" t="str">
        <f>IF(TwitterClean[[#This Row],[hashtags]]="null","No","Yes")</f>
        <v>Yes</v>
      </c>
      <c r="AJ514" t="str">
        <f>IF(TwitterClean[[#This Row],[external_url]]="null","Yes","No")</f>
        <v>No</v>
      </c>
      <c r="AK514">
        <f>LEN(TwitterClean[[#This Row],[description]])</f>
        <v>42</v>
      </c>
      <c r="AL514" t="str">
        <f>IF(TwitterClean[[#This Row],[followers]]&lt;100000,"&lt;100K",IF(TwitterClean[[#This Row],[followers]]&lt;1000000,"100K-1M",IF(TwitterClean[[#This Row],[followers]]&lt;10000000,"1M-10M","10M+")))</f>
        <v>10M+</v>
      </c>
    </row>
    <row r="515" spans="1:38">
      <c r="A515">
        <v>1.8681798831234217E+18</v>
      </c>
      <c r="B515" t="s">
        <v>3034</v>
      </c>
      <c r="C515" t="s">
        <v>3035</v>
      </c>
      <c r="D515" t="s">
        <v>3049</v>
      </c>
      <c r="E515" t="s">
        <v>3050</v>
      </c>
      <c r="F515" t="s">
        <v>29</v>
      </c>
      <c r="G515" t="s">
        <v>3051</v>
      </c>
      <c r="H515" t="s">
        <v>3052</v>
      </c>
      <c r="I515">
        <v>566</v>
      </c>
      <c r="J515">
        <v>643</v>
      </c>
      <c r="K515">
        <v>12983</v>
      </c>
      <c r="L515">
        <v>1521807</v>
      </c>
      <c r="M515" t="s">
        <v>52</v>
      </c>
      <c r="N515" t="s">
        <v>3040</v>
      </c>
      <c r="O515">
        <v>12876593</v>
      </c>
      <c r="P515" t="s">
        <v>3041</v>
      </c>
      <c r="Q515">
        <v>141401</v>
      </c>
      <c r="R515" t="s">
        <v>3042</v>
      </c>
      <c r="S515">
        <v>717</v>
      </c>
      <c r="T515" t="b">
        <v>0</v>
      </c>
      <c r="U515">
        <v>184</v>
      </c>
      <c r="V515">
        <v>341</v>
      </c>
      <c r="W515" t="s">
        <v>35</v>
      </c>
      <c r="X515" t="s">
        <v>29</v>
      </c>
      <c r="Y515" t="s">
        <v>3053</v>
      </c>
      <c r="Z515" t="s">
        <v>37</v>
      </c>
      <c r="AA515">
        <f>TwitterClean[[#This Row],[likes]]+TwitterClean[[#This Row],[replies]]+TwitterClean[[#This Row],[reposts]]+TwitterClean[[#This Row],[quotes]]+TwitterClean[[#This Row],[bookmarks]]</f>
        <v>14717</v>
      </c>
      <c r="AB515" s="1">
        <f>TwitterClean[[#This Row],[Total_Engagements]]/TwitterClean[[#This Row],[views]]</f>
        <v>9.6707401135623632E-3</v>
      </c>
      <c r="AC515" s="3">
        <f>DATEVALUE(MID(TwitterClean[[#This Row],[date_posted]],2,10))</f>
        <v>45641</v>
      </c>
      <c r="AD515">
        <f>TIMEVALUE(MID(TwitterClean[[#This Row],[date_posted]],13,8))</f>
        <v>0.26582175925925927</v>
      </c>
      <c r="AE515" s="3" t="str">
        <f>TEXT(TwitterClean[[#This Row],[Post_Date]],"dddd")</f>
        <v>Sunday</v>
      </c>
      <c r="AF515">
        <f>HOUR(TwitterClean[[#This Row],[Post_Time]])</f>
        <v>6</v>
      </c>
      <c r="AG515" t="str">
        <f>IF(TwitterClean[[#This Row],[videos]]="Null","No","Yes")</f>
        <v>Yes</v>
      </c>
      <c r="AH515" t="str">
        <f>IF(TwitterClean[[#This Row],[photos]]="null","No","Yes")</f>
        <v>No</v>
      </c>
      <c r="AI515" t="str">
        <f>IF(TwitterClean[[#This Row],[hashtags]]="null","No","Yes")</f>
        <v>Yes</v>
      </c>
      <c r="AJ515" t="str">
        <f>IF(TwitterClean[[#This Row],[external_url]]="null","Yes","No")</f>
        <v>No</v>
      </c>
      <c r="AK515">
        <f>LEN(TwitterClean[[#This Row],[description]])</f>
        <v>41</v>
      </c>
      <c r="AL515" t="str">
        <f>IF(TwitterClean[[#This Row],[followers]]&lt;100000,"&lt;100K",IF(TwitterClean[[#This Row],[followers]]&lt;1000000,"100K-1M",IF(TwitterClean[[#This Row],[followers]]&lt;10000000,"1M-10M","10M+")))</f>
        <v>10M+</v>
      </c>
    </row>
    <row r="516" spans="1:38">
      <c r="A516">
        <v>1.8683404934045453E+18</v>
      </c>
      <c r="B516" t="s">
        <v>3392</v>
      </c>
      <c r="C516" t="s">
        <v>3393</v>
      </c>
      <c r="D516" t="s">
        <v>3402</v>
      </c>
      <c r="E516" t="s">
        <v>3403</v>
      </c>
      <c r="F516" t="s">
        <v>29</v>
      </c>
      <c r="G516" t="s">
        <v>3404</v>
      </c>
      <c r="H516" t="s">
        <v>29</v>
      </c>
      <c r="I516">
        <v>18</v>
      </c>
      <c r="J516">
        <v>139</v>
      </c>
      <c r="K516">
        <v>1363</v>
      </c>
      <c r="L516">
        <v>169117</v>
      </c>
      <c r="M516" t="s">
        <v>52</v>
      </c>
      <c r="N516" t="s">
        <v>3405</v>
      </c>
      <c r="O516">
        <v>1480966</v>
      </c>
      <c r="P516" t="s">
        <v>3399</v>
      </c>
      <c r="Q516">
        <v>103753</v>
      </c>
      <c r="R516" t="s">
        <v>3400</v>
      </c>
      <c r="S516">
        <v>552</v>
      </c>
      <c r="T516" t="b">
        <v>0</v>
      </c>
      <c r="U516">
        <v>51</v>
      </c>
      <c r="V516">
        <v>63</v>
      </c>
      <c r="W516" t="s">
        <v>35</v>
      </c>
      <c r="X516" t="s">
        <v>29</v>
      </c>
      <c r="Y516" t="s">
        <v>3406</v>
      </c>
      <c r="Z516" t="s">
        <v>37</v>
      </c>
      <c r="AA516">
        <f>TwitterClean[[#This Row],[likes]]+TwitterClean[[#This Row],[replies]]+TwitterClean[[#This Row],[reposts]]+TwitterClean[[#This Row],[quotes]]+TwitterClean[[#This Row],[bookmarks]]</f>
        <v>1634</v>
      </c>
      <c r="AB516" s="1">
        <f>TwitterClean[[#This Row],[Total_Engagements]]/TwitterClean[[#This Row],[views]]</f>
        <v>9.6619500109391722E-3</v>
      </c>
      <c r="AC516" s="3">
        <f>DATEVALUE(MID(TwitterClean[[#This Row],[date_posted]],2,10))</f>
        <v>45641</v>
      </c>
      <c r="AD516">
        <f>TIMEVALUE(MID(TwitterClean[[#This Row],[date_posted]],13,8))</f>
        <v>0.70902777777777781</v>
      </c>
      <c r="AE516" s="3" t="str">
        <f>TEXT(TwitterClean[[#This Row],[Post_Date]],"dddd")</f>
        <v>Sunday</v>
      </c>
      <c r="AF516">
        <f>HOUR(TwitterClean[[#This Row],[Post_Time]])</f>
        <v>17</v>
      </c>
      <c r="AG516" t="str">
        <f>IF(TwitterClean[[#This Row],[videos]]="Null","No","Yes")</f>
        <v>Yes</v>
      </c>
      <c r="AH516" t="str">
        <f>IF(TwitterClean[[#This Row],[photos]]="null","No","Yes")</f>
        <v>No</v>
      </c>
      <c r="AI516" t="str">
        <f>IF(TwitterClean[[#This Row],[hashtags]]="null","No","Yes")</f>
        <v>Yes</v>
      </c>
      <c r="AJ516" t="str">
        <f>IF(TwitterClean[[#This Row],[external_url]]="null","Yes","No")</f>
        <v>No</v>
      </c>
      <c r="AK516">
        <f>LEN(TwitterClean[[#This Row],[description]])</f>
        <v>80</v>
      </c>
      <c r="AL516" t="str">
        <f>IF(TwitterClean[[#This Row],[followers]]&lt;100000,"&lt;100K",IF(TwitterClean[[#This Row],[followers]]&lt;1000000,"100K-1M",IF(TwitterClean[[#This Row],[followers]]&lt;10000000,"1M-10M","10M+")))</f>
        <v>1M-10M</v>
      </c>
    </row>
    <row r="517" spans="1:38">
      <c r="A517">
        <v>1.8683860435292247E+18</v>
      </c>
      <c r="B517" t="s">
        <v>333</v>
      </c>
      <c r="C517" t="s">
        <v>334</v>
      </c>
      <c r="D517" t="s">
        <v>4310</v>
      </c>
      <c r="E517" t="s">
        <v>4311</v>
      </c>
      <c r="F517" t="s">
        <v>29</v>
      </c>
      <c r="G517" t="s">
        <v>4312</v>
      </c>
      <c r="H517" t="s">
        <v>1411</v>
      </c>
      <c r="I517">
        <v>1</v>
      </c>
      <c r="J517">
        <v>3</v>
      </c>
      <c r="K517">
        <v>75</v>
      </c>
      <c r="L517">
        <v>8622</v>
      </c>
      <c r="M517" t="s">
        <v>52</v>
      </c>
      <c r="N517" t="s">
        <v>340</v>
      </c>
      <c r="O517">
        <v>337839</v>
      </c>
      <c r="P517" t="s">
        <v>341</v>
      </c>
      <c r="Q517">
        <v>57638</v>
      </c>
      <c r="R517" t="s">
        <v>342</v>
      </c>
      <c r="S517">
        <v>587</v>
      </c>
      <c r="T517" t="b">
        <v>0</v>
      </c>
      <c r="U517">
        <v>1</v>
      </c>
      <c r="V517">
        <v>3</v>
      </c>
      <c r="W517" t="s">
        <v>35</v>
      </c>
      <c r="X517" t="s">
        <v>29</v>
      </c>
      <c r="Y517" t="s">
        <v>4313</v>
      </c>
      <c r="Z517" t="s">
        <v>37</v>
      </c>
      <c r="AA517">
        <f>TwitterClean[[#This Row],[likes]]+TwitterClean[[#This Row],[replies]]+TwitterClean[[#This Row],[reposts]]+TwitterClean[[#This Row],[quotes]]+TwitterClean[[#This Row],[bookmarks]]</f>
        <v>83</v>
      </c>
      <c r="AB517" s="1">
        <f>TwitterClean[[#This Row],[Total_Engagements]]/TwitterClean[[#This Row],[views]]</f>
        <v>9.6265367664115052E-3</v>
      </c>
      <c r="AC517" s="3">
        <f>DATEVALUE(MID(TwitterClean[[#This Row],[date_posted]],2,10))</f>
        <v>45641</v>
      </c>
      <c r="AD517">
        <f>TIMEVALUE(MID(TwitterClean[[#This Row],[date_posted]],13,8))</f>
        <v>0.83472222222222225</v>
      </c>
      <c r="AE517" s="3" t="str">
        <f>TEXT(TwitterClean[[#This Row],[Post_Date]],"dddd")</f>
        <v>Sunday</v>
      </c>
      <c r="AF517">
        <f>HOUR(TwitterClean[[#This Row],[Post_Time]])</f>
        <v>20</v>
      </c>
      <c r="AG517" t="str">
        <f>IF(TwitterClean[[#This Row],[videos]]="Null","No","Yes")</f>
        <v>Yes</v>
      </c>
      <c r="AH517" t="str">
        <f>IF(TwitterClean[[#This Row],[photos]]="null","No","Yes")</f>
        <v>No</v>
      </c>
      <c r="AI517" t="str">
        <f>IF(TwitterClean[[#This Row],[hashtags]]="null","No","Yes")</f>
        <v>Yes</v>
      </c>
      <c r="AJ517" t="str">
        <f>IF(TwitterClean[[#This Row],[external_url]]="null","Yes","No")</f>
        <v>No</v>
      </c>
      <c r="AK517">
        <f>LEN(TwitterClean[[#This Row],[description]])</f>
        <v>73</v>
      </c>
      <c r="AL517" t="str">
        <f>IF(TwitterClean[[#This Row],[followers]]&lt;100000,"&lt;100K",IF(TwitterClean[[#This Row],[followers]]&lt;1000000,"100K-1M",IF(TwitterClean[[#This Row],[followers]]&lt;10000000,"1M-10M","10M+")))</f>
        <v>100K-1M</v>
      </c>
    </row>
    <row r="518" spans="1:38">
      <c r="A518">
        <v>1.8682252338341274E+18</v>
      </c>
      <c r="B518" t="s">
        <v>4777</v>
      </c>
      <c r="C518" t="s">
        <v>4778</v>
      </c>
      <c r="D518" t="s">
        <v>4914</v>
      </c>
      <c r="E518" t="s">
        <v>4915</v>
      </c>
      <c r="F518" t="s">
        <v>29</v>
      </c>
      <c r="G518" t="s">
        <v>4916</v>
      </c>
      <c r="H518" t="s">
        <v>4917</v>
      </c>
      <c r="I518">
        <v>42</v>
      </c>
      <c r="J518">
        <v>156</v>
      </c>
      <c r="K518">
        <v>1924</v>
      </c>
      <c r="L518">
        <v>228168</v>
      </c>
      <c r="M518" t="s">
        <v>4918</v>
      </c>
      <c r="N518" t="s">
        <v>742</v>
      </c>
      <c r="O518">
        <v>10795896</v>
      </c>
      <c r="P518" t="s">
        <v>4783</v>
      </c>
      <c r="Q518">
        <v>95508</v>
      </c>
      <c r="R518" t="s">
        <v>4784</v>
      </c>
      <c r="S518">
        <v>98</v>
      </c>
      <c r="T518" t="b">
        <v>0</v>
      </c>
      <c r="U518">
        <v>5</v>
      </c>
      <c r="V518">
        <v>69</v>
      </c>
      <c r="W518" t="s">
        <v>35</v>
      </c>
      <c r="X518" t="s">
        <v>4919</v>
      </c>
      <c r="Y518" t="s">
        <v>29</v>
      </c>
      <c r="Z518" t="s">
        <v>37</v>
      </c>
      <c r="AA518">
        <f>TwitterClean[[#This Row],[likes]]+TwitterClean[[#This Row],[replies]]+TwitterClean[[#This Row],[reposts]]+TwitterClean[[#This Row],[quotes]]+TwitterClean[[#This Row],[bookmarks]]</f>
        <v>2196</v>
      </c>
      <c r="AB518" s="1">
        <f>TwitterClean[[#This Row],[Total_Engagements]]/TwitterClean[[#This Row],[views]]</f>
        <v>9.6244872199432001E-3</v>
      </c>
      <c r="AC518" s="3">
        <f>DATEVALUE(MID(TwitterClean[[#This Row],[date_posted]],2,10))</f>
        <v>45641</v>
      </c>
      <c r="AD518">
        <f>TIMEVALUE(MID(TwitterClean[[#This Row],[date_posted]],13,8))</f>
        <v>0.39097222222222222</v>
      </c>
      <c r="AE518" s="3" t="str">
        <f>TEXT(TwitterClean[[#This Row],[Post_Date]],"dddd")</f>
        <v>Sunday</v>
      </c>
      <c r="AF518">
        <f>HOUR(TwitterClean[[#This Row],[Post_Time]])</f>
        <v>9</v>
      </c>
      <c r="AG518" t="str">
        <f>IF(TwitterClean[[#This Row],[videos]]="Null","No","Yes")</f>
        <v>No</v>
      </c>
      <c r="AH518" t="str">
        <f>IF(TwitterClean[[#This Row],[photos]]="null","No","Yes")</f>
        <v>No</v>
      </c>
      <c r="AI518" t="str">
        <f>IF(TwitterClean[[#This Row],[hashtags]]="null","No","Yes")</f>
        <v>Yes</v>
      </c>
      <c r="AJ518" t="str">
        <f>IF(TwitterClean[[#This Row],[external_url]]="null","Yes","No")</f>
        <v>No</v>
      </c>
      <c r="AK518">
        <f>LEN(TwitterClean[[#This Row],[description]])</f>
        <v>123</v>
      </c>
      <c r="AL518" t="str">
        <f>IF(TwitterClean[[#This Row],[followers]]&lt;100000,"&lt;100K",IF(TwitterClean[[#This Row],[followers]]&lt;1000000,"100K-1M",IF(TwitterClean[[#This Row],[followers]]&lt;10000000,"1M-10M","10M+")))</f>
        <v>10M+</v>
      </c>
    </row>
    <row r="519" spans="1:38">
      <c r="A519">
        <v>1.8683711957221583E+18</v>
      </c>
      <c r="B519" t="s">
        <v>3034</v>
      </c>
      <c r="C519" t="s">
        <v>3035</v>
      </c>
      <c r="D519" t="s">
        <v>4884</v>
      </c>
      <c r="E519" t="s">
        <v>4885</v>
      </c>
      <c r="F519" t="s">
        <v>4886</v>
      </c>
      <c r="G519" t="s">
        <v>4887</v>
      </c>
      <c r="H519" t="s">
        <v>3052</v>
      </c>
      <c r="I519">
        <v>43</v>
      </c>
      <c r="J519">
        <v>52</v>
      </c>
      <c r="K519">
        <v>803</v>
      </c>
      <c r="L519">
        <v>95255</v>
      </c>
      <c r="M519" t="s">
        <v>52</v>
      </c>
      <c r="N519" t="s">
        <v>3040</v>
      </c>
      <c r="O519">
        <v>12876593</v>
      </c>
      <c r="P519" t="s">
        <v>3041</v>
      </c>
      <c r="Q519">
        <v>141401</v>
      </c>
      <c r="R519" t="s">
        <v>3042</v>
      </c>
      <c r="S519">
        <v>717</v>
      </c>
      <c r="T519" t="b">
        <v>0</v>
      </c>
      <c r="U519">
        <v>5</v>
      </c>
      <c r="V519">
        <v>11</v>
      </c>
      <c r="W519" t="s">
        <v>35</v>
      </c>
      <c r="X519" t="s">
        <v>29</v>
      </c>
      <c r="Y519" t="s">
        <v>29</v>
      </c>
      <c r="Z519" t="s">
        <v>37</v>
      </c>
      <c r="AA519">
        <f>TwitterClean[[#This Row],[likes]]+TwitterClean[[#This Row],[replies]]+TwitterClean[[#This Row],[reposts]]+TwitterClean[[#This Row],[quotes]]+TwitterClean[[#This Row],[bookmarks]]</f>
        <v>914</v>
      </c>
      <c r="AB519" s="1">
        <f>TwitterClean[[#This Row],[Total_Engagements]]/TwitterClean[[#This Row],[views]]</f>
        <v>9.5952968348118201E-3</v>
      </c>
      <c r="AC519" s="3">
        <f>DATEVALUE(MID(TwitterClean[[#This Row],[date_posted]],2,10))</f>
        <v>45641</v>
      </c>
      <c r="AD519">
        <f>TIMEVALUE(MID(TwitterClean[[#This Row],[date_posted]],13,8))</f>
        <v>0.79374999999999996</v>
      </c>
      <c r="AE519" s="3" t="str">
        <f>TEXT(TwitterClean[[#This Row],[Post_Date]],"dddd")</f>
        <v>Sunday</v>
      </c>
      <c r="AF519">
        <f>HOUR(TwitterClean[[#This Row],[Post_Time]])</f>
        <v>19</v>
      </c>
      <c r="AG519" t="str">
        <f>IF(TwitterClean[[#This Row],[videos]]="Null","No","Yes")</f>
        <v>No</v>
      </c>
      <c r="AH519" t="str">
        <f>IF(TwitterClean[[#This Row],[photos]]="null","No","Yes")</f>
        <v>Yes</v>
      </c>
      <c r="AI519" t="str">
        <f>IF(TwitterClean[[#This Row],[hashtags]]="null","No","Yes")</f>
        <v>Yes</v>
      </c>
      <c r="AJ519" t="str">
        <f>IF(TwitterClean[[#This Row],[external_url]]="null","Yes","No")</f>
        <v>No</v>
      </c>
      <c r="AK519">
        <f>LEN(TwitterClean[[#This Row],[description]])</f>
        <v>110</v>
      </c>
      <c r="AL519" t="str">
        <f>IF(TwitterClean[[#This Row],[followers]]&lt;100000,"&lt;100K",IF(TwitterClean[[#This Row],[followers]]&lt;1000000,"100K-1M",IF(TwitterClean[[#This Row],[followers]]&lt;10000000,"1M-10M","10M+")))</f>
        <v>10M+</v>
      </c>
    </row>
    <row r="520" spans="1:38">
      <c r="A520">
        <v>1.8683357202820672E+18</v>
      </c>
      <c r="B520" t="s">
        <v>2230</v>
      </c>
      <c r="C520" t="s">
        <v>2231</v>
      </c>
      <c r="D520" t="s">
        <v>2254</v>
      </c>
      <c r="E520" t="s">
        <v>2255</v>
      </c>
      <c r="F520" t="s">
        <v>2256</v>
      </c>
      <c r="G520" t="s">
        <v>2257</v>
      </c>
      <c r="H520" t="s">
        <v>29</v>
      </c>
      <c r="I520">
        <v>87</v>
      </c>
      <c r="J520">
        <v>89</v>
      </c>
      <c r="K520">
        <v>242</v>
      </c>
      <c r="L520">
        <v>48141</v>
      </c>
      <c r="M520" t="s">
        <v>2258</v>
      </c>
      <c r="N520" t="s">
        <v>29</v>
      </c>
      <c r="O520">
        <v>3313889</v>
      </c>
      <c r="P520" t="s">
        <v>2237</v>
      </c>
      <c r="Q520">
        <v>706459</v>
      </c>
      <c r="R520" t="s">
        <v>2238</v>
      </c>
      <c r="S520">
        <v>10308</v>
      </c>
      <c r="T520" t="b">
        <v>0</v>
      </c>
      <c r="U520">
        <v>19</v>
      </c>
      <c r="V520">
        <v>23</v>
      </c>
      <c r="W520" t="s">
        <v>35</v>
      </c>
      <c r="X520" t="s">
        <v>29</v>
      </c>
      <c r="Y520" t="s">
        <v>29</v>
      </c>
      <c r="Z520" t="s">
        <v>37</v>
      </c>
      <c r="AA520">
        <f>TwitterClean[[#This Row],[likes]]+TwitterClean[[#This Row],[replies]]+TwitterClean[[#This Row],[reposts]]+TwitterClean[[#This Row],[quotes]]+TwitterClean[[#This Row],[bookmarks]]</f>
        <v>460</v>
      </c>
      <c r="AB520" s="1">
        <f>TwitterClean[[#This Row],[Total_Engagements]]/TwitterClean[[#This Row],[views]]</f>
        <v>9.5552647431503285E-3</v>
      </c>
      <c r="AC520" s="3">
        <f>DATEVALUE(MID(TwitterClean[[#This Row],[date_posted]],2,10))</f>
        <v>45641</v>
      </c>
      <c r="AD520">
        <f>TIMEVALUE(MID(TwitterClean[[#This Row],[date_posted]],13,8))</f>
        <v>0.69585648148148149</v>
      </c>
      <c r="AE520" s="3" t="str">
        <f>TEXT(TwitterClean[[#This Row],[Post_Date]],"dddd")</f>
        <v>Sunday</v>
      </c>
      <c r="AF520">
        <f>HOUR(TwitterClean[[#This Row],[Post_Time]])</f>
        <v>16</v>
      </c>
      <c r="AG520" t="str">
        <f>IF(TwitterClean[[#This Row],[videos]]="Null","No","Yes")</f>
        <v>No</v>
      </c>
      <c r="AH520" t="str">
        <f>IF(TwitterClean[[#This Row],[photos]]="null","No","Yes")</f>
        <v>Yes</v>
      </c>
      <c r="AI520" t="str">
        <f>IF(TwitterClean[[#This Row],[hashtags]]="null","No","Yes")</f>
        <v>No</v>
      </c>
      <c r="AJ520" t="str">
        <f>IF(TwitterClean[[#This Row],[external_url]]="null","Yes","No")</f>
        <v>No</v>
      </c>
      <c r="AK520">
        <f>LEN(TwitterClean[[#This Row],[description]])</f>
        <v>74</v>
      </c>
      <c r="AL520" t="str">
        <f>IF(TwitterClean[[#This Row],[followers]]&lt;100000,"&lt;100K",IF(TwitterClean[[#This Row],[followers]]&lt;1000000,"100K-1M",IF(TwitterClean[[#This Row],[followers]]&lt;10000000,"1M-10M","10M+")))</f>
        <v>1M-10M</v>
      </c>
    </row>
    <row r="521" spans="1:38">
      <c r="A521">
        <v>1.8682194526823096E+18</v>
      </c>
      <c r="B521" t="s">
        <v>2994</v>
      </c>
      <c r="C521" t="s">
        <v>2995</v>
      </c>
      <c r="D521" t="s">
        <v>4747</v>
      </c>
      <c r="E521" t="s">
        <v>4748</v>
      </c>
      <c r="F521" t="s">
        <v>4749</v>
      </c>
      <c r="G521" t="s">
        <v>4750</v>
      </c>
      <c r="H521" t="s">
        <v>29</v>
      </c>
      <c r="I521">
        <v>94</v>
      </c>
      <c r="J521">
        <v>195</v>
      </c>
      <c r="K521">
        <v>1961</v>
      </c>
      <c r="L521">
        <v>240781</v>
      </c>
      <c r="M521" t="s">
        <v>52</v>
      </c>
      <c r="N521" t="s">
        <v>3376</v>
      </c>
      <c r="O521">
        <v>812163</v>
      </c>
      <c r="P521" t="s">
        <v>3000</v>
      </c>
      <c r="Q521">
        <v>110924</v>
      </c>
      <c r="R521" t="s">
        <v>3001</v>
      </c>
      <c r="S521">
        <v>322</v>
      </c>
      <c r="T521" t="b">
        <v>0</v>
      </c>
      <c r="U521">
        <v>43</v>
      </c>
      <c r="V521">
        <v>4</v>
      </c>
      <c r="W521" t="s">
        <v>35</v>
      </c>
      <c r="X521" t="s">
        <v>29</v>
      </c>
      <c r="Y521" t="s">
        <v>29</v>
      </c>
      <c r="Z521" t="s">
        <v>37</v>
      </c>
      <c r="AA521">
        <f>TwitterClean[[#This Row],[likes]]+TwitterClean[[#This Row],[replies]]+TwitterClean[[#This Row],[reposts]]+TwitterClean[[#This Row],[quotes]]+TwitterClean[[#This Row],[bookmarks]]</f>
        <v>2297</v>
      </c>
      <c r="AB521" s="1">
        <f>TwitterClean[[#This Row],[Total_Engagements]]/TwitterClean[[#This Row],[views]]</f>
        <v>9.5397892690868465E-3</v>
      </c>
      <c r="AC521" s="3">
        <f>DATEVALUE(MID(TwitterClean[[#This Row],[date_posted]],2,10))</f>
        <v>45641</v>
      </c>
      <c r="AD521">
        <f>TIMEVALUE(MID(TwitterClean[[#This Row],[date_posted]],13,8))</f>
        <v>0.37502314814814813</v>
      </c>
      <c r="AE521" s="3" t="str">
        <f>TEXT(TwitterClean[[#This Row],[Post_Date]],"dddd")</f>
        <v>Sunday</v>
      </c>
      <c r="AF521">
        <f>HOUR(TwitterClean[[#This Row],[Post_Time]])</f>
        <v>9</v>
      </c>
      <c r="AG521" t="str">
        <f>IF(TwitterClean[[#This Row],[videos]]="Null","No","Yes")</f>
        <v>No</v>
      </c>
      <c r="AH521" t="str">
        <f>IF(TwitterClean[[#This Row],[photos]]="null","No","Yes")</f>
        <v>Yes</v>
      </c>
      <c r="AI521" t="str">
        <f>IF(TwitterClean[[#This Row],[hashtags]]="null","No","Yes")</f>
        <v>Yes</v>
      </c>
      <c r="AJ521" t="str">
        <f>IF(TwitterClean[[#This Row],[external_url]]="null","Yes","No")</f>
        <v>No</v>
      </c>
      <c r="AK521">
        <f>LEN(TwitterClean[[#This Row],[description]])</f>
        <v>165</v>
      </c>
      <c r="AL521" t="str">
        <f>IF(TwitterClean[[#This Row],[followers]]&lt;100000,"&lt;100K",IF(TwitterClean[[#This Row],[followers]]&lt;1000000,"100K-1M",IF(TwitterClean[[#This Row],[followers]]&lt;10000000,"1M-10M","10M+")))</f>
        <v>100K-1M</v>
      </c>
    </row>
    <row r="522" spans="1:38">
      <c r="A522">
        <v>1.8681884150844255E+18</v>
      </c>
      <c r="B522" t="s">
        <v>3034</v>
      </c>
      <c r="C522" t="s">
        <v>3035</v>
      </c>
      <c r="D522" t="s">
        <v>5258</v>
      </c>
      <c r="E522" t="s">
        <v>5259</v>
      </c>
      <c r="F522" t="s">
        <v>5260</v>
      </c>
      <c r="G522" t="s">
        <v>5261</v>
      </c>
      <c r="H522" t="s">
        <v>5262</v>
      </c>
      <c r="I522">
        <v>42</v>
      </c>
      <c r="J522">
        <v>81</v>
      </c>
      <c r="K522">
        <v>1341</v>
      </c>
      <c r="L522">
        <v>156329</v>
      </c>
      <c r="M522" t="s">
        <v>52</v>
      </c>
      <c r="N522" t="s">
        <v>3040</v>
      </c>
      <c r="O522">
        <v>12876593</v>
      </c>
      <c r="P522" t="s">
        <v>3041</v>
      </c>
      <c r="Q522">
        <v>141401</v>
      </c>
      <c r="R522" t="s">
        <v>3042</v>
      </c>
      <c r="S522">
        <v>717</v>
      </c>
      <c r="T522" t="b">
        <v>0</v>
      </c>
      <c r="U522">
        <v>11</v>
      </c>
      <c r="V522">
        <v>16</v>
      </c>
      <c r="W522" t="s">
        <v>35</v>
      </c>
      <c r="X522" t="s">
        <v>29</v>
      </c>
      <c r="Y522" t="s">
        <v>29</v>
      </c>
      <c r="Z522" t="s">
        <v>37</v>
      </c>
      <c r="AA522">
        <f>TwitterClean[[#This Row],[likes]]+TwitterClean[[#This Row],[replies]]+TwitterClean[[#This Row],[reposts]]+TwitterClean[[#This Row],[quotes]]+TwitterClean[[#This Row],[bookmarks]]</f>
        <v>1491</v>
      </c>
      <c r="AB522" s="1">
        <f>TwitterClean[[#This Row],[Total_Engagements]]/TwitterClean[[#This Row],[views]]</f>
        <v>9.537577800663985E-3</v>
      </c>
      <c r="AC522" s="3">
        <f>DATEVALUE(MID(TwitterClean[[#This Row],[date_posted]],2,10))</f>
        <v>45641</v>
      </c>
      <c r="AD522">
        <f>TIMEVALUE(MID(TwitterClean[[#This Row],[date_posted]],13,8))</f>
        <v>0.28937499999999999</v>
      </c>
      <c r="AE522" s="3" t="str">
        <f>TEXT(TwitterClean[[#This Row],[Post_Date]],"dddd")</f>
        <v>Sunday</v>
      </c>
      <c r="AF522">
        <f>HOUR(TwitterClean[[#This Row],[Post_Time]])</f>
        <v>6</v>
      </c>
      <c r="AG522" t="str">
        <f>IF(TwitterClean[[#This Row],[videos]]="Null","No","Yes")</f>
        <v>No</v>
      </c>
      <c r="AH522" t="str">
        <f>IF(TwitterClean[[#This Row],[photos]]="null","No","Yes")</f>
        <v>Yes</v>
      </c>
      <c r="AI522" t="str">
        <f>IF(TwitterClean[[#This Row],[hashtags]]="null","No","Yes")</f>
        <v>Yes</v>
      </c>
      <c r="AJ522" t="str">
        <f>IF(TwitterClean[[#This Row],[external_url]]="null","Yes","No")</f>
        <v>No</v>
      </c>
      <c r="AK522">
        <f>LEN(TwitterClean[[#This Row],[description]])</f>
        <v>131</v>
      </c>
      <c r="AL522" t="str">
        <f>IF(TwitterClean[[#This Row],[followers]]&lt;100000,"&lt;100K",IF(TwitterClean[[#This Row],[followers]]&lt;1000000,"100K-1M",IF(TwitterClean[[#This Row],[followers]]&lt;10000000,"1M-10M","10M+")))</f>
        <v>10M+</v>
      </c>
    </row>
    <row r="523" spans="1:38">
      <c r="A523">
        <v>1.8683586080036787E+18</v>
      </c>
      <c r="B523" t="s">
        <v>1280</v>
      </c>
      <c r="C523" t="s">
        <v>1281</v>
      </c>
      <c r="D523" t="s">
        <v>1311</v>
      </c>
      <c r="E523" t="s">
        <v>1312</v>
      </c>
      <c r="F523" t="s">
        <v>1313</v>
      </c>
      <c r="G523" t="s">
        <v>1314</v>
      </c>
      <c r="H523" t="s">
        <v>29</v>
      </c>
      <c r="I523">
        <v>186</v>
      </c>
      <c r="J523">
        <v>152</v>
      </c>
      <c r="K523">
        <v>1631</v>
      </c>
      <c r="L523">
        <v>208868</v>
      </c>
      <c r="M523" t="s">
        <v>52</v>
      </c>
      <c r="N523" t="s">
        <v>1286</v>
      </c>
      <c r="O523">
        <v>38439094</v>
      </c>
      <c r="P523" t="s">
        <v>1287</v>
      </c>
      <c r="Q523">
        <v>92455</v>
      </c>
      <c r="R523" t="s">
        <v>1288</v>
      </c>
      <c r="S523">
        <v>145</v>
      </c>
      <c r="T523" t="b">
        <v>0</v>
      </c>
      <c r="U523">
        <v>13</v>
      </c>
      <c r="V523">
        <v>7</v>
      </c>
      <c r="W523" t="s">
        <v>35</v>
      </c>
      <c r="X523" t="s">
        <v>29</v>
      </c>
      <c r="Y523" t="s">
        <v>29</v>
      </c>
      <c r="Z523" t="s">
        <v>37</v>
      </c>
      <c r="AA523">
        <f>TwitterClean[[#This Row],[likes]]+TwitterClean[[#This Row],[replies]]+TwitterClean[[#This Row],[reposts]]+TwitterClean[[#This Row],[quotes]]+TwitterClean[[#This Row],[bookmarks]]</f>
        <v>1989</v>
      </c>
      <c r="AB523" s="1">
        <f>TwitterClean[[#This Row],[Total_Engagements]]/TwitterClean[[#This Row],[views]]</f>
        <v>9.5227607867169693E-3</v>
      </c>
      <c r="AC523" s="3">
        <f>DATEVALUE(MID(TwitterClean[[#This Row],[date_posted]],2,10))</f>
        <v>45641</v>
      </c>
      <c r="AD523">
        <f>TIMEVALUE(MID(TwitterClean[[#This Row],[date_posted]],13,8))</f>
        <v>0.75901620370370371</v>
      </c>
      <c r="AE523" s="3" t="str">
        <f>TEXT(TwitterClean[[#This Row],[Post_Date]],"dddd")</f>
        <v>Sunday</v>
      </c>
      <c r="AF523">
        <f>HOUR(TwitterClean[[#This Row],[Post_Time]])</f>
        <v>18</v>
      </c>
      <c r="AG523" t="str">
        <f>IF(TwitterClean[[#This Row],[videos]]="Null","No","Yes")</f>
        <v>No</v>
      </c>
      <c r="AH523" t="str">
        <f>IF(TwitterClean[[#This Row],[photos]]="null","No","Yes")</f>
        <v>Yes</v>
      </c>
      <c r="AI523" t="str">
        <f>IF(TwitterClean[[#This Row],[hashtags]]="null","No","Yes")</f>
        <v>Yes</v>
      </c>
      <c r="AJ523" t="str">
        <f>IF(TwitterClean[[#This Row],[external_url]]="null","Yes","No")</f>
        <v>No</v>
      </c>
      <c r="AK523">
        <f>LEN(TwitterClean[[#This Row],[description]])</f>
        <v>75</v>
      </c>
      <c r="AL523" t="str">
        <f>IF(TwitterClean[[#This Row],[followers]]&lt;100000,"&lt;100K",IF(TwitterClean[[#This Row],[followers]]&lt;1000000,"100K-1M",IF(TwitterClean[[#This Row],[followers]]&lt;10000000,"1M-10M","10M+")))</f>
        <v>10M+</v>
      </c>
    </row>
    <row r="524" spans="1:38">
      <c r="A524">
        <v>1.8682849232718523E+18</v>
      </c>
      <c r="B524" t="s">
        <v>333</v>
      </c>
      <c r="C524" t="s">
        <v>334</v>
      </c>
      <c r="D524" t="s">
        <v>1517</v>
      </c>
      <c r="E524" t="s">
        <v>1518</v>
      </c>
      <c r="F524" t="s">
        <v>1519</v>
      </c>
      <c r="G524" t="s">
        <v>1520</v>
      </c>
      <c r="H524" t="s">
        <v>29</v>
      </c>
      <c r="I524">
        <v>4</v>
      </c>
      <c r="J524">
        <v>5</v>
      </c>
      <c r="K524">
        <v>91</v>
      </c>
      <c r="L524">
        <v>11451</v>
      </c>
      <c r="M524" t="s">
        <v>52</v>
      </c>
      <c r="N524" t="s">
        <v>340</v>
      </c>
      <c r="O524">
        <v>337839</v>
      </c>
      <c r="P524" t="s">
        <v>341</v>
      </c>
      <c r="Q524">
        <v>57638</v>
      </c>
      <c r="R524" t="s">
        <v>342</v>
      </c>
      <c r="S524">
        <v>587</v>
      </c>
      <c r="T524" t="b">
        <v>0</v>
      </c>
      <c r="U524">
        <v>6</v>
      </c>
      <c r="V524">
        <v>3</v>
      </c>
      <c r="W524" t="s">
        <v>1521</v>
      </c>
      <c r="X524" t="s">
        <v>29</v>
      </c>
      <c r="Y524" t="s">
        <v>29</v>
      </c>
      <c r="Z524" t="s">
        <v>37</v>
      </c>
      <c r="AA524">
        <f>TwitterClean[[#This Row],[likes]]+TwitterClean[[#This Row],[replies]]+TwitterClean[[#This Row],[reposts]]+TwitterClean[[#This Row],[quotes]]+TwitterClean[[#This Row],[bookmarks]]</f>
        <v>109</v>
      </c>
      <c r="AB524" s="1">
        <f>TwitterClean[[#This Row],[Total_Engagements]]/TwitterClean[[#This Row],[views]]</f>
        <v>9.5188193170902113E-3</v>
      </c>
      <c r="AC524" s="3">
        <f>DATEVALUE(MID(TwitterClean[[#This Row],[date_posted]],2,10))</f>
        <v>45641</v>
      </c>
      <c r="AD524">
        <f>TIMEVALUE(MID(TwitterClean[[#This Row],[date_posted]],13,8))</f>
        <v>0.55568287037037034</v>
      </c>
      <c r="AE524" s="3" t="str">
        <f>TEXT(TwitterClean[[#This Row],[Post_Date]],"dddd")</f>
        <v>Sunday</v>
      </c>
      <c r="AF524">
        <f>HOUR(TwitterClean[[#This Row],[Post_Time]])</f>
        <v>13</v>
      </c>
      <c r="AG524" t="str">
        <f>IF(TwitterClean[[#This Row],[videos]]="Null","No","Yes")</f>
        <v>No</v>
      </c>
      <c r="AH524" t="str">
        <f>IF(TwitterClean[[#This Row],[photos]]="null","No","Yes")</f>
        <v>Yes</v>
      </c>
      <c r="AI524" t="str">
        <f>IF(TwitterClean[[#This Row],[hashtags]]="null","No","Yes")</f>
        <v>Yes</v>
      </c>
      <c r="AJ524" t="str">
        <f>IF(TwitterClean[[#This Row],[external_url]]="null","Yes","No")</f>
        <v>No</v>
      </c>
      <c r="AK524">
        <f>LEN(TwitterClean[[#This Row],[description]])</f>
        <v>50</v>
      </c>
      <c r="AL524" t="str">
        <f>IF(TwitterClean[[#This Row],[followers]]&lt;100000,"&lt;100K",IF(TwitterClean[[#This Row],[followers]]&lt;1000000,"100K-1M",IF(TwitterClean[[#This Row],[followers]]&lt;10000000,"1M-10M","10M+")))</f>
        <v>100K-1M</v>
      </c>
    </row>
    <row r="525" spans="1:38">
      <c r="A525">
        <v>1.8682420959848371E+18</v>
      </c>
      <c r="B525" t="s">
        <v>333</v>
      </c>
      <c r="C525" t="s">
        <v>334</v>
      </c>
      <c r="D525" t="s">
        <v>4554</v>
      </c>
      <c r="E525" t="s">
        <v>1061</v>
      </c>
      <c r="F525" t="s">
        <v>29</v>
      </c>
      <c r="G525" t="s">
        <v>4555</v>
      </c>
      <c r="H525" t="s">
        <v>4556</v>
      </c>
      <c r="I525">
        <v>1</v>
      </c>
      <c r="J525">
        <v>5</v>
      </c>
      <c r="K525">
        <v>84</v>
      </c>
      <c r="L525">
        <v>9985</v>
      </c>
      <c r="M525" t="s">
        <v>52</v>
      </c>
      <c r="N525" t="s">
        <v>340</v>
      </c>
      <c r="O525">
        <v>337840</v>
      </c>
      <c r="P525" t="s">
        <v>341</v>
      </c>
      <c r="Q525">
        <v>57638</v>
      </c>
      <c r="R525" t="s">
        <v>342</v>
      </c>
      <c r="S525">
        <v>587</v>
      </c>
      <c r="T525" t="b">
        <v>0</v>
      </c>
      <c r="U525">
        <v>2</v>
      </c>
      <c r="V525">
        <v>3</v>
      </c>
      <c r="W525" t="s">
        <v>35</v>
      </c>
      <c r="X525" t="s">
        <v>29</v>
      </c>
      <c r="Y525" t="s">
        <v>4557</v>
      </c>
      <c r="Z525" t="s">
        <v>37</v>
      </c>
      <c r="AA525">
        <f>TwitterClean[[#This Row],[likes]]+TwitterClean[[#This Row],[replies]]+TwitterClean[[#This Row],[reposts]]+TwitterClean[[#This Row],[quotes]]+TwitterClean[[#This Row],[bookmarks]]</f>
        <v>95</v>
      </c>
      <c r="AB525" s="1">
        <f>TwitterClean[[#This Row],[Total_Engagements]]/TwitterClean[[#This Row],[views]]</f>
        <v>9.5142714071106659E-3</v>
      </c>
      <c r="AC525" s="3">
        <f>DATEVALUE(MID(TwitterClean[[#This Row],[date_posted]],2,10))</f>
        <v>45641</v>
      </c>
      <c r="AD525">
        <f>TIMEVALUE(MID(TwitterClean[[#This Row],[date_posted]],13,8))</f>
        <v>0.4375</v>
      </c>
      <c r="AE525" s="3" t="str">
        <f>TEXT(TwitterClean[[#This Row],[Post_Date]],"dddd")</f>
        <v>Sunday</v>
      </c>
      <c r="AF525">
        <f>HOUR(TwitterClean[[#This Row],[Post_Time]])</f>
        <v>10</v>
      </c>
      <c r="AG525" t="str">
        <f>IF(TwitterClean[[#This Row],[videos]]="Null","No","Yes")</f>
        <v>Yes</v>
      </c>
      <c r="AH525" t="str">
        <f>IF(TwitterClean[[#This Row],[photos]]="null","No","Yes")</f>
        <v>No</v>
      </c>
      <c r="AI525" t="str">
        <f>IF(TwitterClean[[#This Row],[hashtags]]="null","No","Yes")</f>
        <v>Yes</v>
      </c>
      <c r="AJ525" t="str">
        <f>IF(TwitterClean[[#This Row],[external_url]]="null","Yes","No")</f>
        <v>No</v>
      </c>
      <c r="AK525">
        <f>LEN(TwitterClean[[#This Row],[description]])</f>
        <v>99</v>
      </c>
      <c r="AL525" t="str">
        <f>IF(TwitterClean[[#This Row],[followers]]&lt;100000,"&lt;100K",IF(TwitterClean[[#This Row],[followers]]&lt;1000000,"100K-1M",IF(TwitterClean[[#This Row],[followers]]&lt;10000000,"1M-10M","10M+")))</f>
        <v>100K-1M</v>
      </c>
    </row>
    <row r="526" spans="1:38">
      <c r="A526">
        <v>1.8683152095735112E+18</v>
      </c>
      <c r="B526" t="s">
        <v>3205</v>
      </c>
      <c r="C526" t="s">
        <v>3206</v>
      </c>
      <c r="D526" t="s">
        <v>3207</v>
      </c>
      <c r="E526" t="s">
        <v>3208</v>
      </c>
      <c r="F526" t="s">
        <v>29</v>
      </c>
      <c r="G526" t="s">
        <v>3209</v>
      </c>
      <c r="H526" t="s">
        <v>3210</v>
      </c>
      <c r="I526">
        <v>5</v>
      </c>
      <c r="J526">
        <v>5</v>
      </c>
      <c r="K526">
        <v>49</v>
      </c>
      <c r="L526">
        <v>6321</v>
      </c>
      <c r="M526" t="s">
        <v>3211</v>
      </c>
      <c r="N526" t="s">
        <v>3212</v>
      </c>
      <c r="O526">
        <v>156681</v>
      </c>
      <c r="P526" t="s">
        <v>3213</v>
      </c>
      <c r="Q526">
        <v>35682</v>
      </c>
      <c r="R526" t="s">
        <v>3214</v>
      </c>
      <c r="S526">
        <v>1430</v>
      </c>
      <c r="T526" t="b">
        <v>0</v>
      </c>
      <c r="U526">
        <v>0</v>
      </c>
      <c r="V526">
        <v>1</v>
      </c>
      <c r="W526" t="s">
        <v>35</v>
      </c>
      <c r="X526" t="s">
        <v>29</v>
      </c>
      <c r="Y526" t="s">
        <v>3215</v>
      </c>
      <c r="Z526" t="s">
        <v>37</v>
      </c>
      <c r="AA526">
        <f>TwitterClean[[#This Row],[likes]]+TwitterClean[[#This Row],[replies]]+TwitterClean[[#This Row],[reposts]]+TwitterClean[[#This Row],[quotes]]+TwitterClean[[#This Row],[bookmarks]]</f>
        <v>60</v>
      </c>
      <c r="AB526" s="1">
        <f>TwitterClean[[#This Row],[Total_Engagements]]/TwitterClean[[#This Row],[views]]</f>
        <v>9.4921689606074985E-3</v>
      </c>
      <c r="AC526" s="3">
        <f>DATEVALUE(MID(TwitterClean[[#This Row],[date_posted]],2,10))</f>
        <v>45641</v>
      </c>
      <c r="AD526">
        <f>TIMEVALUE(MID(TwitterClean[[#This Row],[date_posted]],13,8))</f>
        <v>0.6392592592592593</v>
      </c>
      <c r="AE526" s="3" t="str">
        <f>TEXT(TwitterClean[[#This Row],[Post_Date]],"dddd")</f>
        <v>Sunday</v>
      </c>
      <c r="AF526">
        <f>HOUR(TwitterClean[[#This Row],[Post_Time]])</f>
        <v>15</v>
      </c>
      <c r="AG526" t="str">
        <f>IF(TwitterClean[[#This Row],[videos]]="Null","No","Yes")</f>
        <v>Yes</v>
      </c>
      <c r="AH526" t="str">
        <f>IF(TwitterClean[[#This Row],[photos]]="null","No","Yes")</f>
        <v>No</v>
      </c>
      <c r="AI526" t="str">
        <f>IF(TwitterClean[[#This Row],[hashtags]]="null","No","Yes")</f>
        <v>Yes</v>
      </c>
      <c r="AJ526" t="str">
        <f>IF(TwitterClean[[#This Row],[external_url]]="null","Yes","No")</f>
        <v>No</v>
      </c>
      <c r="AK526">
        <f>LEN(TwitterClean[[#This Row],[description]])</f>
        <v>194</v>
      </c>
      <c r="AL526" t="str">
        <f>IF(TwitterClean[[#This Row],[followers]]&lt;100000,"&lt;100K",IF(TwitterClean[[#This Row],[followers]]&lt;1000000,"100K-1M",IF(TwitterClean[[#This Row],[followers]]&lt;10000000,"1M-10M","10M+")))</f>
        <v>100K-1M</v>
      </c>
    </row>
    <row r="527" spans="1:38">
      <c r="A527">
        <v>1.8682045986260628E+18</v>
      </c>
      <c r="B527" t="s">
        <v>609</v>
      </c>
      <c r="C527" t="s">
        <v>610</v>
      </c>
      <c r="D527" t="s">
        <v>611</v>
      </c>
      <c r="E527" t="s">
        <v>612</v>
      </c>
      <c r="F527" t="s">
        <v>613</v>
      </c>
      <c r="G527" t="s">
        <v>614</v>
      </c>
      <c r="H527" t="s">
        <v>615</v>
      </c>
      <c r="I527">
        <v>4</v>
      </c>
      <c r="J527">
        <v>10</v>
      </c>
      <c r="K527">
        <v>128</v>
      </c>
      <c r="L527">
        <v>15182</v>
      </c>
      <c r="M527" t="s">
        <v>52</v>
      </c>
      <c r="N527" t="s">
        <v>616</v>
      </c>
      <c r="O527">
        <v>277178</v>
      </c>
      <c r="P527" t="s">
        <v>617</v>
      </c>
      <c r="Q527">
        <v>20340</v>
      </c>
      <c r="R527" t="s">
        <v>618</v>
      </c>
      <c r="S527">
        <v>346</v>
      </c>
      <c r="T527" t="b">
        <v>0</v>
      </c>
      <c r="U527">
        <v>1</v>
      </c>
      <c r="V527">
        <v>0</v>
      </c>
      <c r="W527" t="s">
        <v>35</v>
      </c>
      <c r="X527" t="s">
        <v>29</v>
      </c>
      <c r="Y527" t="s">
        <v>29</v>
      </c>
      <c r="Z527" t="s">
        <v>37</v>
      </c>
      <c r="AA527">
        <f>TwitterClean[[#This Row],[likes]]+TwitterClean[[#This Row],[replies]]+TwitterClean[[#This Row],[reposts]]+TwitterClean[[#This Row],[quotes]]+TwitterClean[[#This Row],[bookmarks]]</f>
        <v>143</v>
      </c>
      <c r="AB527" s="1">
        <f>TwitterClean[[#This Row],[Total_Engagements]]/TwitterClean[[#This Row],[views]]</f>
        <v>9.4190488736661838E-3</v>
      </c>
      <c r="AC527" s="3">
        <f>DATEVALUE(MID(TwitterClean[[#This Row],[date_posted]],2,10))</f>
        <v>45641</v>
      </c>
      <c r="AD527">
        <f>TIMEVALUE(MID(TwitterClean[[#This Row],[date_posted]],13,8))</f>
        <v>0.33402777777777776</v>
      </c>
      <c r="AE527" s="3" t="str">
        <f>TEXT(TwitterClean[[#This Row],[Post_Date]],"dddd")</f>
        <v>Sunday</v>
      </c>
      <c r="AF527">
        <f>HOUR(TwitterClean[[#This Row],[Post_Time]])</f>
        <v>8</v>
      </c>
      <c r="AG527" t="str">
        <f>IF(TwitterClean[[#This Row],[videos]]="Null","No","Yes")</f>
        <v>No</v>
      </c>
      <c r="AH527" t="str">
        <f>IF(TwitterClean[[#This Row],[photos]]="null","No","Yes")</f>
        <v>Yes</v>
      </c>
      <c r="AI527" t="str">
        <f>IF(TwitterClean[[#This Row],[hashtags]]="null","No","Yes")</f>
        <v>Yes</v>
      </c>
      <c r="AJ527" t="str">
        <f>IF(TwitterClean[[#This Row],[external_url]]="null","Yes","No")</f>
        <v>No</v>
      </c>
      <c r="AK527">
        <f>LEN(TwitterClean[[#This Row],[description]])</f>
        <v>49</v>
      </c>
      <c r="AL527" t="str">
        <f>IF(TwitterClean[[#This Row],[followers]]&lt;100000,"&lt;100K",IF(TwitterClean[[#This Row],[followers]]&lt;1000000,"100K-1M",IF(TwitterClean[[#This Row],[followers]]&lt;10000000,"1M-10M","10M+")))</f>
        <v>100K-1M</v>
      </c>
    </row>
    <row r="528" spans="1:38">
      <c r="A528">
        <v>1.8684157450775104E+18</v>
      </c>
      <c r="B528" t="s">
        <v>228</v>
      </c>
      <c r="C528" t="s">
        <v>228</v>
      </c>
      <c r="D528" t="s">
        <v>953</v>
      </c>
      <c r="E528" t="s">
        <v>954</v>
      </c>
      <c r="F528" t="s">
        <v>955</v>
      </c>
      <c r="G528" t="s">
        <v>956</v>
      </c>
      <c r="H528" t="s">
        <v>29</v>
      </c>
      <c r="I528">
        <v>32</v>
      </c>
      <c r="J528">
        <v>7</v>
      </c>
      <c r="K528">
        <v>51</v>
      </c>
      <c r="L528">
        <v>10262</v>
      </c>
      <c r="M528" t="s">
        <v>957</v>
      </c>
      <c r="N528" t="s">
        <v>29</v>
      </c>
      <c r="O528">
        <v>1239616</v>
      </c>
      <c r="P528" t="s">
        <v>235</v>
      </c>
      <c r="Q528">
        <v>402839</v>
      </c>
      <c r="R528" t="s">
        <v>236</v>
      </c>
      <c r="S528">
        <v>1644</v>
      </c>
      <c r="T528" t="b">
        <v>0</v>
      </c>
      <c r="U528">
        <v>2</v>
      </c>
      <c r="V528">
        <v>4</v>
      </c>
      <c r="W528" t="s">
        <v>35</v>
      </c>
      <c r="X528" t="s">
        <v>29</v>
      </c>
      <c r="Y528" t="s">
        <v>29</v>
      </c>
      <c r="Z528" t="s">
        <v>37</v>
      </c>
      <c r="AA528">
        <f>TwitterClean[[#This Row],[likes]]+TwitterClean[[#This Row],[replies]]+TwitterClean[[#This Row],[reposts]]+TwitterClean[[#This Row],[quotes]]+TwitterClean[[#This Row],[bookmarks]]</f>
        <v>96</v>
      </c>
      <c r="AB528" s="1">
        <f>TwitterClean[[#This Row],[Total_Engagements]]/TwitterClean[[#This Row],[views]]</f>
        <v>9.3549015786396419E-3</v>
      </c>
      <c r="AC528" s="3">
        <f>DATEVALUE(MID(TwitterClean[[#This Row],[date_posted]],2,10))</f>
        <v>45641</v>
      </c>
      <c r="AD528">
        <f>TIMEVALUE(MID(TwitterClean[[#This Row],[date_posted]],13,8))</f>
        <v>0.91667824074074078</v>
      </c>
      <c r="AE528" s="3" t="str">
        <f>TEXT(TwitterClean[[#This Row],[Post_Date]],"dddd")</f>
        <v>Sunday</v>
      </c>
      <c r="AF528">
        <f>HOUR(TwitterClean[[#This Row],[Post_Time]])</f>
        <v>22</v>
      </c>
      <c r="AG528" t="str">
        <f>IF(TwitterClean[[#This Row],[videos]]="Null","No","Yes")</f>
        <v>No</v>
      </c>
      <c r="AH528" t="str">
        <f>IF(TwitterClean[[#This Row],[photos]]="null","No","Yes")</f>
        <v>Yes</v>
      </c>
      <c r="AI528" t="str">
        <f>IF(TwitterClean[[#This Row],[hashtags]]="null","No","Yes")</f>
        <v>No</v>
      </c>
      <c r="AJ528" t="str">
        <f>IF(TwitterClean[[#This Row],[external_url]]="null","Yes","No")</f>
        <v>No</v>
      </c>
      <c r="AK528">
        <f>LEN(TwitterClean[[#This Row],[description]])</f>
        <v>215</v>
      </c>
      <c r="AL528" t="str">
        <f>IF(TwitterClean[[#This Row],[followers]]&lt;100000,"&lt;100K",IF(TwitterClean[[#This Row],[followers]]&lt;1000000,"100K-1M",IF(TwitterClean[[#This Row],[followers]]&lt;10000000,"1M-10M","10M+")))</f>
        <v>1M-10M</v>
      </c>
    </row>
    <row r="529" spans="1:38">
      <c r="A529">
        <v>1.86838821714754E+18</v>
      </c>
      <c r="B529" t="s">
        <v>46</v>
      </c>
      <c r="C529" t="s">
        <v>47</v>
      </c>
      <c r="D529" t="s">
        <v>343</v>
      </c>
      <c r="E529" t="s">
        <v>344</v>
      </c>
      <c r="F529" t="s">
        <v>29</v>
      </c>
      <c r="G529" t="s">
        <v>345</v>
      </c>
      <c r="H529" t="s">
        <v>29</v>
      </c>
      <c r="I529">
        <v>9</v>
      </c>
      <c r="J529">
        <v>7</v>
      </c>
      <c r="K529">
        <v>145</v>
      </c>
      <c r="L529">
        <v>17872</v>
      </c>
      <c r="M529" t="s">
        <v>52</v>
      </c>
      <c r="N529" t="s">
        <v>129</v>
      </c>
      <c r="O529">
        <v>8293202</v>
      </c>
      <c r="P529" t="s">
        <v>54</v>
      </c>
      <c r="Q529">
        <v>456734</v>
      </c>
      <c r="R529" t="s">
        <v>55</v>
      </c>
      <c r="S529">
        <v>859</v>
      </c>
      <c r="T529" t="b">
        <v>0</v>
      </c>
      <c r="U529">
        <v>1</v>
      </c>
      <c r="V529">
        <v>5</v>
      </c>
      <c r="W529" t="s">
        <v>35</v>
      </c>
      <c r="X529" t="s">
        <v>29</v>
      </c>
      <c r="Y529" t="s">
        <v>346</v>
      </c>
      <c r="Z529" t="s">
        <v>37</v>
      </c>
      <c r="AA529">
        <f>TwitterClean[[#This Row],[likes]]+TwitterClean[[#This Row],[replies]]+TwitterClean[[#This Row],[reposts]]+TwitterClean[[#This Row],[quotes]]+TwitterClean[[#This Row],[bookmarks]]</f>
        <v>167</v>
      </c>
      <c r="AB529" s="1">
        <f>TwitterClean[[#This Row],[Total_Engagements]]/TwitterClean[[#This Row],[views]]</f>
        <v>9.3442256042972245E-3</v>
      </c>
      <c r="AC529" s="3">
        <f>DATEVALUE(MID(TwitterClean[[#This Row],[date_posted]],2,10))</f>
        <v>45641</v>
      </c>
      <c r="AD529">
        <f>TIMEVALUE(MID(TwitterClean[[#This Row],[date_posted]],13,8))</f>
        <v>0.8407175925925926</v>
      </c>
      <c r="AE529" s="3" t="str">
        <f>TEXT(TwitterClean[[#This Row],[Post_Date]],"dddd")</f>
        <v>Sunday</v>
      </c>
      <c r="AF529">
        <f>HOUR(TwitterClean[[#This Row],[Post_Time]])</f>
        <v>20</v>
      </c>
      <c r="AG529" t="str">
        <f>IF(TwitterClean[[#This Row],[videos]]="Null","No","Yes")</f>
        <v>Yes</v>
      </c>
      <c r="AH529" t="str">
        <f>IF(TwitterClean[[#This Row],[photos]]="null","No","Yes")</f>
        <v>No</v>
      </c>
      <c r="AI529" t="str">
        <f>IF(TwitterClean[[#This Row],[hashtags]]="null","No","Yes")</f>
        <v>Yes</v>
      </c>
      <c r="AJ529" t="str">
        <f>IF(TwitterClean[[#This Row],[external_url]]="null","Yes","No")</f>
        <v>No</v>
      </c>
      <c r="AK529">
        <f>LEN(TwitterClean[[#This Row],[description]])</f>
        <v>187</v>
      </c>
      <c r="AL529" t="str">
        <f>IF(TwitterClean[[#This Row],[followers]]&lt;100000,"&lt;100K",IF(TwitterClean[[#This Row],[followers]]&lt;1000000,"100K-1M",IF(TwitterClean[[#This Row],[followers]]&lt;10000000,"1M-10M","10M+")))</f>
        <v>1M-10M</v>
      </c>
    </row>
    <row r="530" spans="1:38">
      <c r="A530">
        <v>1.8683131594777357E+18</v>
      </c>
      <c r="B530" t="s">
        <v>228</v>
      </c>
      <c r="C530" t="s">
        <v>228</v>
      </c>
      <c r="D530" t="s">
        <v>973</v>
      </c>
      <c r="E530" t="s">
        <v>974</v>
      </c>
      <c r="F530" t="s">
        <v>29</v>
      </c>
      <c r="G530" t="s">
        <v>975</v>
      </c>
      <c r="H530" t="s">
        <v>29</v>
      </c>
      <c r="I530">
        <v>15</v>
      </c>
      <c r="J530">
        <v>8</v>
      </c>
      <c r="K530">
        <v>30</v>
      </c>
      <c r="L530">
        <v>6107</v>
      </c>
      <c r="M530" t="s">
        <v>976</v>
      </c>
      <c r="N530" t="s">
        <v>29</v>
      </c>
      <c r="O530">
        <v>1239617</v>
      </c>
      <c r="P530" t="s">
        <v>235</v>
      </c>
      <c r="Q530">
        <v>402839</v>
      </c>
      <c r="R530" t="s">
        <v>236</v>
      </c>
      <c r="S530">
        <v>1644</v>
      </c>
      <c r="T530" t="b">
        <v>0</v>
      </c>
      <c r="U530">
        <v>1</v>
      </c>
      <c r="V530">
        <v>3</v>
      </c>
      <c r="W530" t="s">
        <v>35</v>
      </c>
      <c r="X530" t="s">
        <v>29</v>
      </c>
      <c r="Y530" t="s">
        <v>977</v>
      </c>
      <c r="Z530" t="s">
        <v>37</v>
      </c>
      <c r="AA530">
        <f>TwitterClean[[#This Row],[likes]]+TwitterClean[[#This Row],[replies]]+TwitterClean[[#This Row],[reposts]]+TwitterClean[[#This Row],[quotes]]+TwitterClean[[#This Row],[bookmarks]]</f>
        <v>57</v>
      </c>
      <c r="AB530" s="1">
        <f>TwitterClean[[#This Row],[Total_Engagements]]/TwitterClean[[#This Row],[views]]</f>
        <v>9.333551662027182E-3</v>
      </c>
      <c r="AC530" s="3">
        <f>DATEVALUE(MID(TwitterClean[[#This Row],[date_posted]],2,10))</f>
        <v>45641</v>
      </c>
      <c r="AD530">
        <f>TIMEVALUE(MID(TwitterClean[[#This Row],[date_posted]],13,8))</f>
        <v>0.63359953703703709</v>
      </c>
      <c r="AE530" s="3" t="str">
        <f>TEXT(TwitterClean[[#This Row],[Post_Date]],"dddd")</f>
        <v>Sunday</v>
      </c>
      <c r="AF530">
        <f>HOUR(TwitterClean[[#This Row],[Post_Time]])</f>
        <v>15</v>
      </c>
      <c r="AG530" t="str">
        <f>IF(TwitterClean[[#This Row],[videos]]="Null","No","Yes")</f>
        <v>Yes</v>
      </c>
      <c r="AH530" t="str">
        <f>IF(TwitterClean[[#This Row],[photos]]="null","No","Yes")</f>
        <v>No</v>
      </c>
      <c r="AI530" t="str">
        <f>IF(TwitterClean[[#This Row],[hashtags]]="null","No","Yes")</f>
        <v>No</v>
      </c>
      <c r="AJ530" t="str">
        <f>IF(TwitterClean[[#This Row],[external_url]]="null","Yes","No")</f>
        <v>No</v>
      </c>
      <c r="AK530">
        <f>LEN(TwitterClean[[#This Row],[description]])</f>
        <v>210</v>
      </c>
      <c r="AL530" t="str">
        <f>IF(TwitterClean[[#This Row],[followers]]&lt;100000,"&lt;100K",IF(TwitterClean[[#This Row],[followers]]&lt;1000000,"100K-1M",IF(TwitterClean[[#This Row],[followers]]&lt;10000000,"1M-10M","10M+")))</f>
        <v>1M-10M</v>
      </c>
    </row>
    <row r="531" spans="1:38">
      <c r="A531">
        <v>1.8683204018618327E+18</v>
      </c>
      <c r="B531" t="s">
        <v>2994</v>
      </c>
      <c r="C531" t="s">
        <v>2995</v>
      </c>
      <c r="D531" t="s">
        <v>4893</v>
      </c>
      <c r="E531" t="s">
        <v>4894</v>
      </c>
      <c r="F531" t="s">
        <v>4895</v>
      </c>
      <c r="G531" t="s">
        <v>4896</v>
      </c>
      <c r="H531" t="s">
        <v>29</v>
      </c>
      <c r="I531">
        <v>20</v>
      </c>
      <c r="J531">
        <v>47</v>
      </c>
      <c r="K531">
        <v>923</v>
      </c>
      <c r="L531">
        <v>107172</v>
      </c>
      <c r="M531" t="s">
        <v>52</v>
      </c>
      <c r="N531" t="s">
        <v>3174</v>
      </c>
      <c r="O531">
        <v>812161</v>
      </c>
      <c r="P531" t="s">
        <v>3000</v>
      </c>
      <c r="Q531">
        <v>110924</v>
      </c>
      <c r="R531" t="s">
        <v>3001</v>
      </c>
      <c r="S531">
        <v>322</v>
      </c>
      <c r="T531" t="b">
        <v>0</v>
      </c>
      <c r="U531">
        <v>4</v>
      </c>
      <c r="V531">
        <v>6</v>
      </c>
      <c r="W531" t="s">
        <v>35</v>
      </c>
      <c r="X531" t="s">
        <v>29</v>
      </c>
      <c r="Y531" t="s">
        <v>29</v>
      </c>
      <c r="Z531" t="s">
        <v>37</v>
      </c>
      <c r="AA531">
        <f>TwitterClean[[#This Row],[likes]]+TwitterClean[[#This Row],[replies]]+TwitterClean[[#This Row],[reposts]]+TwitterClean[[#This Row],[quotes]]+TwitterClean[[#This Row],[bookmarks]]</f>
        <v>1000</v>
      </c>
      <c r="AB531" s="1">
        <f>TwitterClean[[#This Row],[Total_Engagements]]/TwitterClean[[#This Row],[views]]</f>
        <v>9.3307953569962306E-3</v>
      </c>
      <c r="AC531" s="3">
        <f>DATEVALUE(MID(TwitterClean[[#This Row],[date_posted]],2,10))</f>
        <v>45641</v>
      </c>
      <c r="AD531">
        <f>TIMEVALUE(MID(TwitterClean[[#This Row],[date_posted]],13,8))</f>
        <v>0.65358796296296295</v>
      </c>
      <c r="AE531" s="3" t="str">
        <f>TEXT(TwitterClean[[#This Row],[Post_Date]],"dddd")</f>
        <v>Sunday</v>
      </c>
      <c r="AF531">
        <f>HOUR(TwitterClean[[#This Row],[Post_Time]])</f>
        <v>15</v>
      </c>
      <c r="AG531" t="str">
        <f>IF(TwitterClean[[#This Row],[videos]]="Null","No","Yes")</f>
        <v>No</v>
      </c>
      <c r="AH531" t="str">
        <f>IF(TwitterClean[[#This Row],[photos]]="null","No","Yes")</f>
        <v>Yes</v>
      </c>
      <c r="AI531" t="str">
        <f>IF(TwitterClean[[#This Row],[hashtags]]="null","No","Yes")</f>
        <v>Yes</v>
      </c>
      <c r="AJ531" t="str">
        <f>IF(TwitterClean[[#This Row],[external_url]]="null","Yes","No")</f>
        <v>No</v>
      </c>
      <c r="AK531">
        <f>LEN(TwitterClean[[#This Row],[description]])</f>
        <v>20</v>
      </c>
      <c r="AL531" t="str">
        <f>IF(TwitterClean[[#This Row],[followers]]&lt;100000,"&lt;100K",IF(TwitterClean[[#This Row],[followers]]&lt;1000000,"100K-1M",IF(TwitterClean[[#This Row],[followers]]&lt;10000000,"1M-10M","10M+")))</f>
        <v>100K-1M</v>
      </c>
    </row>
    <row r="532" spans="1:38">
      <c r="A532">
        <v>1.8681239183238103E+18</v>
      </c>
      <c r="B532" t="s">
        <v>3034</v>
      </c>
      <c r="C532" t="s">
        <v>3035</v>
      </c>
      <c r="D532" t="s">
        <v>3763</v>
      </c>
      <c r="E532" t="s">
        <v>3764</v>
      </c>
      <c r="F532" t="s">
        <v>29</v>
      </c>
      <c r="G532" t="s">
        <v>3765</v>
      </c>
      <c r="H532" t="s">
        <v>3766</v>
      </c>
      <c r="I532">
        <v>22</v>
      </c>
      <c r="J532">
        <v>4</v>
      </c>
      <c r="K532">
        <v>95</v>
      </c>
      <c r="L532">
        <v>13314</v>
      </c>
      <c r="M532" t="s">
        <v>52</v>
      </c>
      <c r="N532" t="s">
        <v>3040</v>
      </c>
      <c r="O532">
        <v>12876592</v>
      </c>
      <c r="P532" t="s">
        <v>3041</v>
      </c>
      <c r="Q532">
        <v>141401</v>
      </c>
      <c r="R532" t="s">
        <v>3042</v>
      </c>
      <c r="S532">
        <v>717</v>
      </c>
      <c r="T532" t="b">
        <v>0</v>
      </c>
      <c r="U532">
        <v>0</v>
      </c>
      <c r="V532">
        <v>3</v>
      </c>
      <c r="W532" t="s">
        <v>35</v>
      </c>
      <c r="X532" t="s">
        <v>29</v>
      </c>
      <c r="Y532" t="s">
        <v>3263</v>
      </c>
      <c r="Z532" t="s">
        <v>37</v>
      </c>
      <c r="AA532">
        <f>TwitterClean[[#This Row],[likes]]+TwitterClean[[#This Row],[replies]]+TwitterClean[[#This Row],[reposts]]+TwitterClean[[#This Row],[quotes]]+TwitterClean[[#This Row],[bookmarks]]</f>
        <v>124</v>
      </c>
      <c r="AB532" s="1">
        <f>TwitterClean[[#This Row],[Total_Engagements]]/TwitterClean[[#This Row],[views]]</f>
        <v>9.313504581643383E-3</v>
      </c>
      <c r="AC532" s="3">
        <f>DATEVALUE(MID(TwitterClean[[#This Row],[date_posted]],2,10))</f>
        <v>45641</v>
      </c>
      <c r="AD532">
        <f>TIMEVALUE(MID(TwitterClean[[#This Row],[date_posted]],13,8))</f>
        <v>0.11138888888888888</v>
      </c>
      <c r="AE532" s="3" t="str">
        <f>TEXT(TwitterClean[[#This Row],[Post_Date]],"dddd")</f>
        <v>Sunday</v>
      </c>
      <c r="AF532">
        <f>HOUR(TwitterClean[[#This Row],[Post_Time]])</f>
        <v>2</v>
      </c>
      <c r="AG532" t="str">
        <f>IF(TwitterClean[[#This Row],[videos]]="Null","No","Yes")</f>
        <v>Yes</v>
      </c>
      <c r="AH532" t="str">
        <f>IF(TwitterClean[[#This Row],[photos]]="null","No","Yes")</f>
        <v>No</v>
      </c>
      <c r="AI532" t="str">
        <f>IF(TwitterClean[[#This Row],[hashtags]]="null","No","Yes")</f>
        <v>Yes</v>
      </c>
      <c r="AJ532" t="str">
        <f>IF(TwitterClean[[#This Row],[external_url]]="null","Yes","No")</f>
        <v>No</v>
      </c>
      <c r="AK532">
        <f>LEN(TwitterClean[[#This Row],[description]])</f>
        <v>104</v>
      </c>
      <c r="AL532" t="str">
        <f>IF(TwitterClean[[#This Row],[followers]]&lt;100000,"&lt;100K",IF(TwitterClean[[#This Row],[followers]]&lt;1000000,"100K-1M",IF(TwitterClean[[#This Row],[followers]]&lt;10000000,"1M-10M","10M+")))</f>
        <v>10M+</v>
      </c>
    </row>
    <row r="533" spans="1:38">
      <c r="A533">
        <v>1.8684681318379113E+18</v>
      </c>
      <c r="B533" t="s">
        <v>2230</v>
      </c>
      <c r="C533" t="s">
        <v>2231</v>
      </c>
      <c r="D533" t="s">
        <v>2638</v>
      </c>
      <c r="E533" t="s">
        <v>2639</v>
      </c>
      <c r="F533" t="s">
        <v>2640</v>
      </c>
      <c r="G533" t="s">
        <v>2641</v>
      </c>
      <c r="H533" t="s">
        <v>29</v>
      </c>
      <c r="I533">
        <v>31</v>
      </c>
      <c r="J533">
        <v>75</v>
      </c>
      <c r="K533">
        <v>189</v>
      </c>
      <c r="L533">
        <v>32755</v>
      </c>
      <c r="M533" t="s">
        <v>2642</v>
      </c>
      <c r="N533" t="s">
        <v>29</v>
      </c>
      <c r="O533">
        <v>3313886</v>
      </c>
      <c r="P533" t="s">
        <v>2237</v>
      </c>
      <c r="Q533">
        <v>706459</v>
      </c>
      <c r="R533" t="s">
        <v>2238</v>
      </c>
      <c r="S533">
        <v>10308</v>
      </c>
      <c r="T533" t="b">
        <v>0</v>
      </c>
      <c r="U533">
        <v>5</v>
      </c>
      <c r="V533">
        <v>5</v>
      </c>
      <c r="W533" t="s">
        <v>35</v>
      </c>
      <c r="X533" t="s">
        <v>29</v>
      </c>
      <c r="Y533" t="s">
        <v>29</v>
      </c>
      <c r="Z533" t="s">
        <v>37</v>
      </c>
      <c r="AA533">
        <f>TwitterClean[[#This Row],[likes]]+TwitterClean[[#This Row],[replies]]+TwitterClean[[#This Row],[reposts]]+TwitterClean[[#This Row],[quotes]]+TwitterClean[[#This Row],[bookmarks]]</f>
        <v>305</v>
      </c>
      <c r="AB533" s="1">
        <f>TwitterClean[[#This Row],[Total_Engagements]]/TwitterClean[[#This Row],[views]]</f>
        <v>9.3115554877117989E-3</v>
      </c>
      <c r="AC533" s="3">
        <f>DATEVALUE(MID(TwitterClean[[#This Row],[date_posted]],2,10))</f>
        <v>45642</v>
      </c>
      <c r="AD533">
        <f>TIMEVALUE(MID(TwitterClean[[#This Row],[date_posted]],13,8))</f>
        <v>6.1238425925925925E-2</v>
      </c>
      <c r="AE533" s="3" t="str">
        <f>TEXT(TwitterClean[[#This Row],[Post_Date]],"dddd")</f>
        <v>Monday</v>
      </c>
      <c r="AF533">
        <f>HOUR(TwitterClean[[#This Row],[Post_Time]])</f>
        <v>1</v>
      </c>
      <c r="AG533" t="str">
        <f>IF(TwitterClean[[#This Row],[videos]]="Null","No","Yes")</f>
        <v>No</v>
      </c>
      <c r="AH533" t="str">
        <f>IF(TwitterClean[[#This Row],[photos]]="null","No","Yes")</f>
        <v>Yes</v>
      </c>
      <c r="AI533" t="str">
        <f>IF(TwitterClean[[#This Row],[hashtags]]="null","No","Yes")</f>
        <v>No</v>
      </c>
      <c r="AJ533" t="str">
        <f>IF(TwitterClean[[#This Row],[external_url]]="null","Yes","No")</f>
        <v>No</v>
      </c>
      <c r="AK533">
        <f>LEN(TwitterClean[[#This Row],[description]])</f>
        <v>94</v>
      </c>
      <c r="AL533" t="str">
        <f>IF(TwitterClean[[#This Row],[followers]]&lt;100000,"&lt;100K",IF(TwitterClean[[#This Row],[followers]]&lt;1000000,"100K-1M",IF(TwitterClean[[#This Row],[followers]]&lt;10000000,"1M-10M","10M+")))</f>
        <v>1M-10M</v>
      </c>
    </row>
    <row r="534" spans="1:38">
      <c r="A534">
        <v>1.8681552793484905E+18</v>
      </c>
      <c r="B534" t="s">
        <v>3034</v>
      </c>
      <c r="C534" t="s">
        <v>3035</v>
      </c>
      <c r="D534" t="s">
        <v>3869</v>
      </c>
      <c r="E534" t="s">
        <v>3870</v>
      </c>
      <c r="F534" t="s">
        <v>29</v>
      </c>
      <c r="G534" t="s">
        <v>3871</v>
      </c>
      <c r="H534" t="s">
        <v>3872</v>
      </c>
      <c r="I534">
        <v>179</v>
      </c>
      <c r="J534">
        <v>153</v>
      </c>
      <c r="K534">
        <v>1870</v>
      </c>
      <c r="L534">
        <v>245803</v>
      </c>
      <c r="M534" t="s">
        <v>52</v>
      </c>
      <c r="N534" t="s">
        <v>3040</v>
      </c>
      <c r="O534">
        <v>12876593</v>
      </c>
      <c r="P534" t="s">
        <v>3041</v>
      </c>
      <c r="Q534">
        <v>141401</v>
      </c>
      <c r="R534" t="s">
        <v>3042</v>
      </c>
      <c r="S534">
        <v>717</v>
      </c>
      <c r="T534" t="b">
        <v>0</v>
      </c>
      <c r="U534">
        <v>45</v>
      </c>
      <c r="V534">
        <v>40</v>
      </c>
      <c r="W534" t="s">
        <v>35</v>
      </c>
      <c r="X534" t="s">
        <v>29</v>
      </c>
      <c r="Y534" t="s">
        <v>3873</v>
      </c>
      <c r="Z534" t="s">
        <v>37</v>
      </c>
      <c r="AA534">
        <f>TwitterClean[[#This Row],[likes]]+TwitterClean[[#This Row],[replies]]+TwitterClean[[#This Row],[reposts]]+TwitterClean[[#This Row],[quotes]]+TwitterClean[[#This Row],[bookmarks]]</f>
        <v>2287</v>
      </c>
      <c r="AB534" s="1">
        <f>TwitterClean[[#This Row],[Total_Engagements]]/TwitterClean[[#This Row],[views]]</f>
        <v>9.3041988909818019E-3</v>
      </c>
      <c r="AC534" s="3">
        <f>DATEVALUE(MID(TwitterClean[[#This Row],[date_posted]],2,10))</f>
        <v>45641</v>
      </c>
      <c r="AD534">
        <f>TIMEVALUE(MID(TwitterClean[[#This Row],[date_posted]],13,8))</f>
        <v>0.19792824074074075</v>
      </c>
      <c r="AE534" s="3" t="str">
        <f>TEXT(TwitterClean[[#This Row],[Post_Date]],"dddd")</f>
        <v>Sunday</v>
      </c>
      <c r="AF534">
        <f>HOUR(TwitterClean[[#This Row],[Post_Time]])</f>
        <v>4</v>
      </c>
      <c r="AG534" t="str">
        <f>IF(TwitterClean[[#This Row],[videos]]="Null","No","Yes")</f>
        <v>Yes</v>
      </c>
      <c r="AH534" t="str">
        <f>IF(TwitterClean[[#This Row],[photos]]="null","No","Yes")</f>
        <v>No</v>
      </c>
      <c r="AI534" t="str">
        <f>IF(TwitterClean[[#This Row],[hashtags]]="null","No","Yes")</f>
        <v>Yes</v>
      </c>
      <c r="AJ534" t="str">
        <f>IF(TwitterClean[[#This Row],[external_url]]="null","Yes","No")</f>
        <v>No</v>
      </c>
      <c r="AK534">
        <f>LEN(TwitterClean[[#This Row],[description]])</f>
        <v>102</v>
      </c>
      <c r="AL534" t="str">
        <f>IF(TwitterClean[[#This Row],[followers]]&lt;100000,"&lt;100K",IF(TwitterClean[[#This Row],[followers]]&lt;1000000,"100K-1M",IF(TwitterClean[[#This Row],[followers]]&lt;10000000,"1M-10M","10M+")))</f>
        <v>10M+</v>
      </c>
    </row>
    <row r="535" spans="1:38">
      <c r="A535">
        <v>1.8683121216139881E+18</v>
      </c>
      <c r="B535" t="s">
        <v>1030</v>
      </c>
      <c r="C535" t="s">
        <v>1031</v>
      </c>
      <c r="D535" t="s">
        <v>4516</v>
      </c>
      <c r="E535" t="s">
        <v>4517</v>
      </c>
      <c r="F535" t="s">
        <v>4518</v>
      </c>
      <c r="G535" t="s">
        <v>4519</v>
      </c>
      <c r="H535" t="s">
        <v>29</v>
      </c>
      <c r="I535">
        <v>1</v>
      </c>
      <c r="J535">
        <v>10</v>
      </c>
      <c r="K535">
        <v>197</v>
      </c>
      <c r="L535">
        <v>22742</v>
      </c>
      <c r="M535" t="s">
        <v>52</v>
      </c>
      <c r="N535" t="s">
        <v>1036</v>
      </c>
      <c r="O535">
        <v>225733</v>
      </c>
      <c r="P535" t="s">
        <v>1037</v>
      </c>
      <c r="Q535">
        <v>42662</v>
      </c>
      <c r="R535" t="s">
        <v>1038</v>
      </c>
      <c r="S535">
        <v>148</v>
      </c>
      <c r="T535" t="b">
        <v>0</v>
      </c>
      <c r="U535">
        <v>1</v>
      </c>
      <c r="V535">
        <v>1</v>
      </c>
      <c r="W535" t="s">
        <v>35</v>
      </c>
      <c r="X535" t="s">
        <v>29</v>
      </c>
      <c r="Y535" t="s">
        <v>4520</v>
      </c>
      <c r="Z535" t="s">
        <v>37</v>
      </c>
      <c r="AA535">
        <f>TwitterClean[[#This Row],[likes]]+TwitterClean[[#This Row],[replies]]+TwitterClean[[#This Row],[reposts]]+TwitterClean[[#This Row],[quotes]]+TwitterClean[[#This Row],[bookmarks]]</f>
        <v>210</v>
      </c>
      <c r="AB535" s="1">
        <f>TwitterClean[[#This Row],[Total_Engagements]]/TwitterClean[[#This Row],[views]]</f>
        <v>9.2340163574004038E-3</v>
      </c>
      <c r="AC535" s="3">
        <f>DATEVALUE(MID(TwitterClean[[#This Row],[date_posted]],2,10))</f>
        <v>45641</v>
      </c>
      <c r="AD535">
        <f>TIMEVALUE(MID(TwitterClean[[#This Row],[date_posted]],13,8))</f>
        <v>0.63074074074074071</v>
      </c>
      <c r="AE535" s="3" t="str">
        <f>TEXT(TwitterClean[[#This Row],[Post_Date]],"dddd")</f>
        <v>Sunday</v>
      </c>
      <c r="AF535">
        <f>HOUR(TwitterClean[[#This Row],[Post_Time]])</f>
        <v>15</v>
      </c>
      <c r="AG535" t="str">
        <f>IF(TwitterClean[[#This Row],[videos]]="Null","No","Yes")</f>
        <v>Yes</v>
      </c>
      <c r="AH535" t="str">
        <f>IF(TwitterClean[[#This Row],[photos]]="null","No","Yes")</f>
        <v>Yes</v>
      </c>
      <c r="AI535" t="str">
        <f>IF(TwitterClean[[#This Row],[hashtags]]="null","No","Yes")</f>
        <v>Yes</v>
      </c>
      <c r="AJ535" t="str">
        <f>IF(TwitterClean[[#This Row],[external_url]]="null","Yes","No")</f>
        <v>No</v>
      </c>
      <c r="AK535">
        <f>LEN(TwitterClean[[#This Row],[description]])</f>
        <v>105</v>
      </c>
      <c r="AL535" t="str">
        <f>IF(TwitterClean[[#This Row],[followers]]&lt;100000,"&lt;100K",IF(TwitterClean[[#This Row],[followers]]&lt;1000000,"100K-1M",IF(TwitterClean[[#This Row],[followers]]&lt;10000000,"1M-10M","10M+")))</f>
        <v>100K-1M</v>
      </c>
    </row>
    <row r="536" spans="1:38">
      <c r="A536">
        <v>1.8683582111383798E+18</v>
      </c>
      <c r="B536" t="s">
        <v>3196</v>
      </c>
      <c r="C536" t="s">
        <v>3196</v>
      </c>
      <c r="D536" t="s">
        <v>3197</v>
      </c>
      <c r="E536" t="s">
        <v>3198</v>
      </c>
      <c r="F536" t="s">
        <v>29</v>
      </c>
      <c r="G536" t="s">
        <v>3199</v>
      </c>
      <c r="H536" t="s">
        <v>3200</v>
      </c>
      <c r="I536">
        <v>4</v>
      </c>
      <c r="J536">
        <v>4</v>
      </c>
      <c r="K536">
        <v>65</v>
      </c>
      <c r="L536">
        <v>8700</v>
      </c>
      <c r="M536" t="s">
        <v>52</v>
      </c>
      <c r="N536" t="s">
        <v>3201</v>
      </c>
      <c r="O536">
        <v>376786</v>
      </c>
      <c r="P536" t="s">
        <v>3202</v>
      </c>
      <c r="Q536">
        <v>106893</v>
      </c>
      <c r="R536" t="s">
        <v>3203</v>
      </c>
      <c r="S536">
        <v>415</v>
      </c>
      <c r="T536" t="b">
        <v>0</v>
      </c>
      <c r="U536">
        <v>6</v>
      </c>
      <c r="V536">
        <v>1</v>
      </c>
      <c r="W536" t="s">
        <v>35</v>
      </c>
      <c r="X536" t="s">
        <v>29</v>
      </c>
      <c r="Y536" t="s">
        <v>3204</v>
      </c>
      <c r="Z536" t="s">
        <v>37</v>
      </c>
      <c r="AA536">
        <f>TwitterClean[[#This Row],[likes]]+TwitterClean[[#This Row],[replies]]+TwitterClean[[#This Row],[reposts]]+TwitterClean[[#This Row],[quotes]]+TwitterClean[[#This Row],[bookmarks]]</f>
        <v>80</v>
      </c>
      <c r="AB536" s="1">
        <f>TwitterClean[[#This Row],[Total_Engagements]]/TwitterClean[[#This Row],[views]]</f>
        <v>9.1954022988505746E-3</v>
      </c>
      <c r="AC536" s="3">
        <f>DATEVALUE(MID(TwitterClean[[#This Row],[date_posted]],2,10))</f>
        <v>45641</v>
      </c>
      <c r="AD536">
        <f>TIMEVALUE(MID(TwitterClean[[#This Row],[date_posted]],13,8))</f>
        <v>0.75791666666666668</v>
      </c>
      <c r="AE536" s="3" t="str">
        <f>TEXT(TwitterClean[[#This Row],[Post_Date]],"dddd")</f>
        <v>Sunday</v>
      </c>
      <c r="AF536">
        <f>HOUR(TwitterClean[[#This Row],[Post_Time]])</f>
        <v>18</v>
      </c>
      <c r="AG536" t="str">
        <f>IF(TwitterClean[[#This Row],[videos]]="Null","No","Yes")</f>
        <v>Yes</v>
      </c>
      <c r="AH536" t="str">
        <f>IF(TwitterClean[[#This Row],[photos]]="null","No","Yes")</f>
        <v>No</v>
      </c>
      <c r="AI536" t="str">
        <f>IF(TwitterClean[[#This Row],[hashtags]]="null","No","Yes")</f>
        <v>Yes</v>
      </c>
      <c r="AJ536" t="str">
        <f>IF(TwitterClean[[#This Row],[external_url]]="null","Yes","No")</f>
        <v>No</v>
      </c>
      <c r="AK536">
        <f>LEN(TwitterClean[[#This Row],[description]])</f>
        <v>49</v>
      </c>
      <c r="AL536" t="str">
        <f>IF(TwitterClean[[#This Row],[followers]]&lt;100000,"&lt;100K",IF(TwitterClean[[#This Row],[followers]]&lt;1000000,"100K-1M",IF(TwitterClean[[#This Row],[followers]]&lt;10000000,"1M-10M","10M+")))</f>
        <v>100K-1M</v>
      </c>
    </row>
    <row r="537" spans="1:38">
      <c r="A537">
        <v>1.868219447950955E+18</v>
      </c>
      <c r="B537" t="s">
        <v>875</v>
      </c>
      <c r="C537" t="s">
        <v>876</v>
      </c>
      <c r="D537" t="s">
        <v>1043</v>
      </c>
      <c r="E537" t="s">
        <v>720</v>
      </c>
      <c r="F537" t="s">
        <v>1044</v>
      </c>
      <c r="G537" t="s">
        <v>1045</v>
      </c>
      <c r="H537" t="s">
        <v>29</v>
      </c>
      <c r="I537">
        <v>3</v>
      </c>
      <c r="J537">
        <v>164</v>
      </c>
      <c r="K537">
        <v>1023</v>
      </c>
      <c r="L537">
        <v>134854</v>
      </c>
      <c r="M537" t="s">
        <v>52</v>
      </c>
      <c r="N537" t="s">
        <v>1046</v>
      </c>
      <c r="O537">
        <v>95473</v>
      </c>
      <c r="P537" t="s">
        <v>882</v>
      </c>
      <c r="Q537">
        <v>46289</v>
      </c>
      <c r="R537" t="s">
        <v>883</v>
      </c>
      <c r="S537">
        <v>1327</v>
      </c>
      <c r="T537" t="b">
        <v>0</v>
      </c>
      <c r="U537">
        <v>36</v>
      </c>
      <c r="V537">
        <v>14</v>
      </c>
      <c r="W537" t="s">
        <v>35</v>
      </c>
      <c r="X537" t="s">
        <v>29</v>
      </c>
      <c r="Y537" t="s">
        <v>29</v>
      </c>
      <c r="Z537" t="s">
        <v>37</v>
      </c>
      <c r="AA537">
        <f>TwitterClean[[#This Row],[likes]]+TwitterClean[[#This Row],[replies]]+TwitterClean[[#This Row],[reposts]]+TwitterClean[[#This Row],[quotes]]+TwitterClean[[#This Row],[bookmarks]]</f>
        <v>1240</v>
      </c>
      <c r="AB537" s="1">
        <f>TwitterClean[[#This Row],[Total_Engagements]]/TwitterClean[[#This Row],[views]]</f>
        <v>9.1951295475106408E-3</v>
      </c>
      <c r="AC537" s="3">
        <f>DATEVALUE(MID(TwitterClean[[#This Row],[date_posted]],2,10))</f>
        <v>45641</v>
      </c>
      <c r="AD537">
        <f>TIMEVALUE(MID(TwitterClean[[#This Row],[date_posted]],13,8))</f>
        <v>0.375</v>
      </c>
      <c r="AE537" s="3" t="str">
        <f>TEXT(TwitterClean[[#This Row],[Post_Date]],"dddd")</f>
        <v>Sunday</v>
      </c>
      <c r="AF537">
        <f>HOUR(TwitterClean[[#This Row],[Post_Time]])</f>
        <v>9</v>
      </c>
      <c r="AG537" t="str">
        <f>IF(TwitterClean[[#This Row],[videos]]="Null","No","Yes")</f>
        <v>No</v>
      </c>
      <c r="AH537" t="str">
        <f>IF(TwitterClean[[#This Row],[photos]]="null","No","Yes")</f>
        <v>Yes</v>
      </c>
      <c r="AI537" t="str">
        <f>IF(TwitterClean[[#This Row],[hashtags]]="null","No","Yes")</f>
        <v>Yes</v>
      </c>
      <c r="AJ537" t="str">
        <f>IF(TwitterClean[[#This Row],[external_url]]="null","Yes","No")</f>
        <v>No</v>
      </c>
      <c r="AK537">
        <f>LEN(TwitterClean[[#This Row],[description]])</f>
        <v>169</v>
      </c>
      <c r="AL537" t="str">
        <f>IF(TwitterClean[[#This Row],[followers]]&lt;100000,"&lt;100K",IF(TwitterClean[[#This Row],[followers]]&lt;1000000,"100K-1M",IF(TwitterClean[[#This Row],[followers]]&lt;10000000,"1M-10M","10M+")))</f>
        <v>&lt;100K</v>
      </c>
    </row>
    <row r="538" spans="1:38">
      <c r="A538">
        <v>1.8681244865427256E+18</v>
      </c>
      <c r="B538" t="s">
        <v>3034</v>
      </c>
      <c r="C538" t="s">
        <v>3035</v>
      </c>
      <c r="D538" t="s">
        <v>3259</v>
      </c>
      <c r="E538" t="s">
        <v>3260</v>
      </c>
      <c r="F538" t="s">
        <v>29</v>
      </c>
      <c r="G538" t="s">
        <v>3261</v>
      </c>
      <c r="H538" t="s">
        <v>3262</v>
      </c>
      <c r="I538">
        <v>40</v>
      </c>
      <c r="J538">
        <v>56</v>
      </c>
      <c r="K538">
        <v>1066</v>
      </c>
      <c r="L538">
        <v>130095</v>
      </c>
      <c r="M538" t="s">
        <v>52</v>
      </c>
      <c r="N538" t="s">
        <v>3040</v>
      </c>
      <c r="O538">
        <v>12876593</v>
      </c>
      <c r="P538" t="s">
        <v>3041</v>
      </c>
      <c r="Q538">
        <v>141401</v>
      </c>
      <c r="R538" t="s">
        <v>3042</v>
      </c>
      <c r="S538">
        <v>717</v>
      </c>
      <c r="T538" t="b">
        <v>0</v>
      </c>
      <c r="U538">
        <v>6</v>
      </c>
      <c r="V538">
        <v>27</v>
      </c>
      <c r="W538" t="s">
        <v>35</v>
      </c>
      <c r="X538" t="s">
        <v>29</v>
      </c>
      <c r="Y538" t="s">
        <v>3263</v>
      </c>
      <c r="Z538" t="s">
        <v>37</v>
      </c>
      <c r="AA538">
        <f>TwitterClean[[#This Row],[likes]]+TwitterClean[[#This Row],[replies]]+TwitterClean[[#This Row],[reposts]]+TwitterClean[[#This Row],[quotes]]+TwitterClean[[#This Row],[bookmarks]]</f>
        <v>1195</v>
      </c>
      <c r="AB538" s="1">
        <f>TwitterClean[[#This Row],[Total_Engagements]]/TwitterClean[[#This Row],[views]]</f>
        <v>9.1855951420116069E-3</v>
      </c>
      <c r="AC538" s="3">
        <f>DATEVALUE(MID(TwitterClean[[#This Row],[date_posted]],2,10))</f>
        <v>45641</v>
      </c>
      <c r="AD538">
        <f>TIMEVALUE(MID(TwitterClean[[#This Row],[date_posted]],13,8))</f>
        <v>0.11296296296296296</v>
      </c>
      <c r="AE538" s="3" t="str">
        <f>TEXT(TwitterClean[[#This Row],[Post_Date]],"dddd")</f>
        <v>Sunday</v>
      </c>
      <c r="AF538">
        <f>HOUR(TwitterClean[[#This Row],[Post_Time]])</f>
        <v>2</v>
      </c>
      <c r="AG538" t="str">
        <f>IF(TwitterClean[[#This Row],[videos]]="Null","No","Yes")</f>
        <v>Yes</v>
      </c>
      <c r="AH538" t="str">
        <f>IF(TwitterClean[[#This Row],[photos]]="null","No","Yes")</f>
        <v>No</v>
      </c>
      <c r="AI538" t="str">
        <f>IF(TwitterClean[[#This Row],[hashtags]]="null","No","Yes")</f>
        <v>Yes</v>
      </c>
      <c r="AJ538" t="str">
        <f>IF(TwitterClean[[#This Row],[external_url]]="null","Yes","No")</f>
        <v>No</v>
      </c>
      <c r="AK538">
        <f>LEN(TwitterClean[[#This Row],[description]])</f>
        <v>122</v>
      </c>
      <c r="AL538" t="str">
        <f>IF(TwitterClean[[#This Row],[followers]]&lt;100000,"&lt;100K",IF(TwitterClean[[#This Row],[followers]]&lt;1000000,"100K-1M",IF(TwitterClean[[#This Row],[followers]]&lt;10000000,"1M-10M","10M+")))</f>
        <v>10M+</v>
      </c>
    </row>
    <row r="539" spans="1:38">
      <c r="A539">
        <v>1.8680997520441797E+18</v>
      </c>
      <c r="B539" t="s">
        <v>1862</v>
      </c>
      <c r="C539" t="s">
        <v>1863</v>
      </c>
      <c r="D539" t="s">
        <v>2218</v>
      </c>
      <c r="E539" t="s">
        <v>2219</v>
      </c>
      <c r="F539" t="s">
        <v>29</v>
      </c>
      <c r="G539" t="s">
        <v>2220</v>
      </c>
      <c r="H539" t="s">
        <v>29</v>
      </c>
      <c r="I539">
        <v>4</v>
      </c>
      <c r="J539">
        <v>6</v>
      </c>
      <c r="K539">
        <v>85</v>
      </c>
      <c r="L539">
        <v>11226</v>
      </c>
      <c r="M539" t="s">
        <v>52</v>
      </c>
      <c r="N539" t="s">
        <v>1961</v>
      </c>
      <c r="O539">
        <v>13492430</v>
      </c>
      <c r="P539" t="s">
        <v>1868</v>
      </c>
      <c r="Q539">
        <v>314515</v>
      </c>
      <c r="R539" t="s">
        <v>1869</v>
      </c>
      <c r="S539">
        <v>708</v>
      </c>
      <c r="T539" t="b">
        <v>0</v>
      </c>
      <c r="U539">
        <v>1</v>
      </c>
      <c r="V539">
        <v>7</v>
      </c>
      <c r="W539" t="s">
        <v>35</v>
      </c>
      <c r="X539" t="s">
        <v>29</v>
      </c>
      <c r="Y539" t="s">
        <v>2221</v>
      </c>
      <c r="Z539" t="s">
        <v>37</v>
      </c>
      <c r="AA539">
        <f>TwitterClean[[#This Row],[likes]]+TwitterClean[[#This Row],[replies]]+TwitterClean[[#This Row],[reposts]]+TwitterClean[[#This Row],[quotes]]+TwitterClean[[#This Row],[bookmarks]]</f>
        <v>103</v>
      </c>
      <c r="AB539" s="1">
        <f>TwitterClean[[#This Row],[Total_Engagements]]/TwitterClean[[#This Row],[views]]</f>
        <v>9.1751291644396934E-3</v>
      </c>
      <c r="AC539" s="3">
        <f>DATEVALUE(MID(TwitterClean[[#This Row],[date_posted]],2,10))</f>
        <v>45641</v>
      </c>
      <c r="AD539">
        <f>TIMEVALUE(MID(TwitterClean[[#This Row],[date_posted]],13,8))</f>
        <v>4.4710648148148145E-2</v>
      </c>
      <c r="AE539" s="3" t="str">
        <f>TEXT(TwitterClean[[#This Row],[Post_Date]],"dddd")</f>
        <v>Sunday</v>
      </c>
      <c r="AF539">
        <f>HOUR(TwitterClean[[#This Row],[Post_Time]])</f>
        <v>1</v>
      </c>
      <c r="AG539" t="str">
        <f>IF(TwitterClean[[#This Row],[videos]]="Null","No","Yes")</f>
        <v>Yes</v>
      </c>
      <c r="AH539" t="str">
        <f>IF(TwitterClean[[#This Row],[photos]]="null","No","Yes")</f>
        <v>No</v>
      </c>
      <c r="AI539" t="str">
        <f>IF(TwitterClean[[#This Row],[hashtags]]="null","No","Yes")</f>
        <v>Yes</v>
      </c>
      <c r="AJ539" t="str">
        <f>IF(TwitterClean[[#This Row],[external_url]]="null","Yes","No")</f>
        <v>No</v>
      </c>
      <c r="AK539">
        <f>LEN(TwitterClean[[#This Row],[description]])</f>
        <v>70</v>
      </c>
      <c r="AL539" t="str">
        <f>IF(TwitterClean[[#This Row],[followers]]&lt;100000,"&lt;100K",IF(TwitterClean[[#This Row],[followers]]&lt;1000000,"100K-1M",IF(TwitterClean[[#This Row],[followers]]&lt;10000000,"1M-10M","10M+")))</f>
        <v>10M+</v>
      </c>
    </row>
    <row r="540" spans="1:38">
      <c r="A540">
        <v>1.8682990150092721E+18</v>
      </c>
      <c r="B540" t="s">
        <v>333</v>
      </c>
      <c r="C540" t="s">
        <v>334</v>
      </c>
      <c r="D540" t="s">
        <v>4546</v>
      </c>
      <c r="E540" t="s">
        <v>4547</v>
      </c>
      <c r="F540" t="s">
        <v>29</v>
      </c>
      <c r="G540" t="s">
        <v>4548</v>
      </c>
      <c r="H540" t="s">
        <v>4549</v>
      </c>
      <c r="I540">
        <v>1</v>
      </c>
      <c r="J540">
        <v>3</v>
      </c>
      <c r="K540">
        <v>60</v>
      </c>
      <c r="L540">
        <v>7092</v>
      </c>
      <c r="M540" t="s">
        <v>52</v>
      </c>
      <c r="N540" t="s">
        <v>340</v>
      </c>
      <c r="O540">
        <v>337839</v>
      </c>
      <c r="P540" t="s">
        <v>341</v>
      </c>
      <c r="Q540">
        <v>57638</v>
      </c>
      <c r="R540" t="s">
        <v>342</v>
      </c>
      <c r="S540">
        <v>587</v>
      </c>
      <c r="T540" t="b">
        <v>0</v>
      </c>
      <c r="U540">
        <v>0</v>
      </c>
      <c r="V540">
        <v>1</v>
      </c>
      <c r="W540" t="s">
        <v>35</v>
      </c>
      <c r="X540" t="s">
        <v>29</v>
      </c>
      <c r="Y540" t="s">
        <v>4550</v>
      </c>
      <c r="Z540" t="s">
        <v>37</v>
      </c>
      <c r="AA540">
        <f>TwitterClean[[#This Row],[likes]]+TwitterClean[[#This Row],[replies]]+TwitterClean[[#This Row],[reposts]]+TwitterClean[[#This Row],[quotes]]+TwitterClean[[#This Row],[bookmarks]]</f>
        <v>65</v>
      </c>
      <c r="AB540" s="1">
        <f>TwitterClean[[#This Row],[Total_Engagements]]/TwitterClean[[#This Row],[views]]</f>
        <v>9.1652566271855605E-3</v>
      </c>
      <c r="AC540" s="3">
        <f>DATEVALUE(MID(TwitterClean[[#This Row],[date_posted]],2,10))</f>
        <v>45641</v>
      </c>
      <c r="AD540">
        <f>TIMEVALUE(MID(TwitterClean[[#This Row],[date_posted]],13,8))</f>
        <v>0.59457175925925931</v>
      </c>
      <c r="AE540" s="3" t="str">
        <f>TEXT(TwitterClean[[#This Row],[Post_Date]],"dddd")</f>
        <v>Sunday</v>
      </c>
      <c r="AF540">
        <f>HOUR(TwitterClean[[#This Row],[Post_Time]])</f>
        <v>14</v>
      </c>
      <c r="AG540" t="str">
        <f>IF(TwitterClean[[#This Row],[videos]]="Null","No","Yes")</f>
        <v>Yes</v>
      </c>
      <c r="AH540" t="str">
        <f>IF(TwitterClean[[#This Row],[photos]]="null","No","Yes")</f>
        <v>No</v>
      </c>
      <c r="AI540" t="str">
        <f>IF(TwitterClean[[#This Row],[hashtags]]="null","No","Yes")</f>
        <v>Yes</v>
      </c>
      <c r="AJ540" t="str">
        <f>IF(TwitterClean[[#This Row],[external_url]]="null","Yes","No")</f>
        <v>No</v>
      </c>
      <c r="AK540">
        <f>LEN(TwitterClean[[#This Row],[description]])</f>
        <v>97</v>
      </c>
      <c r="AL540" t="str">
        <f>IF(TwitterClean[[#This Row],[followers]]&lt;100000,"&lt;100K",IF(TwitterClean[[#This Row],[followers]]&lt;1000000,"100K-1M",IF(TwitterClean[[#This Row],[followers]]&lt;10000000,"1M-10M","10M+")))</f>
        <v>100K-1M</v>
      </c>
    </row>
    <row r="541" spans="1:38">
      <c r="A541">
        <v>1.8684223216077742E+18</v>
      </c>
      <c r="B541" t="s">
        <v>2230</v>
      </c>
      <c r="C541" t="s">
        <v>2231</v>
      </c>
      <c r="D541" t="s">
        <v>2299</v>
      </c>
      <c r="E541" t="s">
        <v>2300</v>
      </c>
      <c r="F541" t="s">
        <v>2301</v>
      </c>
      <c r="G541" t="s">
        <v>2302</v>
      </c>
      <c r="H541" t="s">
        <v>29</v>
      </c>
      <c r="I541">
        <v>34</v>
      </c>
      <c r="J541">
        <v>68</v>
      </c>
      <c r="K541">
        <v>198</v>
      </c>
      <c r="L541">
        <v>35073</v>
      </c>
      <c r="M541" t="s">
        <v>2303</v>
      </c>
      <c r="N541" t="s">
        <v>29</v>
      </c>
      <c r="O541">
        <v>3313886</v>
      </c>
      <c r="P541" t="s">
        <v>2237</v>
      </c>
      <c r="Q541">
        <v>706459</v>
      </c>
      <c r="R541" t="s">
        <v>2238</v>
      </c>
      <c r="S541">
        <v>10308</v>
      </c>
      <c r="T541" t="b">
        <v>0</v>
      </c>
      <c r="U541">
        <v>11</v>
      </c>
      <c r="V541">
        <v>9</v>
      </c>
      <c r="W541" t="s">
        <v>35</v>
      </c>
      <c r="X541" t="s">
        <v>29</v>
      </c>
      <c r="Y541" t="s">
        <v>29</v>
      </c>
      <c r="Z541" t="s">
        <v>37</v>
      </c>
      <c r="AA541">
        <f>TwitterClean[[#This Row],[likes]]+TwitterClean[[#This Row],[replies]]+TwitterClean[[#This Row],[reposts]]+TwitterClean[[#This Row],[quotes]]+TwitterClean[[#This Row],[bookmarks]]</f>
        <v>320</v>
      </c>
      <c r="AB541" s="1">
        <f>TwitterClean[[#This Row],[Total_Engagements]]/TwitterClean[[#This Row],[views]]</f>
        <v>9.1238274456134343E-3</v>
      </c>
      <c r="AC541" s="3">
        <f>DATEVALUE(MID(TwitterClean[[#This Row],[date_posted]],2,10))</f>
        <v>45641</v>
      </c>
      <c r="AD541">
        <f>TIMEVALUE(MID(TwitterClean[[#This Row],[date_posted]],13,8))</f>
        <v>0.93482638888888892</v>
      </c>
      <c r="AE541" s="3" t="str">
        <f>TEXT(TwitterClean[[#This Row],[Post_Date]],"dddd")</f>
        <v>Sunday</v>
      </c>
      <c r="AF541">
        <f>HOUR(TwitterClean[[#This Row],[Post_Time]])</f>
        <v>22</v>
      </c>
      <c r="AG541" t="str">
        <f>IF(TwitterClean[[#This Row],[videos]]="Null","No","Yes")</f>
        <v>No</v>
      </c>
      <c r="AH541" t="str">
        <f>IF(TwitterClean[[#This Row],[photos]]="null","No","Yes")</f>
        <v>Yes</v>
      </c>
      <c r="AI541" t="str">
        <f>IF(TwitterClean[[#This Row],[hashtags]]="null","No","Yes")</f>
        <v>No</v>
      </c>
      <c r="AJ541" t="str">
        <f>IF(TwitterClean[[#This Row],[external_url]]="null","Yes","No")</f>
        <v>No</v>
      </c>
      <c r="AK541">
        <f>LEN(TwitterClean[[#This Row],[description]])</f>
        <v>84</v>
      </c>
      <c r="AL541" t="str">
        <f>IF(TwitterClean[[#This Row],[followers]]&lt;100000,"&lt;100K",IF(TwitterClean[[#This Row],[followers]]&lt;1000000,"100K-1M",IF(TwitterClean[[#This Row],[followers]]&lt;10000000,"1M-10M","10M+")))</f>
        <v>1M-10M</v>
      </c>
    </row>
    <row r="542" spans="1:38">
      <c r="A542">
        <v>1.8683024103614715E+18</v>
      </c>
      <c r="B542" t="s">
        <v>3392</v>
      </c>
      <c r="C542" t="s">
        <v>3393</v>
      </c>
      <c r="D542" t="s">
        <v>5254</v>
      </c>
      <c r="E542" t="s">
        <v>5255</v>
      </c>
      <c r="F542" t="s">
        <v>5256</v>
      </c>
      <c r="G542" t="s">
        <v>5257</v>
      </c>
      <c r="H542" t="s">
        <v>29</v>
      </c>
      <c r="I542">
        <v>28</v>
      </c>
      <c r="J542">
        <v>74</v>
      </c>
      <c r="K542">
        <v>608</v>
      </c>
      <c r="L542">
        <v>81223</v>
      </c>
      <c r="M542" t="s">
        <v>52</v>
      </c>
      <c r="N542" t="s">
        <v>3405</v>
      </c>
      <c r="O542">
        <v>1480964</v>
      </c>
      <c r="P542" t="s">
        <v>3399</v>
      </c>
      <c r="Q542">
        <v>103753</v>
      </c>
      <c r="R542" t="s">
        <v>3400</v>
      </c>
      <c r="S542">
        <v>552</v>
      </c>
      <c r="T542" t="b">
        <v>0</v>
      </c>
      <c r="U542">
        <v>27</v>
      </c>
      <c r="V542">
        <v>1</v>
      </c>
      <c r="W542" t="s">
        <v>35</v>
      </c>
      <c r="X542" t="s">
        <v>29</v>
      </c>
      <c r="Y542" t="s">
        <v>29</v>
      </c>
      <c r="Z542" t="s">
        <v>37</v>
      </c>
      <c r="AA542">
        <f>TwitterClean[[#This Row],[likes]]+TwitterClean[[#This Row],[replies]]+TwitterClean[[#This Row],[reposts]]+TwitterClean[[#This Row],[quotes]]+TwitterClean[[#This Row],[bookmarks]]</f>
        <v>738</v>
      </c>
      <c r="AB542" s="1">
        <f>TwitterClean[[#This Row],[Total_Engagements]]/TwitterClean[[#This Row],[views]]</f>
        <v>9.0860963027713827E-3</v>
      </c>
      <c r="AC542" s="3">
        <f>DATEVALUE(MID(TwitterClean[[#This Row],[date_posted]],2,10))</f>
        <v>45641</v>
      </c>
      <c r="AD542">
        <f>TIMEVALUE(MID(TwitterClean[[#This Row],[date_posted]],13,8))</f>
        <v>0.60393518518518519</v>
      </c>
      <c r="AE542" s="3" t="str">
        <f>TEXT(TwitterClean[[#This Row],[Post_Date]],"dddd")</f>
        <v>Sunday</v>
      </c>
      <c r="AF542">
        <f>HOUR(TwitterClean[[#This Row],[Post_Time]])</f>
        <v>14</v>
      </c>
      <c r="AG542" t="str">
        <f>IF(TwitterClean[[#This Row],[videos]]="Null","No","Yes")</f>
        <v>No</v>
      </c>
      <c r="AH542" t="str">
        <f>IF(TwitterClean[[#This Row],[photos]]="null","No","Yes")</f>
        <v>Yes</v>
      </c>
      <c r="AI542" t="str">
        <f>IF(TwitterClean[[#This Row],[hashtags]]="null","No","Yes")</f>
        <v>Yes</v>
      </c>
      <c r="AJ542" t="str">
        <f>IF(TwitterClean[[#This Row],[external_url]]="null","Yes","No")</f>
        <v>No</v>
      </c>
      <c r="AK542">
        <f>LEN(TwitterClean[[#This Row],[description]])</f>
        <v>38</v>
      </c>
      <c r="AL542" t="str">
        <f>IF(TwitterClean[[#This Row],[followers]]&lt;100000,"&lt;100K",IF(TwitterClean[[#This Row],[followers]]&lt;1000000,"100K-1M",IF(TwitterClean[[#This Row],[followers]]&lt;10000000,"1M-10M","10M+")))</f>
        <v>1M-10M</v>
      </c>
    </row>
    <row r="543" spans="1:38">
      <c r="A543">
        <v>1.8682648375724114E+18</v>
      </c>
      <c r="B543" t="s">
        <v>3003</v>
      </c>
      <c r="C543" t="s">
        <v>3004</v>
      </c>
      <c r="D543" t="s">
        <v>3005</v>
      </c>
      <c r="E543" t="s">
        <v>3006</v>
      </c>
      <c r="F543" t="s">
        <v>29</v>
      </c>
      <c r="G543" t="s">
        <v>3007</v>
      </c>
      <c r="H543" t="s">
        <v>3008</v>
      </c>
      <c r="I543">
        <v>4</v>
      </c>
      <c r="J543">
        <v>4</v>
      </c>
      <c r="K543">
        <v>95</v>
      </c>
      <c r="L543">
        <v>11802</v>
      </c>
      <c r="M543" t="s">
        <v>3009</v>
      </c>
      <c r="N543" t="s">
        <v>3010</v>
      </c>
      <c r="O543">
        <v>398606</v>
      </c>
      <c r="P543" t="s">
        <v>3011</v>
      </c>
      <c r="Q543">
        <v>73534</v>
      </c>
      <c r="R543" t="s">
        <v>3012</v>
      </c>
      <c r="S543">
        <v>563</v>
      </c>
      <c r="T543" t="b">
        <v>0</v>
      </c>
      <c r="U543">
        <v>3</v>
      </c>
      <c r="V543">
        <v>1</v>
      </c>
      <c r="W543" t="s">
        <v>35</v>
      </c>
      <c r="X543" t="s">
        <v>29</v>
      </c>
      <c r="Y543" t="s">
        <v>3013</v>
      </c>
      <c r="Z543" t="s">
        <v>37</v>
      </c>
      <c r="AA543">
        <f>TwitterClean[[#This Row],[likes]]+TwitterClean[[#This Row],[replies]]+TwitterClean[[#This Row],[reposts]]+TwitterClean[[#This Row],[quotes]]+TwitterClean[[#This Row],[bookmarks]]</f>
        <v>107</v>
      </c>
      <c r="AB543" s="1">
        <f>TwitterClean[[#This Row],[Total_Engagements]]/TwitterClean[[#This Row],[views]]</f>
        <v>9.0662599559396713E-3</v>
      </c>
      <c r="AC543" s="3">
        <f>DATEVALUE(MID(TwitterClean[[#This Row],[date_posted]],2,10))</f>
        <v>45641</v>
      </c>
      <c r="AD543">
        <f>TIMEVALUE(MID(TwitterClean[[#This Row],[date_posted]],13,8))</f>
        <v>0.50025462962962963</v>
      </c>
      <c r="AE543" s="3" t="str">
        <f>TEXT(TwitterClean[[#This Row],[Post_Date]],"dddd")</f>
        <v>Sunday</v>
      </c>
      <c r="AF543">
        <f>HOUR(TwitterClean[[#This Row],[Post_Time]])</f>
        <v>12</v>
      </c>
      <c r="AG543" t="str">
        <f>IF(TwitterClean[[#This Row],[videos]]="Null","No","Yes")</f>
        <v>Yes</v>
      </c>
      <c r="AH543" t="str">
        <f>IF(TwitterClean[[#This Row],[photos]]="null","No","Yes")</f>
        <v>No</v>
      </c>
      <c r="AI543" t="str">
        <f>IF(TwitterClean[[#This Row],[hashtags]]="null","No","Yes")</f>
        <v>Yes</v>
      </c>
      <c r="AJ543" t="str">
        <f>IF(TwitterClean[[#This Row],[external_url]]="null","Yes","No")</f>
        <v>No</v>
      </c>
      <c r="AK543">
        <f>LEN(TwitterClean[[#This Row],[description]])</f>
        <v>153</v>
      </c>
      <c r="AL543" t="str">
        <f>IF(TwitterClean[[#This Row],[followers]]&lt;100000,"&lt;100K",IF(TwitterClean[[#This Row],[followers]]&lt;1000000,"100K-1M",IF(TwitterClean[[#This Row],[followers]]&lt;10000000,"1M-10M","10M+")))</f>
        <v>100K-1M</v>
      </c>
    </row>
    <row r="544" spans="1:38">
      <c r="A544">
        <v>1.8684148403786345E+18</v>
      </c>
      <c r="B544" t="s">
        <v>228</v>
      </c>
      <c r="C544" t="s">
        <v>228</v>
      </c>
      <c r="D544" t="s">
        <v>1183</v>
      </c>
      <c r="E544" t="s">
        <v>1184</v>
      </c>
      <c r="F544" t="s">
        <v>29</v>
      </c>
      <c r="G544" t="s">
        <v>1185</v>
      </c>
      <c r="H544" t="s">
        <v>1186</v>
      </c>
      <c r="I544">
        <v>3</v>
      </c>
      <c r="J544">
        <v>2</v>
      </c>
      <c r="K544">
        <v>64</v>
      </c>
      <c r="L544">
        <v>8186</v>
      </c>
      <c r="M544" t="s">
        <v>1187</v>
      </c>
      <c r="N544" t="s">
        <v>29</v>
      </c>
      <c r="O544">
        <v>1239616</v>
      </c>
      <c r="P544" t="s">
        <v>235</v>
      </c>
      <c r="Q544">
        <v>402839</v>
      </c>
      <c r="R544" t="s">
        <v>236</v>
      </c>
      <c r="S544">
        <v>1644</v>
      </c>
      <c r="T544" t="b">
        <v>0</v>
      </c>
      <c r="U544">
        <v>0</v>
      </c>
      <c r="V544">
        <v>5</v>
      </c>
      <c r="W544" t="s">
        <v>35</v>
      </c>
      <c r="X544" t="s">
        <v>29</v>
      </c>
      <c r="Y544" t="s">
        <v>1188</v>
      </c>
      <c r="Z544" t="s">
        <v>37</v>
      </c>
      <c r="AA544">
        <f>TwitterClean[[#This Row],[likes]]+TwitterClean[[#This Row],[replies]]+TwitterClean[[#This Row],[reposts]]+TwitterClean[[#This Row],[quotes]]+TwitterClean[[#This Row],[bookmarks]]</f>
        <v>74</v>
      </c>
      <c r="AB544" s="1">
        <f>TwitterClean[[#This Row],[Total_Engagements]]/TwitterClean[[#This Row],[views]]</f>
        <v>9.0398240899096025E-3</v>
      </c>
      <c r="AC544" s="3">
        <f>DATEVALUE(MID(TwitterClean[[#This Row],[date_posted]],2,10))</f>
        <v>45641</v>
      </c>
      <c r="AD544">
        <f>TIMEVALUE(MID(TwitterClean[[#This Row],[date_posted]],13,8))</f>
        <v>0.91418981481481476</v>
      </c>
      <c r="AE544" s="3" t="str">
        <f>TEXT(TwitterClean[[#This Row],[Post_Date]],"dddd")</f>
        <v>Sunday</v>
      </c>
      <c r="AF544">
        <f>HOUR(TwitterClean[[#This Row],[Post_Time]])</f>
        <v>21</v>
      </c>
      <c r="AG544" t="str">
        <f>IF(TwitterClean[[#This Row],[videos]]="Null","No","Yes")</f>
        <v>Yes</v>
      </c>
      <c r="AH544" t="str">
        <f>IF(TwitterClean[[#This Row],[photos]]="null","No","Yes")</f>
        <v>No</v>
      </c>
      <c r="AI544" t="str">
        <f>IF(TwitterClean[[#This Row],[hashtags]]="null","No","Yes")</f>
        <v>No</v>
      </c>
      <c r="AJ544" t="str">
        <f>IF(TwitterClean[[#This Row],[external_url]]="null","Yes","No")</f>
        <v>No</v>
      </c>
      <c r="AK544">
        <f>LEN(TwitterClean[[#This Row],[description]])</f>
        <v>159</v>
      </c>
      <c r="AL544" t="str">
        <f>IF(TwitterClean[[#This Row],[followers]]&lt;100000,"&lt;100K",IF(TwitterClean[[#This Row],[followers]]&lt;1000000,"100K-1M",IF(TwitterClean[[#This Row],[followers]]&lt;10000000,"1M-10M","10M+")))</f>
        <v>1M-10M</v>
      </c>
    </row>
    <row r="545" spans="1:38">
      <c r="A545">
        <v>1.8684875839294016E+18</v>
      </c>
      <c r="B545" t="s">
        <v>2230</v>
      </c>
      <c r="C545" t="s">
        <v>2231</v>
      </c>
      <c r="D545" t="s">
        <v>2524</v>
      </c>
      <c r="E545" t="s">
        <v>2525</v>
      </c>
      <c r="F545" t="s">
        <v>2526</v>
      </c>
      <c r="G545" t="s">
        <v>2527</v>
      </c>
      <c r="H545" t="s">
        <v>29</v>
      </c>
      <c r="I545">
        <v>22</v>
      </c>
      <c r="J545">
        <v>59</v>
      </c>
      <c r="K545">
        <v>186</v>
      </c>
      <c r="L545">
        <v>31107</v>
      </c>
      <c r="M545" t="s">
        <v>2528</v>
      </c>
      <c r="N545" t="s">
        <v>29</v>
      </c>
      <c r="O545">
        <v>3313886</v>
      </c>
      <c r="P545" t="s">
        <v>2237</v>
      </c>
      <c r="Q545">
        <v>706459</v>
      </c>
      <c r="R545" t="s">
        <v>2238</v>
      </c>
      <c r="S545">
        <v>10308</v>
      </c>
      <c r="T545" t="b">
        <v>0</v>
      </c>
      <c r="U545">
        <v>7</v>
      </c>
      <c r="V545">
        <v>7</v>
      </c>
      <c r="W545" t="s">
        <v>35</v>
      </c>
      <c r="X545" t="s">
        <v>29</v>
      </c>
      <c r="Y545" t="s">
        <v>29</v>
      </c>
      <c r="Z545" t="s">
        <v>37</v>
      </c>
      <c r="AA545">
        <f>TwitterClean[[#This Row],[likes]]+TwitterClean[[#This Row],[replies]]+TwitterClean[[#This Row],[reposts]]+TwitterClean[[#This Row],[quotes]]+TwitterClean[[#This Row],[bookmarks]]</f>
        <v>281</v>
      </c>
      <c r="AB545" s="1">
        <f>TwitterClean[[#This Row],[Total_Engagements]]/TwitterClean[[#This Row],[views]]</f>
        <v>9.0333365480438493E-3</v>
      </c>
      <c r="AC545" s="3">
        <f>DATEVALUE(MID(TwitterClean[[#This Row],[date_posted]],2,10))</f>
        <v>45642</v>
      </c>
      <c r="AD545">
        <f>TIMEVALUE(MID(TwitterClean[[#This Row],[date_posted]],13,8))</f>
        <v>0.11491898148148148</v>
      </c>
      <c r="AE545" s="3" t="str">
        <f>TEXT(TwitterClean[[#This Row],[Post_Date]],"dddd")</f>
        <v>Monday</v>
      </c>
      <c r="AF545">
        <f>HOUR(TwitterClean[[#This Row],[Post_Time]])</f>
        <v>2</v>
      </c>
      <c r="AG545" t="str">
        <f>IF(TwitterClean[[#This Row],[videos]]="Null","No","Yes")</f>
        <v>No</v>
      </c>
      <c r="AH545" t="str">
        <f>IF(TwitterClean[[#This Row],[photos]]="null","No","Yes")</f>
        <v>Yes</v>
      </c>
      <c r="AI545" t="str">
        <f>IF(TwitterClean[[#This Row],[hashtags]]="null","No","Yes")</f>
        <v>No</v>
      </c>
      <c r="AJ545" t="str">
        <f>IF(TwitterClean[[#This Row],[external_url]]="null","Yes","No")</f>
        <v>No</v>
      </c>
      <c r="AK545">
        <f>LEN(TwitterClean[[#This Row],[description]])</f>
        <v>84</v>
      </c>
      <c r="AL545" t="str">
        <f>IF(TwitterClean[[#This Row],[followers]]&lt;100000,"&lt;100K",IF(TwitterClean[[#This Row],[followers]]&lt;1000000,"100K-1M",IF(TwitterClean[[#This Row],[followers]]&lt;10000000,"1M-10M","10M+")))</f>
        <v>1M-10M</v>
      </c>
    </row>
    <row r="546" spans="1:38">
      <c r="A546">
        <v>1.6646635094880748E+18</v>
      </c>
      <c r="B546" t="s">
        <v>4266</v>
      </c>
      <c r="C546" t="s">
        <v>4267</v>
      </c>
      <c r="D546" t="s">
        <v>4566</v>
      </c>
      <c r="E546" t="s">
        <v>4567</v>
      </c>
      <c r="F546" t="s">
        <v>4568</v>
      </c>
      <c r="G546" t="s">
        <v>4569</v>
      </c>
      <c r="H546" t="s">
        <v>4570</v>
      </c>
      <c r="I546">
        <v>28180</v>
      </c>
      <c r="J546">
        <v>109327</v>
      </c>
      <c r="K546">
        <v>592538</v>
      </c>
      <c r="L546">
        <v>95074893</v>
      </c>
      <c r="M546" t="s">
        <v>4571</v>
      </c>
      <c r="N546" t="s">
        <v>29</v>
      </c>
      <c r="O546">
        <v>94676201</v>
      </c>
      <c r="P546" t="s">
        <v>4274</v>
      </c>
      <c r="Q546">
        <v>860</v>
      </c>
      <c r="R546" t="s">
        <v>4275</v>
      </c>
      <c r="S546">
        <v>0</v>
      </c>
      <c r="T546" t="b">
        <v>0</v>
      </c>
      <c r="U546">
        <v>120743</v>
      </c>
      <c r="V546">
        <v>6748</v>
      </c>
      <c r="W546" t="s">
        <v>35</v>
      </c>
      <c r="X546" t="s">
        <v>29</v>
      </c>
      <c r="Y546" t="s">
        <v>29</v>
      </c>
      <c r="Z546" t="s">
        <v>37</v>
      </c>
      <c r="AA546">
        <f>TwitterClean[[#This Row],[likes]]+TwitterClean[[#This Row],[replies]]+TwitterClean[[#This Row],[reposts]]+TwitterClean[[#This Row],[quotes]]+TwitterClean[[#This Row],[bookmarks]]</f>
        <v>857536</v>
      </c>
      <c r="AB546" s="1">
        <f>TwitterClean[[#This Row],[Total_Engagements]]/TwitterClean[[#This Row],[views]]</f>
        <v>9.0195841713963335E-3</v>
      </c>
      <c r="AC546" s="3">
        <f>DATEVALUE(MID(TwitterClean[[#This Row],[date_posted]],2,10))</f>
        <v>45079</v>
      </c>
      <c r="AD546">
        <f>TIMEVALUE(MID(TwitterClean[[#This Row],[date_posted]],13,8))</f>
        <v>0.66762731481481485</v>
      </c>
      <c r="AE546" s="3" t="str">
        <f>TEXT(TwitterClean[[#This Row],[Post_Date]],"dddd")</f>
        <v>Friday</v>
      </c>
      <c r="AF546">
        <f>HOUR(TwitterClean[[#This Row],[Post_Time]])</f>
        <v>16</v>
      </c>
      <c r="AG546" t="str">
        <f>IF(TwitterClean[[#This Row],[videos]]="Null","No","Yes")</f>
        <v>No</v>
      </c>
      <c r="AH546" t="str">
        <f>IF(TwitterClean[[#This Row],[photos]]="null","No","Yes")</f>
        <v>Yes</v>
      </c>
      <c r="AI546" t="str">
        <f>IF(TwitterClean[[#This Row],[hashtags]]="null","No","Yes")</f>
        <v>No</v>
      </c>
      <c r="AJ546" t="str">
        <f>IF(TwitterClean[[#This Row],[external_url]]="null","Yes","No")</f>
        <v>No</v>
      </c>
      <c r="AK546">
        <f>LEN(TwitterClean[[#This Row],[description]])</f>
        <v>343</v>
      </c>
      <c r="AL546" t="str">
        <f>IF(TwitterClean[[#This Row],[followers]]&lt;100000,"&lt;100K",IF(TwitterClean[[#This Row],[followers]]&lt;1000000,"100K-1M",IF(TwitterClean[[#This Row],[followers]]&lt;10000000,"1M-10M","10M+")))</f>
        <v>10M+</v>
      </c>
    </row>
    <row r="547" spans="1:38">
      <c r="A547">
        <v>1.8683930909368855E+18</v>
      </c>
      <c r="B547" t="s">
        <v>228</v>
      </c>
      <c r="C547" t="s">
        <v>228</v>
      </c>
      <c r="D547" t="s">
        <v>237</v>
      </c>
      <c r="E547" t="s">
        <v>238</v>
      </c>
      <c r="F547" t="s">
        <v>239</v>
      </c>
      <c r="G547" t="s">
        <v>240</v>
      </c>
      <c r="H547" t="s">
        <v>241</v>
      </c>
      <c r="I547">
        <v>20</v>
      </c>
      <c r="J547">
        <v>4</v>
      </c>
      <c r="K547">
        <v>20</v>
      </c>
      <c r="L547">
        <v>5118</v>
      </c>
      <c r="M547" t="s">
        <v>242</v>
      </c>
      <c r="N547" t="s">
        <v>29</v>
      </c>
      <c r="O547">
        <v>1239616</v>
      </c>
      <c r="P547" t="s">
        <v>235</v>
      </c>
      <c r="Q547">
        <v>402839</v>
      </c>
      <c r="R547" t="s">
        <v>236</v>
      </c>
      <c r="S547">
        <v>1644</v>
      </c>
      <c r="T547" t="b">
        <v>0</v>
      </c>
      <c r="U547">
        <v>2</v>
      </c>
      <c r="V547">
        <v>0</v>
      </c>
      <c r="W547" t="s">
        <v>35</v>
      </c>
      <c r="X547" t="s">
        <v>29</v>
      </c>
      <c r="Y547" t="s">
        <v>29</v>
      </c>
      <c r="Z547" t="s">
        <v>37</v>
      </c>
      <c r="AA547">
        <f>TwitterClean[[#This Row],[likes]]+TwitterClean[[#This Row],[replies]]+TwitterClean[[#This Row],[reposts]]+TwitterClean[[#This Row],[quotes]]+TwitterClean[[#This Row],[bookmarks]]</f>
        <v>46</v>
      </c>
      <c r="AB547" s="1">
        <f>TwitterClean[[#This Row],[Total_Engagements]]/TwitterClean[[#This Row],[views]]</f>
        <v>8.9878858929269244E-3</v>
      </c>
      <c r="AC547" s="3">
        <f>DATEVALUE(MID(TwitterClean[[#This Row],[date_posted]],2,10))</f>
        <v>45641</v>
      </c>
      <c r="AD547">
        <f>TIMEVALUE(MID(TwitterClean[[#This Row],[date_posted]],13,8))</f>
        <v>0.85416666666666663</v>
      </c>
      <c r="AE547" s="3" t="str">
        <f>TEXT(TwitterClean[[#This Row],[Post_Date]],"dddd")</f>
        <v>Sunday</v>
      </c>
      <c r="AF547">
        <f>HOUR(TwitterClean[[#This Row],[Post_Time]])</f>
        <v>20</v>
      </c>
      <c r="AG547" t="str">
        <f>IF(TwitterClean[[#This Row],[videos]]="Null","No","Yes")</f>
        <v>No</v>
      </c>
      <c r="AH547" t="str">
        <f>IF(TwitterClean[[#This Row],[photos]]="null","No","Yes")</f>
        <v>Yes</v>
      </c>
      <c r="AI547" t="str">
        <f>IF(TwitterClean[[#This Row],[hashtags]]="null","No","Yes")</f>
        <v>No</v>
      </c>
      <c r="AJ547" t="str">
        <f>IF(TwitterClean[[#This Row],[external_url]]="null","Yes","No")</f>
        <v>No</v>
      </c>
      <c r="AK547">
        <f>LEN(TwitterClean[[#This Row],[description]])</f>
        <v>232</v>
      </c>
      <c r="AL547" t="str">
        <f>IF(TwitterClean[[#This Row],[followers]]&lt;100000,"&lt;100K",IF(TwitterClean[[#This Row],[followers]]&lt;1000000,"100K-1M",IF(TwitterClean[[#This Row],[followers]]&lt;10000000,"1M-10M","10M+")))</f>
        <v>1M-10M</v>
      </c>
    </row>
    <row r="548" spans="1:38">
      <c r="A548">
        <v>1.8684394591354145E+18</v>
      </c>
      <c r="B548" t="s">
        <v>3196</v>
      </c>
      <c r="C548" t="s">
        <v>3196</v>
      </c>
      <c r="D548" t="s">
        <v>3726</v>
      </c>
      <c r="E548" t="s">
        <v>3727</v>
      </c>
      <c r="F548" t="s">
        <v>29</v>
      </c>
      <c r="G548" t="s">
        <v>3728</v>
      </c>
      <c r="H548" t="s">
        <v>3631</v>
      </c>
      <c r="I548">
        <v>10</v>
      </c>
      <c r="J548">
        <v>2</v>
      </c>
      <c r="K548">
        <v>66</v>
      </c>
      <c r="L548">
        <v>9146</v>
      </c>
      <c r="M548" t="s">
        <v>52</v>
      </c>
      <c r="N548" t="s">
        <v>3201</v>
      </c>
      <c r="O548">
        <v>376785</v>
      </c>
      <c r="P548" t="s">
        <v>3202</v>
      </c>
      <c r="Q548">
        <v>106893</v>
      </c>
      <c r="R548" t="s">
        <v>3203</v>
      </c>
      <c r="S548">
        <v>415</v>
      </c>
      <c r="T548" t="b">
        <v>0</v>
      </c>
      <c r="U548">
        <v>1</v>
      </c>
      <c r="V548">
        <v>3</v>
      </c>
      <c r="W548" t="s">
        <v>35</v>
      </c>
      <c r="X548" t="s">
        <v>29</v>
      </c>
      <c r="Y548" t="s">
        <v>3729</v>
      </c>
      <c r="Z548" t="s">
        <v>37</v>
      </c>
      <c r="AA548">
        <f>TwitterClean[[#This Row],[likes]]+TwitterClean[[#This Row],[replies]]+TwitterClean[[#This Row],[reposts]]+TwitterClean[[#This Row],[quotes]]+TwitterClean[[#This Row],[bookmarks]]</f>
        <v>82</v>
      </c>
      <c r="AB548" s="1">
        <f>TwitterClean[[#This Row],[Total_Engagements]]/TwitterClean[[#This Row],[views]]</f>
        <v>8.9656680516072597E-3</v>
      </c>
      <c r="AC548" s="3">
        <f>DATEVALUE(MID(TwitterClean[[#This Row],[date_posted]],2,10))</f>
        <v>45641</v>
      </c>
      <c r="AD548">
        <f>TIMEVALUE(MID(TwitterClean[[#This Row],[date_posted]],13,8))</f>
        <v>0.98211805555555554</v>
      </c>
      <c r="AE548" s="3" t="str">
        <f>TEXT(TwitterClean[[#This Row],[Post_Date]],"dddd")</f>
        <v>Sunday</v>
      </c>
      <c r="AF548">
        <f>HOUR(TwitterClean[[#This Row],[Post_Time]])</f>
        <v>23</v>
      </c>
      <c r="AG548" t="str">
        <f>IF(TwitterClean[[#This Row],[videos]]="Null","No","Yes")</f>
        <v>Yes</v>
      </c>
      <c r="AH548" t="str">
        <f>IF(TwitterClean[[#This Row],[photos]]="null","No","Yes")</f>
        <v>No</v>
      </c>
      <c r="AI548" t="str">
        <f>IF(TwitterClean[[#This Row],[hashtags]]="null","No","Yes")</f>
        <v>Yes</v>
      </c>
      <c r="AJ548" t="str">
        <f>IF(TwitterClean[[#This Row],[external_url]]="null","Yes","No")</f>
        <v>No</v>
      </c>
      <c r="AK548">
        <f>LEN(TwitterClean[[#This Row],[description]])</f>
        <v>89</v>
      </c>
      <c r="AL548" t="str">
        <f>IF(TwitterClean[[#This Row],[followers]]&lt;100000,"&lt;100K",IF(TwitterClean[[#This Row],[followers]]&lt;1000000,"100K-1M",IF(TwitterClean[[#This Row],[followers]]&lt;10000000,"1M-10M","10M+")))</f>
        <v>100K-1M</v>
      </c>
    </row>
    <row r="549" spans="1:38">
      <c r="A549">
        <v>1.8683471593490189E+18</v>
      </c>
      <c r="B549" t="s">
        <v>3168</v>
      </c>
      <c r="C549" t="s">
        <v>3169</v>
      </c>
      <c r="D549" t="s">
        <v>3620</v>
      </c>
      <c r="E549" t="s">
        <v>3621</v>
      </c>
      <c r="F549" t="s">
        <v>29</v>
      </c>
      <c r="G549" t="s">
        <v>3622</v>
      </c>
      <c r="H549" t="s">
        <v>3173</v>
      </c>
      <c r="I549">
        <v>3</v>
      </c>
      <c r="J549">
        <v>9</v>
      </c>
      <c r="K549">
        <v>156</v>
      </c>
      <c r="L549">
        <v>19056</v>
      </c>
      <c r="M549" t="s">
        <v>52</v>
      </c>
      <c r="N549" t="s">
        <v>29</v>
      </c>
      <c r="O549">
        <v>294711</v>
      </c>
      <c r="P549" t="s">
        <v>3175</v>
      </c>
      <c r="Q549">
        <v>66342</v>
      </c>
      <c r="R549" t="s">
        <v>3176</v>
      </c>
      <c r="S549">
        <v>1449</v>
      </c>
      <c r="T549" t="b">
        <v>0</v>
      </c>
      <c r="U549">
        <v>1</v>
      </c>
      <c r="V549">
        <v>1</v>
      </c>
      <c r="W549" t="s">
        <v>35</v>
      </c>
      <c r="X549" t="s">
        <v>29</v>
      </c>
      <c r="Y549" t="s">
        <v>3623</v>
      </c>
      <c r="Z549" t="s">
        <v>37</v>
      </c>
      <c r="AA549">
        <f>TwitterClean[[#This Row],[likes]]+TwitterClean[[#This Row],[replies]]+TwitterClean[[#This Row],[reposts]]+TwitterClean[[#This Row],[quotes]]+TwitterClean[[#This Row],[bookmarks]]</f>
        <v>170</v>
      </c>
      <c r="AB549" s="1">
        <f>TwitterClean[[#This Row],[Total_Engagements]]/TwitterClean[[#This Row],[views]]</f>
        <v>8.9210747271200666E-3</v>
      </c>
      <c r="AC549" s="3">
        <f>DATEVALUE(MID(TwitterClean[[#This Row],[date_posted]],2,10))</f>
        <v>45641</v>
      </c>
      <c r="AD549">
        <f>TIMEVALUE(MID(TwitterClean[[#This Row],[date_posted]],13,8))</f>
        <v>0.72741898148148143</v>
      </c>
      <c r="AE549" s="3" t="str">
        <f>TEXT(TwitterClean[[#This Row],[Post_Date]],"dddd")</f>
        <v>Sunday</v>
      </c>
      <c r="AF549">
        <f>HOUR(TwitterClean[[#This Row],[Post_Time]])</f>
        <v>17</v>
      </c>
      <c r="AG549" t="str">
        <f>IF(TwitterClean[[#This Row],[videos]]="Null","No","Yes")</f>
        <v>Yes</v>
      </c>
      <c r="AH549" t="str">
        <f>IF(TwitterClean[[#This Row],[photos]]="null","No","Yes")</f>
        <v>No</v>
      </c>
      <c r="AI549" t="str">
        <f>IF(TwitterClean[[#This Row],[hashtags]]="null","No","Yes")</f>
        <v>No</v>
      </c>
      <c r="AJ549" t="str">
        <f>IF(TwitterClean[[#This Row],[external_url]]="null","Yes","No")</f>
        <v>No</v>
      </c>
      <c r="AK549">
        <f>LEN(TwitterClean[[#This Row],[description]])</f>
        <v>63</v>
      </c>
      <c r="AL549" t="str">
        <f>IF(TwitterClean[[#This Row],[followers]]&lt;100000,"&lt;100K",IF(TwitterClean[[#This Row],[followers]]&lt;1000000,"100K-1M",IF(TwitterClean[[#This Row],[followers]]&lt;10000000,"1M-10M","10M+")))</f>
        <v>100K-1M</v>
      </c>
    </row>
    <row r="550" spans="1:38">
      <c r="A550">
        <v>1.8684320971042696E+18</v>
      </c>
      <c r="B550" t="s">
        <v>3034</v>
      </c>
      <c r="C550" t="s">
        <v>3035</v>
      </c>
      <c r="D550" t="s">
        <v>4973</v>
      </c>
      <c r="E550" t="s">
        <v>4974</v>
      </c>
      <c r="F550" t="s">
        <v>4975</v>
      </c>
      <c r="G550" t="s">
        <v>4976</v>
      </c>
      <c r="H550" t="s">
        <v>4977</v>
      </c>
      <c r="I550">
        <v>30</v>
      </c>
      <c r="J550">
        <v>57</v>
      </c>
      <c r="K550">
        <v>763</v>
      </c>
      <c r="L550">
        <v>97382</v>
      </c>
      <c r="M550" t="s">
        <v>52</v>
      </c>
      <c r="N550" t="s">
        <v>3040</v>
      </c>
      <c r="O550">
        <v>12876593</v>
      </c>
      <c r="P550" t="s">
        <v>3041</v>
      </c>
      <c r="Q550">
        <v>141401</v>
      </c>
      <c r="R550" t="s">
        <v>3042</v>
      </c>
      <c r="S550">
        <v>717</v>
      </c>
      <c r="T550" t="b">
        <v>0</v>
      </c>
      <c r="U550">
        <v>1</v>
      </c>
      <c r="V550">
        <v>15</v>
      </c>
      <c r="W550" t="s">
        <v>35</v>
      </c>
      <c r="X550" t="s">
        <v>29</v>
      </c>
      <c r="Y550" t="s">
        <v>29</v>
      </c>
      <c r="Z550" t="s">
        <v>37</v>
      </c>
      <c r="AA550">
        <f>TwitterClean[[#This Row],[likes]]+TwitterClean[[#This Row],[replies]]+TwitterClean[[#This Row],[reposts]]+TwitterClean[[#This Row],[quotes]]+TwitterClean[[#This Row],[bookmarks]]</f>
        <v>866</v>
      </c>
      <c r="AB550" s="1">
        <f>TwitterClean[[#This Row],[Total_Engagements]]/TwitterClean[[#This Row],[views]]</f>
        <v>8.892813867039084E-3</v>
      </c>
      <c r="AC550" s="3">
        <f>DATEVALUE(MID(TwitterClean[[#This Row],[date_posted]],2,10))</f>
        <v>45641</v>
      </c>
      <c r="AD550">
        <f>TIMEVALUE(MID(TwitterClean[[#This Row],[date_posted]],13,8))</f>
        <v>0.96180555555555558</v>
      </c>
      <c r="AE550" s="3" t="str">
        <f>TEXT(TwitterClean[[#This Row],[Post_Date]],"dddd")</f>
        <v>Sunday</v>
      </c>
      <c r="AF550">
        <f>HOUR(TwitterClean[[#This Row],[Post_Time]])</f>
        <v>23</v>
      </c>
      <c r="AG550" t="str">
        <f>IF(TwitterClean[[#This Row],[videos]]="Null","No","Yes")</f>
        <v>No</v>
      </c>
      <c r="AH550" t="str">
        <f>IF(TwitterClean[[#This Row],[photos]]="null","No","Yes")</f>
        <v>Yes</v>
      </c>
      <c r="AI550" t="str">
        <f>IF(TwitterClean[[#This Row],[hashtags]]="null","No","Yes")</f>
        <v>Yes</v>
      </c>
      <c r="AJ550" t="str">
        <f>IF(TwitterClean[[#This Row],[external_url]]="null","Yes","No")</f>
        <v>No</v>
      </c>
      <c r="AK550">
        <f>LEN(TwitterClean[[#This Row],[description]])</f>
        <v>171</v>
      </c>
      <c r="AL550" t="str">
        <f>IF(TwitterClean[[#This Row],[followers]]&lt;100000,"&lt;100K",IF(TwitterClean[[#This Row],[followers]]&lt;1000000,"100K-1M",IF(TwitterClean[[#This Row],[followers]]&lt;10000000,"1M-10M","10M+")))</f>
        <v>10M+</v>
      </c>
    </row>
    <row r="551" spans="1:38">
      <c r="A551">
        <v>1.8659850702820188E+18</v>
      </c>
      <c r="B551" t="s">
        <v>266</v>
      </c>
      <c r="C551" t="s">
        <v>266</v>
      </c>
      <c r="D551" t="s">
        <v>699</v>
      </c>
      <c r="E551" t="s">
        <v>700</v>
      </c>
      <c r="F551" t="s">
        <v>701</v>
      </c>
      <c r="G551" t="s">
        <v>702</v>
      </c>
      <c r="H551" t="s">
        <v>703</v>
      </c>
      <c r="I551">
        <v>20</v>
      </c>
      <c r="J551">
        <v>56</v>
      </c>
      <c r="K551">
        <v>252</v>
      </c>
      <c r="L551">
        <v>38420</v>
      </c>
      <c r="M551" t="s">
        <v>52</v>
      </c>
      <c r="N551" t="s">
        <v>29</v>
      </c>
      <c r="O551">
        <v>47706829</v>
      </c>
      <c r="P551" t="s">
        <v>272</v>
      </c>
      <c r="Q551">
        <v>367152</v>
      </c>
      <c r="R551" t="s">
        <v>273</v>
      </c>
      <c r="S551">
        <v>2012</v>
      </c>
      <c r="T551" t="b">
        <v>0</v>
      </c>
      <c r="U551">
        <v>5</v>
      </c>
      <c r="V551">
        <v>8</v>
      </c>
      <c r="W551" t="s">
        <v>704</v>
      </c>
      <c r="X551" t="s">
        <v>29</v>
      </c>
      <c r="Y551" t="s">
        <v>29</v>
      </c>
      <c r="Z551" t="s">
        <v>37</v>
      </c>
      <c r="AA551">
        <f>TwitterClean[[#This Row],[likes]]+TwitterClean[[#This Row],[replies]]+TwitterClean[[#This Row],[reposts]]+TwitterClean[[#This Row],[quotes]]+TwitterClean[[#This Row],[bookmarks]]</f>
        <v>341</v>
      </c>
      <c r="AB551" s="1">
        <f>TwitterClean[[#This Row],[Total_Engagements]]/TwitterClean[[#This Row],[views]]</f>
        <v>8.8755856324830816E-3</v>
      </c>
      <c r="AC551" s="3">
        <f>DATEVALUE(MID(TwitterClean[[#This Row],[date_posted]],2,10))</f>
        <v>45635</v>
      </c>
      <c r="AD551">
        <f>TIMEVALUE(MID(TwitterClean[[#This Row],[date_posted]],13,8))</f>
        <v>0.20929398148148148</v>
      </c>
      <c r="AE551" s="3" t="str">
        <f>TEXT(TwitterClean[[#This Row],[Post_Date]],"dddd")</f>
        <v>Monday</v>
      </c>
      <c r="AF551">
        <f>HOUR(TwitterClean[[#This Row],[Post_Time]])</f>
        <v>5</v>
      </c>
      <c r="AG551" t="str">
        <f>IF(TwitterClean[[#This Row],[videos]]="Null","No","Yes")</f>
        <v>No</v>
      </c>
      <c r="AH551" t="str">
        <f>IF(TwitterClean[[#This Row],[photos]]="null","No","Yes")</f>
        <v>Yes</v>
      </c>
      <c r="AI551" t="str">
        <f>IF(TwitterClean[[#This Row],[hashtags]]="null","No","Yes")</f>
        <v>No</v>
      </c>
      <c r="AJ551" t="str">
        <f>IF(TwitterClean[[#This Row],[external_url]]="null","Yes","No")</f>
        <v>No</v>
      </c>
      <c r="AK551">
        <f>LEN(TwitterClean[[#This Row],[description]])</f>
        <v>210</v>
      </c>
      <c r="AL551" t="str">
        <f>IF(TwitterClean[[#This Row],[followers]]&lt;100000,"&lt;100K",IF(TwitterClean[[#This Row],[followers]]&lt;1000000,"100K-1M",IF(TwitterClean[[#This Row],[followers]]&lt;10000000,"1M-10M","10M+")))</f>
        <v>10M+</v>
      </c>
    </row>
    <row r="552" spans="1:38">
      <c r="A552">
        <v>1.8657499234355118E+18</v>
      </c>
      <c r="B552" t="s">
        <v>2714</v>
      </c>
      <c r="C552" t="s">
        <v>2715</v>
      </c>
      <c r="D552" t="s">
        <v>2772</v>
      </c>
      <c r="E552" t="s">
        <v>2773</v>
      </c>
      <c r="F552" t="s">
        <v>29</v>
      </c>
      <c r="G552" t="s">
        <v>2774</v>
      </c>
      <c r="H552" t="s">
        <v>2775</v>
      </c>
      <c r="I552">
        <v>2</v>
      </c>
      <c r="J552">
        <v>2</v>
      </c>
      <c r="K552">
        <v>44</v>
      </c>
      <c r="L552">
        <v>5634</v>
      </c>
      <c r="M552" t="s">
        <v>2776</v>
      </c>
      <c r="N552" t="s">
        <v>29</v>
      </c>
      <c r="O552">
        <v>182895</v>
      </c>
      <c r="P552" t="s">
        <v>2720</v>
      </c>
      <c r="Q552">
        <v>30781</v>
      </c>
      <c r="R552" t="s">
        <v>2721</v>
      </c>
      <c r="S552">
        <v>559</v>
      </c>
      <c r="T552" t="b">
        <v>0</v>
      </c>
      <c r="U552">
        <v>0</v>
      </c>
      <c r="V552">
        <v>2</v>
      </c>
      <c r="W552" t="s">
        <v>35</v>
      </c>
      <c r="X552" t="s">
        <v>29</v>
      </c>
      <c r="Y552" t="s">
        <v>2777</v>
      </c>
      <c r="Z552" t="s">
        <v>37</v>
      </c>
      <c r="AA552">
        <f>TwitterClean[[#This Row],[likes]]+TwitterClean[[#This Row],[replies]]+TwitterClean[[#This Row],[reposts]]+TwitterClean[[#This Row],[quotes]]+TwitterClean[[#This Row],[bookmarks]]</f>
        <v>50</v>
      </c>
      <c r="AB552" s="1">
        <f>TwitterClean[[#This Row],[Total_Engagements]]/TwitterClean[[#This Row],[views]]</f>
        <v>8.8746893858714943E-3</v>
      </c>
      <c r="AC552" s="3">
        <f>DATEVALUE(MID(TwitterClean[[#This Row],[date_posted]],2,10))</f>
        <v>45634</v>
      </c>
      <c r="AD552">
        <f>TIMEVALUE(MID(TwitterClean[[#This Row],[date_posted]],13,8))</f>
        <v>0.56041666666666667</v>
      </c>
      <c r="AE552" s="3" t="str">
        <f>TEXT(TwitterClean[[#This Row],[Post_Date]],"dddd")</f>
        <v>Sunday</v>
      </c>
      <c r="AF552">
        <f>HOUR(TwitterClean[[#This Row],[Post_Time]])</f>
        <v>13</v>
      </c>
      <c r="AG552" t="str">
        <f>IF(TwitterClean[[#This Row],[videos]]="Null","No","Yes")</f>
        <v>Yes</v>
      </c>
      <c r="AH552" t="str">
        <f>IF(TwitterClean[[#This Row],[photos]]="null","No","Yes")</f>
        <v>No</v>
      </c>
      <c r="AI552" t="str">
        <f>IF(TwitterClean[[#This Row],[hashtags]]="null","No","Yes")</f>
        <v>No</v>
      </c>
      <c r="AJ552" t="str">
        <f>IF(TwitterClean[[#This Row],[external_url]]="null","Yes","No")</f>
        <v>No</v>
      </c>
      <c r="AK552">
        <f>LEN(TwitterClean[[#This Row],[description]])</f>
        <v>85</v>
      </c>
      <c r="AL552" t="str">
        <f>IF(TwitterClean[[#This Row],[followers]]&lt;100000,"&lt;100K",IF(TwitterClean[[#This Row],[followers]]&lt;1000000,"100K-1M",IF(TwitterClean[[#This Row],[followers]]&lt;10000000,"1M-10M","10M+")))</f>
        <v>100K-1M</v>
      </c>
    </row>
    <row r="553" spans="1:38">
      <c r="A553">
        <v>1.8682707840089216E+18</v>
      </c>
      <c r="B553" t="s">
        <v>3378</v>
      </c>
      <c r="C553" t="s">
        <v>3379</v>
      </c>
      <c r="D553" t="s">
        <v>3380</v>
      </c>
      <c r="E553" t="s">
        <v>3381</v>
      </c>
      <c r="F553" t="s">
        <v>29</v>
      </c>
      <c r="G553" t="s">
        <v>3382</v>
      </c>
      <c r="H553" t="s">
        <v>3383</v>
      </c>
      <c r="I553">
        <v>10</v>
      </c>
      <c r="J553">
        <v>7</v>
      </c>
      <c r="K553">
        <v>294</v>
      </c>
      <c r="L553">
        <v>35659</v>
      </c>
      <c r="M553" t="s">
        <v>52</v>
      </c>
      <c r="N553" t="s">
        <v>29</v>
      </c>
      <c r="O553">
        <v>723805</v>
      </c>
      <c r="P553" t="s">
        <v>3384</v>
      </c>
      <c r="Q553">
        <v>82452</v>
      </c>
      <c r="R553" t="s">
        <v>3385</v>
      </c>
      <c r="S553">
        <v>118</v>
      </c>
      <c r="T553" t="b">
        <v>0</v>
      </c>
      <c r="U553">
        <v>1</v>
      </c>
      <c r="V553">
        <v>3</v>
      </c>
      <c r="W553" t="s">
        <v>35</v>
      </c>
      <c r="X553" t="s">
        <v>29</v>
      </c>
      <c r="Y553" t="s">
        <v>3386</v>
      </c>
      <c r="Z553" t="s">
        <v>37</v>
      </c>
      <c r="AA553">
        <f>TwitterClean[[#This Row],[likes]]+TwitterClean[[#This Row],[replies]]+TwitterClean[[#This Row],[reposts]]+TwitterClean[[#This Row],[quotes]]+TwitterClean[[#This Row],[bookmarks]]</f>
        <v>315</v>
      </c>
      <c r="AB553" s="1">
        <f>TwitterClean[[#This Row],[Total_Engagements]]/TwitterClean[[#This Row],[views]]</f>
        <v>8.8336745281696067E-3</v>
      </c>
      <c r="AC553" s="3">
        <f>DATEVALUE(MID(TwitterClean[[#This Row],[date_posted]],2,10))</f>
        <v>45641</v>
      </c>
      <c r="AD553">
        <f>TIMEVALUE(MID(TwitterClean[[#This Row],[date_posted]],13,8))</f>
        <v>0.51666666666666672</v>
      </c>
      <c r="AE553" s="3" t="str">
        <f>TEXT(TwitterClean[[#This Row],[Post_Date]],"dddd")</f>
        <v>Sunday</v>
      </c>
      <c r="AF553">
        <f>HOUR(TwitterClean[[#This Row],[Post_Time]])</f>
        <v>12</v>
      </c>
      <c r="AG553" t="str">
        <f>IF(TwitterClean[[#This Row],[videos]]="Null","No","Yes")</f>
        <v>Yes</v>
      </c>
      <c r="AH553" t="str">
        <f>IF(TwitterClean[[#This Row],[photos]]="null","No","Yes")</f>
        <v>No</v>
      </c>
      <c r="AI553" t="str">
        <f>IF(TwitterClean[[#This Row],[hashtags]]="null","No","Yes")</f>
        <v>No</v>
      </c>
      <c r="AJ553" t="str">
        <f>IF(TwitterClean[[#This Row],[external_url]]="null","Yes","No")</f>
        <v>No</v>
      </c>
      <c r="AK553">
        <f>LEN(TwitterClean[[#This Row],[description]])</f>
        <v>57</v>
      </c>
      <c r="AL553" t="str">
        <f>IF(TwitterClean[[#This Row],[followers]]&lt;100000,"&lt;100K",IF(TwitterClean[[#This Row],[followers]]&lt;1000000,"100K-1M",IF(TwitterClean[[#This Row],[followers]]&lt;10000000,"1M-10M","10M+")))</f>
        <v>100K-1M</v>
      </c>
    </row>
    <row r="554" spans="1:38">
      <c r="A554">
        <v>1.8659782030196616E+18</v>
      </c>
      <c r="B554" t="s">
        <v>2834</v>
      </c>
      <c r="C554" t="s">
        <v>2835</v>
      </c>
      <c r="D554" t="s">
        <v>2836</v>
      </c>
      <c r="E554" t="s">
        <v>2837</v>
      </c>
      <c r="F554" t="s">
        <v>2838</v>
      </c>
      <c r="G554" t="s">
        <v>2839</v>
      </c>
      <c r="H554" t="s">
        <v>29</v>
      </c>
      <c r="I554">
        <v>37</v>
      </c>
      <c r="J554">
        <v>24</v>
      </c>
      <c r="K554">
        <v>172</v>
      </c>
      <c r="L554">
        <v>27472</v>
      </c>
      <c r="M554" t="s">
        <v>52</v>
      </c>
      <c r="N554" t="s">
        <v>2840</v>
      </c>
      <c r="O554">
        <v>186451</v>
      </c>
      <c r="P554" t="s">
        <v>2841</v>
      </c>
      <c r="Q554">
        <v>20250</v>
      </c>
      <c r="R554" t="s">
        <v>2842</v>
      </c>
      <c r="S554">
        <v>62</v>
      </c>
      <c r="T554" t="b">
        <v>0</v>
      </c>
      <c r="U554">
        <v>7</v>
      </c>
      <c r="V554">
        <v>2</v>
      </c>
      <c r="W554" t="s">
        <v>35</v>
      </c>
      <c r="X554" t="s">
        <v>29</v>
      </c>
      <c r="Y554" t="s">
        <v>29</v>
      </c>
      <c r="Z554" t="s">
        <v>37</v>
      </c>
      <c r="AA554">
        <f>TwitterClean[[#This Row],[likes]]+TwitterClean[[#This Row],[replies]]+TwitterClean[[#This Row],[reposts]]+TwitterClean[[#This Row],[quotes]]+TwitterClean[[#This Row],[bookmarks]]</f>
        <v>242</v>
      </c>
      <c r="AB554" s="1">
        <f>TwitterClean[[#This Row],[Total_Engagements]]/TwitterClean[[#This Row],[views]]</f>
        <v>8.8089691322073387E-3</v>
      </c>
      <c r="AC554" s="3">
        <f>DATEVALUE(MID(TwitterClean[[#This Row],[date_posted]],2,10))</f>
        <v>45635</v>
      </c>
      <c r="AD554">
        <f>TIMEVALUE(MID(TwitterClean[[#This Row],[date_posted]],13,8))</f>
        <v>0.19034722222222222</v>
      </c>
      <c r="AE554" s="3" t="str">
        <f>TEXT(TwitterClean[[#This Row],[Post_Date]],"dddd")</f>
        <v>Monday</v>
      </c>
      <c r="AF554">
        <f>HOUR(TwitterClean[[#This Row],[Post_Time]])</f>
        <v>4</v>
      </c>
      <c r="AG554" t="str">
        <f>IF(TwitterClean[[#This Row],[videos]]="Null","No","Yes")</f>
        <v>No</v>
      </c>
      <c r="AH554" t="str">
        <f>IF(TwitterClean[[#This Row],[photos]]="null","No","Yes")</f>
        <v>Yes</v>
      </c>
      <c r="AI554" t="str">
        <f>IF(TwitterClean[[#This Row],[hashtags]]="null","No","Yes")</f>
        <v>Yes</v>
      </c>
      <c r="AJ554" t="str">
        <f>IF(TwitterClean[[#This Row],[external_url]]="null","Yes","No")</f>
        <v>No</v>
      </c>
      <c r="AK554">
        <f>LEN(TwitterClean[[#This Row],[description]])</f>
        <v>277</v>
      </c>
      <c r="AL554" t="str">
        <f>IF(TwitterClean[[#This Row],[followers]]&lt;100000,"&lt;100K",IF(TwitterClean[[#This Row],[followers]]&lt;1000000,"100K-1M",IF(TwitterClean[[#This Row],[followers]]&lt;10000000,"1M-10M","10M+")))</f>
        <v>100K-1M</v>
      </c>
    </row>
    <row r="555" spans="1:38">
      <c r="A555">
        <v>1.8660867356852308E+18</v>
      </c>
      <c r="B555" t="s">
        <v>2714</v>
      </c>
      <c r="C555" t="s">
        <v>2715</v>
      </c>
      <c r="D555" t="s">
        <v>2900</v>
      </c>
      <c r="E555" t="s">
        <v>2901</v>
      </c>
      <c r="F555" t="s">
        <v>29</v>
      </c>
      <c r="G555" t="s">
        <v>2902</v>
      </c>
      <c r="H555" t="s">
        <v>2903</v>
      </c>
      <c r="I555">
        <v>3</v>
      </c>
      <c r="J555">
        <v>1</v>
      </c>
      <c r="K555">
        <v>21</v>
      </c>
      <c r="L555">
        <v>3323</v>
      </c>
      <c r="M555" t="s">
        <v>52</v>
      </c>
      <c r="N555" t="s">
        <v>2860</v>
      </c>
      <c r="O555">
        <v>182895</v>
      </c>
      <c r="P555" t="s">
        <v>2720</v>
      </c>
      <c r="Q555">
        <v>30781</v>
      </c>
      <c r="R555" t="s">
        <v>2721</v>
      </c>
      <c r="S555">
        <v>559</v>
      </c>
      <c r="T555" t="b">
        <v>0</v>
      </c>
      <c r="U555">
        <v>3</v>
      </c>
      <c r="V555">
        <v>1</v>
      </c>
      <c r="W555" t="s">
        <v>35</v>
      </c>
      <c r="X555" t="s">
        <v>29</v>
      </c>
      <c r="Y555" t="s">
        <v>2904</v>
      </c>
      <c r="Z555" t="s">
        <v>37</v>
      </c>
      <c r="AA555">
        <f>TwitterClean[[#This Row],[likes]]+TwitterClean[[#This Row],[replies]]+TwitterClean[[#This Row],[reposts]]+TwitterClean[[#This Row],[quotes]]+TwitterClean[[#This Row],[bookmarks]]</f>
        <v>29</v>
      </c>
      <c r="AB555" s="1">
        <f>TwitterClean[[#This Row],[Total_Engagements]]/TwitterClean[[#This Row],[views]]</f>
        <v>8.7270538669876625E-3</v>
      </c>
      <c r="AC555" s="3">
        <f>DATEVALUE(MID(TwitterClean[[#This Row],[date_posted]],2,10))</f>
        <v>45635</v>
      </c>
      <c r="AD555">
        <f>TIMEVALUE(MID(TwitterClean[[#This Row],[date_posted]],13,8))</f>
        <v>0.48983796296296295</v>
      </c>
      <c r="AE555" s="3" t="str">
        <f>TEXT(TwitterClean[[#This Row],[Post_Date]],"dddd")</f>
        <v>Monday</v>
      </c>
      <c r="AF555">
        <f>HOUR(TwitterClean[[#This Row],[Post_Time]])</f>
        <v>11</v>
      </c>
      <c r="AG555" t="str">
        <f>IF(TwitterClean[[#This Row],[videos]]="Null","No","Yes")</f>
        <v>Yes</v>
      </c>
      <c r="AH555" t="str">
        <f>IF(TwitterClean[[#This Row],[photos]]="null","No","Yes")</f>
        <v>No</v>
      </c>
      <c r="AI555" t="str">
        <f>IF(TwitterClean[[#This Row],[hashtags]]="null","No","Yes")</f>
        <v>Yes</v>
      </c>
      <c r="AJ555" t="str">
        <f>IF(TwitterClean[[#This Row],[external_url]]="null","Yes","No")</f>
        <v>No</v>
      </c>
      <c r="AK555">
        <f>LEN(TwitterClean[[#This Row],[description]])</f>
        <v>118</v>
      </c>
      <c r="AL555" t="str">
        <f>IF(TwitterClean[[#This Row],[followers]]&lt;100000,"&lt;100K",IF(TwitterClean[[#This Row],[followers]]&lt;1000000,"100K-1M",IF(TwitterClean[[#This Row],[followers]]&lt;10000000,"1M-10M","10M+")))</f>
        <v>100K-1M</v>
      </c>
    </row>
    <row r="556" spans="1:38">
      <c r="A556">
        <v>1.8676290806588175E+18</v>
      </c>
      <c r="B556" t="s">
        <v>3973</v>
      </c>
      <c r="C556" t="s">
        <v>3974</v>
      </c>
      <c r="D556" t="s">
        <v>4054</v>
      </c>
      <c r="E556" t="s">
        <v>4055</v>
      </c>
      <c r="F556" t="s">
        <v>29</v>
      </c>
      <c r="G556" t="s">
        <v>4056</v>
      </c>
      <c r="H556" t="s">
        <v>4034</v>
      </c>
      <c r="I556">
        <v>3</v>
      </c>
      <c r="J556">
        <v>7</v>
      </c>
      <c r="K556">
        <v>93</v>
      </c>
      <c r="L556">
        <v>12803</v>
      </c>
      <c r="M556" t="s">
        <v>52</v>
      </c>
      <c r="N556" t="s">
        <v>29</v>
      </c>
      <c r="O556">
        <v>2035097</v>
      </c>
      <c r="P556" t="s">
        <v>3979</v>
      </c>
      <c r="Q556">
        <v>106867</v>
      </c>
      <c r="R556" t="s">
        <v>3980</v>
      </c>
      <c r="S556">
        <v>411</v>
      </c>
      <c r="T556" t="b">
        <v>0</v>
      </c>
      <c r="U556">
        <v>2</v>
      </c>
      <c r="V556">
        <v>6</v>
      </c>
      <c r="W556" t="s">
        <v>35</v>
      </c>
      <c r="X556" t="s">
        <v>29</v>
      </c>
      <c r="Y556" t="s">
        <v>4057</v>
      </c>
      <c r="Z556" t="s">
        <v>37</v>
      </c>
      <c r="AA556">
        <f>TwitterClean[[#This Row],[likes]]+TwitterClean[[#This Row],[replies]]+TwitterClean[[#This Row],[reposts]]+TwitterClean[[#This Row],[quotes]]+TwitterClean[[#This Row],[bookmarks]]</f>
        <v>111</v>
      </c>
      <c r="AB556" s="1">
        <f>TwitterClean[[#This Row],[Total_Engagements]]/TwitterClean[[#This Row],[views]]</f>
        <v>8.6698430055455744E-3</v>
      </c>
      <c r="AC556" s="3">
        <f>DATEVALUE(MID(TwitterClean[[#This Row],[date_posted]],2,10))</f>
        <v>45639</v>
      </c>
      <c r="AD556">
        <f>TIMEVALUE(MID(TwitterClean[[#This Row],[date_posted]],13,8))</f>
        <v>0.7459027777777778</v>
      </c>
      <c r="AE556" s="3" t="str">
        <f>TEXT(TwitterClean[[#This Row],[Post_Date]],"dddd")</f>
        <v>Friday</v>
      </c>
      <c r="AF556">
        <f>HOUR(TwitterClean[[#This Row],[Post_Time]])</f>
        <v>17</v>
      </c>
      <c r="AG556" t="str">
        <f>IF(TwitterClean[[#This Row],[videos]]="Null","No","Yes")</f>
        <v>Yes</v>
      </c>
      <c r="AH556" t="str">
        <f>IF(TwitterClean[[#This Row],[photos]]="null","No","Yes")</f>
        <v>No</v>
      </c>
      <c r="AI556" t="str">
        <f>IF(TwitterClean[[#This Row],[hashtags]]="null","No","Yes")</f>
        <v>No</v>
      </c>
      <c r="AJ556" t="str">
        <f>IF(TwitterClean[[#This Row],[external_url]]="null","Yes","No")</f>
        <v>No</v>
      </c>
      <c r="AK556">
        <f>LEN(TwitterClean[[#This Row],[description]])</f>
        <v>111</v>
      </c>
      <c r="AL556" t="str">
        <f>IF(TwitterClean[[#This Row],[followers]]&lt;100000,"&lt;100K",IF(TwitterClean[[#This Row],[followers]]&lt;1000000,"100K-1M",IF(TwitterClean[[#This Row],[followers]]&lt;10000000,"1M-10M","10M+")))</f>
        <v>1M-10M</v>
      </c>
    </row>
    <row r="557" spans="1:38">
      <c r="A557">
        <v>1.8682345509894922E+18</v>
      </c>
      <c r="B557" t="s">
        <v>2994</v>
      </c>
      <c r="C557" t="s">
        <v>2995</v>
      </c>
      <c r="D557" t="s">
        <v>3930</v>
      </c>
      <c r="E557" t="s">
        <v>3931</v>
      </c>
      <c r="F557" t="s">
        <v>29</v>
      </c>
      <c r="G557" t="s">
        <v>3932</v>
      </c>
      <c r="H557" t="s">
        <v>29</v>
      </c>
      <c r="I557">
        <v>14</v>
      </c>
      <c r="J557">
        <v>32</v>
      </c>
      <c r="K557">
        <v>372</v>
      </c>
      <c r="L557">
        <v>48888</v>
      </c>
      <c r="M557" t="s">
        <v>52</v>
      </c>
      <c r="N557" t="s">
        <v>3933</v>
      </c>
      <c r="O557">
        <v>812163</v>
      </c>
      <c r="P557" t="s">
        <v>3000</v>
      </c>
      <c r="Q557">
        <v>110924</v>
      </c>
      <c r="R557" t="s">
        <v>3001</v>
      </c>
      <c r="S557">
        <v>322</v>
      </c>
      <c r="T557" t="b">
        <v>0</v>
      </c>
      <c r="U557">
        <v>3</v>
      </c>
      <c r="V557">
        <v>2</v>
      </c>
      <c r="W557" t="s">
        <v>35</v>
      </c>
      <c r="X557" t="s">
        <v>29</v>
      </c>
      <c r="Y557" t="s">
        <v>3934</v>
      </c>
      <c r="Z557" t="s">
        <v>37</v>
      </c>
      <c r="AA557">
        <f>TwitterClean[[#This Row],[likes]]+TwitterClean[[#This Row],[replies]]+TwitterClean[[#This Row],[reposts]]+TwitterClean[[#This Row],[quotes]]+TwitterClean[[#This Row],[bookmarks]]</f>
        <v>423</v>
      </c>
      <c r="AB557" s="1">
        <f>TwitterClean[[#This Row],[Total_Engagements]]/TwitterClean[[#This Row],[views]]</f>
        <v>8.652430044182622E-3</v>
      </c>
      <c r="AC557" s="3">
        <f>DATEVALUE(MID(TwitterClean[[#This Row],[date_posted]],2,10))</f>
        <v>45641</v>
      </c>
      <c r="AD557">
        <f>TIMEVALUE(MID(TwitterClean[[#This Row],[date_posted]],13,8))</f>
        <v>0.41667824074074072</v>
      </c>
      <c r="AE557" s="3" t="str">
        <f>TEXT(TwitterClean[[#This Row],[Post_Date]],"dddd")</f>
        <v>Sunday</v>
      </c>
      <c r="AF557">
        <f>HOUR(TwitterClean[[#This Row],[Post_Time]])</f>
        <v>10</v>
      </c>
      <c r="AG557" t="str">
        <f>IF(TwitterClean[[#This Row],[videos]]="Null","No","Yes")</f>
        <v>Yes</v>
      </c>
      <c r="AH557" t="str">
        <f>IF(TwitterClean[[#This Row],[photos]]="null","No","Yes")</f>
        <v>No</v>
      </c>
      <c r="AI557" t="str">
        <f>IF(TwitterClean[[#This Row],[hashtags]]="null","No","Yes")</f>
        <v>Yes</v>
      </c>
      <c r="AJ557" t="str">
        <f>IF(TwitterClean[[#This Row],[external_url]]="null","Yes","No")</f>
        <v>No</v>
      </c>
      <c r="AK557">
        <f>LEN(TwitterClean[[#This Row],[description]])</f>
        <v>37</v>
      </c>
      <c r="AL557" t="str">
        <f>IF(TwitterClean[[#This Row],[followers]]&lt;100000,"&lt;100K",IF(TwitterClean[[#This Row],[followers]]&lt;1000000,"100K-1M",IF(TwitterClean[[#This Row],[followers]]&lt;10000000,"1M-10M","10M+")))</f>
        <v>100K-1M</v>
      </c>
    </row>
    <row r="558" spans="1:38">
      <c r="A558">
        <v>1.8681478394294728E+18</v>
      </c>
      <c r="B558" t="s">
        <v>3034</v>
      </c>
      <c r="C558" t="s">
        <v>3035</v>
      </c>
      <c r="D558" t="s">
        <v>3058</v>
      </c>
      <c r="E558" t="s">
        <v>3059</v>
      </c>
      <c r="F558" t="s">
        <v>29</v>
      </c>
      <c r="G558" t="s">
        <v>3060</v>
      </c>
      <c r="H558" t="s">
        <v>29</v>
      </c>
      <c r="I558">
        <v>133</v>
      </c>
      <c r="J558">
        <v>83</v>
      </c>
      <c r="K558">
        <v>898</v>
      </c>
      <c r="L558">
        <v>131529</v>
      </c>
      <c r="M558" t="s">
        <v>52</v>
      </c>
      <c r="N558" t="s">
        <v>3040</v>
      </c>
      <c r="O558">
        <v>12876593</v>
      </c>
      <c r="P558" t="s">
        <v>3041</v>
      </c>
      <c r="Q558">
        <v>141401</v>
      </c>
      <c r="R558" t="s">
        <v>3042</v>
      </c>
      <c r="S558">
        <v>717</v>
      </c>
      <c r="T558" t="b">
        <v>0</v>
      </c>
      <c r="U558">
        <v>12</v>
      </c>
      <c r="V558">
        <v>12</v>
      </c>
      <c r="W558" t="s">
        <v>35</v>
      </c>
      <c r="X558" t="s">
        <v>29</v>
      </c>
      <c r="Y558" t="s">
        <v>3061</v>
      </c>
      <c r="Z558" t="s">
        <v>37</v>
      </c>
      <c r="AA558">
        <f>TwitterClean[[#This Row],[likes]]+TwitterClean[[#This Row],[replies]]+TwitterClean[[#This Row],[reposts]]+TwitterClean[[#This Row],[quotes]]+TwitterClean[[#This Row],[bookmarks]]</f>
        <v>1138</v>
      </c>
      <c r="AB558" s="1">
        <f>TwitterClean[[#This Row],[Total_Engagements]]/TwitterClean[[#This Row],[views]]</f>
        <v>8.652084331212128E-3</v>
      </c>
      <c r="AC558" s="3">
        <f>DATEVALUE(MID(TwitterClean[[#This Row],[date_posted]],2,10))</f>
        <v>45641</v>
      </c>
      <c r="AD558">
        <f>TIMEVALUE(MID(TwitterClean[[#This Row],[date_posted]],13,8))</f>
        <v>0.1774074074074074</v>
      </c>
      <c r="AE558" s="3" t="str">
        <f>TEXT(TwitterClean[[#This Row],[Post_Date]],"dddd")</f>
        <v>Sunday</v>
      </c>
      <c r="AF558">
        <f>HOUR(TwitterClean[[#This Row],[Post_Time]])</f>
        <v>4</v>
      </c>
      <c r="AG558" t="str">
        <f>IF(TwitterClean[[#This Row],[videos]]="Null","No","Yes")</f>
        <v>Yes</v>
      </c>
      <c r="AH558" t="str">
        <f>IF(TwitterClean[[#This Row],[photos]]="null","No","Yes")</f>
        <v>No</v>
      </c>
      <c r="AI558" t="str">
        <f>IF(TwitterClean[[#This Row],[hashtags]]="null","No","Yes")</f>
        <v>Yes</v>
      </c>
      <c r="AJ558" t="str">
        <f>IF(TwitterClean[[#This Row],[external_url]]="null","Yes","No")</f>
        <v>No</v>
      </c>
      <c r="AK558">
        <f>LEN(TwitterClean[[#This Row],[description]])</f>
        <v>73</v>
      </c>
      <c r="AL558" t="str">
        <f>IF(TwitterClean[[#This Row],[followers]]&lt;100000,"&lt;100K",IF(TwitterClean[[#This Row],[followers]]&lt;1000000,"100K-1M",IF(TwitterClean[[#This Row],[followers]]&lt;10000000,"1M-10M","10M+")))</f>
        <v>10M+</v>
      </c>
    </row>
    <row r="559" spans="1:38">
      <c r="A559">
        <v>1.8684113892508754E+18</v>
      </c>
      <c r="B559" t="s">
        <v>2230</v>
      </c>
      <c r="C559" t="s">
        <v>2231</v>
      </c>
      <c r="D559" t="s">
        <v>2429</v>
      </c>
      <c r="E559" t="s">
        <v>2430</v>
      </c>
      <c r="F559" t="s">
        <v>2431</v>
      </c>
      <c r="G559" t="s">
        <v>2432</v>
      </c>
      <c r="H559" t="s">
        <v>29</v>
      </c>
      <c r="I559">
        <v>152</v>
      </c>
      <c r="J559">
        <v>28</v>
      </c>
      <c r="K559">
        <v>102</v>
      </c>
      <c r="L559">
        <v>34559</v>
      </c>
      <c r="M559" t="s">
        <v>2433</v>
      </c>
      <c r="N559" t="s">
        <v>29</v>
      </c>
      <c r="O559">
        <v>3313886</v>
      </c>
      <c r="P559" t="s">
        <v>2237</v>
      </c>
      <c r="Q559">
        <v>706459</v>
      </c>
      <c r="R559" t="s">
        <v>2238</v>
      </c>
      <c r="S559">
        <v>10308</v>
      </c>
      <c r="T559" t="b">
        <v>0</v>
      </c>
      <c r="U559">
        <v>10</v>
      </c>
      <c r="V559">
        <v>7</v>
      </c>
      <c r="W559" t="s">
        <v>35</v>
      </c>
      <c r="X559" t="s">
        <v>29</v>
      </c>
      <c r="Y559" t="s">
        <v>29</v>
      </c>
      <c r="Z559" t="s">
        <v>37</v>
      </c>
      <c r="AA559">
        <f>TwitterClean[[#This Row],[likes]]+TwitterClean[[#This Row],[replies]]+TwitterClean[[#This Row],[reposts]]+TwitterClean[[#This Row],[quotes]]+TwitterClean[[#This Row],[bookmarks]]</f>
        <v>299</v>
      </c>
      <c r="AB559" s="1">
        <f>TwitterClean[[#This Row],[Total_Engagements]]/TwitterClean[[#This Row],[views]]</f>
        <v>8.6518707138516747E-3</v>
      </c>
      <c r="AC559" s="3">
        <f>DATEVALUE(MID(TwitterClean[[#This Row],[date_posted]],2,10))</f>
        <v>45641</v>
      </c>
      <c r="AD559">
        <f>TIMEVALUE(MID(TwitterClean[[#This Row],[date_posted]],13,8))</f>
        <v>0.9046643518518519</v>
      </c>
      <c r="AE559" s="3" t="str">
        <f>TEXT(TwitterClean[[#This Row],[Post_Date]],"dddd")</f>
        <v>Sunday</v>
      </c>
      <c r="AF559">
        <f>HOUR(TwitterClean[[#This Row],[Post_Time]])</f>
        <v>21</v>
      </c>
      <c r="AG559" t="str">
        <f>IF(TwitterClean[[#This Row],[videos]]="Null","No","Yes")</f>
        <v>No</v>
      </c>
      <c r="AH559" t="str">
        <f>IF(TwitterClean[[#This Row],[photos]]="null","No","Yes")</f>
        <v>Yes</v>
      </c>
      <c r="AI559" t="str">
        <f>IF(TwitterClean[[#This Row],[hashtags]]="null","No","Yes")</f>
        <v>No</v>
      </c>
      <c r="AJ559" t="str">
        <f>IF(TwitterClean[[#This Row],[external_url]]="null","Yes","No")</f>
        <v>No</v>
      </c>
      <c r="AK559">
        <f>LEN(TwitterClean[[#This Row],[description]])</f>
        <v>98</v>
      </c>
      <c r="AL559" t="str">
        <f>IF(TwitterClean[[#This Row],[followers]]&lt;100000,"&lt;100K",IF(TwitterClean[[#This Row],[followers]]&lt;1000000,"100K-1M",IF(TwitterClean[[#This Row],[followers]]&lt;10000000,"1M-10M","10M+")))</f>
        <v>1M-10M</v>
      </c>
    </row>
    <row r="560" spans="1:38">
      <c r="A560">
        <v>1.8683579337232594E+18</v>
      </c>
      <c r="B560" t="s">
        <v>1267</v>
      </c>
      <c r="C560" t="s">
        <v>1268</v>
      </c>
      <c r="D560" t="s">
        <v>1269</v>
      </c>
      <c r="E560" t="s">
        <v>1270</v>
      </c>
      <c r="F560" t="s">
        <v>1271</v>
      </c>
      <c r="G560" t="s">
        <v>1272</v>
      </c>
      <c r="H560" t="s">
        <v>29</v>
      </c>
      <c r="I560">
        <v>59</v>
      </c>
      <c r="J560">
        <v>75</v>
      </c>
      <c r="K560">
        <v>668</v>
      </c>
      <c r="L560">
        <v>94482</v>
      </c>
      <c r="M560" t="s">
        <v>52</v>
      </c>
      <c r="N560" t="s">
        <v>1273</v>
      </c>
      <c r="O560">
        <v>17891377</v>
      </c>
      <c r="P560" t="s">
        <v>1274</v>
      </c>
      <c r="Q560">
        <v>168939</v>
      </c>
      <c r="R560" t="s">
        <v>1275</v>
      </c>
      <c r="S560">
        <v>47365</v>
      </c>
      <c r="T560" t="b">
        <v>0</v>
      </c>
      <c r="U560">
        <v>6</v>
      </c>
      <c r="V560">
        <v>4</v>
      </c>
      <c r="W560" t="s">
        <v>35</v>
      </c>
      <c r="X560" t="s">
        <v>29</v>
      </c>
      <c r="Y560" t="s">
        <v>29</v>
      </c>
      <c r="Z560" t="s">
        <v>37</v>
      </c>
      <c r="AA560">
        <f>TwitterClean[[#This Row],[likes]]+TwitterClean[[#This Row],[replies]]+TwitterClean[[#This Row],[reposts]]+TwitterClean[[#This Row],[quotes]]+TwitterClean[[#This Row],[bookmarks]]</f>
        <v>812</v>
      </c>
      <c r="AB560" s="1">
        <f>TwitterClean[[#This Row],[Total_Engagements]]/TwitterClean[[#This Row],[views]]</f>
        <v>8.5942295887047274E-3</v>
      </c>
      <c r="AC560" s="3">
        <f>DATEVALUE(MID(TwitterClean[[#This Row],[date_posted]],2,10))</f>
        <v>45641</v>
      </c>
      <c r="AD560">
        <f>TIMEVALUE(MID(TwitterClean[[#This Row],[date_posted]],13,8))</f>
        <v>0.75715277777777779</v>
      </c>
      <c r="AE560" s="3" t="str">
        <f>TEXT(TwitterClean[[#This Row],[Post_Date]],"dddd")</f>
        <v>Sunday</v>
      </c>
      <c r="AF560">
        <f>HOUR(TwitterClean[[#This Row],[Post_Time]])</f>
        <v>18</v>
      </c>
      <c r="AG560" t="str">
        <f>IF(TwitterClean[[#This Row],[videos]]="Null","No","Yes")</f>
        <v>No</v>
      </c>
      <c r="AH560" t="str">
        <f>IF(TwitterClean[[#This Row],[photos]]="null","No","Yes")</f>
        <v>Yes</v>
      </c>
      <c r="AI560" t="str">
        <f>IF(TwitterClean[[#This Row],[hashtags]]="null","No","Yes")</f>
        <v>Yes</v>
      </c>
      <c r="AJ560" t="str">
        <f>IF(TwitterClean[[#This Row],[external_url]]="null","Yes","No")</f>
        <v>No</v>
      </c>
      <c r="AK560">
        <f>LEN(TwitterClean[[#This Row],[description]])</f>
        <v>61</v>
      </c>
      <c r="AL560" t="str">
        <f>IF(TwitterClean[[#This Row],[followers]]&lt;100000,"&lt;100K",IF(TwitterClean[[#This Row],[followers]]&lt;1000000,"100K-1M",IF(TwitterClean[[#This Row],[followers]]&lt;10000000,"1M-10M","10M+")))</f>
        <v>10M+</v>
      </c>
    </row>
    <row r="561" spans="1:38">
      <c r="A561">
        <v>1.8684150321213115E+18</v>
      </c>
      <c r="B561" t="s">
        <v>2230</v>
      </c>
      <c r="C561" t="s">
        <v>2231</v>
      </c>
      <c r="D561" t="s">
        <v>2424</v>
      </c>
      <c r="E561" t="s">
        <v>2425</v>
      </c>
      <c r="F561" t="s">
        <v>2426</v>
      </c>
      <c r="G561" t="s">
        <v>2427</v>
      </c>
      <c r="H561" t="s">
        <v>29</v>
      </c>
      <c r="I561">
        <v>30</v>
      </c>
      <c r="J561">
        <v>21</v>
      </c>
      <c r="K561">
        <v>149</v>
      </c>
      <c r="L561">
        <v>24203</v>
      </c>
      <c r="M561" t="s">
        <v>2428</v>
      </c>
      <c r="N561" t="s">
        <v>29</v>
      </c>
      <c r="O561">
        <v>3313886</v>
      </c>
      <c r="P561" t="s">
        <v>2237</v>
      </c>
      <c r="Q561">
        <v>706459</v>
      </c>
      <c r="R561" t="s">
        <v>2238</v>
      </c>
      <c r="S561">
        <v>10308</v>
      </c>
      <c r="T561" t="b">
        <v>0</v>
      </c>
      <c r="U561">
        <v>1</v>
      </c>
      <c r="V561">
        <v>7</v>
      </c>
      <c r="W561" t="s">
        <v>35</v>
      </c>
      <c r="X561" t="s">
        <v>29</v>
      </c>
      <c r="Y561" t="s">
        <v>29</v>
      </c>
      <c r="Z561" t="s">
        <v>37</v>
      </c>
      <c r="AA561">
        <f>TwitterClean[[#This Row],[likes]]+TwitterClean[[#This Row],[replies]]+TwitterClean[[#This Row],[reposts]]+TwitterClean[[#This Row],[quotes]]+TwitterClean[[#This Row],[bookmarks]]</f>
        <v>208</v>
      </c>
      <c r="AB561" s="1">
        <f>TwitterClean[[#This Row],[Total_Engagements]]/TwitterClean[[#This Row],[views]]</f>
        <v>8.5939759533942076E-3</v>
      </c>
      <c r="AC561" s="3">
        <f>DATEVALUE(MID(TwitterClean[[#This Row],[date_posted]],2,10))</f>
        <v>45641</v>
      </c>
      <c r="AD561">
        <f>TIMEVALUE(MID(TwitterClean[[#This Row],[date_posted]],13,8))</f>
        <v>0.91471064814814818</v>
      </c>
      <c r="AE561" s="3" t="str">
        <f>TEXT(TwitterClean[[#This Row],[Post_Date]],"dddd")</f>
        <v>Sunday</v>
      </c>
      <c r="AF561">
        <f>HOUR(TwitterClean[[#This Row],[Post_Time]])</f>
        <v>21</v>
      </c>
      <c r="AG561" t="str">
        <f>IF(TwitterClean[[#This Row],[videos]]="Null","No","Yes")</f>
        <v>No</v>
      </c>
      <c r="AH561" t="str">
        <f>IF(TwitterClean[[#This Row],[photos]]="null","No","Yes")</f>
        <v>Yes</v>
      </c>
      <c r="AI561" t="str">
        <f>IF(TwitterClean[[#This Row],[hashtags]]="null","No","Yes")</f>
        <v>No</v>
      </c>
      <c r="AJ561" t="str">
        <f>IF(TwitterClean[[#This Row],[external_url]]="null","Yes","No")</f>
        <v>No</v>
      </c>
      <c r="AK561">
        <f>LEN(TwitterClean[[#This Row],[description]])</f>
        <v>113</v>
      </c>
      <c r="AL561" t="str">
        <f>IF(TwitterClean[[#This Row],[followers]]&lt;100000,"&lt;100K",IF(TwitterClean[[#This Row],[followers]]&lt;1000000,"100K-1M",IF(TwitterClean[[#This Row],[followers]]&lt;10000000,"1M-10M","10M+")))</f>
        <v>1M-10M</v>
      </c>
    </row>
    <row r="562" spans="1:38">
      <c r="A562">
        <v>1.8682183358901988E+18</v>
      </c>
      <c r="B562" t="s">
        <v>557</v>
      </c>
      <c r="C562" t="s">
        <v>558</v>
      </c>
      <c r="D562" t="s">
        <v>559</v>
      </c>
      <c r="E562" t="s">
        <v>560</v>
      </c>
      <c r="F562" t="s">
        <v>561</v>
      </c>
      <c r="G562" t="s">
        <v>562</v>
      </c>
      <c r="H562" t="s">
        <v>29</v>
      </c>
      <c r="I562">
        <v>5</v>
      </c>
      <c r="J562">
        <v>46</v>
      </c>
      <c r="K562">
        <v>216</v>
      </c>
      <c r="L562">
        <v>37468</v>
      </c>
      <c r="M562" t="s">
        <v>563</v>
      </c>
      <c r="N562" t="s">
        <v>564</v>
      </c>
      <c r="O562">
        <v>218510</v>
      </c>
      <c r="P562" t="s">
        <v>565</v>
      </c>
      <c r="Q562">
        <v>32811</v>
      </c>
      <c r="R562" t="s">
        <v>566</v>
      </c>
      <c r="S562">
        <v>603</v>
      </c>
      <c r="T562" t="b">
        <v>0</v>
      </c>
      <c r="U562">
        <v>5</v>
      </c>
      <c r="V562">
        <v>49</v>
      </c>
      <c r="W562" t="s">
        <v>35</v>
      </c>
      <c r="X562" t="s">
        <v>29</v>
      </c>
      <c r="Y562" t="s">
        <v>29</v>
      </c>
      <c r="Z562" t="s">
        <v>37</v>
      </c>
      <c r="AA562">
        <f>TwitterClean[[#This Row],[likes]]+TwitterClean[[#This Row],[replies]]+TwitterClean[[#This Row],[reposts]]+TwitterClean[[#This Row],[quotes]]+TwitterClean[[#This Row],[bookmarks]]</f>
        <v>321</v>
      </c>
      <c r="AB562" s="1">
        <f>TwitterClean[[#This Row],[Total_Engagements]]/TwitterClean[[#This Row],[views]]</f>
        <v>8.5673107718586532E-3</v>
      </c>
      <c r="AC562" s="3">
        <f>DATEVALUE(MID(TwitterClean[[#This Row],[date_posted]],2,10))</f>
        <v>45641</v>
      </c>
      <c r="AD562">
        <f>TIMEVALUE(MID(TwitterClean[[#This Row],[date_posted]],13,8))</f>
        <v>0.37193287037037037</v>
      </c>
      <c r="AE562" s="3" t="str">
        <f>TEXT(TwitterClean[[#This Row],[Post_Date]],"dddd")</f>
        <v>Sunday</v>
      </c>
      <c r="AF562">
        <f>HOUR(TwitterClean[[#This Row],[Post_Time]])</f>
        <v>8</v>
      </c>
      <c r="AG562" t="str">
        <f>IF(TwitterClean[[#This Row],[videos]]="Null","No","Yes")</f>
        <v>No</v>
      </c>
      <c r="AH562" t="str">
        <f>IF(TwitterClean[[#This Row],[photos]]="null","No","Yes")</f>
        <v>Yes</v>
      </c>
      <c r="AI562" t="str">
        <f>IF(TwitterClean[[#This Row],[hashtags]]="null","No","Yes")</f>
        <v>Yes</v>
      </c>
      <c r="AJ562" t="str">
        <f>IF(TwitterClean[[#This Row],[external_url]]="null","Yes","No")</f>
        <v>No</v>
      </c>
      <c r="AK562">
        <f>LEN(TwitterClean[[#This Row],[description]])</f>
        <v>119</v>
      </c>
      <c r="AL562" t="str">
        <f>IF(TwitterClean[[#This Row],[followers]]&lt;100000,"&lt;100K",IF(TwitterClean[[#This Row],[followers]]&lt;1000000,"100K-1M",IF(TwitterClean[[#This Row],[followers]]&lt;10000000,"1M-10M","10M+")))</f>
        <v>100K-1M</v>
      </c>
    </row>
    <row r="563" spans="1:38">
      <c r="A563">
        <v>1.8664940767717952E+18</v>
      </c>
      <c r="B563" t="s">
        <v>2714</v>
      </c>
      <c r="C563" t="s">
        <v>2715</v>
      </c>
      <c r="D563" t="s">
        <v>2723</v>
      </c>
      <c r="E563" t="s">
        <v>2724</v>
      </c>
      <c r="F563" t="s">
        <v>29</v>
      </c>
      <c r="G563" t="s">
        <v>2725</v>
      </c>
      <c r="H563" t="s">
        <v>2726</v>
      </c>
      <c r="I563">
        <v>12</v>
      </c>
      <c r="J563">
        <v>11</v>
      </c>
      <c r="K563">
        <v>80</v>
      </c>
      <c r="L563">
        <v>12734</v>
      </c>
      <c r="M563" t="s">
        <v>52</v>
      </c>
      <c r="N563" t="s">
        <v>29</v>
      </c>
      <c r="O563">
        <v>182895</v>
      </c>
      <c r="P563" t="s">
        <v>2720</v>
      </c>
      <c r="Q563">
        <v>30781</v>
      </c>
      <c r="R563" t="s">
        <v>2721</v>
      </c>
      <c r="S563">
        <v>559</v>
      </c>
      <c r="T563" t="b">
        <v>0</v>
      </c>
      <c r="U563">
        <v>1</v>
      </c>
      <c r="V563">
        <v>5</v>
      </c>
      <c r="W563" t="s">
        <v>35</v>
      </c>
      <c r="X563" t="s">
        <v>29</v>
      </c>
      <c r="Y563" t="s">
        <v>2727</v>
      </c>
      <c r="Z563" t="s">
        <v>37</v>
      </c>
      <c r="AA563">
        <f>TwitterClean[[#This Row],[likes]]+TwitterClean[[#This Row],[replies]]+TwitterClean[[#This Row],[reposts]]+TwitterClean[[#This Row],[quotes]]+TwitterClean[[#This Row],[bookmarks]]</f>
        <v>109</v>
      </c>
      <c r="AB563" s="1">
        <f>TwitterClean[[#This Row],[Total_Engagements]]/TwitterClean[[#This Row],[views]]</f>
        <v>8.5597612690435053E-3</v>
      </c>
      <c r="AC563" s="3">
        <f>DATEVALUE(MID(TwitterClean[[#This Row],[date_posted]],2,10))</f>
        <v>45636</v>
      </c>
      <c r="AD563">
        <f>TIMEVALUE(MID(TwitterClean[[#This Row],[date_posted]],13,8))</f>
        <v>0.61388888888888893</v>
      </c>
      <c r="AE563" s="3" t="str">
        <f>TEXT(TwitterClean[[#This Row],[Post_Date]],"dddd")</f>
        <v>Tuesday</v>
      </c>
      <c r="AF563">
        <f>HOUR(TwitterClean[[#This Row],[Post_Time]])</f>
        <v>14</v>
      </c>
      <c r="AG563" t="str">
        <f>IF(TwitterClean[[#This Row],[videos]]="Null","No","Yes")</f>
        <v>Yes</v>
      </c>
      <c r="AH563" t="str">
        <f>IF(TwitterClean[[#This Row],[photos]]="null","No","Yes")</f>
        <v>No</v>
      </c>
      <c r="AI563" t="str">
        <f>IF(TwitterClean[[#This Row],[hashtags]]="null","No","Yes")</f>
        <v>No</v>
      </c>
      <c r="AJ563" t="str">
        <f>IF(TwitterClean[[#This Row],[external_url]]="null","Yes","No")</f>
        <v>No</v>
      </c>
      <c r="AK563">
        <f>LEN(TwitterClean[[#This Row],[description]])</f>
        <v>55</v>
      </c>
      <c r="AL563" t="str">
        <f>IF(TwitterClean[[#This Row],[followers]]&lt;100000,"&lt;100K",IF(TwitterClean[[#This Row],[followers]]&lt;1000000,"100K-1M",IF(TwitterClean[[#This Row],[followers]]&lt;10000000,"1M-10M","10M+")))</f>
        <v>100K-1M</v>
      </c>
    </row>
    <row r="564" spans="1:38">
      <c r="A564">
        <v>1.8681612840486589E+18</v>
      </c>
      <c r="B564" t="s">
        <v>3034</v>
      </c>
      <c r="C564" t="s">
        <v>3035</v>
      </c>
      <c r="D564" t="s">
        <v>3531</v>
      </c>
      <c r="E564" t="s">
        <v>3532</v>
      </c>
      <c r="F564" t="s">
        <v>29</v>
      </c>
      <c r="G564" t="s">
        <v>3533</v>
      </c>
      <c r="H564" t="s">
        <v>3262</v>
      </c>
      <c r="I564">
        <v>166</v>
      </c>
      <c r="J564">
        <v>364</v>
      </c>
      <c r="K564">
        <v>4515</v>
      </c>
      <c r="L564">
        <v>621346</v>
      </c>
      <c r="M564" t="s">
        <v>52</v>
      </c>
      <c r="N564" t="s">
        <v>3040</v>
      </c>
      <c r="O564">
        <v>12876592</v>
      </c>
      <c r="P564" t="s">
        <v>3041</v>
      </c>
      <c r="Q564">
        <v>141401</v>
      </c>
      <c r="R564" t="s">
        <v>3042</v>
      </c>
      <c r="S564">
        <v>717</v>
      </c>
      <c r="T564" t="b">
        <v>0</v>
      </c>
      <c r="U564">
        <v>59</v>
      </c>
      <c r="V564">
        <v>188</v>
      </c>
      <c r="W564" t="s">
        <v>35</v>
      </c>
      <c r="X564" t="s">
        <v>29</v>
      </c>
      <c r="Y564" t="s">
        <v>3534</v>
      </c>
      <c r="Z564" t="s">
        <v>37</v>
      </c>
      <c r="AA564">
        <f>TwitterClean[[#This Row],[likes]]+TwitterClean[[#This Row],[replies]]+TwitterClean[[#This Row],[reposts]]+TwitterClean[[#This Row],[quotes]]+TwitterClean[[#This Row],[bookmarks]]</f>
        <v>5292</v>
      </c>
      <c r="AB564" s="1">
        <f>TwitterClean[[#This Row],[Total_Engagements]]/TwitterClean[[#This Row],[views]]</f>
        <v>8.516993752273291E-3</v>
      </c>
      <c r="AC564" s="3">
        <f>DATEVALUE(MID(TwitterClean[[#This Row],[date_posted]],2,10))</f>
        <v>45641</v>
      </c>
      <c r="AD564">
        <f>TIMEVALUE(MID(TwitterClean[[#This Row],[date_posted]],13,8))</f>
        <v>0.21450231481481483</v>
      </c>
      <c r="AE564" s="3" t="str">
        <f>TEXT(TwitterClean[[#This Row],[Post_Date]],"dddd")</f>
        <v>Sunday</v>
      </c>
      <c r="AF564">
        <f>HOUR(TwitterClean[[#This Row],[Post_Time]])</f>
        <v>5</v>
      </c>
      <c r="AG564" t="str">
        <f>IF(TwitterClean[[#This Row],[videos]]="Null","No","Yes")</f>
        <v>Yes</v>
      </c>
      <c r="AH564" t="str">
        <f>IF(TwitterClean[[#This Row],[photos]]="null","No","Yes")</f>
        <v>No</v>
      </c>
      <c r="AI564" t="str">
        <f>IF(TwitterClean[[#This Row],[hashtags]]="null","No","Yes")</f>
        <v>Yes</v>
      </c>
      <c r="AJ564" t="str">
        <f>IF(TwitterClean[[#This Row],[external_url]]="null","Yes","No")</f>
        <v>No</v>
      </c>
      <c r="AK564">
        <f>LEN(TwitterClean[[#This Row],[description]])</f>
        <v>77</v>
      </c>
      <c r="AL564" t="str">
        <f>IF(TwitterClean[[#This Row],[followers]]&lt;100000,"&lt;100K",IF(TwitterClean[[#This Row],[followers]]&lt;1000000,"100K-1M",IF(TwitterClean[[#This Row],[followers]]&lt;10000000,"1M-10M","10M+")))</f>
        <v>10M+</v>
      </c>
    </row>
    <row r="565" spans="1:38">
      <c r="A565">
        <v>1.8680862819783805E+18</v>
      </c>
      <c r="B565" t="s">
        <v>4694</v>
      </c>
      <c r="C565" t="s">
        <v>4695</v>
      </c>
      <c r="D565" t="s">
        <v>4800</v>
      </c>
      <c r="E565" t="s">
        <v>4801</v>
      </c>
      <c r="F565" t="s">
        <v>4802</v>
      </c>
      <c r="G565" t="s">
        <v>4803</v>
      </c>
      <c r="H565" t="s">
        <v>4804</v>
      </c>
      <c r="I565">
        <v>3</v>
      </c>
      <c r="J565">
        <v>11</v>
      </c>
      <c r="K565">
        <v>42</v>
      </c>
      <c r="L565">
        <v>6816</v>
      </c>
      <c r="M565" t="s">
        <v>52</v>
      </c>
      <c r="N565" t="s">
        <v>4701</v>
      </c>
      <c r="O565">
        <v>1123810</v>
      </c>
      <c r="P565" t="s">
        <v>4702</v>
      </c>
      <c r="Q565">
        <v>34290</v>
      </c>
      <c r="R565" t="s">
        <v>4703</v>
      </c>
      <c r="S565">
        <v>63</v>
      </c>
      <c r="T565" t="b">
        <v>0</v>
      </c>
      <c r="U565">
        <v>1</v>
      </c>
      <c r="V565">
        <v>1</v>
      </c>
      <c r="W565" t="s">
        <v>35</v>
      </c>
      <c r="X565" t="s">
        <v>29</v>
      </c>
      <c r="Y565" t="s">
        <v>29</v>
      </c>
      <c r="Z565" t="s">
        <v>37</v>
      </c>
      <c r="AA565">
        <f>TwitterClean[[#This Row],[likes]]+TwitterClean[[#This Row],[replies]]+TwitterClean[[#This Row],[reposts]]+TwitterClean[[#This Row],[quotes]]+TwitterClean[[#This Row],[bookmarks]]</f>
        <v>58</v>
      </c>
      <c r="AB565" s="1">
        <f>TwitterClean[[#This Row],[Total_Engagements]]/TwitterClean[[#This Row],[views]]</f>
        <v>8.509389671361502E-3</v>
      </c>
      <c r="AC565" s="3">
        <f>DATEVALUE(MID(TwitterClean[[#This Row],[date_posted]],2,10))</f>
        <v>45641</v>
      </c>
      <c r="AD565">
        <f>TIMEVALUE(MID(TwitterClean[[#This Row],[date_posted]],13,8))</f>
        <v>7.5347222222222222E-3</v>
      </c>
      <c r="AE565" s="3" t="str">
        <f>TEXT(TwitterClean[[#This Row],[Post_Date]],"dddd")</f>
        <v>Sunday</v>
      </c>
      <c r="AF565">
        <f>HOUR(TwitterClean[[#This Row],[Post_Time]])</f>
        <v>0</v>
      </c>
      <c r="AG565" t="str">
        <f>IF(TwitterClean[[#This Row],[videos]]="Null","No","Yes")</f>
        <v>No</v>
      </c>
      <c r="AH565" t="str">
        <f>IF(TwitterClean[[#This Row],[photos]]="null","No","Yes")</f>
        <v>Yes</v>
      </c>
      <c r="AI565" t="str">
        <f>IF(TwitterClean[[#This Row],[hashtags]]="null","No","Yes")</f>
        <v>Yes</v>
      </c>
      <c r="AJ565" t="str">
        <f>IF(TwitterClean[[#This Row],[external_url]]="null","Yes","No")</f>
        <v>No</v>
      </c>
      <c r="AK565">
        <f>LEN(TwitterClean[[#This Row],[description]])</f>
        <v>140</v>
      </c>
      <c r="AL565" t="str">
        <f>IF(TwitterClean[[#This Row],[followers]]&lt;100000,"&lt;100K",IF(TwitterClean[[#This Row],[followers]]&lt;1000000,"100K-1M",IF(TwitterClean[[#This Row],[followers]]&lt;10000000,"1M-10M","10M+")))</f>
        <v>1M-10M</v>
      </c>
    </row>
    <row r="566" spans="1:38">
      <c r="A566">
        <v>1.8683242149584448E+18</v>
      </c>
      <c r="B566" t="s">
        <v>2994</v>
      </c>
      <c r="C566" t="s">
        <v>2995</v>
      </c>
      <c r="D566" t="s">
        <v>4656</v>
      </c>
      <c r="E566" t="s">
        <v>4657</v>
      </c>
      <c r="F566" t="s">
        <v>4658</v>
      </c>
      <c r="G566" t="s">
        <v>4659</v>
      </c>
      <c r="H566" t="s">
        <v>29</v>
      </c>
      <c r="I566">
        <v>13</v>
      </c>
      <c r="J566">
        <v>18</v>
      </c>
      <c r="K566">
        <v>590</v>
      </c>
      <c r="L566">
        <v>74092</v>
      </c>
      <c r="M566" t="s">
        <v>52</v>
      </c>
      <c r="N566" t="s">
        <v>3174</v>
      </c>
      <c r="O566">
        <v>812163</v>
      </c>
      <c r="P566" t="s">
        <v>3000</v>
      </c>
      <c r="Q566">
        <v>110924</v>
      </c>
      <c r="R566" t="s">
        <v>3001</v>
      </c>
      <c r="S566">
        <v>322</v>
      </c>
      <c r="T566" t="b">
        <v>0</v>
      </c>
      <c r="U566">
        <v>1</v>
      </c>
      <c r="V566">
        <v>6</v>
      </c>
      <c r="W566" t="s">
        <v>35</v>
      </c>
      <c r="X566" t="s">
        <v>29</v>
      </c>
      <c r="Y566" t="s">
        <v>29</v>
      </c>
      <c r="Z566" t="s">
        <v>37</v>
      </c>
      <c r="AA566">
        <f>TwitterClean[[#This Row],[likes]]+TwitterClean[[#This Row],[replies]]+TwitterClean[[#This Row],[reposts]]+TwitterClean[[#This Row],[quotes]]+TwitterClean[[#This Row],[bookmarks]]</f>
        <v>628</v>
      </c>
      <c r="AB566" s="1">
        <f>TwitterClean[[#This Row],[Total_Engagements]]/TwitterClean[[#This Row],[views]]</f>
        <v>8.4759488203854667E-3</v>
      </c>
      <c r="AC566" s="3">
        <f>DATEVALUE(MID(TwitterClean[[#This Row],[date_posted]],2,10))</f>
        <v>45641</v>
      </c>
      <c r="AD566">
        <f>TIMEVALUE(MID(TwitterClean[[#This Row],[date_posted]],13,8))</f>
        <v>0.66410879629629627</v>
      </c>
      <c r="AE566" s="3" t="str">
        <f>TEXT(TwitterClean[[#This Row],[Post_Date]],"dddd")</f>
        <v>Sunday</v>
      </c>
      <c r="AF566">
        <f>HOUR(TwitterClean[[#This Row],[Post_Time]])</f>
        <v>15</v>
      </c>
      <c r="AG566" t="str">
        <f>IF(TwitterClean[[#This Row],[videos]]="Null","No","Yes")</f>
        <v>No</v>
      </c>
      <c r="AH566" t="str">
        <f>IF(TwitterClean[[#This Row],[photos]]="null","No","Yes")</f>
        <v>Yes</v>
      </c>
      <c r="AI566" t="str">
        <f>IF(TwitterClean[[#This Row],[hashtags]]="null","No","Yes")</f>
        <v>Yes</v>
      </c>
      <c r="AJ566" t="str">
        <f>IF(TwitterClean[[#This Row],[external_url]]="null","Yes","No")</f>
        <v>No</v>
      </c>
      <c r="AK566">
        <f>LEN(TwitterClean[[#This Row],[description]])</f>
        <v>20</v>
      </c>
      <c r="AL566" t="str">
        <f>IF(TwitterClean[[#This Row],[followers]]&lt;100000,"&lt;100K",IF(TwitterClean[[#This Row],[followers]]&lt;1000000,"100K-1M",IF(TwitterClean[[#This Row],[followers]]&lt;10000000,"1M-10M","10M+")))</f>
        <v>100K-1M</v>
      </c>
    </row>
    <row r="567" spans="1:38">
      <c r="A567">
        <v>1.8681794929819279E+18</v>
      </c>
      <c r="B567" t="s">
        <v>3034</v>
      </c>
      <c r="C567" t="s">
        <v>3035</v>
      </c>
      <c r="D567" t="s">
        <v>3952</v>
      </c>
      <c r="E567" t="s">
        <v>3953</v>
      </c>
      <c r="F567" t="s">
        <v>29</v>
      </c>
      <c r="G567" t="s">
        <v>3954</v>
      </c>
      <c r="H567" t="s">
        <v>29</v>
      </c>
      <c r="I567">
        <v>1010</v>
      </c>
      <c r="J567">
        <v>1141</v>
      </c>
      <c r="K567">
        <v>20376</v>
      </c>
      <c r="L567">
        <v>2811134</v>
      </c>
      <c r="M567" t="s">
        <v>52</v>
      </c>
      <c r="N567" t="s">
        <v>3040</v>
      </c>
      <c r="O567">
        <v>12876592</v>
      </c>
      <c r="P567" t="s">
        <v>3041</v>
      </c>
      <c r="Q567">
        <v>141401</v>
      </c>
      <c r="R567" t="s">
        <v>3042</v>
      </c>
      <c r="S567">
        <v>717</v>
      </c>
      <c r="T567" t="b">
        <v>0</v>
      </c>
      <c r="U567">
        <v>435</v>
      </c>
      <c r="V567">
        <v>832</v>
      </c>
      <c r="W567" t="s">
        <v>35</v>
      </c>
      <c r="X567" t="s">
        <v>29</v>
      </c>
      <c r="Y567" t="s">
        <v>3955</v>
      </c>
      <c r="Z567" t="s">
        <v>37</v>
      </c>
      <c r="AA567">
        <f>TwitterClean[[#This Row],[likes]]+TwitterClean[[#This Row],[replies]]+TwitterClean[[#This Row],[reposts]]+TwitterClean[[#This Row],[quotes]]+TwitterClean[[#This Row],[bookmarks]]</f>
        <v>23794</v>
      </c>
      <c r="AB567" s="1">
        <f>TwitterClean[[#This Row],[Total_Engagements]]/TwitterClean[[#This Row],[views]]</f>
        <v>8.4641998567126283E-3</v>
      </c>
      <c r="AC567" s="3">
        <f>DATEVALUE(MID(TwitterClean[[#This Row],[date_posted]],2,10))</f>
        <v>45641</v>
      </c>
      <c r="AD567">
        <f>TIMEVALUE(MID(TwitterClean[[#This Row],[date_posted]],13,8))</f>
        <v>0.26474537037037038</v>
      </c>
      <c r="AE567" s="3" t="str">
        <f>TEXT(TwitterClean[[#This Row],[Post_Date]],"dddd")</f>
        <v>Sunday</v>
      </c>
      <c r="AF567">
        <f>HOUR(TwitterClean[[#This Row],[Post_Time]])</f>
        <v>6</v>
      </c>
      <c r="AG567" t="str">
        <f>IF(TwitterClean[[#This Row],[videos]]="Null","No","Yes")</f>
        <v>Yes</v>
      </c>
      <c r="AH567" t="str">
        <f>IF(TwitterClean[[#This Row],[photos]]="null","No","Yes")</f>
        <v>No</v>
      </c>
      <c r="AI567" t="str">
        <f>IF(TwitterClean[[#This Row],[hashtags]]="null","No","Yes")</f>
        <v>Yes</v>
      </c>
      <c r="AJ567" t="str">
        <f>IF(TwitterClean[[#This Row],[external_url]]="null","Yes","No")</f>
        <v>No</v>
      </c>
      <c r="AK567">
        <f>LEN(TwitterClean[[#This Row],[description]])</f>
        <v>66</v>
      </c>
      <c r="AL567" t="str">
        <f>IF(TwitterClean[[#This Row],[followers]]&lt;100000,"&lt;100K",IF(TwitterClean[[#This Row],[followers]]&lt;1000000,"100K-1M",IF(TwitterClean[[#This Row],[followers]]&lt;10000000,"1M-10M","10M+")))</f>
        <v>10M+</v>
      </c>
    </row>
    <row r="568" spans="1:38">
      <c r="A568">
        <v>1.8682558375438705E+18</v>
      </c>
      <c r="B568" t="s">
        <v>228</v>
      </c>
      <c r="C568" t="s">
        <v>228</v>
      </c>
      <c r="D568" t="s">
        <v>688</v>
      </c>
      <c r="E568" t="s">
        <v>689</v>
      </c>
      <c r="F568" t="s">
        <v>29</v>
      </c>
      <c r="G568" t="s">
        <v>690</v>
      </c>
      <c r="H568" t="s">
        <v>691</v>
      </c>
      <c r="I568">
        <v>736</v>
      </c>
      <c r="J568">
        <v>238</v>
      </c>
      <c r="K568">
        <v>1390</v>
      </c>
      <c r="L568">
        <v>298748</v>
      </c>
      <c r="M568" t="s">
        <v>692</v>
      </c>
      <c r="N568" t="s">
        <v>29</v>
      </c>
      <c r="O568">
        <v>1239617</v>
      </c>
      <c r="P568" t="s">
        <v>235</v>
      </c>
      <c r="Q568">
        <v>402839</v>
      </c>
      <c r="R568" t="s">
        <v>236</v>
      </c>
      <c r="S568">
        <v>1644</v>
      </c>
      <c r="T568" t="b">
        <v>0</v>
      </c>
      <c r="U568">
        <v>64</v>
      </c>
      <c r="V568">
        <v>92</v>
      </c>
      <c r="W568" t="s">
        <v>35</v>
      </c>
      <c r="X568" t="s">
        <v>29</v>
      </c>
      <c r="Y568" t="s">
        <v>693</v>
      </c>
      <c r="Z568" t="s">
        <v>37</v>
      </c>
      <c r="AA568">
        <f>TwitterClean[[#This Row],[likes]]+TwitterClean[[#This Row],[replies]]+TwitterClean[[#This Row],[reposts]]+TwitterClean[[#This Row],[quotes]]+TwitterClean[[#This Row],[bookmarks]]</f>
        <v>2520</v>
      </c>
      <c r="AB568" s="1">
        <f>TwitterClean[[#This Row],[Total_Engagements]]/TwitterClean[[#This Row],[views]]</f>
        <v>8.4352029134923071E-3</v>
      </c>
      <c r="AC568" s="3">
        <f>DATEVALUE(MID(TwitterClean[[#This Row],[date_posted]],2,10))</f>
        <v>45641</v>
      </c>
      <c r="AD568">
        <f>TIMEVALUE(MID(TwitterClean[[#This Row],[date_posted]],13,8))</f>
        <v>0.47541666666666665</v>
      </c>
      <c r="AE568" s="3" t="str">
        <f>TEXT(TwitterClean[[#This Row],[Post_Date]],"dddd")</f>
        <v>Sunday</v>
      </c>
      <c r="AF568">
        <f>HOUR(TwitterClean[[#This Row],[Post_Time]])</f>
        <v>11</v>
      </c>
      <c r="AG568" t="str">
        <f>IF(TwitterClean[[#This Row],[videos]]="Null","No","Yes")</f>
        <v>Yes</v>
      </c>
      <c r="AH568" t="str">
        <f>IF(TwitterClean[[#This Row],[photos]]="null","No","Yes")</f>
        <v>No</v>
      </c>
      <c r="AI568" t="str">
        <f>IF(TwitterClean[[#This Row],[hashtags]]="null","No","Yes")</f>
        <v>No</v>
      </c>
      <c r="AJ568" t="str">
        <f>IF(TwitterClean[[#This Row],[external_url]]="null","Yes","No")</f>
        <v>No</v>
      </c>
      <c r="AK568">
        <f>LEN(TwitterClean[[#This Row],[description]])</f>
        <v>233</v>
      </c>
      <c r="AL568" t="str">
        <f>IF(TwitterClean[[#This Row],[followers]]&lt;100000,"&lt;100K",IF(TwitterClean[[#This Row],[followers]]&lt;1000000,"100K-1M",IF(TwitterClean[[#This Row],[followers]]&lt;10000000,"1M-10M","10M+")))</f>
        <v>1M-10M</v>
      </c>
    </row>
    <row r="569" spans="1:38">
      <c r="A569">
        <v>1.868349959931892E+18</v>
      </c>
      <c r="B569" t="s">
        <v>1280</v>
      </c>
      <c r="C569" t="s">
        <v>1281</v>
      </c>
      <c r="D569" t="s">
        <v>1531</v>
      </c>
      <c r="E569" t="s">
        <v>1532</v>
      </c>
      <c r="F569" t="s">
        <v>29</v>
      </c>
      <c r="G569" t="s">
        <v>1533</v>
      </c>
      <c r="H569" t="s">
        <v>29</v>
      </c>
      <c r="I569">
        <v>179</v>
      </c>
      <c r="J569">
        <v>148</v>
      </c>
      <c r="K569">
        <v>1277</v>
      </c>
      <c r="L569">
        <v>194196</v>
      </c>
      <c r="M569" t="s">
        <v>1302</v>
      </c>
      <c r="N569" t="s">
        <v>1286</v>
      </c>
      <c r="O569">
        <v>38439078</v>
      </c>
      <c r="P569" t="s">
        <v>1287</v>
      </c>
      <c r="Q569">
        <v>92455</v>
      </c>
      <c r="R569" t="s">
        <v>1288</v>
      </c>
      <c r="S569">
        <v>145</v>
      </c>
      <c r="T569" t="b">
        <v>0</v>
      </c>
      <c r="U569">
        <v>12</v>
      </c>
      <c r="V569">
        <v>9</v>
      </c>
      <c r="W569" t="s">
        <v>35</v>
      </c>
      <c r="X569" t="s">
        <v>29</v>
      </c>
      <c r="Y569" t="s">
        <v>29</v>
      </c>
      <c r="Z569" t="s">
        <v>37</v>
      </c>
      <c r="AA569">
        <f>TwitterClean[[#This Row],[likes]]+TwitterClean[[#This Row],[replies]]+TwitterClean[[#This Row],[reposts]]+TwitterClean[[#This Row],[quotes]]+TwitterClean[[#This Row],[bookmarks]]</f>
        <v>1625</v>
      </c>
      <c r="AB569" s="1">
        <f>TwitterClean[[#This Row],[Total_Engagements]]/TwitterClean[[#This Row],[views]]</f>
        <v>8.3678345588992561E-3</v>
      </c>
      <c r="AC569" s="3">
        <f>DATEVALUE(MID(TwitterClean[[#This Row],[date_posted]],2,10))</f>
        <v>45641</v>
      </c>
      <c r="AD569">
        <f>TIMEVALUE(MID(TwitterClean[[#This Row],[date_posted]],13,8))</f>
        <v>0.73515046296296294</v>
      </c>
      <c r="AE569" s="3" t="str">
        <f>TEXT(TwitterClean[[#This Row],[Post_Date]],"dddd")</f>
        <v>Sunday</v>
      </c>
      <c r="AF569">
        <f>HOUR(TwitterClean[[#This Row],[Post_Time]])</f>
        <v>17</v>
      </c>
      <c r="AG569" t="str">
        <f>IF(TwitterClean[[#This Row],[videos]]="Null","No","Yes")</f>
        <v>No</v>
      </c>
      <c r="AH569" t="str">
        <f>IF(TwitterClean[[#This Row],[photos]]="null","No","Yes")</f>
        <v>No</v>
      </c>
      <c r="AI569" t="str">
        <f>IF(TwitterClean[[#This Row],[hashtags]]="null","No","Yes")</f>
        <v>Yes</v>
      </c>
      <c r="AJ569" t="str">
        <f>IF(TwitterClean[[#This Row],[external_url]]="null","Yes","No")</f>
        <v>No</v>
      </c>
      <c r="AK569">
        <f>LEN(TwitterClean[[#This Row],[description]])</f>
        <v>57</v>
      </c>
      <c r="AL569" t="str">
        <f>IF(TwitterClean[[#This Row],[followers]]&lt;100000,"&lt;100K",IF(TwitterClean[[#This Row],[followers]]&lt;1000000,"100K-1M",IF(TwitterClean[[#This Row],[followers]]&lt;10000000,"1M-10M","10M+")))</f>
        <v>10M+</v>
      </c>
    </row>
    <row r="570" spans="1:38">
      <c r="A570">
        <v>1.8682882817016712E+18</v>
      </c>
      <c r="B570" t="s">
        <v>1303</v>
      </c>
      <c r="C570" t="s">
        <v>1304</v>
      </c>
      <c r="D570" t="s">
        <v>1489</v>
      </c>
      <c r="E570" t="s">
        <v>1490</v>
      </c>
      <c r="F570" t="s">
        <v>1491</v>
      </c>
      <c r="G570" t="s">
        <v>1492</v>
      </c>
      <c r="H570" t="s">
        <v>29</v>
      </c>
      <c r="I570">
        <v>12</v>
      </c>
      <c r="J570">
        <v>8</v>
      </c>
      <c r="K570">
        <v>131</v>
      </c>
      <c r="L570">
        <v>19320</v>
      </c>
      <c r="M570" t="s">
        <v>52</v>
      </c>
      <c r="N570" t="s">
        <v>1273</v>
      </c>
      <c r="O570">
        <v>240106</v>
      </c>
      <c r="P570" t="s">
        <v>1309</v>
      </c>
      <c r="Q570">
        <v>29070</v>
      </c>
      <c r="R570" t="s">
        <v>1310</v>
      </c>
      <c r="S570">
        <v>799</v>
      </c>
      <c r="T570" t="b">
        <v>0</v>
      </c>
      <c r="U570">
        <v>8</v>
      </c>
      <c r="V570">
        <v>2</v>
      </c>
      <c r="W570" t="s">
        <v>35</v>
      </c>
      <c r="X570" t="s">
        <v>29</v>
      </c>
      <c r="Y570" t="s">
        <v>29</v>
      </c>
      <c r="Z570" t="s">
        <v>37</v>
      </c>
      <c r="AA570">
        <f>TwitterClean[[#This Row],[likes]]+TwitterClean[[#This Row],[replies]]+TwitterClean[[#This Row],[reposts]]+TwitterClean[[#This Row],[quotes]]+TwitterClean[[#This Row],[bookmarks]]</f>
        <v>161</v>
      </c>
      <c r="AB570" s="1">
        <f>TwitterClean[[#This Row],[Total_Engagements]]/TwitterClean[[#This Row],[views]]</f>
        <v>8.3333333333333332E-3</v>
      </c>
      <c r="AC570" s="3">
        <f>DATEVALUE(MID(TwitterClean[[#This Row],[date_posted]],2,10))</f>
        <v>45641</v>
      </c>
      <c r="AD570">
        <f>TIMEVALUE(MID(TwitterClean[[#This Row],[date_posted]],13,8))</f>
        <v>0.56495370370370368</v>
      </c>
      <c r="AE570" s="3" t="str">
        <f>TEXT(TwitterClean[[#This Row],[Post_Date]],"dddd")</f>
        <v>Sunday</v>
      </c>
      <c r="AF570">
        <f>HOUR(TwitterClean[[#This Row],[Post_Time]])</f>
        <v>13</v>
      </c>
      <c r="AG570" t="str">
        <f>IF(TwitterClean[[#This Row],[videos]]="Null","No","Yes")</f>
        <v>No</v>
      </c>
      <c r="AH570" t="str">
        <f>IF(TwitterClean[[#This Row],[photos]]="null","No","Yes")</f>
        <v>Yes</v>
      </c>
      <c r="AI570" t="str">
        <f>IF(TwitterClean[[#This Row],[hashtags]]="null","No","Yes")</f>
        <v>Yes</v>
      </c>
      <c r="AJ570" t="str">
        <f>IF(TwitterClean[[#This Row],[external_url]]="null","Yes","No")</f>
        <v>No</v>
      </c>
      <c r="AK570">
        <f>LEN(TwitterClean[[#This Row],[description]])</f>
        <v>54</v>
      </c>
      <c r="AL570" t="str">
        <f>IF(TwitterClean[[#This Row],[followers]]&lt;100000,"&lt;100K",IF(TwitterClean[[#This Row],[followers]]&lt;1000000,"100K-1M",IF(TwitterClean[[#This Row],[followers]]&lt;10000000,"1M-10M","10M+")))</f>
        <v>100K-1M</v>
      </c>
    </row>
    <row r="571" spans="1:38">
      <c r="A571">
        <v>1.8659888461998984E+18</v>
      </c>
      <c r="B571" t="s">
        <v>266</v>
      </c>
      <c r="C571" t="s">
        <v>266</v>
      </c>
      <c r="D571" t="s">
        <v>2905</v>
      </c>
      <c r="E571" t="s">
        <v>2906</v>
      </c>
      <c r="F571" t="s">
        <v>2907</v>
      </c>
      <c r="G571" t="s">
        <v>2908</v>
      </c>
      <c r="H571" t="s">
        <v>2909</v>
      </c>
      <c r="I571">
        <v>35</v>
      </c>
      <c r="J571">
        <v>81</v>
      </c>
      <c r="K571">
        <v>505</v>
      </c>
      <c r="L571">
        <v>76822</v>
      </c>
      <c r="M571" t="s">
        <v>52</v>
      </c>
      <c r="N571" t="s">
        <v>29</v>
      </c>
      <c r="O571">
        <v>47706993</v>
      </c>
      <c r="P571" t="s">
        <v>272</v>
      </c>
      <c r="Q571">
        <v>367154</v>
      </c>
      <c r="R571" t="s">
        <v>273</v>
      </c>
      <c r="S571">
        <v>2012</v>
      </c>
      <c r="T571" t="b">
        <v>0</v>
      </c>
      <c r="U571">
        <v>5</v>
      </c>
      <c r="V571">
        <v>10</v>
      </c>
      <c r="W571" t="s">
        <v>2910</v>
      </c>
      <c r="X571" t="s">
        <v>29</v>
      </c>
      <c r="Y571" t="s">
        <v>29</v>
      </c>
      <c r="Z571" t="s">
        <v>37</v>
      </c>
      <c r="AA571">
        <f>TwitterClean[[#This Row],[likes]]+TwitterClean[[#This Row],[replies]]+TwitterClean[[#This Row],[reposts]]+TwitterClean[[#This Row],[quotes]]+TwitterClean[[#This Row],[bookmarks]]</f>
        <v>636</v>
      </c>
      <c r="AB571" s="1">
        <f>TwitterClean[[#This Row],[Total_Engagements]]/TwitterClean[[#This Row],[views]]</f>
        <v>8.27887844627841E-3</v>
      </c>
      <c r="AC571" s="3">
        <f>DATEVALUE(MID(TwitterClean[[#This Row],[date_posted]],2,10))</f>
        <v>45635</v>
      </c>
      <c r="AD571">
        <f>TIMEVALUE(MID(TwitterClean[[#This Row],[date_posted]],13,8))</f>
        <v>0.21971064814814814</v>
      </c>
      <c r="AE571" s="3" t="str">
        <f>TEXT(TwitterClean[[#This Row],[Post_Date]],"dddd")</f>
        <v>Monday</v>
      </c>
      <c r="AF571">
        <f>HOUR(TwitterClean[[#This Row],[Post_Time]])</f>
        <v>5</v>
      </c>
      <c r="AG571" t="str">
        <f>IF(TwitterClean[[#This Row],[videos]]="Null","No","Yes")</f>
        <v>No</v>
      </c>
      <c r="AH571" t="str">
        <f>IF(TwitterClean[[#This Row],[photos]]="null","No","Yes")</f>
        <v>Yes</v>
      </c>
      <c r="AI571" t="str">
        <f>IF(TwitterClean[[#This Row],[hashtags]]="null","No","Yes")</f>
        <v>No</v>
      </c>
      <c r="AJ571" t="str">
        <f>IF(TwitterClean[[#This Row],[external_url]]="null","Yes","No")</f>
        <v>No</v>
      </c>
      <c r="AK571">
        <f>LEN(TwitterClean[[#This Row],[description]])</f>
        <v>215</v>
      </c>
      <c r="AL571" t="str">
        <f>IF(TwitterClean[[#This Row],[followers]]&lt;100000,"&lt;100K",IF(TwitterClean[[#This Row],[followers]]&lt;1000000,"100K-1M",IF(TwitterClean[[#This Row],[followers]]&lt;10000000,"1M-10M","10M+")))</f>
        <v>10M+</v>
      </c>
    </row>
    <row r="572" spans="1:38">
      <c r="A572">
        <v>1.8683372218261176E+18</v>
      </c>
      <c r="B572" t="s">
        <v>3392</v>
      </c>
      <c r="C572" t="s">
        <v>3393</v>
      </c>
      <c r="D572" t="s">
        <v>5160</v>
      </c>
      <c r="E572" t="s">
        <v>5161</v>
      </c>
      <c r="F572" t="s">
        <v>29</v>
      </c>
      <c r="G572" t="s">
        <v>5162</v>
      </c>
      <c r="H572" t="s">
        <v>29</v>
      </c>
      <c r="I572">
        <v>28</v>
      </c>
      <c r="J572">
        <v>3</v>
      </c>
      <c r="K572">
        <v>152</v>
      </c>
      <c r="L572">
        <v>22880</v>
      </c>
      <c r="M572" t="s">
        <v>5163</v>
      </c>
      <c r="N572" t="s">
        <v>3405</v>
      </c>
      <c r="O572">
        <v>1480966</v>
      </c>
      <c r="P572" t="s">
        <v>3399</v>
      </c>
      <c r="Q572">
        <v>103753</v>
      </c>
      <c r="R572" t="s">
        <v>3400</v>
      </c>
      <c r="S572">
        <v>552</v>
      </c>
      <c r="T572" t="b">
        <v>0</v>
      </c>
      <c r="U572">
        <v>4</v>
      </c>
      <c r="V572">
        <v>2</v>
      </c>
      <c r="W572" t="s">
        <v>35</v>
      </c>
      <c r="X572" t="s">
        <v>29</v>
      </c>
      <c r="Y572" t="s">
        <v>29</v>
      </c>
      <c r="Z572" t="s">
        <v>37</v>
      </c>
      <c r="AA572">
        <f>TwitterClean[[#This Row],[likes]]+TwitterClean[[#This Row],[replies]]+TwitterClean[[#This Row],[reposts]]+TwitterClean[[#This Row],[quotes]]+TwitterClean[[#This Row],[bookmarks]]</f>
        <v>189</v>
      </c>
      <c r="AB572" s="1">
        <f>TwitterClean[[#This Row],[Total_Engagements]]/TwitterClean[[#This Row],[views]]</f>
        <v>8.2604895104895111E-3</v>
      </c>
      <c r="AC572" s="3">
        <f>DATEVALUE(MID(TwitterClean[[#This Row],[date_posted]],2,10))</f>
        <v>45641</v>
      </c>
      <c r="AD572">
        <f>TIMEVALUE(MID(TwitterClean[[#This Row],[date_posted]],13,8))</f>
        <v>0.7</v>
      </c>
      <c r="AE572" s="3" t="str">
        <f>TEXT(TwitterClean[[#This Row],[Post_Date]],"dddd")</f>
        <v>Sunday</v>
      </c>
      <c r="AF572">
        <f>HOUR(TwitterClean[[#This Row],[Post_Time]])</f>
        <v>16</v>
      </c>
      <c r="AG572" t="str">
        <f>IF(TwitterClean[[#This Row],[videos]]="Null","No","Yes")</f>
        <v>No</v>
      </c>
      <c r="AH572" t="str">
        <f>IF(TwitterClean[[#This Row],[photos]]="null","No","Yes")</f>
        <v>No</v>
      </c>
      <c r="AI572" t="str">
        <f>IF(TwitterClean[[#This Row],[hashtags]]="null","No","Yes")</f>
        <v>Yes</v>
      </c>
      <c r="AJ572" t="str">
        <f>IF(TwitterClean[[#This Row],[external_url]]="null","Yes","No")</f>
        <v>No</v>
      </c>
      <c r="AK572">
        <f>LEN(TwitterClean[[#This Row],[description]])</f>
        <v>51</v>
      </c>
      <c r="AL572" t="str">
        <f>IF(TwitterClean[[#This Row],[followers]]&lt;100000,"&lt;100K",IF(TwitterClean[[#This Row],[followers]]&lt;1000000,"100K-1M",IF(TwitterClean[[#This Row],[followers]]&lt;10000000,"1M-10M","10M+")))</f>
        <v>1M-10M</v>
      </c>
    </row>
    <row r="573" spans="1:38">
      <c r="A573">
        <v>1.8682726859036716E+18</v>
      </c>
      <c r="B573" t="s">
        <v>333</v>
      </c>
      <c r="C573" t="s">
        <v>334</v>
      </c>
      <c r="D573" t="s">
        <v>745</v>
      </c>
      <c r="E573" t="s">
        <v>746</v>
      </c>
      <c r="F573" t="s">
        <v>747</v>
      </c>
      <c r="G573" t="s">
        <v>748</v>
      </c>
      <c r="H573" t="s">
        <v>749</v>
      </c>
      <c r="I573">
        <v>2</v>
      </c>
      <c r="J573">
        <v>7</v>
      </c>
      <c r="K573">
        <v>133</v>
      </c>
      <c r="L573">
        <v>17513</v>
      </c>
      <c r="M573" t="s">
        <v>52</v>
      </c>
      <c r="N573" t="s">
        <v>340</v>
      </c>
      <c r="O573">
        <v>337839</v>
      </c>
      <c r="P573" t="s">
        <v>341</v>
      </c>
      <c r="Q573">
        <v>57638</v>
      </c>
      <c r="R573" t="s">
        <v>342</v>
      </c>
      <c r="S573">
        <v>587</v>
      </c>
      <c r="T573" t="b">
        <v>0</v>
      </c>
      <c r="U573">
        <v>1</v>
      </c>
      <c r="V573">
        <v>1</v>
      </c>
      <c r="W573" t="s">
        <v>35</v>
      </c>
      <c r="X573" t="s">
        <v>29</v>
      </c>
      <c r="Y573" t="s">
        <v>29</v>
      </c>
      <c r="Z573" t="s">
        <v>37</v>
      </c>
      <c r="AA573">
        <f>TwitterClean[[#This Row],[likes]]+TwitterClean[[#This Row],[replies]]+TwitterClean[[#This Row],[reposts]]+TwitterClean[[#This Row],[quotes]]+TwitterClean[[#This Row],[bookmarks]]</f>
        <v>144</v>
      </c>
      <c r="AB573" s="1">
        <f>TwitterClean[[#This Row],[Total_Engagements]]/TwitterClean[[#This Row],[views]]</f>
        <v>8.2224633129675106E-3</v>
      </c>
      <c r="AC573" s="3">
        <f>DATEVALUE(MID(TwitterClean[[#This Row],[date_posted]],2,10))</f>
        <v>45641</v>
      </c>
      <c r="AD573">
        <f>TIMEVALUE(MID(TwitterClean[[#This Row],[date_posted]],13,8))</f>
        <v>0.52190972222222221</v>
      </c>
      <c r="AE573" s="3" t="str">
        <f>TEXT(TwitterClean[[#This Row],[Post_Date]],"dddd")</f>
        <v>Sunday</v>
      </c>
      <c r="AF573">
        <f>HOUR(TwitterClean[[#This Row],[Post_Time]])</f>
        <v>12</v>
      </c>
      <c r="AG573" t="str">
        <f>IF(TwitterClean[[#This Row],[videos]]="Null","No","Yes")</f>
        <v>No</v>
      </c>
      <c r="AH573" t="str">
        <f>IF(TwitterClean[[#This Row],[photos]]="null","No","Yes")</f>
        <v>Yes</v>
      </c>
      <c r="AI573" t="str">
        <f>IF(TwitterClean[[#This Row],[hashtags]]="null","No","Yes")</f>
        <v>Yes</v>
      </c>
      <c r="AJ573" t="str">
        <f>IF(TwitterClean[[#This Row],[external_url]]="null","Yes","No")</f>
        <v>No</v>
      </c>
      <c r="AK573">
        <f>LEN(TwitterClean[[#This Row],[description]])</f>
        <v>112</v>
      </c>
      <c r="AL573" t="str">
        <f>IF(TwitterClean[[#This Row],[followers]]&lt;100000,"&lt;100K",IF(TwitterClean[[#This Row],[followers]]&lt;1000000,"100K-1M",IF(TwitterClean[[#This Row],[followers]]&lt;10000000,"1M-10M","10M+")))</f>
        <v>100K-1M</v>
      </c>
    </row>
    <row r="574" spans="1:38">
      <c r="A574">
        <v>1.868292157217399E+18</v>
      </c>
      <c r="B574" t="s">
        <v>2994</v>
      </c>
      <c r="C574" t="s">
        <v>2995</v>
      </c>
      <c r="D574" t="s">
        <v>3512</v>
      </c>
      <c r="E574" t="s">
        <v>3513</v>
      </c>
      <c r="F574" t="s">
        <v>29</v>
      </c>
      <c r="G574" t="s">
        <v>3514</v>
      </c>
      <c r="H574" t="s">
        <v>29</v>
      </c>
      <c r="I574">
        <v>19</v>
      </c>
      <c r="J574">
        <v>47</v>
      </c>
      <c r="K574">
        <v>948</v>
      </c>
      <c r="L574">
        <v>127235</v>
      </c>
      <c r="M574" t="s">
        <v>52</v>
      </c>
      <c r="N574" t="s">
        <v>3174</v>
      </c>
      <c r="O574">
        <v>812163</v>
      </c>
      <c r="P574" t="s">
        <v>3000</v>
      </c>
      <c r="Q574">
        <v>110924</v>
      </c>
      <c r="R574" t="s">
        <v>3001</v>
      </c>
      <c r="S574">
        <v>322</v>
      </c>
      <c r="T574" t="b">
        <v>0</v>
      </c>
      <c r="U574">
        <v>3</v>
      </c>
      <c r="V574">
        <v>7</v>
      </c>
      <c r="W574" t="s">
        <v>35</v>
      </c>
      <c r="X574" t="s">
        <v>29</v>
      </c>
      <c r="Y574" t="s">
        <v>3515</v>
      </c>
      <c r="Z574" t="s">
        <v>37</v>
      </c>
      <c r="AA574">
        <f>TwitterClean[[#This Row],[likes]]+TwitterClean[[#This Row],[replies]]+TwitterClean[[#This Row],[reposts]]+TwitterClean[[#This Row],[quotes]]+TwitterClean[[#This Row],[bookmarks]]</f>
        <v>1024</v>
      </c>
      <c r="AB574" s="1">
        <f>TwitterClean[[#This Row],[Total_Engagements]]/TwitterClean[[#This Row],[views]]</f>
        <v>8.0480999724918453E-3</v>
      </c>
      <c r="AC574" s="3">
        <f>DATEVALUE(MID(TwitterClean[[#This Row],[date_posted]],2,10))</f>
        <v>45641</v>
      </c>
      <c r="AD574">
        <f>TIMEVALUE(MID(TwitterClean[[#This Row],[date_posted]],13,8))</f>
        <v>0.57564814814814813</v>
      </c>
      <c r="AE574" s="3" t="str">
        <f>TEXT(TwitterClean[[#This Row],[Post_Date]],"dddd")</f>
        <v>Sunday</v>
      </c>
      <c r="AF574">
        <f>HOUR(TwitterClean[[#This Row],[Post_Time]])</f>
        <v>13</v>
      </c>
      <c r="AG574" t="str">
        <f>IF(TwitterClean[[#This Row],[videos]]="Null","No","Yes")</f>
        <v>Yes</v>
      </c>
      <c r="AH574" t="str">
        <f>IF(TwitterClean[[#This Row],[photos]]="null","No","Yes")</f>
        <v>No</v>
      </c>
      <c r="AI574" t="str">
        <f>IF(TwitterClean[[#This Row],[hashtags]]="null","No","Yes")</f>
        <v>Yes</v>
      </c>
      <c r="AJ574" t="str">
        <f>IF(TwitterClean[[#This Row],[external_url]]="null","Yes","No")</f>
        <v>No</v>
      </c>
      <c r="AK574">
        <f>LEN(TwitterClean[[#This Row],[description]])</f>
        <v>41</v>
      </c>
      <c r="AL574" t="str">
        <f>IF(TwitterClean[[#This Row],[followers]]&lt;100000,"&lt;100K",IF(TwitterClean[[#This Row],[followers]]&lt;1000000,"100K-1M",IF(TwitterClean[[#This Row],[followers]]&lt;10000000,"1M-10M","10M+")))</f>
        <v>100K-1M</v>
      </c>
    </row>
    <row r="575" spans="1:38">
      <c r="A575">
        <v>1.868314331630498E+18</v>
      </c>
      <c r="B575" t="s">
        <v>3837</v>
      </c>
      <c r="C575" t="s">
        <v>3838</v>
      </c>
      <c r="D575" t="s">
        <v>4585</v>
      </c>
      <c r="E575" t="s">
        <v>4586</v>
      </c>
      <c r="F575" t="s">
        <v>29</v>
      </c>
      <c r="G575" t="s">
        <v>4587</v>
      </c>
      <c r="H575" t="s">
        <v>29</v>
      </c>
      <c r="I575">
        <v>13</v>
      </c>
      <c r="J575">
        <v>28</v>
      </c>
      <c r="K575">
        <v>348</v>
      </c>
      <c r="L575">
        <v>49199</v>
      </c>
      <c r="M575" t="s">
        <v>4506</v>
      </c>
      <c r="N575" t="s">
        <v>3843</v>
      </c>
      <c r="O575">
        <v>984256</v>
      </c>
      <c r="P575" t="s">
        <v>3844</v>
      </c>
      <c r="Q575">
        <v>136135</v>
      </c>
      <c r="R575" t="s">
        <v>3845</v>
      </c>
      <c r="S575">
        <v>438</v>
      </c>
      <c r="T575" t="b">
        <v>0</v>
      </c>
      <c r="U575">
        <v>3</v>
      </c>
      <c r="V575">
        <v>2</v>
      </c>
      <c r="W575" t="s">
        <v>35</v>
      </c>
      <c r="X575" t="s">
        <v>29</v>
      </c>
      <c r="Y575" t="s">
        <v>29</v>
      </c>
      <c r="Z575" t="s">
        <v>37</v>
      </c>
      <c r="AA575">
        <f>TwitterClean[[#This Row],[likes]]+TwitterClean[[#This Row],[replies]]+TwitterClean[[#This Row],[reposts]]+TwitterClean[[#This Row],[quotes]]+TwitterClean[[#This Row],[bookmarks]]</f>
        <v>394</v>
      </c>
      <c r="AB575" s="1">
        <f>TwitterClean[[#This Row],[Total_Engagements]]/TwitterClean[[#This Row],[views]]</f>
        <v>8.0082928514807212E-3</v>
      </c>
      <c r="AC575" s="3">
        <f>DATEVALUE(MID(TwitterClean[[#This Row],[date_posted]],2,10))</f>
        <v>45641</v>
      </c>
      <c r="AD575">
        <f>TIMEVALUE(MID(TwitterClean[[#This Row],[date_posted]],13,8))</f>
        <v>0.6368287037037037</v>
      </c>
      <c r="AE575" s="3" t="str">
        <f>TEXT(TwitterClean[[#This Row],[Post_Date]],"dddd")</f>
        <v>Sunday</v>
      </c>
      <c r="AF575">
        <f>HOUR(TwitterClean[[#This Row],[Post_Time]])</f>
        <v>15</v>
      </c>
      <c r="AG575" t="str">
        <f>IF(TwitterClean[[#This Row],[videos]]="Null","No","Yes")</f>
        <v>No</v>
      </c>
      <c r="AH575" t="str">
        <f>IF(TwitterClean[[#This Row],[photos]]="null","No","Yes")</f>
        <v>No</v>
      </c>
      <c r="AI575" t="str">
        <f>IF(TwitterClean[[#This Row],[hashtags]]="null","No","Yes")</f>
        <v>Yes</v>
      </c>
      <c r="AJ575" t="str">
        <f>IF(TwitterClean[[#This Row],[external_url]]="null","Yes","No")</f>
        <v>No</v>
      </c>
      <c r="AK575">
        <f>LEN(TwitterClean[[#This Row],[description]])</f>
        <v>65</v>
      </c>
      <c r="AL575" t="str">
        <f>IF(TwitterClean[[#This Row],[followers]]&lt;100000,"&lt;100K",IF(TwitterClean[[#This Row],[followers]]&lt;1000000,"100K-1M",IF(TwitterClean[[#This Row],[followers]]&lt;10000000,"1M-10M","10M+")))</f>
        <v>100K-1M</v>
      </c>
    </row>
    <row r="576" spans="1:38">
      <c r="A576">
        <v>1.8683149830223383E+18</v>
      </c>
      <c r="B576" t="s">
        <v>333</v>
      </c>
      <c r="C576" t="s">
        <v>334</v>
      </c>
      <c r="D576" t="s">
        <v>1249</v>
      </c>
      <c r="E576" t="s">
        <v>1250</v>
      </c>
      <c r="F576" t="s">
        <v>1251</v>
      </c>
      <c r="G576" t="s">
        <v>1252</v>
      </c>
      <c r="H576" t="s">
        <v>908</v>
      </c>
      <c r="I576">
        <v>3</v>
      </c>
      <c r="J576">
        <v>11</v>
      </c>
      <c r="K576">
        <v>79</v>
      </c>
      <c r="L576">
        <v>11931</v>
      </c>
      <c r="M576" t="s">
        <v>52</v>
      </c>
      <c r="N576" t="s">
        <v>340</v>
      </c>
      <c r="O576">
        <v>337839</v>
      </c>
      <c r="P576" t="s">
        <v>341</v>
      </c>
      <c r="Q576">
        <v>57638</v>
      </c>
      <c r="R576" t="s">
        <v>342</v>
      </c>
      <c r="S576">
        <v>587</v>
      </c>
      <c r="T576" t="b">
        <v>0</v>
      </c>
      <c r="U576">
        <v>1</v>
      </c>
      <c r="V576">
        <v>1</v>
      </c>
      <c r="W576" t="s">
        <v>1253</v>
      </c>
      <c r="X576" t="s">
        <v>29</v>
      </c>
      <c r="Y576" t="s">
        <v>29</v>
      </c>
      <c r="Z576" t="s">
        <v>37</v>
      </c>
      <c r="AA576">
        <f>TwitterClean[[#This Row],[likes]]+TwitterClean[[#This Row],[replies]]+TwitterClean[[#This Row],[reposts]]+TwitterClean[[#This Row],[quotes]]+TwitterClean[[#This Row],[bookmarks]]</f>
        <v>95</v>
      </c>
      <c r="AB576" s="1">
        <f>TwitterClean[[#This Row],[Total_Engagements]]/TwitterClean[[#This Row],[views]]</f>
        <v>7.9624507585282032E-3</v>
      </c>
      <c r="AC576" s="3">
        <f>DATEVALUE(MID(TwitterClean[[#This Row],[date_posted]],2,10))</f>
        <v>45641</v>
      </c>
      <c r="AD576">
        <f>TIMEVALUE(MID(TwitterClean[[#This Row],[date_posted]],13,8))</f>
        <v>0.63863425925925921</v>
      </c>
      <c r="AE576" s="3" t="str">
        <f>TEXT(TwitterClean[[#This Row],[Post_Date]],"dddd")</f>
        <v>Sunday</v>
      </c>
      <c r="AF576">
        <f>HOUR(TwitterClean[[#This Row],[Post_Time]])</f>
        <v>15</v>
      </c>
      <c r="AG576" t="str">
        <f>IF(TwitterClean[[#This Row],[videos]]="Null","No","Yes")</f>
        <v>No</v>
      </c>
      <c r="AH576" t="str">
        <f>IF(TwitterClean[[#This Row],[photos]]="null","No","Yes")</f>
        <v>Yes</v>
      </c>
      <c r="AI576" t="str">
        <f>IF(TwitterClean[[#This Row],[hashtags]]="null","No","Yes")</f>
        <v>Yes</v>
      </c>
      <c r="AJ576" t="str">
        <f>IF(TwitterClean[[#This Row],[external_url]]="null","Yes","No")</f>
        <v>No</v>
      </c>
      <c r="AK576">
        <f>LEN(TwitterClean[[#This Row],[description]])</f>
        <v>48</v>
      </c>
      <c r="AL576" t="str">
        <f>IF(TwitterClean[[#This Row],[followers]]&lt;100000,"&lt;100K",IF(TwitterClean[[#This Row],[followers]]&lt;1000000,"100K-1M",IF(TwitterClean[[#This Row],[followers]]&lt;10000000,"1M-10M","10M+")))</f>
        <v>100K-1M</v>
      </c>
    </row>
    <row r="577" spans="1:38">
      <c r="A577">
        <v>1.86810455799935E+18</v>
      </c>
      <c r="B577" t="s">
        <v>1656</v>
      </c>
      <c r="C577" t="s">
        <v>1657</v>
      </c>
      <c r="D577" t="s">
        <v>2002</v>
      </c>
      <c r="E577" t="s">
        <v>2003</v>
      </c>
      <c r="F577" t="s">
        <v>29</v>
      </c>
      <c r="G577" t="s">
        <v>2004</v>
      </c>
      <c r="H577" t="s">
        <v>29</v>
      </c>
      <c r="I577">
        <v>18</v>
      </c>
      <c r="J577">
        <v>13</v>
      </c>
      <c r="K577">
        <v>73</v>
      </c>
      <c r="L577">
        <v>13828</v>
      </c>
      <c r="M577" t="s">
        <v>2005</v>
      </c>
      <c r="N577" t="s">
        <v>29</v>
      </c>
      <c r="O577">
        <v>2819408</v>
      </c>
      <c r="P577" t="s">
        <v>1662</v>
      </c>
      <c r="Q577">
        <v>286269</v>
      </c>
      <c r="R577" t="s">
        <v>1663</v>
      </c>
      <c r="S577">
        <v>4</v>
      </c>
      <c r="T577" t="b">
        <v>0</v>
      </c>
      <c r="U577">
        <v>4</v>
      </c>
      <c r="V577">
        <v>2</v>
      </c>
      <c r="W577" t="s">
        <v>35</v>
      </c>
      <c r="X577" t="s">
        <v>2006</v>
      </c>
      <c r="Y577" t="s">
        <v>29</v>
      </c>
      <c r="Z577" t="s">
        <v>37</v>
      </c>
      <c r="AA577">
        <f>TwitterClean[[#This Row],[likes]]+TwitterClean[[#This Row],[replies]]+TwitterClean[[#This Row],[reposts]]+TwitterClean[[#This Row],[quotes]]+TwitterClean[[#This Row],[bookmarks]]</f>
        <v>110</v>
      </c>
      <c r="AB577" s="1">
        <f>TwitterClean[[#This Row],[Total_Engagements]]/TwitterClean[[#This Row],[views]]</f>
        <v>7.954874168354064E-3</v>
      </c>
      <c r="AC577" s="3">
        <f>DATEVALUE(MID(TwitterClean[[#This Row],[date_posted]],2,10))</f>
        <v>45641</v>
      </c>
      <c r="AD577">
        <f>TIMEVALUE(MID(TwitterClean[[#This Row],[date_posted]],13,8))</f>
        <v>5.7962962962962966E-2</v>
      </c>
      <c r="AE577" s="3" t="str">
        <f>TEXT(TwitterClean[[#This Row],[Post_Date]],"dddd")</f>
        <v>Sunday</v>
      </c>
      <c r="AF577">
        <f>HOUR(TwitterClean[[#This Row],[Post_Time]])</f>
        <v>1</v>
      </c>
      <c r="AG577" t="str">
        <f>IF(TwitterClean[[#This Row],[videos]]="Null","No","Yes")</f>
        <v>No</v>
      </c>
      <c r="AH577" t="str">
        <f>IF(TwitterClean[[#This Row],[photos]]="null","No","Yes")</f>
        <v>No</v>
      </c>
      <c r="AI577" t="str">
        <f>IF(TwitterClean[[#This Row],[hashtags]]="null","No","Yes")</f>
        <v>No</v>
      </c>
      <c r="AJ577" t="str">
        <f>IF(TwitterClean[[#This Row],[external_url]]="null","Yes","No")</f>
        <v>No</v>
      </c>
      <c r="AK577">
        <f>LEN(TwitterClean[[#This Row],[description]])</f>
        <v>67</v>
      </c>
      <c r="AL577" t="str">
        <f>IF(TwitterClean[[#This Row],[followers]]&lt;100000,"&lt;100K",IF(TwitterClean[[#This Row],[followers]]&lt;1000000,"100K-1M",IF(TwitterClean[[#This Row],[followers]]&lt;10000000,"1M-10M","10M+")))</f>
        <v>1M-10M</v>
      </c>
    </row>
    <row r="578" spans="1:38">
      <c r="A578">
        <v>1.8649287628336133E+18</v>
      </c>
      <c r="B578" t="s">
        <v>2714</v>
      </c>
      <c r="C578" t="s">
        <v>2715</v>
      </c>
      <c r="D578" t="s">
        <v>2739</v>
      </c>
      <c r="E578" t="s">
        <v>2740</v>
      </c>
      <c r="F578" t="s">
        <v>29</v>
      </c>
      <c r="G578" t="s">
        <v>2741</v>
      </c>
      <c r="H578" t="s">
        <v>2742</v>
      </c>
      <c r="I578">
        <v>1</v>
      </c>
      <c r="J578">
        <v>2</v>
      </c>
      <c r="K578">
        <v>32</v>
      </c>
      <c r="L578">
        <v>4778</v>
      </c>
      <c r="M578" t="s">
        <v>52</v>
      </c>
      <c r="N578" t="s">
        <v>29</v>
      </c>
      <c r="O578">
        <v>182895</v>
      </c>
      <c r="P578" t="s">
        <v>2720</v>
      </c>
      <c r="Q578">
        <v>30781</v>
      </c>
      <c r="R578" t="s">
        <v>2721</v>
      </c>
      <c r="S578">
        <v>559</v>
      </c>
      <c r="T578" t="b">
        <v>0</v>
      </c>
      <c r="U578">
        <v>1</v>
      </c>
      <c r="V578">
        <v>2</v>
      </c>
      <c r="W578" t="s">
        <v>35</v>
      </c>
      <c r="X578" t="s">
        <v>29</v>
      </c>
      <c r="Y578" t="s">
        <v>2743</v>
      </c>
      <c r="Z578" t="s">
        <v>37</v>
      </c>
      <c r="AA578">
        <f>TwitterClean[[#This Row],[likes]]+TwitterClean[[#This Row],[replies]]+TwitterClean[[#This Row],[reposts]]+TwitterClean[[#This Row],[quotes]]+TwitterClean[[#This Row],[bookmarks]]</f>
        <v>38</v>
      </c>
      <c r="AB578" s="1">
        <f>TwitterClean[[#This Row],[Total_Engagements]]/TwitterClean[[#This Row],[views]]</f>
        <v>7.9531184596065303E-3</v>
      </c>
      <c r="AC578" s="3">
        <f>DATEVALUE(MID(TwitterClean[[#This Row],[date_posted]],2,10))</f>
        <v>45632</v>
      </c>
      <c r="AD578">
        <f>TIMEVALUE(MID(TwitterClean[[#This Row],[date_posted]],13,8))</f>
        <v>0.29444444444444445</v>
      </c>
      <c r="AE578" s="3" t="str">
        <f>TEXT(TwitterClean[[#This Row],[Post_Date]],"dddd")</f>
        <v>Friday</v>
      </c>
      <c r="AF578">
        <f>HOUR(TwitterClean[[#This Row],[Post_Time]])</f>
        <v>7</v>
      </c>
      <c r="AG578" t="str">
        <f>IF(TwitterClean[[#This Row],[videos]]="Null","No","Yes")</f>
        <v>Yes</v>
      </c>
      <c r="AH578" t="str">
        <f>IF(TwitterClean[[#This Row],[photos]]="null","No","Yes")</f>
        <v>No</v>
      </c>
      <c r="AI578" t="str">
        <f>IF(TwitterClean[[#This Row],[hashtags]]="null","No","Yes")</f>
        <v>No</v>
      </c>
      <c r="AJ578" t="str">
        <f>IF(TwitterClean[[#This Row],[external_url]]="null","Yes","No")</f>
        <v>No</v>
      </c>
      <c r="AK578">
        <f>LEN(TwitterClean[[#This Row],[description]])</f>
        <v>54</v>
      </c>
      <c r="AL578" t="str">
        <f>IF(TwitterClean[[#This Row],[followers]]&lt;100000,"&lt;100K",IF(TwitterClean[[#This Row],[followers]]&lt;1000000,"100K-1M",IF(TwitterClean[[#This Row],[followers]]&lt;10000000,"1M-10M","10M+")))</f>
        <v>100K-1M</v>
      </c>
    </row>
    <row r="579" spans="1:38">
      <c r="A579">
        <v>1.8681892743882307E+18</v>
      </c>
      <c r="B579" t="s">
        <v>3034</v>
      </c>
      <c r="C579" t="s">
        <v>3035</v>
      </c>
      <c r="D579" t="s">
        <v>4785</v>
      </c>
      <c r="E579" t="s">
        <v>4786</v>
      </c>
      <c r="F579" t="s">
        <v>4787</v>
      </c>
      <c r="G579" t="s">
        <v>4788</v>
      </c>
      <c r="H579" t="s">
        <v>4789</v>
      </c>
      <c r="I579">
        <v>69</v>
      </c>
      <c r="J579">
        <v>85</v>
      </c>
      <c r="K579">
        <v>1136</v>
      </c>
      <c r="L579">
        <v>166359</v>
      </c>
      <c r="M579" t="s">
        <v>52</v>
      </c>
      <c r="N579" t="s">
        <v>3040</v>
      </c>
      <c r="O579">
        <v>12876592</v>
      </c>
      <c r="P579" t="s">
        <v>3041</v>
      </c>
      <c r="Q579">
        <v>141401</v>
      </c>
      <c r="R579" t="s">
        <v>3042</v>
      </c>
      <c r="S579">
        <v>717</v>
      </c>
      <c r="T579" t="b">
        <v>0</v>
      </c>
      <c r="U579">
        <v>11</v>
      </c>
      <c r="V579">
        <v>21</v>
      </c>
      <c r="W579" t="s">
        <v>35</v>
      </c>
      <c r="X579" t="s">
        <v>29</v>
      </c>
      <c r="Y579" t="s">
        <v>29</v>
      </c>
      <c r="Z579" t="s">
        <v>37</v>
      </c>
      <c r="AA579">
        <f>TwitterClean[[#This Row],[likes]]+TwitterClean[[#This Row],[replies]]+TwitterClean[[#This Row],[reposts]]+TwitterClean[[#This Row],[quotes]]+TwitterClean[[#This Row],[bookmarks]]</f>
        <v>1322</v>
      </c>
      <c r="AB579" s="1">
        <f>TwitterClean[[#This Row],[Total_Engagements]]/TwitterClean[[#This Row],[views]]</f>
        <v>7.9466695519929791E-3</v>
      </c>
      <c r="AC579" s="3">
        <f>DATEVALUE(MID(TwitterClean[[#This Row],[date_posted]],2,10))</f>
        <v>45641</v>
      </c>
      <c r="AD579">
        <f>TIMEVALUE(MID(TwitterClean[[#This Row],[date_posted]],13,8))</f>
        <v>0.29173611111111108</v>
      </c>
      <c r="AE579" s="3" t="str">
        <f>TEXT(TwitterClean[[#This Row],[Post_Date]],"dddd")</f>
        <v>Sunday</v>
      </c>
      <c r="AF579">
        <f>HOUR(TwitterClean[[#This Row],[Post_Time]])</f>
        <v>7</v>
      </c>
      <c r="AG579" t="str">
        <f>IF(TwitterClean[[#This Row],[videos]]="Null","No","Yes")</f>
        <v>No</v>
      </c>
      <c r="AH579" t="str">
        <f>IF(TwitterClean[[#This Row],[photos]]="null","No","Yes")</f>
        <v>Yes</v>
      </c>
      <c r="AI579" t="str">
        <f>IF(TwitterClean[[#This Row],[hashtags]]="null","No","Yes")</f>
        <v>Yes</v>
      </c>
      <c r="AJ579" t="str">
        <f>IF(TwitterClean[[#This Row],[external_url]]="null","Yes","No")</f>
        <v>No</v>
      </c>
      <c r="AK579">
        <f>LEN(TwitterClean[[#This Row],[description]])</f>
        <v>115</v>
      </c>
      <c r="AL579" t="str">
        <f>IF(TwitterClean[[#This Row],[followers]]&lt;100000,"&lt;100K",IF(TwitterClean[[#This Row],[followers]]&lt;1000000,"100K-1M",IF(TwitterClean[[#This Row],[followers]]&lt;10000000,"1M-10M","10M+")))</f>
        <v>10M+</v>
      </c>
    </row>
    <row r="580" spans="1:38">
      <c r="A580">
        <v>1.8682800956321754E+18</v>
      </c>
      <c r="B580" t="s">
        <v>4694</v>
      </c>
      <c r="C580" t="s">
        <v>4695</v>
      </c>
      <c r="D580" t="s">
        <v>5199</v>
      </c>
      <c r="E580" t="s">
        <v>5200</v>
      </c>
      <c r="F580" t="s">
        <v>5201</v>
      </c>
      <c r="G580" t="s">
        <v>5202</v>
      </c>
      <c r="H580" t="s">
        <v>5203</v>
      </c>
      <c r="I580">
        <v>2</v>
      </c>
      <c r="J580">
        <v>16</v>
      </c>
      <c r="K580">
        <v>45</v>
      </c>
      <c r="L580">
        <v>8093</v>
      </c>
      <c r="M580" t="s">
        <v>52</v>
      </c>
      <c r="N580" t="s">
        <v>4820</v>
      </c>
      <c r="O580">
        <v>1123807</v>
      </c>
      <c r="P580" t="s">
        <v>4702</v>
      </c>
      <c r="Q580">
        <v>34290</v>
      </c>
      <c r="R580" t="s">
        <v>4703</v>
      </c>
      <c r="S580">
        <v>63</v>
      </c>
      <c r="T580" t="b">
        <v>0</v>
      </c>
      <c r="U580">
        <v>0</v>
      </c>
      <c r="V580">
        <v>1</v>
      </c>
      <c r="W580" t="s">
        <v>35</v>
      </c>
      <c r="X580" t="s">
        <v>29</v>
      </c>
      <c r="Y580" t="s">
        <v>29</v>
      </c>
      <c r="Z580" t="s">
        <v>37</v>
      </c>
      <c r="AA580">
        <f>TwitterClean[[#This Row],[likes]]+TwitterClean[[#This Row],[replies]]+TwitterClean[[#This Row],[reposts]]+TwitterClean[[#This Row],[quotes]]+TwitterClean[[#This Row],[bookmarks]]</f>
        <v>64</v>
      </c>
      <c r="AB580" s="1">
        <f>TwitterClean[[#This Row],[Total_Engagements]]/TwitterClean[[#This Row],[views]]</f>
        <v>7.9080687013468424E-3</v>
      </c>
      <c r="AC580" s="3">
        <f>DATEVALUE(MID(TwitterClean[[#This Row],[date_posted]],2,10))</f>
        <v>45641</v>
      </c>
      <c r="AD580">
        <f>TIMEVALUE(MID(TwitterClean[[#This Row],[date_posted]],13,8))</f>
        <v>0.54236111111111107</v>
      </c>
      <c r="AE580" s="3" t="str">
        <f>TEXT(TwitterClean[[#This Row],[Post_Date]],"dddd")</f>
        <v>Sunday</v>
      </c>
      <c r="AF580">
        <f>HOUR(TwitterClean[[#This Row],[Post_Time]])</f>
        <v>13</v>
      </c>
      <c r="AG580" t="str">
        <f>IF(TwitterClean[[#This Row],[videos]]="Null","No","Yes")</f>
        <v>No</v>
      </c>
      <c r="AH580" t="str">
        <f>IF(TwitterClean[[#This Row],[photos]]="null","No","Yes")</f>
        <v>Yes</v>
      </c>
      <c r="AI580" t="str">
        <f>IF(TwitterClean[[#This Row],[hashtags]]="null","No","Yes")</f>
        <v>Yes</v>
      </c>
      <c r="AJ580" t="str">
        <f>IF(TwitterClean[[#This Row],[external_url]]="null","Yes","No")</f>
        <v>No</v>
      </c>
      <c r="AK580">
        <f>LEN(TwitterClean[[#This Row],[description]])</f>
        <v>182</v>
      </c>
      <c r="AL580" t="str">
        <f>IF(TwitterClean[[#This Row],[followers]]&lt;100000,"&lt;100K",IF(TwitterClean[[#This Row],[followers]]&lt;1000000,"100K-1M",IF(TwitterClean[[#This Row],[followers]]&lt;10000000,"1M-10M","10M+")))</f>
        <v>1M-10M</v>
      </c>
    </row>
    <row r="581" spans="1:38">
      <c r="A581">
        <v>1.8681184768813304E+18</v>
      </c>
      <c r="B581" t="s">
        <v>3034</v>
      </c>
      <c r="C581" t="s">
        <v>3035</v>
      </c>
      <c r="D581" t="s">
        <v>3432</v>
      </c>
      <c r="E581" t="s">
        <v>3433</v>
      </c>
      <c r="F581" t="s">
        <v>29</v>
      </c>
      <c r="G581" t="s">
        <v>3434</v>
      </c>
      <c r="H581" t="s">
        <v>3435</v>
      </c>
      <c r="I581">
        <v>46</v>
      </c>
      <c r="J581">
        <v>59</v>
      </c>
      <c r="K581">
        <v>834</v>
      </c>
      <c r="L581">
        <v>121128</v>
      </c>
      <c r="M581" t="s">
        <v>52</v>
      </c>
      <c r="N581" t="s">
        <v>3040</v>
      </c>
      <c r="O581">
        <v>12876593</v>
      </c>
      <c r="P581" t="s">
        <v>3041</v>
      </c>
      <c r="Q581">
        <v>141401</v>
      </c>
      <c r="R581" t="s">
        <v>3042</v>
      </c>
      <c r="S581">
        <v>717</v>
      </c>
      <c r="T581" t="b">
        <v>0</v>
      </c>
      <c r="U581">
        <v>5</v>
      </c>
      <c r="V581">
        <v>10</v>
      </c>
      <c r="W581" t="s">
        <v>35</v>
      </c>
      <c r="X581" t="s">
        <v>29</v>
      </c>
      <c r="Y581" t="s">
        <v>3436</v>
      </c>
      <c r="Z581" t="s">
        <v>37</v>
      </c>
      <c r="AA581">
        <f>TwitterClean[[#This Row],[likes]]+TwitterClean[[#This Row],[replies]]+TwitterClean[[#This Row],[reposts]]+TwitterClean[[#This Row],[quotes]]+TwitterClean[[#This Row],[bookmarks]]</f>
        <v>954</v>
      </c>
      <c r="AB581" s="1">
        <f>TwitterClean[[#This Row],[Total_Engagements]]/TwitterClean[[#This Row],[views]]</f>
        <v>7.8759659203487212E-3</v>
      </c>
      <c r="AC581" s="3">
        <f>DATEVALUE(MID(TwitterClean[[#This Row],[date_posted]],2,10))</f>
        <v>45641</v>
      </c>
      <c r="AD581">
        <f>TIMEVALUE(MID(TwitterClean[[#This Row],[date_posted]],13,8))</f>
        <v>9.6377314814814818E-2</v>
      </c>
      <c r="AE581" s="3" t="str">
        <f>TEXT(TwitterClean[[#This Row],[Post_Date]],"dddd")</f>
        <v>Sunday</v>
      </c>
      <c r="AF581">
        <f>HOUR(TwitterClean[[#This Row],[Post_Time]])</f>
        <v>2</v>
      </c>
      <c r="AG581" t="str">
        <f>IF(TwitterClean[[#This Row],[videos]]="Null","No","Yes")</f>
        <v>Yes</v>
      </c>
      <c r="AH581" t="str">
        <f>IF(TwitterClean[[#This Row],[photos]]="null","No","Yes")</f>
        <v>No</v>
      </c>
      <c r="AI581" t="str">
        <f>IF(TwitterClean[[#This Row],[hashtags]]="null","No","Yes")</f>
        <v>Yes</v>
      </c>
      <c r="AJ581" t="str">
        <f>IF(TwitterClean[[#This Row],[external_url]]="null","Yes","No")</f>
        <v>No</v>
      </c>
      <c r="AK581">
        <f>LEN(TwitterClean[[#This Row],[description]])</f>
        <v>99</v>
      </c>
      <c r="AL581" t="str">
        <f>IF(TwitterClean[[#This Row],[followers]]&lt;100000,"&lt;100K",IF(TwitterClean[[#This Row],[followers]]&lt;1000000,"100K-1M",IF(TwitterClean[[#This Row],[followers]]&lt;10000000,"1M-10M","10M+")))</f>
        <v>10M+</v>
      </c>
    </row>
    <row r="582" spans="1:38">
      <c r="A582">
        <v>1.8682120616266348E+18</v>
      </c>
      <c r="B582" t="s">
        <v>4710</v>
      </c>
      <c r="C582" t="s">
        <v>4711</v>
      </c>
      <c r="D582" t="s">
        <v>5217</v>
      </c>
      <c r="E582" t="s">
        <v>5218</v>
      </c>
      <c r="F582" t="s">
        <v>5219</v>
      </c>
      <c r="G582" t="s">
        <v>5220</v>
      </c>
      <c r="H582" t="s">
        <v>29</v>
      </c>
      <c r="I582">
        <v>4</v>
      </c>
      <c r="J582">
        <v>4</v>
      </c>
      <c r="K582">
        <v>66</v>
      </c>
      <c r="L582">
        <v>9943</v>
      </c>
      <c r="M582" t="s">
        <v>52</v>
      </c>
      <c r="N582" t="s">
        <v>4716</v>
      </c>
      <c r="O582">
        <v>551401</v>
      </c>
      <c r="P582" t="s">
        <v>4717</v>
      </c>
      <c r="Q582">
        <v>40407</v>
      </c>
      <c r="R582" t="s">
        <v>4718</v>
      </c>
      <c r="S582">
        <v>282</v>
      </c>
      <c r="T582" t="b">
        <v>0</v>
      </c>
      <c r="U582">
        <v>3</v>
      </c>
      <c r="V582">
        <v>1</v>
      </c>
      <c r="W582" t="s">
        <v>35</v>
      </c>
      <c r="X582" t="s">
        <v>29</v>
      </c>
      <c r="Y582" t="s">
        <v>29</v>
      </c>
      <c r="Z582" t="s">
        <v>37</v>
      </c>
      <c r="AA582">
        <f>TwitterClean[[#This Row],[likes]]+TwitterClean[[#This Row],[replies]]+TwitterClean[[#This Row],[reposts]]+TwitterClean[[#This Row],[quotes]]+TwitterClean[[#This Row],[bookmarks]]</f>
        <v>78</v>
      </c>
      <c r="AB582" s="1">
        <f>TwitterClean[[#This Row],[Total_Engagements]]/TwitterClean[[#This Row],[views]]</f>
        <v>7.8447148747862825E-3</v>
      </c>
      <c r="AC582" s="3">
        <f>DATEVALUE(MID(TwitterClean[[#This Row],[date_posted]],2,10))</f>
        <v>45641</v>
      </c>
      <c r="AD582">
        <f>TIMEVALUE(MID(TwitterClean[[#This Row],[date_posted]],13,8))</f>
        <v>0.35461805555555553</v>
      </c>
      <c r="AE582" s="3" t="str">
        <f>TEXT(TwitterClean[[#This Row],[Post_Date]],"dddd")</f>
        <v>Sunday</v>
      </c>
      <c r="AF582">
        <f>HOUR(TwitterClean[[#This Row],[Post_Time]])</f>
        <v>8</v>
      </c>
      <c r="AG582" t="str">
        <f>IF(TwitterClean[[#This Row],[videos]]="Null","No","Yes")</f>
        <v>No</v>
      </c>
      <c r="AH582" t="str">
        <f>IF(TwitterClean[[#This Row],[photos]]="null","No","Yes")</f>
        <v>Yes</v>
      </c>
      <c r="AI582" t="str">
        <f>IF(TwitterClean[[#This Row],[hashtags]]="null","No","Yes")</f>
        <v>Yes</v>
      </c>
      <c r="AJ582" t="str">
        <f>IF(TwitterClean[[#This Row],[external_url]]="null","Yes","No")</f>
        <v>No</v>
      </c>
      <c r="AK582">
        <f>LEN(TwitterClean[[#This Row],[description]])</f>
        <v>68</v>
      </c>
      <c r="AL582" t="str">
        <f>IF(TwitterClean[[#This Row],[followers]]&lt;100000,"&lt;100K",IF(TwitterClean[[#This Row],[followers]]&lt;1000000,"100K-1M",IF(TwitterClean[[#This Row],[followers]]&lt;10000000,"1M-10M","10M+")))</f>
        <v>100K-1M</v>
      </c>
    </row>
    <row r="583" spans="1:38">
      <c r="A583">
        <v>1.8656977788205957E+18</v>
      </c>
      <c r="B583" t="s">
        <v>2714</v>
      </c>
      <c r="C583" t="s">
        <v>2715</v>
      </c>
      <c r="D583" t="s">
        <v>2734</v>
      </c>
      <c r="E583" t="s">
        <v>2735</v>
      </c>
      <c r="F583" t="s">
        <v>29</v>
      </c>
      <c r="G583" t="s">
        <v>2736</v>
      </c>
      <c r="H583" t="s">
        <v>29</v>
      </c>
      <c r="I583">
        <v>7</v>
      </c>
      <c r="J583">
        <v>4</v>
      </c>
      <c r="K583">
        <v>98</v>
      </c>
      <c r="L583">
        <v>15170</v>
      </c>
      <c r="M583" t="s">
        <v>52</v>
      </c>
      <c r="N583" t="s">
        <v>2737</v>
      </c>
      <c r="O583">
        <v>182895</v>
      </c>
      <c r="P583" t="s">
        <v>2720</v>
      </c>
      <c r="Q583">
        <v>30781</v>
      </c>
      <c r="R583" t="s">
        <v>2721</v>
      </c>
      <c r="S583">
        <v>559</v>
      </c>
      <c r="T583" t="b">
        <v>0</v>
      </c>
      <c r="U583">
        <v>3</v>
      </c>
      <c r="V583">
        <v>7</v>
      </c>
      <c r="W583" t="s">
        <v>35</v>
      </c>
      <c r="X583" t="s">
        <v>29</v>
      </c>
      <c r="Y583" t="s">
        <v>2738</v>
      </c>
      <c r="Z583" t="s">
        <v>37</v>
      </c>
      <c r="AA583">
        <f>TwitterClean[[#This Row],[likes]]+TwitterClean[[#This Row],[replies]]+TwitterClean[[#This Row],[reposts]]+TwitterClean[[#This Row],[quotes]]+TwitterClean[[#This Row],[bookmarks]]</f>
        <v>119</v>
      </c>
      <c r="AB583" s="1">
        <f>TwitterClean[[#This Row],[Total_Engagements]]/TwitterClean[[#This Row],[views]]</f>
        <v>7.8444297956493086E-3</v>
      </c>
      <c r="AC583" s="3">
        <f>DATEVALUE(MID(TwitterClean[[#This Row],[date_posted]],2,10))</f>
        <v>45634</v>
      </c>
      <c r="AD583">
        <f>TIMEVALUE(MID(TwitterClean[[#This Row],[date_posted]],13,8))</f>
        <v>0.41652777777777777</v>
      </c>
      <c r="AE583" s="3" t="str">
        <f>TEXT(TwitterClean[[#This Row],[Post_Date]],"dddd")</f>
        <v>Sunday</v>
      </c>
      <c r="AF583">
        <f>HOUR(TwitterClean[[#This Row],[Post_Time]])</f>
        <v>9</v>
      </c>
      <c r="AG583" t="str">
        <f>IF(TwitterClean[[#This Row],[videos]]="Null","No","Yes")</f>
        <v>Yes</v>
      </c>
      <c r="AH583" t="str">
        <f>IF(TwitterClean[[#This Row],[photos]]="null","No","Yes")</f>
        <v>No</v>
      </c>
      <c r="AI583" t="str">
        <f>IF(TwitterClean[[#This Row],[hashtags]]="null","No","Yes")</f>
        <v>Yes</v>
      </c>
      <c r="AJ583" t="str">
        <f>IF(TwitterClean[[#This Row],[external_url]]="null","Yes","No")</f>
        <v>No</v>
      </c>
      <c r="AK583">
        <f>LEN(TwitterClean[[#This Row],[description]])</f>
        <v>98</v>
      </c>
      <c r="AL583" t="str">
        <f>IF(TwitterClean[[#This Row],[followers]]&lt;100000,"&lt;100K",IF(TwitterClean[[#This Row],[followers]]&lt;1000000,"100K-1M",IF(TwitterClean[[#This Row],[followers]]&lt;10000000,"1M-10M","10M+")))</f>
        <v>100K-1M</v>
      </c>
    </row>
    <row r="584" spans="1:38">
      <c r="A584">
        <v>1.8682841216693207E+18</v>
      </c>
      <c r="B584" t="s">
        <v>1280</v>
      </c>
      <c r="C584" t="s">
        <v>1281</v>
      </c>
      <c r="D584" t="s">
        <v>1513</v>
      </c>
      <c r="E584" t="s">
        <v>1306</v>
      </c>
      <c r="F584" t="s">
        <v>29</v>
      </c>
      <c r="G584" t="s">
        <v>1514</v>
      </c>
      <c r="H584" t="s">
        <v>29</v>
      </c>
      <c r="I584">
        <v>99</v>
      </c>
      <c r="J584">
        <v>106</v>
      </c>
      <c r="K584">
        <v>1124</v>
      </c>
      <c r="L584">
        <v>172199</v>
      </c>
      <c r="M584" t="s">
        <v>1515</v>
      </c>
      <c r="N584" t="s">
        <v>1516</v>
      </c>
      <c r="O584">
        <v>38439078</v>
      </c>
      <c r="P584" t="s">
        <v>1287</v>
      </c>
      <c r="Q584">
        <v>92455</v>
      </c>
      <c r="R584" t="s">
        <v>1288</v>
      </c>
      <c r="S584">
        <v>145</v>
      </c>
      <c r="T584" t="b">
        <v>0</v>
      </c>
      <c r="U584">
        <v>2</v>
      </c>
      <c r="V584">
        <v>7</v>
      </c>
      <c r="W584" t="s">
        <v>35</v>
      </c>
      <c r="X584" t="s">
        <v>29</v>
      </c>
      <c r="Y584" t="s">
        <v>29</v>
      </c>
      <c r="Z584" t="s">
        <v>37</v>
      </c>
      <c r="AA584">
        <f>TwitterClean[[#This Row],[likes]]+TwitterClean[[#This Row],[replies]]+TwitterClean[[#This Row],[reposts]]+TwitterClean[[#This Row],[quotes]]+TwitterClean[[#This Row],[bookmarks]]</f>
        <v>1338</v>
      </c>
      <c r="AB584" s="1">
        <f>TwitterClean[[#This Row],[Total_Engagements]]/TwitterClean[[#This Row],[views]]</f>
        <v>7.7700799656211707E-3</v>
      </c>
      <c r="AC584" s="3">
        <f>DATEVALUE(MID(TwitterClean[[#This Row],[date_posted]],2,10))</f>
        <v>45641</v>
      </c>
      <c r="AD584">
        <f>TIMEVALUE(MID(TwitterClean[[#This Row],[date_posted]],13,8))</f>
        <v>0.55347222222222225</v>
      </c>
      <c r="AE584" s="3" t="str">
        <f>TEXT(TwitterClean[[#This Row],[Post_Date]],"dddd")</f>
        <v>Sunday</v>
      </c>
      <c r="AF584">
        <f>HOUR(TwitterClean[[#This Row],[Post_Time]])</f>
        <v>13</v>
      </c>
      <c r="AG584" t="str">
        <f>IF(TwitterClean[[#This Row],[videos]]="Null","No","Yes")</f>
        <v>No</v>
      </c>
      <c r="AH584" t="str">
        <f>IF(TwitterClean[[#This Row],[photos]]="null","No","Yes")</f>
        <v>No</v>
      </c>
      <c r="AI584" t="str">
        <f>IF(TwitterClean[[#This Row],[hashtags]]="null","No","Yes")</f>
        <v>Yes</v>
      </c>
      <c r="AJ584" t="str">
        <f>IF(TwitterClean[[#This Row],[external_url]]="null","Yes","No")</f>
        <v>No</v>
      </c>
      <c r="AK584">
        <f>LEN(TwitterClean[[#This Row],[description]])</f>
        <v>144</v>
      </c>
      <c r="AL584" t="str">
        <f>IF(TwitterClean[[#This Row],[followers]]&lt;100000,"&lt;100K",IF(TwitterClean[[#This Row],[followers]]&lt;1000000,"100K-1M",IF(TwitterClean[[#This Row],[followers]]&lt;10000000,"1M-10M","10M+")))</f>
        <v>10M+</v>
      </c>
    </row>
    <row r="585" spans="1:38">
      <c r="A585">
        <v>1.8682234408528571E+18</v>
      </c>
      <c r="B585" t="s">
        <v>1047</v>
      </c>
      <c r="C585" t="s">
        <v>1048</v>
      </c>
      <c r="D585" t="s">
        <v>4533</v>
      </c>
      <c r="E585" t="s">
        <v>4534</v>
      </c>
      <c r="F585" t="s">
        <v>29</v>
      </c>
      <c r="G585" t="s">
        <v>4535</v>
      </c>
      <c r="H585" t="s">
        <v>4536</v>
      </c>
      <c r="I585">
        <v>1</v>
      </c>
      <c r="J585">
        <v>3</v>
      </c>
      <c r="K585">
        <v>52</v>
      </c>
      <c r="L585">
        <v>7794</v>
      </c>
      <c r="M585" t="s">
        <v>52</v>
      </c>
      <c r="N585" t="s">
        <v>1159</v>
      </c>
      <c r="O585">
        <v>129250</v>
      </c>
      <c r="P585" t="s">
        <v>1056</v>
      </c>
      <c r="Q585">
        <v>67189</v>
      </c>
      <c r="R585" t="s">
        <v>1057</v>
      </c>
      <c r="S585">
        <v>508</v>
      </c>
      <c r="T585" t="b">
        <v>0</v>
      </c>
      <c r="U585">
        <v>0</v>
      </c>
      <c r="V585">
        <v>4</v>
      </c>
      <c r="W585" t="s">
        <v>35</v>
      </c>
      <c r="X585" t="s">
        <v>29</v>
      </c>
      <c r="Y585" t="s">
        <v>4537</v>
      </c>
      <c r="Z585" t="s">
        <v>37</v>
      </c>
      <c r="AA585">
        <f>TwitterClean[[#This Row],[likes]]+TwitterClean[[#This Row],[replies]]+TwitterClean[[#This Row],[reposts]]+TwitterClean[[#This Row],[quotes]]+TwitterClean[[#This Row],[bookmarks]]</f>
        <v>60</v>
      </c>
      <c r="AB585" s="1">
        <f>TwitterClean[[#This Row],[Total_Engagements]]/TwitterClean[[#This Row],[views]]</f>
        <v>7.6982294072363358E-3</v>
      </c>
      <c r="AC585" s="3">
        <f>DATEVALUE(MID(TwitterClean[[#This Row],[date_posted]],2,10))</f>
        <v>45641</v>
      </c>
      <c r="AD585">
        <f>TIMEVALUE(MID(TwitterClean[[#This Row],[date_posted]],13,8))</f>
        <v>0.38601851851851854</v>
      </c>
      <c r="AE585" s="3" t="str">
        <f>TEXT(TwitterClean[[#This Row],[Post_Date]],"dddd")</f>
        <v>Sunday</v>
      </c>
      <c r="AF585">
        <f>HOUR(TwitterClean[[#This Row],[Post_Time]])</f>
        <v>9</v>
      </c>
      <c r="AG585" t="str">
        <f>IF(TwitterClean[[#This Row],[videos]]="Null","No","Yes")</f>
        <v>Yes</v>
      </c>
      <c r="AH585" t="str">
        <f>IF(TwitterClean[[#This Row],[photos]]="null","No","Yes")</f>
        <v>No</v>
      </c>
      <c r="AI585" t="str">
        <f>IF(TwitterClean[[#This Row],[hashtags]]="null","No","Yes")</f>
        <v>Yes</v>
      </c>
      <c r="AJ585" t="str">
        <f>IF(TwitterClean[[#This Row],[external_url]]="null","Yes","No")</f>
        <v>No</v>
      </c>
      <c r="AK585">
        <f>LEN(TwitterClean[[#This Row],[description]])</f>
        <v>97</v>
      </c>
      <c r="AL585" t="str">
        <f>IF(TwitterClean[[#This Row],[followers]]&lt;100000,"&lt;100K",IF(TwitterClean[[#This Row],[followers]]&lt;1000000,"100K-1M",IF(TwitterClean[[#This Row],[followers]]&lt;10000000,"1M-10M","10M+")))</f>
        <v>100K-1M</v>
      </c>
    </row>
    <row r="586" spans="1:38">
      <c r="A586">
        <v>1.8683392356082898E+18</v>
      </c>
      <c r="B586" t="s">
        <v>3168</v>
      </c>
      <c r="C586" t="s">
        <v>3169</v>
      </c>
      <c r="D586" t="s">
        <v>3182</v>
      </c>
      <c r="E586" t="s">
        <v>3183</v>
      </c>
      <c r="F586" t="s">
        <v>29</v>
      </c>
      <c r="G586" t="s">
        <v>3184</v>
      </c>
      <c r="H586" t="s">
        <v>3173</v>
      </c>
      <c r="I586">
        <v>2</v>
      </c>
      <c r="J586">
        <v>12</v>
      </c>
      <c r="K586">
        <v>138</v>
      </c>
      <c r="L586">
        <v>20031</v>
      </c>
      <c r="M586" t="s">
        <v>52</v>
      </c>
      <c r="N586" t="s">
        <v>29</v>
      </c>
      <c r="O586">
        <v>294711</v>
      </c>
      <c r="P586" t="s">
        <v>3175</v>
      </c>
      <c r="Q586">
        <v>66342</v>
      </c>
      <c r="R586" t="s">
        <v>3176</v>
      </c>
      <c r="S586">
        <v>1449</v>
      </c>
      <c r="T586" t="b">
        <v>0</v>
      </c>
      <c r="U586">
        <v>1</v>
      </c>
      <c r="V586">
        <v>1</v>
      </c>
      <c r="W586" t="s">
        <v>35</v>
      </c>
      <c r="X586" t="s">
        <v>29</v>
      </c>
      <c r="Y586" t="s">
        <v>3185</v>
      </c>
      <c r="Z586" t="s">
        <v>37</v>
      </c>
      <c r="AA586">
        <f>TwitterClean[[#This Row],[likes]]+TwitterClean[[#This Row],[replies]]+TwitterClean[[#This Row],[reposts]]+TwitterClean[[#This Row],[quotes]]+TwitterClean[[#This Row],[bookmarks]]</f>
        <v>154</v>
      </c>
      <c r="AB586" s="1">
        <f>TwitterClean[[#This Row],[Total_Engagements]]/TwitterClean[[#This Row],[views]]</f>
        <v>7.6880834706205383E-3</v>
      </c>
      <c r="AC586" s="3">
        <f>DATEVALUE(MID(TwitterClean[[#This Row],[date_posted]],2,10))</f>
        <v>45641</v>
      </c>
      <c r="AD586">
        <f>TIMEVALUE(MID(TwitterClean[[#This Row],[date_posted]],13,8))</f>
        <v>0.7055555555555556</v>
      </c>
      <c r="AE586" s="3" t="str">
        <f>TEXT(TwitterClean[[#This Row],[Post_Date]],"dddd")</f>
        <v>Sunday</v>
      </c>
      <c r="AF586">
        <f>HOUR(TwitterClean[[#This Row],[Post_Time]])</f>
        <v>16</v>
      </c>
      <c r="AG586" t="str">
        <f>IF(TwitterClean[[#This Row],[videos]]="Null","No","Yes")</f>
        <v>Yes</v>
      </c>
      <c r="AH586" t="str">
        <f>IF(TwitterClean[[#This Row],[photos]]="null","No","Yes")</f>
        <v>No</v>
      </c>
      <c r="AI586" t="str">
        <f>IF(TwitterClean[[#This Row],[hashtags]]="null","No","Yes")</f>
        <v>No</v>
      </c>
      <c r="AJ586" t="str">
        <f>IF(TwitterClean[[#This Row],[external_url]]="null","Yes","No")</f>
        <v>No</v>
      </c>
      <c r="AK586">
        <f>LEN(TwitterClean[[#This Row],[description]])</f>
        <v>89</v>
      </c>
      <c r="AL586" t="str">
        <f>IF(TwitterClean[[#This Row],[followers]]&lt;100000,"&lt;100K",IF(TwitterClean[[#This Row],[followers]]&lt;1000000,"100K-1M",IF(TwitterClean[[#This Row],[followers]]&lt;10000000,"1M-10M","10M+")))</f>
        <v>100K-1M</v>
      </c>
    </row>
    <row r="587" spans="1:38">
      <c r="A587">
        <v>1.8683446145721754E+18</v>
      </c>
      <c r="B587" t="s">
        <v>2230</v>
      </c>
      <c r="C587" t="s">
        <v>2231</v>
      </c>
      <c r="D587" t="s">
        <v>2588</v>
      </c>
      <c r="E587" t="s">
        <v>2589</v>
      </c>
      <c r="F587" t="s">
        <v>2590</v>
      </c>
      <c r="G587" t="s">
        <v>2591</v>
      </c>
      <c r="H587" t="s">
        <v>29</v>
      </c>
      <c r="I587">
        <v>28</v>
      </c>
      <c r="J587">
        <v>24</v>
      </c>
      <c r="K587">
        <v>121</v>
      </c>
      <c r="L587">
        <v>23567</v>
      </c>
      <c r="M587" t="s">
        <v>2592</v>
      </c>
      <c r="N587" t="s">
        <v>29</v>
      </c>
      <c r="O587">
        <v>3313888</v>
      </c>
      <c r="P587" t="s">
        <v>2237</v>
      </c>
      <c r="Q587">
        <v>706459</v>
      </c>
      <c r="R587" t="s">
        <v>2238</v>
      </c>
      <c r="S587">
        <v>10308</v>
      </c>
      <c r="T587" t="b">
        <v>0</v>
      </c>
      <c r="U587">
        <v>3</v>
      </c>
      <c r="V587">
        <v>5</v>
      </c>
      <c r="W587" t="s">
        <v>35</v>
      </c>
      <c r="X587" t="s">
        <v>29</v>
      </c>
      <c r="Y587" t="s">
        <v>29</v>
      </c>
      <c r="Z587" t="s">
        <v>37</v>
      </c>
      <c r="AA587">
        <f>TwitterClean[[#This Row],[likes]]+TwitterClean[[#This Row],[replies]]+TwitterClean[[#This Row],[reposts]]+TwitterClean[[#This Row],[quotes]]+TwitterClean[[#This Row],[bookmarks]]</f>
        <v>181</v>
      </c>
      <c r="AB587" s="1">
        <f>TwitterClean[[#This Row],[Total_Engagements]]/TwitterClean[[#This Row],[views]]</f>
        <v>7.680230831247083E-3</v>
      </c>
      <c r="AC587" s="3">
        <f>DATEVALUE(MID(TwitterClean[[#This Row],[date_posted]],2,10))</f>
        <v>45641</v>
      </c>
      <c r="AD587">
        <f>TIMEVALUE(MID(TwitterClean[[#This Row],[date_posted]],13,8))</f>
        <v>0.72039351851851852</v>
      </c>
      <c r="AE587" s="3" t="str">
        <f>TEXT(TwitterClean[[#This Row],[Post_Date]],"dddd")</f>
        <v>Sunday</v>
      </c>
      <c r="AF587">
        <f>HOUR(TwitterClean[[#This Row],[Post_Time]])</f>
        <v>17</v>
      </c>
      <c r="AG587" t="str">
        <f>IF(TwitterClean[[#This Row],[videos]]="Null","No","Yes")</f>
        <v>No</v>
      </c>
      <c r="AH587" t="str">
        <f>IF(TwitterClean[[#This Row],[photos]]="null","No","Yes")</f>
        <v>Yes</v>
      </c>
      <c r="AI587" t="str">
        <f>IF(TwitterClean[[#This Row],[hashtags]]="null","No","Yes")</f>
        <v>No</v>
      </c>
      <c r="AJ587" t="str">
        <f>IF(TwitterClean[[#This Row],[external_url]]="null","Yes","No")</f>
        <v>No</v>
      </c>
      <c r="AK587">
        <f>LEN(TwitterClean[[#This Row],[description]])</f>
        <v>105</v>
      </c>
      <c r="AL587" t="str">
        <f>IF(TwitterClean[[#This Row],[followers]]&lt;100000,"&lt;100K",IF(TwitterClean[[#This Row],[followers]]&lt;1000000,"100K-1M",IF(TwitterClean[[#This Row],[followers]]&lt;10000000,"1M-10M","10M+")))</f>
        <v>1M-10M</v>
      </c>
    </row>
    <row r="588" spans="1:38">
      <c r="A588">
        <v>1.8679838134959639E+18</v>
      </c>
      <c r="B588" t="s">
        <v>3973</v>
      </c>
      <c r="C588" t="s">
        <v>3974</v>
      </c>
      <c r="D588" t="s">
        <v>4049</v>
      </c>
      <c r="E588" t="s">
        <v>4050</v>
      </c>
      <c r="F588" t="s">
        <v>29</v>
      </c>
      <c r="G588" t="s">
        <v>4051</v>
      </c>
      <c r="H588" t="s">
        <v>4052</v>
      </c>
      <c r="I588">
        <v>11</v>
      </c>
      <c r="J588">
        <v>56</v>
      </c>
      <c r="K588">
        <v>447</v>
      </c>
      <c r="L588">
        <v>72301</v>
      </c>
      <c r="M588" t="s">
        <v>52</v>
      </c>
      <c r="N588" t="s">
        <v>29</v>
      </c>
      <c r="O588">
        <v>2035100</v>
      </c>
      <c r="P588" t="s">
        <v>3979</v>
      </c>
      <c r="Q588">
        <v>106867</v>
      </c>
      <c r="R588" t="s">
        <v>3980</v>
      </c>
      <c r="S588">
        <v>411</v>
      </c>
      <c r="T588" t="b">
        <v>0</v>
      </c>
      <c r="U588">
        <v>17</v>
      </c>
      <c r="V588">
        <v>23</v>
      </c>
      <c r="W588" t="s">
        <v>35</v>
      </c>
      <c r="X588" t="s">
        <v>29</v>
      </c>
      <c r="Y588" t="s">
        <v>4053</v>
      </c>
      <c r="Z588" t="s">
        <v>37</v>
      </c>
      <c r="AA588">
        <f>TwitterClean[[#This Row],[likes]]+TwitterClean[[#This Row],[replies]]+TwitterClean[[#This Row],[reposts]]+TwitterClean[[#This Row],[quotes]]+TwitterClean[[#This Row],[bookmarks]]</f>
        <v>554</v>
      </c>
      <c r="AB588" s="1">
        <f>TwitterClean[[#This Row],[Total_Engagements]]/TwitterClean[[#This Row],[views]]</f>
        <v>7.6624113082806597E-3</v>
      </c>
      <c r="AC588" s="3">
        <f>DATEVALUE(MID(TwitterClean[[#This Row],[date_posted]],2,10))</f>
        <v>45640</v>
      </c>
      <c r="AD588">
        <f>TIMEVALUE(MID(TwitterClean[[#This Row],[date_posted]],13,8))</f>
        <v>0.72478009259259257</v>
      </c>
      <c r="AE588" s="3" t="str">
        <f>TEXT(TwitterClean[[#This Row],[Post_Date]],"dddd")</f>
        <v>Saturday</v>
      </c>
      <c r="AF588">
        <f>HOUR(TwitterClean[[#This Row],[Post_Time]])</f>
        <v>17</v>
      </c>
      <c r="AG588" t="str">
        <f>IF(TwitterClean[[#This Row],[videos]]="Null","No","Yes")</f>
        <v>Yes</v>
      </c>
      <c r="AH588" t="str">
        <f>IF(TwitterClean[[#This Row],[photos]]="null","No","Yes")</f>
        <v>No</v>
      </c>
      <c r="AI588" t="str">
        <f>IF(TwitterClean[[#This Row],[hashtags]]="null","No","Yes")</f>
        <v>No</v>
      </c>
      <c r="AJ588" t="str">
        <f>IF(TwitterClean[[#This Row],[external_url]]="null","Yes","No")</f>
        <v>No</v>
      </c>
      <c r="AK588">
        <f>LEN(TwitterClean[[#This Row],[description]])</f>
        <v>177</v>
      </c>
      <c r="AL588" t="str">
        <f>IF(TwitterClean[[#This Row],[followers]]&lt;100000,"&lt;100K",IF(TwitterClean[[#This Row],[followers]]&lt;1000000,"100K-1M",IF(TwitterClean[[#This Row],[followers]]&lt;10000000,"1M-10M","10M+")))</f>
        <v>1M-10M</v>
      </c>
    </row>
    <row r="589" spans="1:38">
      <c r="A589">
        <v>1.8598264724894682E+18</v>
      </c>
      <c r="B589" t="s">
        <v>4138</v>
      </c>
      <c r="C589" t="s">
        <v>4139</v>
      </c>
      <c r="D589" t="s">
        <v>4126</v>
      </c>
      <c r="E589" t="s">
        <v>4140</v>
      </c>
      <c r="F589" t="s">
        <v>4141</v>
      </c>
      <c r="G589" t="s">
        <v>4142</v>
      </c>
      <c r="H589" t="s">
        <v>29</v>
      </c>
      <c r="I589">
        <v>241</v>
      </c>
      <c r="J589">
        <v>92</v>
      </c>
      <c r="K589">
        <v>2575</v>
      </c>
      <c r="L589">
        <v>393764</v>
      </c>
      <c r="M589" t="s">
        <v>52</v>
      </c>
      <c r="N589" t="s">
        <v>4130</v>
      </c>
      <c r="O589">
        <v>11185</v>
      </c>
      <c r="P589" t="s">
        <v>4143</v>
      </c>
      <c r="Q589">
        <v>22677</v>
      </c>
      <c r="R589" t="s">
        <v>4144</v>
      </c>
      <c r="S589">
        <v>2557</v>
      </c>
      <c r="T589" t="b">
        <v>0</v>
      </c>
      <c r="U589">
        <v>8</v>
      </c>
      <c r="V589">
        <v>97</v>
      </c>
      <c r="W589" t="s">
        <v>35</v>
      </c>
      <c r="X589" t="s">
        <v>29</v>
      </c>
      <c r="Y589" t="s">
        <v>29</v>
      </c>
      <c r="Z589" t="s">
        <v>37</v>
      </c>
      <c r="AA589">
        <f>TwitterClean[[#This Row],[likes]]+TwitterClean[[#This Row],[replies]]+TwitterClean[[#This Row],[reposts]]+TwitterClean[[#This Row],[quotes]]+TwitterClean[[#This Row],[bookmarks]]</f>
        <v>3013</v>
      </c>
      <c r="AB589" s="1">
        <f>TwitterClean[[#This Row],[Total_Engagements]]/TwitterClean[[#This Row],[views]]</f>
        <v>7.6517914283682608E-3</v>
      </c>
      <c r="AC589" s="3">
        <f>DATEVALUE(MID(TwitterClean[[#This Row],[date_posted]],2,10))</f>
        <v>45618</v>
      </c>
      <c r="AD589">
        <f>TIMEVALUE(MID(TwitterClean[[#This Row],[date_posted]],13,8))</f>
        <v>0.21480324074074075</v>
      </c>
      <c r="AE589" s="3" t="str">
        <f>TEXT(TwitterClean[[#This Row],[Post_Date]],"dddd")</f>
        <v>Friday</v>
      </c>
      <c r="AF589">
        <f>HOUR(TwitterClean[[#This Row],[Post_Time]])</f>
        <v>5</v>
      </c>
      <c r="AG589" t="str">
        <f>IF(TwitterClean[[#This Row],[videos]]="Null","No","Yes")</f>
        <v>No</v>
      </c>
      <c r="AH589" t="str">
        <f>IF(TwitterClean[[#This Row],[photos]]="null","No","Yes")</f>
        <v>Yes</v>
      </c>
      <c r="AI589" t="str">
        <f>IF(TwitterClean[[#This Row],[hashtags]]="null","No","Yes")</f>
        <v>Yes</v>
      </c>
      <c r="AJ589" t="str">
        <f>IF(TwitterClean[[#This Row],[external_url]]="null","Yes","No")</f>
        <v>No</v>
      </c>
      <c r="AK589">
        <f>LEN(TwitterClean[[#This Row],[description]])</f>
        <v>7</v>
      </c>
      <c r="AL589" t="str">
        <f>IF(TwitterClean[[#This Row],[followers]]&lt;100000,"&lt;100K",IF(TwitterClean[[#This Row],[followers]]&lt;1000000,"100K-1M",IF(TwitterClean[[#This Row],[followers]]&lt;10000000,"1M-10M","10M+")))</f>
        <v>&lt;100K</v>
      </c>
    </row>
    <row r="590" spans="1:38">
      <c r="A590">
        <v>1.8683581675638377E+18</v>
      </c>
      <c r="B590" t="s">
        <v>2230</v>
      </c>
      <c r="C590" t="s">
        <v>2231</v>
      </c>
      <c r="D590" t="s">
        <v>2239</v>
      </c>
      <c r="E590" t="s">
        <v>2240</v>
      </c>
      <c r="F590" t="s">
        <v>2241</v>
      </c>
      <c r="G590" t="s">
        <v>2242</v>
      </c>
      <c r="H590" t="s">
        <v>29</v>
      </c>
      <c r="I590">
        <v>140</v>
      </c>
      <c r="J590">
        <v>77</v>
      </c>
      <c r="K590">
        <v>220</v>
      </c>
      <c r="L590">
        <v>64837</v>
      </c>
      <c r="M590" t="s">
        <v>2243</v>
      </c>
      <c r="N590" t="s">
        <v>29</v>
      </c>
      <c r="O590">
        <v>3313888</v>
      </c>
      <c r="P590" t="s">
        <v>2237</v>
      </c>
      <c r="Q590">
        <v>706459</v>
      </c>
      <c r="R590" t="s">
        <v>2238</v>
      </c>
      <c r="S590">
        <v>10308</v>
      </c>
      <c r="T590" t="b">
        <v>0</v>
      </c>
      <c r="U590">
        <v>30</v>
      </c>
      <c r="V590">
        <v>29</v>
      </c>
      <c r="W590" t="s">
        <v>35</v>
      </c>
      <c r="X590" t="s">
        <v>29</v>
      </c>
      <c r="Y590" t="s">
        <v>29</v>
      </c>
      <c r="Z590" t="s">
        <v>37</v>
      </c>
      <c r="AA590">
        <f>TwitterClean[[#This Row],[likes]]+TwitterClean[[#This Row],[replies]]+TwitterClean[[#This Row],[reposts]]+TwitterClean[[#This Row],[quotes]]+TwitterClean[[#This Row],[bookmarks]]</f>
        <v>496</v>
      </c>
      <c r="AB590" s="1">
        <f>TwitterClean[[#This Row],[Total_Engagements]]/TwitterClean[[#This Row],[views]]</f>
        <v>7.6499529589586189E-3</v>
      </c>
      <c r="AC590" s="3">
        <f>DATEVALUE(MID(TwitterClean[[#This Row],[date_posted]],2,10))</f>
        <v>45641</v>
      </c>
      <c r="AD590">
        <f>TIMEVALUE(MID(TwitterClean[[#This Row],[date_posted]],13,8))</f>
        <v>0.75780092592592596</v>
      </c>
      <c r="AE590" s="3" t="str">
        <f>TEXT(TwitterClean[[#This Row],[Post_Date]],"dddd")</f>
        <v>Sunday</v>
      </c>
      <c r="AF590">
        <f>HOUR(TwitterClean[[#This Row],[Post_Time]])</f>
        <v>18</v>
      </c>
      <c r="AG590" t="str">
        <f>IF(TwitterClean[[#This Row],[videos]]="Null","No","Yes")</f>
        <v>No</v>
      </c>
      <c r="AH590" t="str">
        <f>IF(TwitterClean[[#This Row],[photos]]="null","No","Yes")</f>
        <v>Yes</v>
      </c>
      <c r="AI590" t="str">
        <f>IF(TwitterClean[[#This Row],[hashtags]]="null","No","Yes")</f>
        <v>No</v>
      </c>
      <c r="AJ590" t="str">
        <f>IF(TwitterClean[[#This Row],[external_url]]="null","Yes","No")</f>
        <v>No</v>
      </c>
      <c r="AK590">
        <f>LEN(TwitterClean[[#This Row],[description]])</f>
        <v>86</v>
      </c>
      <c r="AL590" t="str">
        <f>IF(TwitterClean[[#This Row],[followers]]&lt;100000,"&lt;100K",IF(TwitterClean[[#This Row],[followers]]&lt;1000000,"100K-1M",IF(TwitterClean[[#This Row],[followers]]&lt;10000000,"1M-10M","10M+")))</f>
        <v>1M-10M</v>
      </c>
    </row>
    <row r="591" spans="1:38">
      <c r="A591">
        <v>1.8683961420833464E+18</v>
      </c>
      <c r="B591" t="s">
        <v>3216</v>
      </c>
      <c r="C591" t="s">
        <v>3216</v>
      </c>
      <c r="D591" t="s">
        <v>3217</v>
      </c>
      <c r="E591" t="s">
        <v>3218</v>
      </c>
      <c r="F591" t="s">
        <v>29</v>
      </c>
      <c r="G591" t="s">
        <v>3219</v>
      </c>
      <c r="H591" t="s">
        <v>3220</v>
      </c>
      <c r="I591">
        <v>15</v>
      </c>
      <c r="J591">
        <v>40</v>
      </c>
      <c r="K591">
        <v>390</v>
      </c>
      <c r="L591">
        <v>60182</v>
      </c>
      <c r="M591" t="s">
        <v>52</v>
      </c>
      <c r="N591" t="s">
        <v>29</v>
      </c>
      <c r="O591">
        <v>3658764</v>
      </c>
      <c r="P591" t="s">
        <v>3221</v>
      </c>
      <c r="Q591">
        <v>169923</v>
      </c>
      <c r="R591" t="s">
        <v>3222</v>
      </c>
      <c r="S591">
        <v>344</v>
      </c>
      <c r="T591" t="b">
        <v>0</v>
      </c>
      <c r="U591">
        <v>3</v>
      </c>
      <c r="V591">
        <v>12</v>
      </c>
      <c r="W591" t="s">
        <v>35</v>
      </c>
      <c r="X591" t="s">
        <v>29</v>
      </c>
      <c r="Y591" t="s">
        <v>3223</v>
      </c>
      <c r="Z591" t="s">
        <v>37</v>
      </c>
      <c r="AA591">
        <f>TwitterClean[[#This Row],[likes]]+TwitterClean[[#This Row],[replies]]+TwitterClean[[#This Row],[reposts]]+TwitterClean[[#This Row],[quotes]]+TwitterClean[[#This Row],[bookmarks]]</f>
        <v>460</v>
      </c>
      <c r="AB591" s="1">
        <f>TwitterClean[[#This Row],[Total_Engagements]]/TwitterClean[[#This Row],[views]]</f>
        <v>7.6434814396331126E-3</v>
      </c>
      <c r="AC591" s="3">
        <f>DATEVALUE(MID(TwitterClean[[#This Row],[date_posted]],2,10))</f>
        <v>45641</v>
      </c>
      <c r="AD591">
        <f>TIMEVALUE(MID(TwitterClean[[#This Row],[date_posted]],13,8))</f>
        <v>0.86259259259259258</v>
      </c>
      <c r="AE591" s="3" t="str">
        <f>TEXT(TwitterClean[[#This Row],[Post_Date]],"dddd")</f>
        <v>Sunday</v>
      </c>
      <c r="AF591">
        <f>HOUR(TwitterClean[[#This Row],[Post_Time]])</f>
        <v>20</v>
      </c>
      <c r="AG591" t="str">
        <f>IF(TwitterClean[[#This Row],[videos]]="Null","No","Yes")</f>
        <v>Yes</v>
      </c>
      <c r="AH591" t="str">
        <f>IF(TwitterClean[[#This Row],[photos]]="null","No","Yes")</f>
        <v>No</v>
      </c>
      <c r="AI591" t="str">
        <f>IF(TwitterClean[[#This Row],[hashtags]]="null","No","Yes")</f>
        <v>No</v>
      </c>
      <c r="AJ591" t="str">
        <f>IF(TwitterClean[[#This Row],[external_url]]="null","Yes","No")</f>
        <v>No</v>
      </c>
      <c r="AK591">
        <f>LEN(TwitterClean[[#This Row],[description]])</f>
        <v>53</v>
      </c>
      <c r="AL591" t="str">
        <f>IF(TwitterClean[[#This Row],[followers]]&lt;100000,"&lt;100K",IF(TwitterClean[[#This Row],[followers]]&lt;1000000,"100K-1M",IF(TwitterClean[[#This Row],[followers]]&lt;10000000,"1M-10M","10M+")))</f>
        <v>1M-10M</v>
      </c>
    </row>
    <row r="592" spans="1:38">
      <c r="A592">
        <v>1.8681147971638889E+18</v>
      </c>
      <c r="B592" t="s">
        <v>3034</v>
      </c>
      <c r="C592" t="s">
        <v>3035</v>
      </c>
      <c r="D592" t="s">
        <v>4905</v>
      </c>
      <c r="E592" t="s">
        <v>4906</v>
      </c>
      <c r="F592" t="s">
        <v>4907</v>
      </c>
      <c r="G592" t="s">
        <v>4908</v>
      </c>
      <c r="H592" t="s">
        <v>4909</v>
      </c>
      <c r="I592">
        <v>25</v>
      </c>
      <c r="J592">
        <v>45</v>
      </c>
      <c r="K592">
        <v>601</v>
      </c>
      <c r="L592">
        <v>89304</v>
      </c>
      <c r="M592" t="s">
        <v>52</v>
      </c>
      <c r="N592" t="s">
        <v>3040</v>
      </c>
      <c r="O592">
        <v>12876594</v>
      </c>
      <c r="P592" t="s">
        <v>3041</v>
      </c>
      <c r="Q592">
        <v>141401</v>
      </c>
      <c r="R592" t="s">
        <v>3042</v>
      </c>
      <c r="S592">
        <v>717</v>
      </c>
      <c r="T592" t="b">
        <v>0</v>
      </c>
      <c r="U592">
        <v>3</v>
      </c>
      <c r="V592">
        <v>5</v>
      </c>
      <c r="W592" t="s">
        <v>35</v>
      </c>
      <c r="X592" t="s">
        <v>29</v>
      </c>
      <c r="Y592" t="s">
        <v>29</v>
      </c>
      <c r="Z592" t="s">
        <v>37</v>
      </c>
      <c r="AA592">
        <f>TwitterClean[[#This Row],[likes]]+TwitterClean[[#This Row],[replies]]+TwitterClean[[#This Row],[reposts]]+TwitterClean[[#This Row],[quotes]]+TwitterClean[[#This Row],[bookmarks]]</f>
        <v>679</v>
      </c>
      <c r="AB592" s="1">
        <f>TwitterClean[[#This Row],[Total_Engagements]]/TwitterClean[[#This Row],[views]]</f>
        <v>7.6032428558631196E-3</v>
      </c>
      <c r="AC592" s="3">
        <f>DATEVALUE(MID(TwitterClean[[#This Row],[date_posted]],2,10))</f>
        <v>45641</v>
      </c>
      <c r="AD592">
        <f>TIMEVALUE(MID(TwitterClean[[#This Row],[date_posted]],13,8))</f>
        <v>8.6226851851851846E-2</v>
      </c>
      <c r="AE592" s="3" t="str">
        <f>TEXT(TwitterClean[[#This Row],[Post_Date]],"dddd")</f>
        <v>Sunday</v>
      </c>
      <c r="AF592">
        <f>HOUR(TwitterClean[[#This Row],[Post_Time]])</f>
        <v>2</v>
      </c>
      <c r="AG592" t="str">
        <f>IF(TwitterClean[[#This Row],[videos]]="Null","No","Yes")</f>
        <v>No</v>
      </c>
      <c r="AH592" t="str">
        <f>IF(TwitterClean[[#This Row],[photos]]="null","No","Yes")</f>
        <v>Yes</v>
      </c>
      <c r="AI592" t="str">
        <f>IF(TwitterClean[[#This Row],[hashtags]]="null","No","Yes")</f>
        <v>Yes</v>
      </c>
      <c r="AJ592" t="str">
        <f>IF(TwitterClean[[#This Row],[external_url]]="null","Yes","No")</f>
        <v>No</v>
      </c>
      <c r="AK592">
        <f>LEN(TwitterClean[[#This Row],[description]])</f>
        <v>72</v>
      </c>
      <c r="AL592" t="str">
        <f>IF(TwitterClean[[#This Row],[followers]]&lt;100000,"&lt;100K",IF(TwitterClean[[#This Row],[followers]]&lt;1000000,"100K-1M",IF(TwitterClean[[#This Row],[followers]]&lt;10000000,"1M-10M","10M+")))</f>
        <v>10M+</v>
      </c>
    </row>
    <row r="593" spans="1:38">
      <c r="A593">
        <v>1.8683110420292037E+18</v>
      </c>
      <c r="B593" t="s">
        <v>3837</v>
      </c>
      <c r="C593" t="s">
        <v>3838</v>
      </c>
      <c r="D593" t="s">
        <v>3839</v>
      </c>
      <c r="E593" t="s">
        <v>3840</v>
      </c>
      <c r="F593" t="s">
        <v>29</v>
      </c>
      <c r="G593" t="s">
        <v>3841</v>
      </c>
      <c r="H593" t="s">
        <v>3842</v>
      </c>
      <c r="I593">
        <v>10</v>
      </c>
      <c r="J593">
        <v>28</v>
      </c>
      <c r="K593">
        <v>303</v>
      </c>
      <c r="L593">
        <v>45920</v>
      </c>
      <c r="M593" t="s">
        <v>52</v>
      </c>
      <c r="N593" t="s">
        <v>3843</v>
      </c>
      <c r="O593">
        <v>984255</v>
      </c>
      <c r="P593" t="s">
        <v>3844</v>
      </c>
      <c r="Q593">
        <v>136135</v>
      </c>
      <c r="R593" t="s">
        <v>3845</v>
      </c>
      <c r="S593">
        <v>438</v>
      </c>
      <c r="T593" t="b">
        <v>0</v>
      </c>
      <c r="U593">
        <v>0</v>
      </c>
      <c r="V593">
        <v>6</v>
      </c>
      <c r="W593" t="s">
        <v>35</v>
      </c>
      <c r="X593" t="s">
        <v>29</v>
      </c>
      <c r="Y593" t="s">
        <v>3846</v>
      </c>
      <c r="Z593" t="s">
        <v>37</v>
      </c>
      <c r="AA593">
        <f>TwitterClean[[#This Row],[likes]]+TwitterClean[[#This Row],[replies]]+TwitterClean[[#This Row],[reposts]]+TwitterClean[[#This Row],[quotes]]+TwitterClean[[#This Row],[bookmarks]]</f>
        <v>347</v>
      </c>
      <c r="AB593" s="1">
        <f>TwitterClean[[#This Row],[Total_Engagements]]/TwitterClean[[#This Row],[views]]</f>
        <v>7.5566202090592335E-3</v>
      </c>
      <c r="AC593" s="3">
        <f>DATEVALUE(MID(TwitterClean[[#This Row],[date_posted]],2,10))</f>
        <v>45641</v>
      </c>
      <c r="AD593">
        <f>TIMEVALUE(MID(TwitterClean[[#This Row],[date_posted]],13,8))</f>
        <v>0.62775462962962958</v>
      </c>
      <c r="AE593" s="3" t="str">
        <f>TEXT(TwitterClean[[#This Row],[Post_Date]],"dddd")</f>
        <v>Sunday</v>
      </c>
      <c r="AF593">
        <f>HOUR(TwitterClean[[#This Row],[Post_Time]])</f>
        <v>15</v>
      </c>
      <c r="AG593" t="str">
        <f>IF(TwitterClean[[#This Row],[videos]]="Null","No","Yes")</f>
        <v>Yes</v>
      </c>
      <c r="AH593" t="str">
        <f>IF(TwitterClean[[#This Row],[photos]]="null","No","Yes")</f>
        <v>No</v>
      </c>
      <c r="AI593" t="str">
        <f>IF(TwitterClean[[#This Row],[hashtags]]="null","No","Yes")</f>
        <v>Yes</v>
      </c>
      <c r="AJ593" t="str">
        <f>IF(TwitterClean[[#This Row],[external_url]]="null","Yes","No")</f>
        <v>No</v>
      </c>
      <c r="AK593">
        <f>LEN(TwitterClean[[#This Row],[description]])</f>
        <v>93</v>
      </c>
      <c r="AL593" t="str">
        <f>IF(TwitterClean[[#This Row],[followers]]&lt;100000,"&lt;100K",IF(TwitterClean[[#This Row],[followers]]&lt;1000000,"100K-1M",IF(TwitterClean[[#This Row],[followers]]&lt;10000000,"1M-10M","10M+")))</f>
        <v>100K-1M</v>
      </c>
    </row>
    <row r="594" spans="1:38">
      <c r="A594">
        <v>1.8684008915118861E+18</v>
      </c>
      <c r="B594" t="s">
        <v>3034</v>
      </c>
      <c r="C594" t="s">
        <v>3035</v>
      </c>
      <c r="D594" t="s">
        <v>4880</v>
      </c>
      <c r="E594" t="s">
        <v>4881</v>
      </c>
      <c r="F594" t="s">
        <v>4882</v>
      </c>
      <c r="G594" t="s">
        <v>4883</v>
      </c>
      <c r="H594" t="s">
        <v>3652</v>
      </c>
      <c r="I594">
        <v>37</v>
      </c>
      <c r="J594">
        <v>46</v>
      </c>
      <c r="K594">
        <v>629</v>
      </c>
      <c r="L594">
        <v>96025</v>
      </c>
      <c r="M594" t="s">
        <v>52</v>
      </c>
      <c r="N594" t="s">
        <v>3040</v>
      </c>
      <c r="O594">
        <v>12876593</v>
      </c>
      <c r="P594" t="s">
        <v>3041</v>
      </c>
      <c r="Q594">
        <v>141401</v>
      </c>
      <c r="R594" t="s">
        <v>3042</v>
      </c>
      <c r="S594">
        <v>717</v>
      </c>
      <c r="T594" t="b">
        <v>0</v>
      </c>
      <c r="U594">
        <v>3</v>
      </c>
      <c r="V594">
        <v>10</v>
      </c>
      <c r="W594" t="s">
        <v>35</v>
      </c>
      <c r="X594" t="s">
        <v>29</v>
      </c>
      <c r="Y594" t="s">
        <v>29</v>
      </c>
      <c r="Z594" t="s">
        <v>37</v>
      </c>
      <c r="AA594">
        <f>TwitterClean[[#This Row],[likes]]+TwitterClean[[#This Row],[replies]]+TwitterClean[[#This Row],[reposts]]+TwitterClean[[#This Row],[quotes]]+TwitterClean[[#This Row],[bookmarks]]</f>
        <v>725</v>
      </c>
      <c r="AB594" s="1">
        <f>TwitterClean[[#This Row],[Total_Engagements]]/TwitterClean[[#This Row],[views]]</f>
        <v>7.5501171569903672E-3</v>
      </c>
      <c r="AC594" s="3">
        <f>DATEVALUE(MID(TwitterClean[[#This Row],[date_posted]],2,10))</f>
        <v>45641</v>
      </c>
      <c r="AD594">
        <f>TIMEVALUE(MID(TwitterClean[[#This Row],[date_posted]],13,8))</f>
        <v>0.87569444444444444</v>
      </c>
      <c r="AE594" s="3" t="str">
        <f>TEXT(TwitterClean[[#This Row],[Post_Date]],"dddd")</f>
        <v>Sunday</v>
      </c>
      <c r="AF594">
        <f>HOUR(TwitterClean[[#This Row],[Post_Time]])</f>
        <v>21</v>
      </c>
      <c r="AG594" t="str">
        <f>IF(TwitterClean[[#This Row],[videos]]="Null","No","Yes")</f>
        <v>No</v>
      </c>
      <c r="AH594" t="str">
        <f>IF(TwitterClean[[#This Row],[photos]]="null","No","Yes")</f>
        <v>Yes</v>
      </c>
      <c r="AI594" t="str">
        <f>IF(TwitterClean[[#This Row],[hashtags]]="null","No","Yes")</f>
        <v>Yes</v>
      </c>
      <c r="AJ594" t="str">
        <f>IF(TwitterClean[[#This Row],[external_url]]="null","Yes","No")</f>
        <v>No</v>
      </c>
      <c r="AK594">
        <f>LEN(TwitterClean[[#This Row],[description]])</f>
        <v>64</v>
      </c>
      <c r="AL594" t="str">
        <f>IF(TwitterClean[[#This Row],[followers]]&lt;100000,"&lt;100K",IF(TwitterClean[[#This Row],[followers]]&lt;1000000,"100K-1M",IF(TwitterClean[[#This Row],[followers]]&lt;10000000,"1M-10M","10M+")))</f>
        <v>10M+</v>
      </c>
    </row>
    <row r="595" spans="1:38">
      <c r="A595">
        <v>1.8681107558678449E+18</v>
      </c>
      <c r="B595" t="s">
        <v>1656</v>
      </c>
      <c r="C595" t="s">
        <v>1657</v>
      </c>
      <c r="D595" t="s">
        <v>2180</v>
      </c>
      <c r="E595" t="s">
        <v>2181</v>
      </c>
      <c r="F595" t="s">
        <v>29</v>
      </c>
      <c r="G595" t="s">
        <v>2182</v>
      </c>
      <c r="H595" t="s">
        <v>29</v>
      </c>
      <c r="I595">
        <v>24</v>
      </c>
      <c r="J595">
        <v>7</v>
      </c>
      <c r="K595">
        <v>55</v>
      </c>
      <c r="L595">
        <v>12053</v>
      </c>
      <c r="M595" t="s">
        <v>2183</v>
      </c>
      <c r="N595" t="s">
        <v>29</v>
      </c>
      <c r="O595">
        <v>2819408</v>
      </c>
      <c r="P595" t="s">
        <v>1662</v>
      </c>
      <c r="Q595">
        <v>286269</v>
      </c>
      <c r="R595" t="s">
        <v>1663</v>
      </c>
      <c r="S595">
        <v>4</v>
      </c>
      <c r="T595" t="b">
        <v>0</v>
      </c>
      <c r="U595">
        <v>4</v>
      </c>
      <c r="V595">
        <v>1</v>
      </c>
      <c r="W595" t="s">
        <v>35</v>
      </c>
      <c r="X595" t="s">
        <v>2184</v>
      </c>
      <c r="Y595" t="s">
        <v>29</v>
      </c>
      <c r="Z595" t="s">
        <v>37</v>
      </c>
      <c r="AA595">
        <f>TwitterClean[[#This Row],[likes]]+TwitterClean[[#This Row],[replies]]+TwitterClean[[#This Row],[reposts]]+TwitterClean[[#This Row],[quotes]]+TwitterClean[[#This Row],[bookmarks]]</f>
        <v>91</v>
      </c>
      <c r="AB595" s="1">
        <f>TwitterClean[[#This Row],[Total_Engagements]]/TwitterClean[[#This Row],[views]]</f>
        <v>7.5499875549655685E-3</v>
      </c>
      <c r="AC595" s="3">
        <f>DATEVALUE(MID(TwitterClean[[#This Row],[date_posted]],2,10))</f>
        <v>45641</v>
      </c>
      <c r="AD595">
        <f>TIMEVALUE(MID(TwitterClean[[#This Row],[date_posted]],13,8))</f>
        <v>7.5069444444444439E-2</v>
      </c>
      <c r="AE595" s="3" t="str">
        <f>TEXT(TwitterClean[[#This Row],[Post_Date]],"dddd")</f>
        <v>Sunday</v>
      </c>
      <c r="AF595">
        <f>HOUR(TwitterClean[[#This Row],[Post_Time]])</f>
        <v>1</v>
      </c>
      <c r="AG595" t="str">
        <f>IF(TwitterClean[[#This Row],[videos]]="Null","No","Yes")</f>
        <v>No</v>
      </c>
      <c r="AH595" t="str">
        <f>IF(TwitterClean[[#This Row],[photos]]="null","No","Yes")</f>
        <v>No</v>
      </c>
      <c r="AI595" t="str">
        <f>IF(TwitterClean[[#This Row],[hashtags]]="null","No","Yes")</f>
        <v>No</v>
      </c>
      <c r="AJ595" t="str">
        <f>IF(TwitterClean[[#This Row],[external_url]]="null","Yes","No")</f>
        <v>No</v>
      </c>
      <c r="AK595">
        <f>LEN(TwitterClean[[#This Row],[description]])</f>
        <v>79</v>
      </c>
      <c r="AL595" t="str">
        <f>IF(TwitterClean[[#This Row],[followers]]&lt;100000,"&lt;100K",IF(TwitterClean[[#This Row],[followers]]&lt;1000000,"100K-1M",IF(TwitterClean[[#This Row],[followers]]&lt;10000000,"1M-10M","10M+")))</f>
        <v>1M-10M</v>
      </c>
    </row>
    <row r="596" spans="1:38">
      <c r="A596">
        <v>1.8681298798640622E+18</v>
      </c>
      <c r="B596" t="s">
        <v>2230</v>
      </c>
      <c r="C596" t="s">
        <v>2231</v>
      </c>
      <c r="D596" t="s">
        <v>2343</v>
      </c>
      <c r="E596" t="s">
        <v>2344</v>
      </c>
      <c r="F596" t="s">
        <v>2345</v>
      </c>
      <c r="G596" t="s">
        <v>2346</v>
      </c>
      <c r="H596" t="s">
        <v>29</v>
      </c>
      <c r="I596">
        <v>78</v>
      </c>
      <c r="J596">
        <v>64</v>
      </c>
      <c r="K596">
        <v>161</v>
      </c>
      <c r="L596">
        <v>42416</v>
      </c>
      <c r="M596" t="s">
        <v>2347</v>
      </c>
      <c r="N596" t="s">
        <v>29</v>
      </c>
      <c r="O596">
        <v>3313894</v>
      </c>
      <c r="P596" t="s">
        <v>2237</v>
      </c>
      <c r="Q596">
        <v>706459</v>
      </c>
      <c r="R596" t="s">
        <v>2238</v>
      </c>
      <c r="S596">
        <v>10308</v>
      </c>
      <c r="T596" t="b">
        <v>0</v>
      </c>
      <c r="U596">
        <v>6</v>
      </c>
      <c r="V596">
        <v>11</v>
      </c>
      <c r="W596" t="s">
        <v>35</v>
      </c>
      <c r="X596" t="s">
        <v>29</v>
      </c>
      <c r="Y596" t="s">
        <v>29</v>
      </c>
      <c r="Z596" t="s">
        <v>37</v>
      </c>
      <c r="AA596">
        <f>TwitterClean[[#This Row],[likes]]+TwitterClean[[#This Row],[replies]]+TwitterClean[[#This Row],[reposts]]+TwitterClean[[#This Row],[quotes]]+TwitterClean[[#This Row],[bookmarks]]</f>
        <v>320</v>
      </c>
      <c r="AB596" s="1">
        <f>TwitterClean[[#This Row],[Total_Engagements]]/TwitterClean[[#This Row],[views]]</f>
        <v>7.5443228970199921E-3</v>
      </c>
      <c r="AC596" s="3">
        <f>DATEVALUE(MID(TwitterClean[[#This Row],[date_posted]],2,10))</f>
        <v>45641</v>
      </c>
      <c r="AD596">
        <f>TIMEVALUE(MID(TwitterClean[[#This Row],[date_posted]],13,8))</f>
        <v>0.12784722222222222</v>
      </c>
      <c r="AE596" s="3" t="str">
        <f>TEXT(TwitterClean[[#This Row],[Post_Date]],"dddd")</f>
        <v>Sunday</v>
      </c>
      <c r="AF596">
        <f>HOUR(TwitterClean[[#This Row],[Post_Time]])</f>
        <v>3</v>
      </c>
      <c r="AG596" t="str">
        <f>IF(TwitterClean[[#This Row],[videos]]="Null","No","Yes")</f>
        <v>No</v>
      </c>
      <c r="AH596" t="str">
        <f>IF(TwitterClean[[#This Row],[photos]]="null","No","Yes")</f>
        <v>Yes</v>
      </c>
      <c r="AI596" t="str">
        <f>IF(TwitterClean[[#This Row],[hashtags]]="null","No","Yes")</f>
        <v>No</v>
      </c>
      <c r="AJ596" t="str">
        <f>IF(TwitterClean[[#This Row],[external_url]]="null","Yes","No")</f>
        <v>No</v>
      </c>
      <c r="AK596">
        <f>LEN(TwitterClean[[#This Row],[description]])</f>
        <v>95</v>
      </c>
      <c r="AL596" t="str">
        <f>IF(TwitterClean[[#This Row],[followers]]&lt;100000,"&lt;100K",IF(TwitterClean[[#This Row],[followers]]&lt;1000000,"100K-1M",IF(TwitterClean[[#This Row],[followers]]&lt;10000000,"1M-10M","10M+")))</f>
        <v>1M-10M</v>
      </c>
    </row>
    <row r="597" spans="1:38">
      <c r="A597">
        <v>1.840692814465643E+18</v>
      </c>
      <c r="B597" t="s">
        <v>4216</v>
      </c>
      <c r="C597" t="s">
        <v>4217</v>
      </c>
      <c r="D597" t="s">
        <v>4225</v>
      </c>
      <c r="E597" t="s">
        <v>4226</v>
      </c>
      <c r="F597" t="s">
        <v>4227</v>
      </c>
      <c r="G597" t="s">
        <v>4228</v>
      </c>
      <c r="H597" t="s">
        <v>29</v>
      </c>
      <c r="I597">
        <v>1164</v>
      </c>
      <c r="J597">
        <v>380</v>
      </c>
      <c r="K597">
        <v>5868</v>
      </c>
      <c r="L597">
        <v>1014510</v>
      </c>
      <c r="M597" t="s">
        <v>52</v>
      </c>
      <c r="N597" t="s">
        <v>4229</v>
      </c>
      <c r="O597">
        <v>223937</v>
      </c>
      <c r="P597" t="s">
        <v>4222</v>
      </c>
      <c r="Q597">
        <v>9047</v>
      </c>
      <c r="R597" t="s">
        <v>4223</v>
      </c>
      <c r="S597">
        <v>1457</v>
      </c>
      <c r="T597" t="b">
        <v>0</v>
      </c>
      <c r="U597">
        <v>47</v>
      </c>
      <c r="V597">
        <v>137</v>
      </c>
      <c r="W597" t="s">
        <v>35</v>
      </c>
      <c r="X597" t="s">
        <v>29</v>
      </c>
      <c r="Y597" t="s">
        <v>29</v>
      </c>
      <c r="Z597" t="s">
        <v>37</v>
      </c>
      <c r="AA597">
        <f>TwitterClean[[#This Row],[likes]]+TwitterClean[[#This Row],[replies]]+TwitterClean[[#This Row],[reposts]]+TwitterClean[[#This Row],[quotes]]+TwitterClean[[#This Row],[bookmarks]]</f>
        <v>7596</v>
      </c>
      <c r="AB597" s="1">
        <f>TwitterClean[[#This Row],[Total_Engagements]]/TwitterClean[[#This Row],[views]]</f>
        <v>7.4873584291924181E-3</v>
      </c>
      <c r="AC597" s="3">
        <f>DATEVALUE(MID(TwitterClean[[#This Row],[date_posted]],2,10))</f>
        <v>45565</v>
      </c>
      <c r="AD597">
        <f>TIMEVALUE(MID(TwitterClean[[#This Row],[date_posted]],13,8))</f>
        <v>0.41597222222222224</v>
      </c>
      <c r="AE597" s="3" t="str">
        <f>TEXT(TwitterClean[[#This Row],[Post_Date]],"dddd")</f>
        <v>Monday</v>
      </c>
      <c r="AF597">
        <f>HOUR(TwitterClean[[#This Row],[Post_Time]])</f>
        <v>9</v>
      </c>
      <c r="AG597" t="str">
        <f>IF(TwitterClean[[#This Row],[videos]]="Null","No","Yes")</f>
        <v>No</v>
      </c>
      <c r="AH597" t="str">
        <f>IF(TwitterClean[[#This Row],[photos]]="null","No","Yes")</f>
        <v>Yes</v>
      </c>
      <c r="AI597" t="str">
        <f>IF(TwitterClean[[#This Row],[hashtags]]="null","No","Yes")</f>
        <v>Yes</v>
      </c>
      <c r="AJ597" t="str">
        <f>IF(TwitterClean[[#This Row],[external_url]]="null","Yes","No")</f>
        <v>No</v>
      </c>
      <c r="AK597">
        <f>LEN(TwitterClean[[#This Row],[description]])</f>
        <v>23</v>
      </c>
      <c r="AL597" t="str">
        <f>IF(TwitterClean[[#This Row],[followers]]&lt;100000,"&lt;100K",IF(TwitterClean[[#This Row],[followers]]&lt;1000000,"100K-1M",IF(TwitterClean[[#This Row],[followers]]&lt;10000000,"1M-10M","10M+")))</f>
        <v>100K-1M</v>
      </c>
    </row>
    <row r="598" spans="1:38">
      <c r="A598">
        <v>1.8022365766234732E+18</v>
      </c>
      <c r="B598" t="s">
        <v>4173</v>
      </c>
      <c r="C598" t="s">
        <v>4174</v>
      </c>
      <c r="D598" t="s">
        <v>4175</v>
      </c>
      <c r="E598" t="s">
        <v>4176</v>
      </c>
      <c r="F598" t="s">
        <v>4177</v>
      </c>
      <c r="G598" t="s">
        <v>4178</v>
      </c>
      <c r="H598" t="s">
        <v>29</v>
      </c>
      <c r="I598">
        <v>362</v>
      </c>
      <c r="J598">
        <v>1672</v>
      </c>
      <c r="K598">
        <v>6803</v>
      </c>
      <c r="L598">
        <v>1390919</v>
      </c>
      <c r="M598" t="s">
        <v>52</v>
      </c>
      <c r="N598" t="s">
        <v>29</v>
      </c>
      <c r="O598">
        <v>549800</v>
      </c>
      <c r="P598" t="s">
        <v>4179</v>
      </c>
      <c r="Q598">
        <v>47749</v>
      </c>
      <c r="R598" t="s">
        <v>4180</v>
      </c>
      <c r="S598">
        <v>62</v>
      </c>
      <c r="T598" t="b">
        <v>0</v>
      </c>
      <c r="U598">
        <v>82</v>
      </c>
      <c r="V598">
        <v>1484</v>
      </c>
      <c r="W598" t="s">
        <v>35</v>
      </c>
      <c r="X598" t="s">
        <v>29</v>
      </c>
      <c r="Y598" t="s">
        <v>4181</v>
      </c>
      <c r="Z598" t="s">
        <v>37</v>
      </c>
      <c r="AA598">
        <f>TwitterClean[[#This Row],[likes]]+TwitterClean[[#This Row],[replies]]+TwitterClean[[#This Row],[reposts]]+TwitterClean[[#This Row],[quotes]]+TwitterClean[[#This Row],[bookmarks]]</f>
        <v>10403</v>
      </c>
      <c r="AB598" s="1">
        <f>TwitterClean[[#This Row],[Total_Engagements]]/TwitterClean[[#This Row],[views]]</f>
        <v>7.4792277623643077E-3</v>
      </c>
      <c r="AC598" s="3">
        <f>DATEVALUE(MID(TwitterClean[[#This Row],[date_posted]],2,10))</f>
        <v>45459</v>
      </c>
      <c r="AD598">
        <f>TIMEVALUE(MID(TwitterClean[[#This Row],[date_posted]],13,8))</f>
        <v>0.29696759259259259</v>
      </c>
      <c r="AE598" s="3" t="str">
        <f>TEXT(TwitterClean[[#This Row],[Post_Date]],"dddd")</f>
        <v>Sunday</v>
      </c>
      <c r="AF598">
        <f>HOUR(TwitterClean[[#This Row],[Post_Time]])</f>
        <v>7</v>
      </c>
      <c r="AG598" t="str">
        <f>IF(TwitterClean[[#This Row],[videos]]="Null","No","Yes")</f>
        <v>Yes</v>
      </c>
      <c r="AH598" t="str">
        <f>IF(TwitterClean[[#This Row],[photos]]="null","No","Yes")</f>
        <v>Yes</v>
      </c>
      <c r="AI598" t="str">
        <f>IF(TwitterClean[[#This Row],[hashtags]]="null","No","Yes")</f>
        <v>No</v>
      </c>
      <c r="AJ598" t="str">
        <f>IF(TwitterClean[[#This Row],[external_url]]="null","Yes","No")</f>
        <v>No</v>
      </c>
      <c r="AK598">
        <f>LEN(TwitterClean[[#This Row],[description]])</f>
        <v>36</v>
      </c>
      <c r="AL598" t="str">
        <f>IF(TwitterClean[[#This Row],[followers]]&lt;100000,"&lt;100K",IF(TwitterClean[[#This Row],[followers]]&lt;1000000,"100K-1M",IF(TwitterClean[[#This Row],[followers]]&lt;10000000,"1M-10M","10M+")))</f>
        <v>100K-1M</v>
      </c>
    </row>
    <row r="599" spans="1:38">
      <c r="A599">
        <v>1.8684016093546701E+18</v>
      </c>
      <c r="B599" t="s">
        <v>46</v>
      </c>
      <c r="C599" t="s">
        <v>47</v>
      </c>
      <c r="D599" t="s">
        <v>178</v>
      </c>
      <c r="E599" t="s">
        <v>179</v>
      </c>
      <c r="F599" t="s">
        <v>180</v>
      </c>
      <c r="G599" t="s">
        <v>181</v>
      </c>
      <c r="H599" t="s">
        <v>29</v>
      </c>
      <c r="I599">
        <v>4</v>
      </c>
      <c r="J599">
        <v>5</v>
      </c>
      <c r="K599">
        <v>105</v>
      </c>
      <c r="L599">
        <v>15796</v>
      </c>
      <c r="M599" t="s">
        <v>52</v>
      </c>
      <c r="N599" t="s">
        <v>182</v>
      </c>
      <c r="O599">
        <v>8293200</v>
      </c>
      <c r="P599" t="s">
        <v>54</v>
      </c>
      <c r="Q599">
        <v>456734</v>
      </c>
      <c r="R599" t="s">
        <v>55</v>
      </c>
      <c r="S599">
        <v>859</v>
      </c>
      <c r="T599" t="b">
        <v>0</v>
      </c>
      <c r="U599">
        <v>1</v>
      </c>
      <c r="V599">
        <v>3</v>
      </c>
      <c r="W599" t="s">
        <v>35</v>
      </c>
      <c r="X599" t="s">
        <v>29</v>
      </c>
      <c r="Y599" t="s">
        <v>29</v>
      </c>
      <c r="Z599" t="s">
        <v>37</v>
      </c>
      <c r="AA599">
        <f>TwitterClean[[#This Row],[likes]]+TwitterClean[[#This Row],[replies]]+TwitterClean[[#This Row],[reposts]]+TwitterClean[[#This Row],[quotes]]+TwitterClean[[#This Row],[bookmarks]]</f>
        <v>118</v>
      </c>
      <c r="AB599" s="1">
        <f>TwitterClean[[#This Row],[Total_Engagements]]/TwitterClean[[#This Row],[views]]</f>
        <v>7.4702456318055206E-3</v>
      </c>
      <c r="AC599" s="3">
        <f>DATEVALUE(MID(TwitterClean[[#This Row],[date_posted]],2,10))</f>
        <v>45641</v>
      </c>
      <c r="AD599">
        <f>TIMEVALUE(MID(TwitterClean[[#This Row],[date_posted]],13,8))</f>
        <v>0.87767361111111108</v>
      </c>
      <c r="AE599" s="3" t="str">
        <f>TEXT(TwitterClean[[#This Row],[Post_Date]],"dddd")</f>
        <v>Sunday</v>
      </c>
      <c r="AF599">
        <f>HOUR(TwitterClean[[#This Row],[Post_Time]])</f>
        <v>21</v>
      </c>
      <c r="AG599" t="str">
        <f>IF(TwitterClean[[#This Row],[videos]]="Null","No","Yes")</f>
        <v>No</v>
      </c>
      <c r="AH599" t="str">
        <f>IF(TwitterClean[[#This Row],[photos]]="null","No","Yes")</f>
        <v>Yes</v>
      </c>
      <c r="AI599" t="str">
        <f>IF(TwitterClean[[#This Row],[hashtags]]="null","No","Yes")</f>
        <v>Yes</v>
      </c>
      <c r="AJ599" t="str">
        <f>IF(TwitterClean[[#This Row],[external_url]]="null","Yes","No")</f>
        <v>No</v>
      </c>
      <c r="AK599">
        <f>LEN(TwitterClean[[#This Row],[description]])</f>
        <v>127</v>
      </c>
      <c r="AL599" t="str">
        <f>IF(TwitterClean[[#This Row],[followers]]&lt;100000,"&lt;100K",IF(TwitterClean[[#This Row],[followers]]&lt;1000000,"100K-1M",IF(TwitterClean[[#This Row],[followers]]&lt;10000000,"1M-10M","10M+")))</f>
        <v>1M-10M</v>
      </c>
    </row>
    <row r="600" spans="1:38">
      <c r="A600">
        <v>1.8683301650525719E+18</v>
      </c>
      <c r="B600" t="s">
        <v>3168</v>
      </c>
      <c r="C600" t="s">
        <v>3169</v>
      </c>
      <c r="D600" t="s">
        <v>3646</v>
      </c>
      <c r="E600" t="s">
        <v>3647</v>
      </c>
      <c r="F600" t="s">
        <v>29</v>
      </c>
      <c r="G600" t="s">
        <v>3648</v>
      </c>
      <c r="H600" t="s">
        <v>3189</v>
      </c>
      <c r="I600">
        <v>6</v>
      </c>
      <c r="J600">
        <v>17</v>
      </c>
      <c r="K600">
        <v>366</v>
      </c>
      <c r="L600">
        <v>53463</v>
      </c>
      <c r="M600" t="s">
        <v>52</v>
      </c>
      <c r="N600" t="s">
        <v>29</v>
      </c>
      <c r="O600">
        <v>294711</v>
      </c>
      <c r="P600" t="s">
        <v>3175</v>
      </c>
      <c r="Q600">
        <v>66342</v>
      </c>
      <c r="R600" t="s">
        <v>3176</v>
      </c>
      <c r="S600">
        <v>1449</v>
      </c>
      <c r="T600" t="b">
        <v>0</v>
      </c>
      <c r="U600">
        <v>6</v>
      </c>
      <c r="V600">
        <v>4</v>
      </c>
      <c r="W600" t="s">
        <v>35</v>
      </c>
      <c r="X600" t="s">
        <v>29</v>
      </c>
      <c r="Y600" t="s">
        <v>3418</v>
      </c>
      <c r="Z600" t="s">
        <v>37</v>
      </c>
      <c r="AA600">
        <f>TwitterClean[[#This Row],[likes]]+TwitterClean[[#This Row],[replies]]+TwitterClean[[#This Row],[reposts]]+TwitterClean[[#This Row],[quotes]]+TwitterClean[[#This Row],[bookmarks]]</f>
        <v>399</v>
      </c>
      <c r="AB600" s="1">
        <f>TwitterClean[[#This Row],[Total_Engagements]]/TwitterClean[[#This Row],[views]]</f>
        <v>7.4631053251781607E-3</v>
      </c>
      <c r="AC600" s="3">
        <f>DATEVALUE(MID(TwitterClean[[#This Row],[date_posted]],2,10))</f>
        <v>45641</v>
      </c>
      <c r="AD600">
        <f>TIMEVALUE(MID(TwitterClean[[#This Row],[date_posted]],13,8))</f>
        <v>0.68052083333333335</v>
      </c>
      <c r="AE600" s="3" t="str">
        <f>TEXT(TwitterClean[[#This Row],[Post_Date]],"dddd")</f>
        <v>Sunday</v>
      </c>
      <c r="AF600">
        <f>HOUR(TwitterClean[[#This Row],[Post_Time]])</f>
        <v>16</v>
      </c>
      <c r="AG600" t="str">
        <f>IF(TwitterClean[[#This Row],[videos]]="Null","No","Yes")</f>
        <v>Yes</v>
      </c>
      <c r="AH600" t="str">
        <f>IF(TwitterClean[[#This Row],[photos]]="null","No","Yes")</f>
        <v>No</v>
      </c>
      <c r="AI600" t="str">
        <f>IF(TwitterClean[[#This Row],[hashtags]]="null","No","Yes")</f>
        <v>No</v>
      </c>
      <c r="AJ600" t="str">
        <f>IF(TwitterClean[[#This Row],[external_url]]="null","Yes","No")</f>
        <v>No</v>
      </c>
      <c r="AK600">
        <f>LEN(TwitterClean[[#This Row],[description]])</f>
        <v>115</v>
      </c>
      <c r="AL600" t="str">
        <f>IF(TwitterClean[[#This Row],[followers]]&lt;100000,"&lt;100K",IF(TwitterClean[[#This Row],[followers]]&lt;1000000,"100K-1M",IF(TwitterClean[[#This Row],[followers]]&lt;10000000,"1M-10M","10M+")))</f>
        <v>100K-1M</v>
      </c>
    </row>
    <row r="601" spans="1:38">
      <c r="A601">
        <v>1.8680990717407196E+18</v>
      </c>
      <c r="B601" t="s">
        <v>1656</v>
      </c>
      <c r="C601" t="s">
        <v>1657</v>
      </c>
      <c r="D601" t="s">
        <v>1972</v>
      </c>
      <c r="E601" t="s">
        <v>1973</v>
      </c>
      <c r="F601" t="s">
        <v>29</v>
      </c>
      <c r="G601" t="s">
        <v>1974</v>
      </c>
      <c r="H601" t="s">
        <v>29</v>
      </c>
      <c r="I601">
        <v>4</v>
      </c>
      <c r="J601">
        <v>7</v>
      </c>
      <c r="K601">
        <v>73</v>
      </c>
      <c r="L601">
        <v>11543</v>
      </c>
      <c r="M601" t="s">
        <v>1975</v>
      </c>
      <c r="N601" t="s">
        <v>29</v>
      </c>
      <c r="O601">
        <v>2819408</v>
      </c>
      <c r="P601" t="s">
        <v>1662</v>
      </c>
      <c r="Q601">
        <v>286269</v>
      </c>
      <c r="R601" t="s">
        <v>1663</v>
      </c>
      <c r="S601">
        <v>4</v>
      </c>
      <c r="T601" t="b">
        <v>0</v>
      </c>
      <c r="U601">
        <v>1</v>
      </c>
      <c r="V601">
        <v>1</v>
      </c>
      <c r="W601" t="s">
        <v>35</v>
      </c>
      <c r="X601" t="s">
        <v>1976</v>
      </c>
      <c r="Y601" t="s">
        <v>29</v>
      </c>
      <c r="Z601" t="s">
        <v>37</v>
      </c>
      <c r="AA601">
        <f>TwitterClean[[#This Row],[likes]]+TwitterClean[[#This Row],[replies]]+TwitterClean[[#This Row],[reposts]]+TwitterClean[[#This Row],[quotes]]+TwitterClean[[#This Row],[bookmarks]]</f>
        <v>86</v>
      </c>
      <c r="AB601" s="1">
        <f>TwitterClean[[#This Row],[Total_Engagements]]/TwitterClean[[#This Row],[views]]</f>
        <v>7.4504028415489911E-3</v>
      </c>
      <c r="AC601" s="3">
        <f>DATEVALUE(MID(TwitterClean[[#This Row],[date_posted]],2,10))</f>
        <v>45641</v>
      </c>
      <c r="AD601">
        <f>TIMEVALUE(MID(TwitterClean[[#This Row],[date_posted]],13,8))</f>
        <v>4.2824074074074077E-2</v>
      </c>
      <c r="AE601" s="3" t="str">
        <f>TEXT(TwitterClean[[#This Row],[Post_Date]],"dddd")</f>
        <v>Sunday</v>
      </c>
      <c r="AF601">
        <f>HOUR(TwitterClean[[#This Row],[Post_Time]])</f>
        <v>1</v>
      </c>
      <c r="AG601" t="str">
        <f>IF(TwitterClean[[#This Row],[videos]]="Null","No","Yes")</f>
        <v>No</v>
      </c>
      <c r="AH601" t="str">
        <f>IF(TwitterClean[[#This Row],[photos]]="null","No","Yes")</f>
        <v>No</v>
      </c>
      <c r="AI601" t="str">
        <f>IF(TwitterClean[[#This Row],[hashtags]]="null","No","Yes")</f>
        <v>No</v>
      </c>
      <c r="AJ601" t="str">
        <f>IF(TwitterClean[[#This Row],[external_url]]="null","Yes","No")</f>
        <v>No</v>
      </c>
      <c r="AK601">
        <f>LEN(TwitterClean[[#This Row],[description]])</f>
        <v>101</v>
      </c>
      <c r="AL601" t="str">
        <f>IF(TwitterClean[[#This Row],[followers]]&lt;100000,"&lt;100K",IF(TwitterClean[[#This Row],[followers]]&lt;1000000,"100K-1M",IF(TwitterClean[[#This Row],[followers]]&lt;10000000,"1M-10M","10M+")))</f>
        <v>1M-10M</v>
      </c>
    </row>
    <row r="602" spans="1:38">
      <c r="A602">
        <v>1.8683138217960699E+18</v>
      </c>
      <c r="B602" t="s">
        <v>1267</v>
      </c>
      <c r="C602" t="s">
        <v>1268</v>
      </c>
      <c r="D602" t="s">
        <v>1319</v>
      </c>
      <c r="E602" t="s">
        <v>1320</v>
      </c>
      <c r="F602" t="s">
        <v>1321</v>
      </c>
      <c r="G602" t="s">
        <v>1322</v>
      </c>
      <c r="H602" t="s">
        <v>1323</v>
      </c>
      <c r="I602">
        <v>568</v>
      </c>
      <c r="J602">
        <v>1242</v>
      </c>
      <c r="K602">
        <v>5863</v>
      </c>
      <c r="L602">
        <v>1241664</v>
      </c>
      <c r="M602" t="s">
        <v>52</v>
      </c>
      <c r="N602" t="s">
        <v>1324</v>
      </c>
      <c r="O602">
        <v>17891377</v>
      </c>
      <c r="P602" t="s">
        <v>1274</v>
      </c>
      <c r="Q602">
        <v>168939</v>
      </c>
      <c r="R602" t="s">
        <v>1275</v>
      </c>
      <c r="S602">
        <v>47365</v>
      </c>
      <c r="T602" t="b">
        <v>0</v>
      </c>
      <c r="U602">
        <v>1381</v>
      </c>
      <c r="V602">
        <v>63</v>
      </c>
      <c r="W602" t="s">
        <v>35</v>
      </c>
      <c r="X602" t="s">
        <v>29</v>
      </c>
      <c r="Y602" t="s">
        <v>29</v>
      </c>
      <c r="Z602" t="s">
        <v>37</v>
      </c>
      <c r="AA602">
        <f>TwitterClean[[#This Row],[likes]]+TwitterClean[[#This Row],[replies]]+TwitterClean[[#This Row],[reposts]]+TwitterClean[[#This Row],[quotes]]+TwitterClean[[#This Row],[bookmarks]]</f>
        <v>9117</v>
      </c>
      <c r="AB602" s="1">
        <f>TwitterClean[[#This Row],[Total_Engagements]]/TwitterClean[[#This Row],[views]]</f>
        <v>7.3425661048399571E-3</v>
      </c>
      <c r="AC602" s="3">
        <f>DATEVALUE(MID(TwitterClean[[#This Row],[date_posted]],2,10))</f>
        <v>45641</v>
      </c>
      <c r="AD602">
        <f>TIMEVALUE(MID(TwitterClean[[#This Row],[date_posted]],13,8))</f>
        <v>0.63542824074074078</v>
      </c>
      <c r="AE602" s="3" t="str">
        <f>TEXT(TwitterClean[[#This Row],[Post_Date]],"dddd")</f>
        <v>Sunday</v>
      </c>
      <c r="AF602">
        <f>HOUR(TwitterClean[[#This Row],[Post_Time]])</f>
        <v>15</v>
      </c>
      <c r="AG602" t="str">
        <f>IF(TwitterClean[[#This Row],[videos]]="Null","No","Yes")</f>
        <v>No</v>
      </c>
      <c r="AH602" t="str">
        <f>IF(TwitterClean[[#This Row],[photos]]="null","No","Yes")</f>
        <v>Yes</v>
      </c>
      <c r="AI602" t="str">
        <f>IF(TwitterClean[[#This Row],[hashtags]]="null","No","Yes")</f>
        <v>Yes</v>
      </c>
      <c r="AJ602" t="str">
        <f>IF(TwitterClean[[#This Row],[external_url]]="null","Yes","No")</f>
        <v>No</v>
      </c>
      <c r="AK602">
        <f>LEN(TwitterClean[[#This Row],[description]])</f>
        <v>253</v>
      </c>
      <c r="AL602" t="str">
        <f>IF(TwitterClean[[#This Row],[followers]]&lt;100000,"&lt;100K",IF(TwitterClean[[#This Row],[followers]]&lt;1000000,"100K-1M",IF(TwitterClean[[#This Row],[followers]]&lt;10000000,"1M-10M","10M+")))</f>
        <v>10M+</v>
      </c>
    </row>
    <row r="603" spans="1:38">
      <c r="A603">
        <v>1.8682971446348759E+18</v>
      </c>
      <c r="B603" t="s">
        <v>313</v>
      </c>
      <c r="C603" t="s">
        <v>314</v>
      </c>
      <c r="D603" t="s">
        <v>315</v>
      </c>
      <c r="E603" t="s">
        <v>316</v>
      </c>
      <c r="F603" t="s">
        <v>29</v>
      </c>
      <c r="G603" t="s">
        <v>317</v>
      </c>
      <c r="H603" t="s">
        <v>318</v>
      </c>
      <c r="I603">
        <v>3</v>
      </c>
      <c r="J603">
        <v>1</v>
      </c>
      <c r="K603">
        <v>25</v>
      </c>
      <c r="L603">
        <v>4691</v>
      </c>
      <c r="M603" t="s">
        <v>319</v>
      </c>
      <c r="N603" t="s">
        <v>320</v>
      </c>
      <c r="O603">
        <v>115805</v>
      </c>
      <c r="P603" t="s">
        <v>321</v>
      </c>
      <c r="Q603">
        <v>20240</v>
      </c>
      <c r="R603" t="s">
        <v>322</v>
      </c>
      <c r="S603">
        <v>332</v>
      </c>
      <c r="T603" t="b">
        <v>0</v>
      </c>
      <c r="U603">
        <v>1</v>
      </c>
      <c r="V603">
        <v>4</v>
      </c>
      <c r="W603" t="s">
        <v>35</v>
      </c>
      <c r="X603" t="s">
        <v>323</v>
      </c>
      <c r="Y603" t="s">
        <v>29</v>
      </c>
      <c r="Z603" t="s">
        <v>37</v>
      </c>
      <c r="AA603">
        <f>TwitterClean[[#This Row],[likes]]+TwitterClean[[#This Row],[replies]]+TwitterClean[[#This Row],[reposts]]+TwitterClean[[#This Row],[quotes]]+TwitterClean[[#This Row],[bookmarks]]</f>
        <v>34</v>
      </c>
      <c r="AB603" s="1">
        <f>TwitterClean[[#This Row],[Total_Engagements]]/TwitterClean[[#This Row],[views]]</f>
        <v>7.2479215519079092E-3</v>
      </c>
      <c r="AC603" s="3">
        <f>DATEVALUE(MID(TwitterClean[[#This Row],[date_posted]],2,10))</f>
        <v>45641</v>
      </c>
      <c r="AD603">
        <f>TIMEVALUE(MID(TwitterClean[[#This Row],[date_posted]],13,8))</f>
        <v>0.58940972222222221</v>
      </c>
      <c r="AE603" s="3" t="str">
        <f>TEXT(TwitterClean[[#This Row],[Post_Date]],"dddd")</f>
        <v>Sunday</v>
      </c>
      <c r="AF603">
        <f>HOUR(TwitterClean[[#This Row],[Post_Time]])</f>
        <v>14</v>
      </c>
      <c r="AG603" t="str">
        <f>IF(TwitterClean[[#This Row],[videos]]="Null","No","Yes")</f>
        <v>No</v>
      </c>
      <c r="AH603" t="str">
        <f>IF(TwitterClean[[#This Row],[photos]]="null","No","Yes")</f>
        <v>No</v>
      </c>
      <c r="AI603" t="str">
        <f>IF(TwitterClean[[#This Row],[hashtags]]="null","No","Yes")</f>
        <v>Yes</v>
      </c>
      <c r="AJ603" t="str">
        <f>IF(TwitterClean[[#This Row],[external_url]]="null","Yes","No")</f>
        <v>No</v>
      </c>
      <c r="AK603">
        <f>LEN(TwitterClean[[#This Row],[description]])</f>
        <v>160</v>
      </c>
      <c r="AL603" t="str">
        <f>IF(TwitterClean[[#This Row],[followers]]&lt;100000,"&lt;100K",IF(TwitterClean[[#This Row],[followers]]&lt;1000000,"100K-1M",IF(TwitterClean[[#This Row],[followers]]&lt;10000000,"1M-10M","10M+")))</f>
        <v>100K-1M</v>
      </c>
    </row>
    <row r="604" spans="1:38">
      <c r="A604">
        <v>1.8682818138039378E+18</v>
      </c>
      <c r="B604" t="s">
        <v>3392</v>
      </c>
      <c r="C604" t="s">
        <v>3393</v>
      </c>
      <c r="D604" t="s">
        <v>4664</v>
      </c>
      <c r="E604" t="s">
        <v>4665</v>
      </c>
      <c r="F604" t="s">
        <v>4666</v>
      </c>
      <c r="G604" t="s">
        <v>4667</v>
      </c>
      <c r="H604" t="s">
        <v>29</v>
      </c>
      <c r="I604">
        <v>6</v>
      </c>
      <c r="J604">
        <v>5</v>
      </c>
      <c r="K604">
        <v>285</v>
      </c>
      <c r="L604">
        <v>41445</v>
      </c>
      <c r="M604" t="s">
        <v>52</v>
      </c>
      <c r="N604" t="s">
        <v>3405</v>
      </c>
      <c r="O604">
        <v>1480966</v>
      </c>
      <c r="P604" t="s">
        <v>3399</v>
      </c>
      <c r="Q604">
        <v>103753</v>
      </c>
      <c r="R604" t="s">
        <v>3400</v>
      </c>
      <c r="S604">
        <v>552</v>
      </c>
      <c r="T604" t="b">
        <v>0</v>
      </c>
      <c r="U604">
        <v>1</v>
      </c>
      <c r="V604">
        <v>1</v>
      </c>
      <c r="W604" t="s">
        <v>35</v>
      </c>
      <c r="X604" t="s">
        <v>29</v>
      </c>
      <c r="Y604" t="s">
        <v>29</v>
      </c>
      <c r="Z604" t="s">
        <v>37</v>
      </c>
      <c r="AA604">
        <f>TwitterClean[[#This Row],[likes]]+TwitterClean[[#This Row],[replies]]+TwitterClean[[#This Row],[reposts]]+TwitterClean[[#This Row],[quotes]]+TwitterClean[[#This Row],[bookmarks]]</f>
        <v>298</v>
      </c>
      <c r="AB604" s="1">
        <f>TwitterClean[[#This Row],[Total_Engagements]]/TwitterClean[[#This Row],[views]]</f>
        <v>7.1902521413922064E-3</v>
      </c>
      <c r="AC604" s="3">
        <f>DATEVALUE(MID(TwitterClean[[#This Row],[date_posted]],2,10))</f>
        <v>45641</v>
      </c>
      <c r="AD604">
        <f>TIMEVALUE(MID(TwitterClean[[#This Row],[date_posted]],13,8))</f>
        <v>0.54710648148148144</v>
      </c>
      <c r="AE604" s="3" t="str">
        <f>TEXT(TwitterClean[[#This Row],[Post_Date]],"dddd")</f>
        <v>Sunday</v>
      </c>
      <c r="AF604">
        <f>HOUR(TwitterClean[[#This Row],[Post_Time]])</f>
        <v>13</v>
      </c>
      <c r="AG604" t="str">
        <f>IF(TwitterClean[[#This Row],[videos]]="Null","No","Yes")</f>
        <v>No</v>
      </c>
      <c r="AH604" t="str">
        <f>IF(TwitterClean[[#This Row],[photos]]="null","No","Yes")</f>
        <v>Yes</v>
      </c>
      <c r="AI604" t="str">
        <f>IF(TwitterClean[[#This Row],[hashtags]]="null","No","Yes")</f>
        <v>Yes</v>
      </c>
      <c r="AJ604" t="str">
        <f>IF(TwitterClean[[#This Row],[external_url]]="null","Yes","No")</f>
        <v>No</v>
      </c>
      <c r="AK604">
        <f>LEN(TwitterClean[[#This Row],[description]])</f>
        <v>23</v>
      </c>
      <c r="AL604" t="str">
        <f>IF(TwitterClean[[#This Row],[followers]]&lt;100000,"&lt;100K",IF(TwitterClean[[#This Row],[followers]]&lt;1000000,"100K-1M",IF(TwitterClean[[#This Row],[followers]]&lt;10000000,"1M-10M","10M+")))</f>
        <v>1M-10M</v>
      </c>
    </row>
    <row r="605" spans="1:38">
      <c r="A605">
        <v>1.8681471880411346E+18</v>
      </c>
      <c r="B605" t="s">
        <v>3083</v>
      </c>
      <c r="C605" t="s">
        <v>3083</v>
      </c>
      <c r="D605" t="s">
        <v>3294</v>
      </c>
      <c r="E605" t="s">
        <v>3295</v>
      </c>
      <c r="F605" t="s">
        <v>29</v>
      </c>
      <c r="G605" t="s">
        <v>3296</v>
      </c>
      <c r="H605" t="s">
        <v>29</v>
      </c>
      <c r="I605">
        <v>770</v>
      </c>
      <c r="J605">
        <v>3082</v>
      </c>
      <c r="K605">
        <v>23298</v>
      </c>
      <c r="L605">
        <v>4223579</v>
      </c>
      <c r="M605" t="s">
        <v>52</v>
      </c>
      <c r="N605" t="s">
        <v>3087</v>
      </c>
      <c r="O605">
        <v>14375937</v>
      </c>
      <c r="P605" t="s">
        <v>3088</v>
      </c>
      <c r="Q605">
        <v>346973</v>
      </c>
      <c r="R605" t="s">
        <v>3089</v>
      </c>
      <c r="S605">
        <v>392</v>
      </c>
      <c r="T605" t="b">
        <v>0</v>
      </c>
      <c r="U605">
        <v>562</v>
      </c>
      <c r="V605">
        <v>2606</v>
      </c>
      <c r="W605" t="s">
        <v>35</v>
      </c>
      <c r="X605" t="s">
        <v>29</v>
      </c>
      <c r="Y605" t="s">
        <v>3297</v>
      </c>
      <c r="Z605" t="s">
        <v>37</v>
      </c>
      <c r="AA605">
        <f>TwitterClean[[#This Row],[likes]]+TwitterClean[[#This Row],[replies]]+TwitterClean[[#This Row],[reposts]]+TwitterClean[[#This Row],[quotes]]+TwitterClean[[#This Row],[bookmarks]]</f>
        <v>30318</v>
      </c>
      <c r="AB605" s="1">
        <f>TwitterClean[[#This Row],[Total_Engagements]]/TwitterClean[[#This Row],[views]]</f>
        <v>7.1782722662462337E-3</v>
      </c>
      <c r="AC605" s="3">
        <f>DATEVALUE(MID(TwitterClean[[#This Row],[date_posted]],2,10))</f>
        <v>45641</v>
      </c>
      <c r="AD605">
        <f>TIMEVALUE(MID(TwitterClean[[#This Row],[date_posted]],13,8))</f>
        <v>0.17560185185185184</v>
      </c>
      <c r="AE605" s="3" t="str">
        <f>TEXT(TwitterClean[[#This Row],[Post_Date]],"dddd")</f>
        <v>Sunday</v>
      </c>
      <c r="AF605">
        <f>HOUR(TwitterClean[[#This Row],[Post_Time]])</f>
        <v>4</v>
      </c>
      <c r="AG605" t="str">
        <f>IF(TwitterClean[[#This Row],[videos]]="Null","No","Yes")</f>
        <v>Yes</v>
      </c>
      <c r="AH605" t="str">
        <f>IF(TwitterClean[[#This Row],[photos]]="null","No","Yes")</f>
        <v>No</v>
      </c>
      <c r="AI605" t="str">
        <f>IF(TwitterClean[[#This Row],[hashtags]]="null","No","Yes")</f>
        <v>Yes</v>
      </c>
      <c r="AJ605" t="str">
        <f>IF(TwitterClean[[#This Row],[external_url]]="null","Yes","No")</f>
        <v>No</v>
      </c>
      <c r="AK605">
        <f>LEN(TwitterClean[[#This Row],[description]])</f>
        <v>208</v>
      </c>
      <c r="AL605" t="str">
        <f>IF(TwitterClean[[#This Row],[followers]]&lt;100000,"&lt;100K",IF(TwitterClean[[#This Row],[followers]]&lt;1000000,"100K-1M",IF(TwitterClean[[#This Row],[followers]]&lt;10000000,"1M-10M","10M+")))</f>
        <v>10M+</v>
      </c>
    </row>
    <row r="606" spans="1:38">
      <c r="A606">
        <v>1.8681188395585454E+18</v>
      </c>
      <c r="B606" t="s">
        <v>3034</v>
      </c>
      <c r="C606" t="s">
        <v>3035</v>
      </c>
      <c r="D606" t="s">
        <v>3441</v>
      </c>
      <c r="E606" t="s">
        <v>3442</v>
      </c>
      <c r="F606" t="s">
        <v>29</v>
      </c>
      <c r="G606" t="s">
        <v>3443</v>
      </c>
      <c r="H606" t="s">
        <v>3444</v>
      </c>
      <c r="I606">
        <v>49</v>
      </c>
      <c r="J606">
        <v>53</v>
      </c>
      <c r="K606">
        <v>534</v>
      </c>
      <c r="L606">
        <v>90926</v>
      </c>
      <c r="M606" t="s">
        <v>52</v>
      </c>
      <c r="N606" t="s">
        <v>3040</v>
      </c>
      <c r="O606">
        <v>12876593</v>
      </c>
      <c r="P606" t="s">
        <v>3041</v>
      </c>
      <c r="Q606">
        <v>141401</v>
      </c>
      <c r="R606" t="s">
        <v>3042</v>
      </c>
      <c r="S606">
        <v>717</v>
      </c>
      <c r="T606" t="b">
        <v>0</v>
      </c>
      <c r="U606">
        <v>4</v>
      </c>
      <c r="V606">
        <v>10</v>
      </c>
      <c r="W606" t="s">
        <v>35</v>
      </c>
      <c r="X606" t="s">
        <v>29</v>
      </c>
      <c r="Y606" t="s">
        <v>3445</v>
      </c>
      <c r="Z606" t="s">
        <v>37</v>
      </c>
      <c r="AA606">
        <f>TwitterClean[[#This Row],[likes]]+TwitterClean[[#This Row],[replies]]+TwitterClean[[#This Row],[reposts]]+TwitterClean[[#This Row],[quotes]]+TwitterClean[[#This Row],[bookmarks]]</f>
        <v>650</v>
      </c>
      <c r="AB606" s="1">
        <f>TwitterClean[[#This Row],[Total_Engagements]]/TwitterClean[[#This Row],[views]]</f>
        <v>7.1486703473153997E-3</v>
      </c>
      <c r="AC606" s="3">
        <f>DATEVALUE(MID(TwitterClean[[#This Row],[date_posted]],2,10))</f>
        <v>45641</v>
      </c>
      <c r="AD606">
        <f>TIMEVALUE(MID(TwitterClean[[#This Row],[date_posted]],13,8))</f>
        <v>9.7372685185185187E-2</v>
      </c>
      <c r="AE606" s="3" t="str">
        <f>TEXT(TwitterClean[[#This Row],[Post_Date]],"dddd")</f>
        <v>Sunday</v>
      </c>
      <c r="AF606">
        <f>HOUR(TwitterClean[[#This Row],[Post_Time]])</f>
        <v>2</v>
      </c>
      <c r="AG606" t="str">
        <f>IF(TwitterClean[[#This Row],[videos]]="Null","No","Yes")</f>
        <v>Yes</v>
      </c>
      <c r="AH606" t="str">
        <f>IF(TwitterClean[[#This Row],[photos]]="null","No","Yes")</f>
        <v>No</v>
      </c>
      <c r="AI606" t="str">
        <f>IF(TwitterClean[[#This Row],[hashtags]]="null","No","Yes")</f>
        <v>Yes</v>
      </c>
      <c r="AJ606" t="str">
        <f>IF(TwitterClean[[#This Row],[external_url]]="null","Yes","No")</f>
        <v>No</v>
      </c>
      <c r="AK606">
        <f>LEN(TwitterClean[[#This Row],[description]])</f>
        <v>113</v>
      </c>
      <c r="AL606" t="str">
        <f>IF(TwitterClean[[#This Row],[followers]]&lt;100000,"&lt;100K",IF(TwitterClean[[#This Row],[followers]]&lt;1000000,"100K-1M",IF(TwitterClean[[#This Row],[followers]]&lt;10000000,"1M-10M","10M+")))</f>
        <v>10M+</v>
      </c>
    </row>
    <row r="607" spans="1:38">
      <c r="A607">
        <v>1.8682286307213069E+18</v>
      </c>
      <c r="B607" t="s">
        <v>1656</v>
      </c>
      <c r="C607" t="s">
        <v>1657</v>
      </c>
      <c r="D607" t="s">
        <v>2175</v>
      </c>
      <c r="E607" t="s">
        <v>2176</v>
      </c>
      <c r="F607" t="s">
        <v>29</v>
      </c>
      <c r="G607" t="s">
        <v>2177</v>
      </c>
      <c r="H607" t="s">
        <v>29</v>
      </c>
      <c r="I607">
        <v>32</v>
      </c>
      <c r="J607">
        <v>8</v>
      </c>
      <c r="K607">
        <v>56</v>
      </c>
      <c r="L607">
        <v>14114</v>
      </c>
      <c r="M607" t="s">
        <v>2178</v>
      </c>
      <c r="N607" t="s">
        <v>29</v>
      </c>
      <c r="O607">
        <v>2819409</v>
      </c>
      <c r="P607" t="s">
        <v>1662</v>
      </c>
      <c r="Q607">
        <v>286269</v>
      </c>
      <c r="R607" t="s">
        <v>1663</v>
      </c>
      <c r="S607">
        <v>4</v>
      </c>
      <c r="T607" t="b">
        <v>0</v>
      </c>
      <c r="U607">
        <v>3</v>
      </c>
      <c r="V607">
        <v>1</v>
      </c>
      <c r="W607" t="s">
        <v>35</v>
      </c>
      <c r="X607" t="s">
        <v>2179</v>
      </c>
      <c r="Y607" t="s">
        <v>29</v>
      </c>
      <c r="Z607" t="s">
        <v>37</v>
      </c>
      <c r="AA607">
        <f>TwitterClean[[#This Row],[likes]]+TwitterClean[[#This Row],[replies]]+TwitterClean[[#This Row],[reposts]]+TwitterClean[[#This Row],[quotes]]+TwitterClean[[#This Row],[bookmarks]]</f>
        <v>100</v>
      </c>
      <c r="AB607" s="1">
        <f>TwitterClean[[#This Row],[Total_Engagements]]/TwitterClean[[#This Row],[views]]</f>
        <v>7.0851636672807144E-3</v>
      </c>
      <c r="AC607" s="3">
        <f>DATEVALUE(MID(TwitterClean[[#This Row],[date_posted]],2,10))</f>
        <v>45641</v>
      </c>
      <c r="AD607">
        <f>TIMEVALUE(MID(TwitterClean[[#This Row],[date_posted]],13,8))</f>
        <v>0.40034722222222224</v>
      </c>
      <c r="AE607" s="3" t="str">
        <f>TEXT(TwitterClean[[#This Row],[Post_Date]],"dddd")</f>
        <v>Sunday</v>
      </c>
      <c r="AF607">
        <f>HOUR(TwitterClean[[#This Row],[Post_Time]])</f>
        <v>9</v>
      </c>
      <c r="AG607" t="str">
        <f>IF(TwitterClean[[#This Row],[videos]]="Null","No","Yes")</f>
        <v>No</v>
      </c>
      <c r="AH607" t="str">
        <f>IF(TwitterClean[[#This Row],[photos]]="null","No","Yes")</f>
        <v>No</v>
      </c>
      <c r="AI607" t="str">
        <f>IF(TwitterClean[[#This Row],[hashtags]]="null","No","Yes")</f>
        <v>No</v>
      </c>
      <c r="AJ607" t="str">
        <f>IF(TwitterClean[[#This Row],[external_url]]="null","Yes","No")</f>
        <v>No</v>
      </c>
      <c r="AK607">
        <f>LEN(TwitterClean[[#This Row],[description]])</f>
        <v>77</v>
      </c>
      <c r="AL607" t="str">
        <f>IF(TwitterClean[[#This Row],[followers]]&lt;100000,"&lt;100K",IF(TwitterClean[[#This Row],[followers]]&lt;1000000,"100K-1M",IF(TwitterClean[[#This Row],[followers]]&lt;10000000,"1M-10M","10M+")))</f>
        <v>1M-10M</v>
      </c>
    </row>
    <row r="608" spans="1:38">
      <c r="A608">
        <v>1.8681743936939461E+18</v>
      </c>
      <c r="B608" t="s">
        <v>3034</v>
      </c>
      <c r="C608" t="s">
        <v>3035</v>
      </c>
      <c r="D608" t="s">
        <v>3541</v>
      </c>
      <c r="E608" t="s">
        <v>3542</v>
      </c>
      <c r="F608" t="s">
        <v>29</v>
      </c>
      <c r="G608" t="s">
        <v>3543</v>
      </c>
      <c r="H608" t="s">
        <v>3544</v>
      </c>
      <c r="I608">
        <v>665</v>
      </c>
      <c r="J608">
        <v>374</v>
      </c>
      <c r="K608">
        <v>4237</v>
      </c>
      <c r="L608">
        <v>803807</v>
      </c>
      <c r="M608" t="s">
        <v>52</v>
      </c>
      <c r="N608" t="s">
        <v>3040</v>
      </c>
      <c r="O608">
        <v>12876593</v>
      </c>
      <c r="P608" t="s">
        <v>3041</v>
      </c>
      <c r="Q608">
        <v>141401</v>
      </c>
      <c r="R608" t="s">
        <v>3042</v>
      </c>
      <c r="S608">
        <v>717</v>
      </c>
      <c r="T608" t="b">
        <v>0</v>
      </c>
      <c r="U608">
        <v>173</v>
      </c>
      <c r="V608">
        <v>226</v>
      </c>
      <c r="W608" t="s">
        <v>35</v>
      </c>
      <c r="X608" t="s">
        <v>29</v>
      </c>
      <c r="Y608" t="s">
        <v>3545</v>
      </c>
      <c r="Z608" t="s">
        <v>37</v>
      </c>
      <c r="AA608">
        <f>TwitterClean[[#This Row],[likes]]+TwitterClean[[#This Row],[replies]]+TwitterClean[[#This Row],[reposts]]+TwitterClean[[#This Row],[quotes]]+TwitterClean[[#This Row],[bookmarks]]</f>
        <v>5675</v>
      </c>
      <c r="AB608" s="1">
        <f>TwitterClean[[#This Row],[Total_Engagements]]/TwitterClean[[#This Row],[views]]</f>
        <v>7.0601524992939847E-3</v>
      </c>
      <c r="AC608" s="3">
        <f>DATEVALUE(MID(TwitterClean[[#This Row],[date_posted]],2,10))</f>
        <v>45641</v>
      </c>
      <c r="AD608">
        <f>TIMEVALUE(MID(TwitterClean[[#This Row],[date_posted]],13,8))</f>
        <v>0.25068287037037035</v>
      </c>
      <c r="AE608" s="3" t="str">
        <f>TEXT(TwitterClean[[#This Row],[Post_Date]],"dddd")</f>
        <v>Sunday</v>
      </c>
      <c r="AF608">
        <f>HOUR(TwitterClean[[#This Row],[Post_Time]])</f>
        <v>6</v>
      </c>
      <c r="AG608" t="str">
        <f>IF(TwitterClean[[#This Row],[videos]]="Null","No","Yes")</f>
        <v>Yes</v>
      </c>
      <c r="AH608" t="str">
        <f>IF(TwitterClean[[#This Row],[photos]]="null","No","Yes")</f>
        <v>No</v>
      </c>
      <c r="AI608" t="str">
        <f>IF(TwitterClean[[#This Row],[hashtags]]="null","No","Yes")</f>
        <v>Yes</v>
      </c>
      <c r="AJ608" t="str">
        <f>IF(TwitterClean[[#This Row],[external_url]]="null","Yes","No")</f>
        <v>No</v>
      </c>
      <c r="AK608">
        <f>LEN(TwitterClean[[#This Row],[description]])</f>
        <v>117</v>
      </c>
      <c r="AL608" t="str">
        <f>IF(TwitterClean[[#This Row],[followers]]&lt;100000,"&lt;100K",IF(TwitterClean[[#This Row],[followers]]&lt;1000000,"100K-1M",IF(TwitterClean[[#This Row],[followers]]&lt;10000000,"1M-10M","10M+")))</f>
        <v>10M+</v>
      </c>
    </row>
    <row r="609" spans="1:38">
      <c r="A609">
        <v>1.8681146128072297E+18</v>
      </c>
      <c r="B609" t="s">
        <v>2230</v>
      </c>
      <c r="C609" t="s">
        <v>2231</v>
      </c>
      <c r="D609" t="s">
        <v>2554</v>
      </c>
      <c r="E609" t="s">
        <v>2555</v>
      </c>
      <c r="F609" t="s">
        <v>2556</v>
      </c>
      <c r="G609" t="s">
        <v>2557</v>
      </c>
      <c r="H609" t="s">
        <v>29</v>
      </c>
      <c r="I609">
        <v>41</v>
      </c>
      <c r="J609">
        <v>18</v>
      </c>
      <c r="K609">
        <v>221</v>
      </c>
      <c r="L609">
        <v>41266</v>
      </c>
      <c r="M609" t="s">
        <v>2558</v>
      </c>
      <c r="N609" t="s">
        <v>29</v>
      </c>
      <c r="O609">
        <v>3313894</v>
      </c>
      <c r="P609" t="s">
        <v>2237</v>
      </c>
      <c r="Q609">
        <v>706459</v>
      </c>
      <c r="R609" t="s">
        <v>2238</v>
      </c>
      <c r="S609">
        <v>10308</v>
      </c>
      <c r="T609" t="b">
        <v>0</v>
      </c>
      <c r="U609">
        <v>8</v>
      </c>
      <c r="V609">
        <v>2</v>
      </c>
      <c r="W609" t="s">
        <v>35</v>
      </c>
      <c r="X609" t="s">
        <v>29</v>
      </c>
      <c r="Y609" t="s">
        <v>29</v>
      </c>
      <c r="Z609" t="s">
        <v>37</v>
      </c>
      <c r="AA609">
        <f>TwitterClean[[#This Row],[likes]]+TwitterClean[[#This Row],[replies]]+TwitterClean[[#This Row],[reposts]]+TwitterClean[[#This Row],[quotes]]+TwitterClean[[#This Row],[bookmarks]]</f>
        <v>290</v>
      </c>
      <c r="AB609" s="1">
        <f>TwitterClean[[#This Row],[Total_Engagements]]/TwitterClean[[#This Row],[views]]</f>
        <v>7.0275771821838801E-3</v>
      </c>
      <c r="AC609" s="3">
        <f>DATEVALUE(MID(TwitterClean[[#This Row],[date_posted]],2,10))</f>
        <v>45641</v>
      </c>
      <c r="AD609">
        <f>TIMEVALUE(MID(TwitterClean[[#This Row],[date_posted]],13,8))</f>
        <v>8.5717592592592595E-2</v>
      </c>
      <c r="AE609" s="3" t="str">
        <f>TEXT(TwitterClean[[#This Row],[Post_Date]],"dddd")</f>
        <v>Sunday</v>
      </c>
      <c r="AF609">
        <f>HOUR(TwitterClean[[#This Row],[Post_Time]])</f>
        <v>2</v>
      </c>
      <c r="AG609" t="str">
        <f>IF(TwitterClean[[#This Row],[videos]]="Null","No","Yes")</f>
        <v>No</v>
      </c>
      <c r="AH609" t="str">
        <f>IF(TwitterClean[[#This Row],[photos]]="null","No","Yes")</f>
        <v>Yes</v>
      </c>
      <c r="AI609" t="str">
        <f>IF(TwitterClean[[#This Row],[hashtags]]="null","No","Yes")</f>
        <v>No</v>
      </c>
      <c r="AJ609" t="str">
        <f>IF(TwitterClean[[#This Row],[external_url]]="null","Yes","No")</f>
        <v>No</v>
      </c>
      <c r="AK609">
        <f>LEN(TwitterClean[[#This Row],[description]])</f>
        <v>54</v>
      </c>
      <c r="AL609" t="str">
        <f>IF(TwitterClean[[#This Row],[followers]]&lt;100000,"&lt;100K",IF(TwitterClean[[#This Row],[followers]]&lt;1000000,"100K-1M",IF(TwitterClean[[#This Row],[followers]]&lt;10000000,"1M-10M","10M+")))</f>
        <v>1M-10M</v>
      </c>
    </row>
    <row r="610" spans="1:38">
      <c r="A610">
        <v>1.8681711140372933E+18</v>
      </c>
      <c r="B610" t="s">
        <v>2230</v>
      </c>
      <c r="C610" t="s">
        <v>2231</v>
      </c>
      <c r="D610" t="s">
        <v>2404</v>
      </c>
      <c r="E610" t="s">
        <v>2405</v>
      </c>
      <c r="F610" t="s">
        <v>2406</v>
      </c>
      <c r="G610" t="s">
        <v>2407</v>
      </c>
      <c r="H610" t="s">
        <v>29</v>
      </c>
      <c r="I610">
        <v>56</v>
      </c>
      <c r="J610">
        <v>44</v>
      </c>
      <c r="K610">
        <v>171</v>
      </c>
      <c r="L610">
        <v>43305</v>
      </c>
      <c r="M610" t="s">
        <v>2408</v>
      </c>
      <c r="N610" t="s">
        <v>29</v>
      </c>
      <c r="O610">
        <v>3313891</v>
      </c>
      <c r="P610" t="s">
        <v>2237</v>
      </c>
      <c r="Q610">
        <v>706459</v>
      </c>
      <c r="R610" t="s">
        <v>2238</v>
      </c>
      <c r="S610">
        <v>10308</v>
      </c>
      <c r="T610" t="b">
        <v>0</v>
      </c>
      <c r="U610">
        <v>13</v>
      </c>
      <c r="V610">
        <v>20</v>
      </c>
      <c r="W610" t="s">
        <v>35</v>
      </c>
      <c r="X610" t="s">
        <v>29</v>
      </c>
      <c r="Y610" t="s">
        <v>29</v>
      </c>
      <c r="Z610" t="s">
        <v>37</v>
      </c>
      <c r="AA610">
        <f>TwitterClean[[#This Row],[likes]]+TwitterClean[[#This Row],[replies]]+TwitterClean[[#This Row],[reposts]]+TwitterClean[[#This Row],[quotes]]+TwitterClean[[#This Row],[bookmarks]]</f>
        <v>304</v>
      </c>
      <c r="AB610" s="1">
        <f>TwitterClean[[#This Row],[Total_Engagements]]/TwitterClean[[#This Row],[views]]</f>
        <v>7.0199745987761224E-3</v>
      </c>
      <c r="AC610" s="3">
        <f>DATEVALUE(MID(TwitterClean[[#This Row],[date_posted]],2,10))</f>
        <v>45641</v>
      </c>
      <c r="AD610">
        <f>TIMEVALUE(MID(TwitterClean[[#This Row],[date_posted]],13,8))</f>
        <v>0.24163194444444444</v>
      </c>
      <c r="AE610" s="3" t="str">
        <f>TEXT(TwitterClean[[#This Row],[Post_Date]],"dddd")</f>
        <v>Sunday</v>
      </c>
      <c r="AF610">
        <f>HOUR(TwitterClean[[#This Row],[Post_Time]])</f>
        <v>5</v>
      </c>
      <c r="AG610" t="str">
        <f>IF(TwitterClean[[#This Row],[videos]]="Null","No","Yes")</f>
        <v>No</v>
      </c>
      <c r="AH610" t="str">
        <f>IF(TwitterClean[[#This Row],[photos]]="null","No","Yes")</f>
        <v>Yes</v>
      </c>
      <c r="AI610" t="str">
        <f>IF(TwitterClean[[#This Row],[hashtags]]="null","No","Yes")</f>
        <v>No</v>
      </c>
      <c r="AJ610" t="str">
        <f>IF(TwitterClean[[#This Row],[external_url]]="null","Yes","No")</f>
        <v>No</v>
      </c>
      <c r="AK610">
        <f>LEN(TwitterClean[[#This Row],[description]])</f>
        <v>98</v>
      </c>
      <c r="AL610" t="str">
        <f>IF(TwitterClean[[#This Row],[followers]]&lt;100000,"&lt;100K",IF(TwitterClean[[#This Row],[followers]]&lt;1000000,"100K-1M",IF(TwitterClean[[#This Row],[followers]]&lt;10000000,"1M-10M","10M+")))</f>
        <v>1M-10M</v>
      </c>
    </row>
    <row r="611" spans="1:38">
      <c r="A611">
        <v>1.8681080905679752E+18</v>
      </c>
      <c r="B611" t="s">
        <v>2230</v>
      </c>
      <c r="C611" t="s">
        <v>2231</v>
      </c>
      <c r="D611" t="s">
        <v>2618</v>
      </c>
      <c r="E611" t="s">
        <v>2619</v>
      </c>
      <c r="F611" t="s">
        <v>2620</v>
      </c>
      <c r="G611" t="s">
        <v>2621</v>
      </c>
      <c r="H611" t="s">
        <v>29</v>
      </c>
      <c r="I611">
        <v>63</v>
      </c>
      <c r="J611">
        <v>55</v>
      </c>
      <c r="K611">
        <v>232</v>
      </c>
      <c r="L611">
        <v>54458</v>
      </c>
      <c r="M611" t="s">
        <v>2622</v>
      </c>
      <c r="N611" t="s">
        <v>29</v>
      </c>
      <c r="O611">
        <v>3313894</v>
      </c>
      <c r="P611" t="s">
        <v>2237</v>
      </c>
      <c r="Q611">
        <v>706459</v>
      </c>
      <c r="R611" t="s">
        <v>2238</v>
      </c>
      <c r="S611">
        <v>10308</v>
      </c>
      <c r="T611" t="b">
        <v>0</v>
      </c>
      <c r="U611">
        <v>11</v>
      </c>
      <c r="V611">
        <v>19</v>
      </c>
      <c r="W611" t="s">
        <v>35</v>
      </c>
      <c r="X611" t="s">
        <v>29</v>
      </c>
      <c r="Y611" t="s">
        <v>29</v>
      </c>
      <c r="Z611" t="s">
        <v>37</v>
      </c>
      <c r="AA611">
        <f>TwitterClean[[#This Row],[likes]]+TwitterClean[[#This Row],[replies]]+TwitterClean[[#This Row],[reposts]]+TwitterClean[[#This Row],[quotes]]+TwitterClean[[#This Row],[bookmarks]]</f>
        <v>380</v>
      </c>
      <c r="AB611" s="1">
        <f>TwitterClean[[#This Row],[Total_Engagements]]/TwitterClean[[#This Row],[views]]</f>
        <v>6.9778544933710379E-3</v>
      </c>
      <c r="AC611" s="3">
        <f>DATEVALUE(MID(TwitterClean[[#This Row],[date_posted]],2,10))</f>
        <v>45641</v>
      </c>
      <c r="AD611">
        <f>TIMEVALUE(MID(TwitterClean[[#This Row],[date_posted]],13,8))</f>
        <v>6.7719907407407409E-2</v>
      </c>
      <c r="AE611" s="3" t="str">
        <f>TEXT(TwitterClean[[#This Row],[Post_Date]],"dddd")</f>
        <v>Sunday</v>
      </c>
      <c r="AF611">
        <f>HOUR(TwitterClean[[#This Row],[Post_Time]])</f>
        <v>1</v>
      </c>
      <c r="AG611" t="str">
        <f>IF(TwitterClean[[#This Row],[videos]]="Null","No","Yes")</f>
        <v>No</v>
      </c>
      <c r="AH611" t="str">
        <f>IF(TwitterClean[[#This Row],[photos]]="null","No","Yes")</f>
        <v>Yes</v>
      </c>
      <c r="AI611" t="str">
        <f>IF(TwitterClean[[#This Row],[hashtags]]="null","No","Yes")</f>
        <v>No</v>
      </c>
      <c r="AJ611" t="str">
        <f>IF(TwitterClean[[#This Row],[external_url]]="null","Yes","No")</f>
        <v>No</v>
      </c>
      <c r="AK611">
        <f>LEN(TwitterClean[[#This Row],[description]])</f>
        <v>95</v>
      </c>
      <c r="AL611" t="str">
        <f>IF(TwitterClean[[#This Row],[followers]]&lt;100000,"&lt;100K",IF(TwitterClean[[#This Row],[followers]]&lt;1000000,"100K-1M",IF(TwitterClean[[#This Row],[followers]]&lt;10000000,"1M-10M","10M+")))</f>
        <v>1M-10M</v>
      </c>
    </row>
    <row r="612" spans="1:38">
      <c r="A612">
        <v>1.866386184286462E+18</v>
      </c>
      <c r="B612" t="s">
        <v>2714</v>
      </c>
      <c r="C612" t="s">
        <v>2715</v>
      </c>
      <c r="D612" t="s">
        <v>2789</v>
      </c>
      <c r="E612" t="s">
        <v>2790</v>
      </c>
      <c r="F612" t="s">
        <v>29</v>
      </c>
      <c r="G612" t="s">
        <v>2791</v>
      </c>
      <c r="H612" t="s">
        <v>2792</v>
      </c>
      <c r="I612">
        <v>1</v>
      </c>
      <c r="J612">
        <v>5</v>
      </c>
      <c r="K612">
        <v>81</v>
      </c>
      <c r="L612">
        <v>13804</v>
      </c>
      <c r="M612" t="s">
        <v>52</v>
      </c>
      <c r="N612" t="s">
        <v>2793</v>
      </c>
      <c r="O612">
        <v>182895</v>
      </c>
      <c r="P612" t="s">
        <v>2720</v>
      </c>
      <c r="Q612">
        <v>30781</v>
      </c>
      <c r="R612" t="s">
        <v>2721</v>
      </c>
      <c r="S612">
        <v>559</v>
      </c>
      <c r="T612" t="b">
        <v>0</v>
      </c>
      <c r="U612">
        <v>1</v>
      </c>
      <c r="V612">
        <v>7</v>
      </c>
      <c r="W612" t="s">
        <v>35</v>
      </c>
      <c r="X612" t="s">
        <v>29</v>
      </c>
      <c r="Y612" t="s">
        <v>2794</v>
      </c>
      <c r="Z612" t="s">
        <v>37</v>
      </c>
      <c r="AA612">
        <f>TwitterClean[[#This Row],[likes]]+TwitterClean[[#This Row],[replies]]+TwitterClean[[#This Row],[reposts]]+TwitterClean[[#This Row],[quotes]]+TwitterClean[[#This Row],[bookmarks]]</f>
        <v>95</v>
      </c>
      <c r="AB612" s="1">
        <f>TwitterClean[[#This Row],[Total_Engagements]]/TwitterClean[[#This Row],[views]]</f>
        <v>6.8820631700956241E-3</v>
      </c>
      <c r="AC612" s="3">
        <f>DATEVALUE(MID(TwitterClean[[#This Row],[date_posted]],2,10))</f>
        <v>45636</v>
      </c>
      <c r="AD612">
        <f>TIMEVALUE(MID(TwitterClean[[#This Row],[date_posted]],13,8))</f>
        <v>0.31615740740740739</v>
      </c>
      <c r="AE612" s="3" t="str">
        <f>TEXT(TwitterClean[[#This Row],[Post_Date]],"dddd")</f>
        <v>Tuesday</v>
      </c>
      <c r="AF612">
        <f>HOUR(TwitterClean[[#This Row],[Post_Time]])</f>
        <v>7</v>
      </c>
      <c r="AG612" t="str">
        <f>IF(TwitterClean[[#This Row],[videos]]="Null","No","Yes")</f>
        <v>Yes</v>
      </c>
      <c r="AH612" t="str">
        <f>IF(TwitterClean[[#This Row],[photos]]="null","No","Yes")</f>
        <v>No</v>
      </c>
      <c r="AI612" t="str">
        <f>IF(TwitterClean[[#This Row],[hashtags]]="null","No","Yes")</f>
        <v>Yes</v>
      </c>
      <c r="AJ612" t="str">
        <f>IF(TwitterClean[[#This Row],[external_url]]="null","Yes","No")</f>
        <v>No</v>
      </c>
      <c r="AK612">
        <f>LEN(TwitterClean[[#This Row],[description]])</f>
        <v>108</v>
      </c>
      <c r="AL612" t="str">
        <f>IF(TwitterClean[[#This Row],[followers]]&lt;100000,"&lt;100K",IF(TwitterClean[[#This Row],[followers]]&lt;1000000,"100K-1M",IF(TwitterClean[[#This Row],[followers]]&lt;10000000,"1M-10M","10M+")))</f>
        <v>100K-1M</v>
      </c>
    </row>
    <row r="613" spans="1:38">
      <c r="A613">
        <v>1.8682993762311007E+18</v>
      </c>
      <c r="B613" t="s">
        <v>2994</v>
      </c>
      <c r="C613" t="s">
        <v>2995</v>
      </c>
      <c r="D613" t="s">
        <v>4751</v>
      </c>
      <c r="E613" t="s">
        <v>4752</v>
      </c>
      <c r="F613" t="s">
        <v>4753</v>
      </c>
      <c r="G613" t="s">
        <v>4754</v>
      </c>
      <c r="H613" t="s">
        <v>29</v>
      </c>
      <c r="I613">
        <v>242</v>
      </c>
      <c r="J613">
        <v>304</v>
      </c>
      <c r="K613">
        <v>2369</v>
      </c>
      <c r="L613">
        <v>461048</v>
      </c>
      <c r="M613" t="s">
        <v>4755</v>
      </c>
      <c r="N613" t="s">
        <v>3376</v>
      </c>
      <c r="O613">
        <v>812163</v>
      </c>
      <c r="P613" t="s">
        <v>3000</v>
      </c>
      <c r="Q613">
        <v>110924</v>
      </c>
      <c r="R613" t="s">
        <v>3001</v>
      </c>
      <c r="S613">
        <v>322</v>
      </c>
      <c r="T613" t="b">
        <v>0</v>
      </c>
      <c r="U613">
        <v>217</v>
      </c>
      <c r="V613">
        <v>17</v>
      </c>
      <c r="W613" t="s">
        <v>35</v>
      </c>
      <c r="X613" t="s">
        <v>29</v>
      </c>
      <c r="Y613" t="s">
        <v>29</v>
      </c>
      <c r="Z613" t="s">
        <v>37</v>
      </c>
      <c r="AA613">
        <f>TwitterClean[[#This Row],[likes]]+TwitterClean[[#This Row],[replies]]+TwitterClean[[#This Row],[reposts]]+TwitterClean[[#This Row],[quotes]]+TwitterClean[[#This Row],[bookmarks]]</f>
        <v>3149</v>
      </c>
      <c r="AB613" s="1">
        <f>TwitterClean[[#This Row],[Total_Engagements]]/TwitterClean[[#This Row],[views]]</f>
        <v>6.8300914438409882E-3</v>
      </c>
      <c r="AC613" s="3">
        <f>DATEVALUE(MID(TwitterClean[[#This Row],[date_posted]],2,10))</f>
        <v>45641</v>
      </c>
      <c r="AD613">
        <f>TIMEVALUE(MID(TwitterClean[[#This Row],[date_posted]],13,8))</f>
        <v>0.59556712962962965</v>
      </c>
      <c r="AE613" s="3" t="str">
        <f>TEXT(TwitterClean[[#This Row],[Post_Date]],"dddd")</f>
        <v>Sunday</v>
      </c>
      <c r="AF613">
        <f>HOUR(TwitterClean[[#This Row],[Post_Time]])</f>
        <v>14</v>
      </c>
      <c r="AG613" t="str">
        <f>IF(TwitterClean[[#This Row],[videos]]="Null","No","Yes")</f>
        <v>No</v>
      </c>
      <c r="AH613" t="str">
        <f>IF(TwitterClean[[#This Row],[photos]]="null","No","Yes")</f>
        <v>Yes</v>
      </c>
      <c r="AI613" t="str">
        <f>IF(TwitterClean[[#This Row],[hashtags]]="null","No","Yes")</f>
        <v>Yes</v>
      </c>
      <c r="AJ613" t="str">
        <f>IF(TwitterClean[[#This Row],[external_url]]="null","Yes","No")</f>
        <v>No</v>
      </c>
      <c r="AK613">
        <f>LEN(TwitterClean[[#This Row],[description]])</f>
        <v>61</v>
      </c>
      <c r="AL613" t="str">
        <f>IF(TwitterClean[[#This Row],[followers]]&lt;100000,"&lt;100K",IF(TwitterClean[[#This Row],[followers]]&lt;1000000,"100K-1M",IF(TwitterClean[[#This Row],[followers]]&lt;10000000,"1M-10M","10M+")))</f>
        <v>100K-1M</v>
      </c>
    </row>
    <row r="614" spans="1:38">
      <c r="A614">
        <v>1.8681288564792361E+18</v>
      </c>
      <c r="B614" t="s">
        <v>228</v>
      </c>
      <c r="C614" t="s">
        <v>228</v>
      </c>
      <c r="D614" t="s">
        <v>841</v>
      </c>
      <c r="E614" t="s">
        <v>842</v>
      </c>
      <c r="F614" t="s">
        <v>843</v>
      </c>
      <c r="G614" t="s">
        <v>844</v>
      </c>
      <c r="H614" t="s">
        <v>29</v>
      </c>
      <c r="I614">
        <v>82</v>
      </c>
      <c r="J614">
        <v>9</v>
      </c>
      <c r="K614">
        <v>55</v>
      </c>
      <c r="L614">
        <v>24001</v>
      </c>
      <c r="M614" t="s">
        <v>845</v>
      </c>
      <c r="N614" t="s">
        <v>29</v>
      </c>
      <c r="O614">
        <v>1239622</v>
      </c>
      <c r="P614" t="s">
        <v>235</v>
      </c>
      <c r="Q614">
        <v>402839</v>
      </c>
      <c r="R614" t="s">
        <v>236</v>
      </c>
      <c r="S614">
        <v>1643</v>
      </c>
      <c r="T614" t="b">
        <v>0</v>
      </c>
      <c r="U614">
        <v>12</v>
      </c>
      <c r="V614">
        <v>5</v>
      </c>
      <c r="W614" t="s">
        <v>35</v>
      </c>
      <c r="X614" t="s">
        <v>29</v>
      </c>
      <c r="Y614" t="s">
        <v>29</v>
      </c>
      <c r="Z614" t="s">
        <v>37</v>
      </c>
      <c r="AA614">
        <f>TwitterClean[[#This Row],[likes]]+TwitterClean[[#This Row],[replies]]+TwitterClean[[#This Row],[reposts]]+TwitterClean[[#This Row],[quotes]]+TwitterClean[[#This Row],[bookmarks]]</f>
        <v>163</v>
      </c>
      <c r="AB614" s="1">
        <f>TwitterClean[[#This Row],[Total_Engagements]]/TwitterClean[[#This Row],[views]]</f>
        <v>6.7913836923461524E-3</v>
      </c>
      <c r="AC614" s="3">
        <f>DATEVALUE(MID(TwitterClean[[#This Row],[date_posted]],2,10))</f>
        <v>45641</v>
      </c>
      <c r="AD614">
        <f>TIMEVALUE(MID(TwitterClean[[#This Row],[date_posted]],13,8))</f>
        <v>0.12502314814814816</v>
      </c>
      <c r="AE614" s="3" t="str">
        <f>TEXT(TwitterClean[[#This Row],[Post_Date]],"dddd")</f>
        <v>Sunday</v>
      </c>
      <c r="AF614">
        <f>HOUR(TwitterClean[[#This Row],[Post_Time]])</f>
        <v>3</v>
      </c>
      <c r="AG614" t="str">
        <f>IF(TwitterClean[[#This Row],[videos]]="Null","No","Yes")</f>
        <v>No</v>
      </c>
      <c r="AH614" t="str">
        <f>IF(TwitterClean[[#This Row],[photos]]="null","No","Yes")</f>
        <v>Yes</v>
      </c>
      <c r="AI614" t="str">
        <f>IF(TwitterClean[[#This Row],[hashtags]]="null","No","Yes")</f>
        <v>No</v>
      </c>
      <c r="AJ614" t="str">
        <f>IF(TwitterClean[[#This Row],[external_url]]="null","Yes","No")</f>
        <v>No</v>
      </c>
      <c r="AK614">
        <f>LEN(TwitterClean[[#This Row],[description]])</f>
        <v>212</v>
      </c>
      <c r="AL614" t="str">
        <f>IF(TwitterClean[[#This Row],[followers]]&lt;100000,"&lt;100K",IF(TwitterClean[[#This Row],[followers]]&lt;1000000,"100K-1M",IF(TwitterClean[[#This Row],[followers]]&lt;10000000,"1M-10M","10M+")))</f>
        <v>1M-10M</v>
      </c>
    </row>
    <row r="615" spans="1:38">
      <c r="A615">
        <v>1.8683024939327944E+18</v>
      </c>
      <c r="B615" t="s">
        <v>3837</v>
      </c>
      <c r="C615" t="s">
        <v>3838</v>
      </c>
      <c r="D615" t="s">
        <v>4504</v>
      </c>
      <c r="E615" t="s">
        <v>4365</v>
      </c>
      <c r="F615" t="s">
        <v>29</v>
      </c>
      <c r="G615" t="s">
        <v>4505</v>
      </c>
      <c r="H615" t="s">
        <v>29</v>
      </c>
      <c r="I615">
        <v>7</v>
      </c>
      <c r="J615">
        <v>28</v>
      </c>
      <c r="K615">
        <v>385</v>
      </c>
      <c r="L615">
        <v>62770</v>
      </c>
      <c r="M615" t="s">
        <v>4506</v>
      </c>
      <c r="N615" t="s">
        <v>3843</v>
      </c>
      <c r="O615">
        <v>984256</v>
      </c>
      <c r="P615" t="s">
        <v>3844</v>
      </c>
      <c r="Q615">
        <v>136135</v>
      </c>
      <c r="R615" t="s">
        <v>3845</v>
      </c>
      <c r="S615">
        <v>438</v>
      </c>
      <c r="T615" t="b">
        <v>0</v>
      </c>
      <c r="U615">
        <v>2</v>
      </c>
      <c r="V615">
        <v>1</v>
      </c>
      <c r="W615" t="s">
        <v>35</v>
      </c>
      <c r="X615" t="s">
        <v>29</v>
      </c>
      <c r="Y615" t="s">
        <v>29</v>
      </c>
      <c r="Z615" t="s">
        <v>37</v>
      </c>
      <c r="AA615">
        <f>TwitterClean[[#This Row],[likes]]+TwitterClean[[#This Row],[replies]]+TwitterClean[[#This Row],[reposts]]+TwitterClean[[#This Row],[quotes]]+TwitterClean[[#This Row],[bookmarks]]</f>
        <v>423</v>
      </c>
      <c r="AB615" s="1">
        <f>TwitterClean[[#This Row],[Total_Engagements]]/TwitterClean[[#This Row],[views]]</f>
        <v>6.7388880038234825E-3</v>
      </c>
      <c r="AC615" s="3">
        <f>DATEVALUE(MID(TwitterClean[[#This Row],[date_posted]],2,10))</f>
        <v>45641</v>
      </c>
      <c r="AD615">
        <f>TIMEVALUE(MID(TwitterClean[[#This Row],[date_posted]],13,8))</f>
        <v>0.60416666666666663</v>
      </c>
      <c r="AE615" s="3" t="str">
        <f>TEXT(TwitterClean[[#This Row],[Post_Date]],"dddd")</f>
        <v>Sunday</v>
      </c>
      <c r="AF615">
        <f>HOUR(TwitterClean[[#This Row],[Post_Time]])</f>
        <v>14</v>
      </c>
      <c r="AG615" t="str">
        <f>IF(TwitterClean[[#This Row],[videos]]="Null","No","Yes")</f>
        <v>No</v>
      </c>
      <c r="AH615" t="str">
        <f>IF(TwitterClean[[#This Row],[photos]]="null","No","Yes")</f>
        <v>No</v>
      </c>
      <c r="AI615" t="str">
        <f>IF(TwitterClean[[#This Row],[hashtags]]="null","No","Yes")</f>
        <v>Yes</v>
      </c>
      <c r="AJ615" t="str">
        <f>IF(TwitterClean[[#This Row],[external_url]]="null","Yes","No")</f>
        <v>No</v>
      </c>
      <c r="AK615">
        <f>LEN(TwitterClean[[#This Row],[description]])</f>
        <v>60</v>
      </c>
      <c r="AL615" t="str">
        <f>IF(TwitterClean[[#This Row],[followers]]&lt;100000,"&lt;100K",IF(TwitterClean[[#This Row],[followers]]&lt;1000000,"100K-1M",IF(TwitterClean[[#This Row],[followers]]&lt;10000000,"1M-10M","10M+")))</f>
        <v>100K-1M</v>
      </c>
    </row>
    <row r="616" spans="1:38">
      <c r="A616">
        <v>1.7391214696099474E+18</v>
      </c>
      <c r="B616" t="s">
        <v>4138</v>
      </c>
      <c r="C616" t="s">
        <v>4139</v>
      </c>
      <c r="D616" t="s">
        <v>4126</v>
      </c>
      <c r="E616" t="s">
        <v>4361</v>
      </c>
      <c r="F616" t="s">
        <v>4362</v>
      </c>
      <c r="G616" t="s">
        <v>4363</v>
      </c>
      <c r="H616" t="s">
        <v>29</v>
      </c>
      <c r="I616">
        <v>139</v>
      </c>
      <c r="J616">
        <v>22</v>
      </c>
      <c r="K616">
        <v>686</v>
      </c>
      <c r="L616">
        <v>130102</v>
      </c>
      <c r="M616" t="s">
        <v>52</v>
      </c>
      <c r="N616" t="s">
        <v>4130</v>
      </c>
      <c r="O616">
        <v>11185</v>
      </c>
      <c r="P616" t="s">
        <v>4143</v>
      </c>
      <c r="Q616">
        <v>22677</v>
      </c>
      <c r="R616" t="s">
        <v>4144</v>
      </c>
      <c r="S616">
        <v>2557</v>
      </c>
      <c r="T616" t="b">
        <v>0</v>
      </c>
      <c r="U616">
        <v>6</v>
      </c>
      <c r="V616">
        <v>21</v>
      </c>
      <c r="W616" t="s">
        <v>35</v>
      </c>
      <c r="X616" t="s">
        <v>29</v>
      </c>
      <c r="Y616" t="s">
        <v>29</v>
      </c>
      <c r="Z616" t="s">
        <v>37</v>
      </c>
      <c r="AA616">
        <f>TwitterClean[[#This Row],[likes]]+TwitterClean[[#This Row],[replies]]+TwitterClean[[#This Row],[reposts]]+TwitterClean[[#This Row],[quotes]]+TwitterClean[[#This Row],[bookmarks]]</f>
        <v>874</v>
      </c>
      <c r="AB616" s="1">
        <f>TwitterClean[[#This Row],[Total_Engagements]]/TwitterClean[[#This Row],[views]]</f>
        <v>6.7178060291156168E-3</v>
      </c>
      <c r="AC616" s="3">
        <f>DATEVALUE(MID(TwitterClean[[#This Row],[date_posted]],2,10))</f>
        <v>45285</v>
      </c>
      <c r="AD616">
        <f>TIMEVALUE(MID(TwitterClean[[#This Row],[date_posted]],13,8))</f>
        <v>0.13245370370370371</v>
      </c>
      <c r="AE616" s="3" t="str">
        <f>TEXT(TwitterClean[[#This Row],[Post_Date]],"dddd")</f>
        <v>Monday</v>
      </c>
      <c r="AF616">
        <f>HOUR(TwitterClean[[#This Row],[Post_Time]])</f>
        <v>3</v>
      </c>
      <c r="AG616" t="str">
        <f>IF(TwitterClean[[#This Row],[videos]]="Null","No","Yes")</f>
        <v>No</v>
      </c>
      <c r="AH616" t="str">
        <f>IF(TwitterClean[[#This Row],[photos]]="null","No","Yes")</f>
        <v>Yes</v>
      </c>
      <c r="AI616" t="str">
        <f>IF(TwitterClean[[#This Row],[hashtags]]="null","No","Yes")</f>
        <v>Yes</v>
      </c>
      <c r="AJ616" t="str">
        <f>IF(TwitterClean[[#This Row],[external_url]]="null","Yes","No")</f>
        <v>No</v>
      </c>
      <c r="AK616">
        <f>LEN(TwitterClean[[#This Row],[description]])</f>
        <v>7</v>
      </c>
      <c r="AL616" t="str">
        <f>IF(TwitterClean[[#This Row],[followers]]&lt;100000,"&lt;100K",IF(TwitterClean[[#This Row],[followers]]&lt;1000000,"100K-1M",IF(TwitterClean[[#This Row],[followers]]&lt;10000000,"1M-10M","10M+")))</f>
        <v>&lt;100K</v>
      </c>
    </row>
    <row r="617" spans="1:38">
      <c r="A617">
        <v>1.8682954689223311E+18</v>
      </c>
      <c r="B617" t="s">
        <v>3638</v>
      </c>
      <c r="C617" t="s">
        <v>3639</v>
      </c>
      <c r="D617" t="s">
        <v>4487</v>
      </c>
      <c r="E617" t="s">
        <v>4488</v>
      </c>
      <c r="F617" t="s">
        <v>4489</v>
      </c>
      <c r="G617" t="s">
        <v>4490</v>
      </c>
      <c r="H617" t="s">
        <v>29</v>
      </c>
      <c r="I617">
        <v>136</v>
      </c>
      <c r="J617">
        <v>56</v>
      </c>
      <c r="K617">
        <v>1029</v>
      </c>
      <c r="L617">
        <v>188766</v>
      </c>
      <c r="M617" t="s">
        <v>52</v>
      </c>
      <c r="N617" t="s">
        <v>4447</v>
      </c>
      <c r="O617">
        <v>8885747</v>
      </c>
      <c r="P617" t="s">
        <v>3643</v>
      </c>
      <c r="Q617">
        <v>115852</v>
      </c>
      <c r="R617" t="s">
        <v>3644</v>
      </c>
      <c r="S617">
        <v>469</v>
      </c>
      <c r="T617" t="b">
        <v>0</v>
      </c>
      <c r="U617">
        <v>40</v>
      </c>
      <c r="V617">
        <v>2</v>
      </c>
      <c r="W617" t="s">
        <v>35</v>
      </c>
      <c r="X617" t="s">
        <v>29</v>
      </c>
      <c r="Y617" t="s">
        <v>29</v>
      </c>
      <c r="Z617" t="s">
        <v>37</v>
      </c>
      <c r="AA617">
        <f>TwitterClean[[#This Row],[likes]]+TwitterClean[[#This Row],[replies]]+TwitterClean[[#This Row],[reposts]]+TwitterClean[[#This Row],[quotes]]+TwitterClean[[#This Row],[bookmarks]]</f>
        <v>1263</v>
      </c>
      <c r="AB617" s="1">
        <f>TwitterClean[[#This Row],[Total_Engagements]]/TwitterClean[[#This Row],[views]]</f>
        <v>6.6908235593274214E-3</v>
      </c>
      <c r="AC617" s="3">
        <f>DATEVALUE(MID(TwitterClean[[#This Row],[date_posted]],2,10))</f>
        <v>45641</v>
      </c>
      <c r="AD617">
        <f>TIMEVALUE(MID(TwitterClean[[#This Row],[date_posted]],13,8))</f>
        <v>0.58478009259259256</v>
      </c>
      <c r="AE617" s="3" t="str">
        <f>TEXT(TwitterClean[[#This Row],[Post_Date]],"dddd")</f>
        <v>Sunday</v>
      </c>
      <c r="AF617">
        <f>HOUR(TwitterClean[[#This Row],[Post_Time]])</f>
        <v>14</v>
      </c>
      <c r="AG617" t="str">
        <f>IF(TwitterClean[[#This Row],[videos]]="Null","No","Yes")</f>
        <v>No</v>
      </c>
      <c r="AH617" t="str">
        <f>IF(TwitterClean[[#This Row],[photos]]="null","No","Yes")</f>
        <v>Yes</v>
      </c>
      <c r="AI617" t="str">
        <f>IF(TwitterClean[[#This Row],[hashtags]]="null","No","Yes")</f>
        <v>Yes</v>
      </c>
      <c r="AJ617" t="str">
        <f>IF(TwitterClean[[#This Row],[external_url]]="null","Yes","No")</f>
        <v>No</v>
      </c>
      <c r="AK617">
        <f>LEN(TwitterClean[[#This Row],[description]])</f>
        <v>62</v>
      </c>
      <c r="AL617" t="str">
        <f>IF(TwitterClean[[#This Row],[followers]]&lt;100000,"&lt;100K",IF(TwitterClean[[#This Row],[followers]]&lt;1000000,"100K-1M",IF(TwitterClean[[#This Row],[followers]]&lt;10000000,"1M-10M","10M+")))</f>
        <v>1M-10M</v>
      </c>
    </row>
    <row r="618" spans="1:38">
      <c r="A618">
        <v>1.8681005238635397E+18</v>
      </c>
      <c r="B618" t="s">
        <v>3034</v>
      </c>
      <c r="C618" t="s">
        <v>3035</v>
      </c>
      <c r="D618" t="s">
        <v>4910</v>
      </c>
      <c r="E618" t="s">
        <v>4911</v>
      </c>
      <c r="F618" t="s">
        <v>4912</v>
      </c>
      <c r="G618" t="s">
        <v>4913</v>
      </c>
      <c r="H618" t="s">
        <v>3272</v>
      </c>
      <c r="I618">
        <v>51</v>
      </c>
      <c r="J618">
        <v>44</v>
      </c>
      <c r="K618">
        <v>537</v>
      </c>
      <c r="L618">
        <v>96438</v>
      </c>
      <c r="M618" t="s">
        <v>52</v>
      </c>
      <c r="N618" t="s">
        <v>3040</v>
      </c>
      <c r="O618">
        <v>12876593</v>
      </c>
      <c r="P618" t="s">
        <v>3041</v>
      </c>
      <c r="Q618">
        <v>141401</v>
      </c>
      <c r="R618" t="s">
        <v>3042</v>
      </c>
      <c r="S618">
        <v>717</v>
      </c>
      <c r="T618" t="b">
        <v>0</v>
      </c>
      <c r="U618">
        <v>9</v>
      </c>
      <c r="V618">
        <v>4</v>
      </c>
      <c r="W618" t="s">
        <v>35</v>
      </c>
      <c r="X618" t="s">
        <v>29</v>
      </c>
      <c r="Y618" t="s">
        <v>29</v>
      </c>
      <c r="Z618" t="s">
        <v>37</v>
      </c>
      <c r="AA618">
        <f>TwitterClean[[#This Row],[likes]]+TwitterClean[[#This Row],[replies]]+TwitterClean[[#This Row],[reposts]]+TwitterClean[[#This Row],[quotes]]+TwitterClean[[#This Row],[bookmarks]]</f>
        <v>645</v>
      </c>
      <c r="AB618" s="1">
        <f>TwitterClean[[#This Row],[Total_Engagements]]/TwitterClean[[#This Row],[views]]</f>
        <v>6.6882349281403592E-3</v>
      </c>
      <c r="AC618" s="3">
        <f>DATEVALUE(MID(TwitterClean[[#This Row],[date_posted]],2,10))</f>
        <v>45641</v>
      </c>
      <c r="AD618">
        <f>TIMEVALUE(MID(TwitterClean[[#This Row],[date_posted]],13,8))</f>
        <v>4.6840277777777779E-2</v>
      </c>
      <c r="AE618" s="3" t="str">
        <f>TEXT(TwitterClean[[#This Row],[Post_Date]],"dddd")</f>
        <v>Sunday</v>
      </c>
      <c r="AF618">
        <f>HOUR(TwitterClean[[#This Row],[Post_Time]])</f>
        <v>1</v>
      </c>
      <c r="AG618" t="str">
        <f>IF(TwitterClean[[#This Row],[videos]]="Null","No","Yes")</f>
        <v>No</v>
      </c>
      <c r="AH618" t="str">
        <f>IF(TwitterClean[[#This Row],[photos]]="null","No","Yes")</f>
        <v>Yes</v>
      </c>
      <c r="AI618" t="str">
        <f>IF(TwitterClean[[#This Row],[hashtags]]="null","No","Yes")</f>
        <v>Yes</v>
      </c>
      <c r="AJ618" t="str">
        <f>IF(TwitterClean[[#This Row],[external_url]]="null","Yes","No")</f>
        <v>No</v>
      </c>
      <c r="AK618">
        <f>LEN(TwitterClean[[#This Row],[description]])</f>
        <v>100</v>
      </c>
      <c r="AL618" t="str">
        <f>IF(TwitterClean[[#This Row],[followers]]&lt;100000,"&lt;100K",IF(TwitterClean[[#This Row],[followers]]&lt;1000000,"100K-1M",IF(TwitterClean[[#This Row],[followers]]&lt;10000000,"1M-10M","10M+")))</f>
        <v>10M+</v>
      </c>
    </row>
    <row r="619" spans="1:38">
      <c r="A619">
        <v>1.8682472539844201E+18</v>
      </c>
      <c r="B619" t="s">
        <v>183</v>
      </c>
      <c r="C619" t="s">
        <v>184</v>
      </c>
      <c r="D619" t="s">
        <v>203</v>
      </c>
      <c r="E619" t="s">
        <v>204</v>
      </c>
      <c r="F619" t="s">
        <v>29</v>
      </c>
      <c r="G619" t="s">
        <v>205</v>
      </c>
      <c r="H619" t="s">
        <v>29</v>
      </c>
      <c r="I619">
        <v>31</v>
      </c>
      <c r="J619">
        <v>109</v>
      </c>
      <c r="K619">
        <v>229</v>
      </c>
      <c r="L619">
        <v>61827</v>
      </c>
      <c r="M619" t="s">
        <v>206</v>
      </c>
      <c r="N619" t="s">
        <v>29</v>
      </c>
      <c r="O619">
        <v>27122998</v>
      </c>
      <c r="P619" t="s">
        <v>190</v>
      </c>
      <c r="Q619">
        <v>402760</v>
      </c>
      <c r="R619" t="s">
        <v>191</v>
      </c>
      <c r="S619">
        <v>155</v>
      </c>
      <c r="T619" t="b">
        <v>0</v>
      </c>
      <c r="U619">
        <v>15</v>
      </c>
      <c r="V619">
        <v>29</v>
      </c>
      <c r="W619" t="s">
        <v>35</v>
      </c>
      <c r="X619" t="s">
        <v>207</v>
      </c>
      <c r="Y619" t="s">
        <v>29</v>
      </c>
      <c r="Z619" t="s">
        <v>37</v>
      </c>
      <c r="AA619">
        <f>TwitterClean[[#This Row],[likes]]+TwitterClean[[#This Row],[replies]]+TwitterClean[[#This Row],[reposts]]+TwitterClean[[#This Row],[quotes]]+TwitterClean[[#This Row],[bookmarks]]</f>
        <v>413</v>
      </c>
      <c r="AB619" s="1">
        <f>TwitterClean[[#This Row],[Total_Engagements]]/TwitterClean[[#This Row],[views]]</f>
        <v>6.6799294806476131E-3</v>
      </c>
      <c r="AC619" s="3">
        <f>DATEVALUE(MID(TwitterClean[[#This Row],[date_posted]],2,10))</f>
        <v>45641</v>
      </c>
      <c r="AD619">
        <f>TIMEVALUE(MID(TwitterClean[[#This Row],[date_posted]],13,8))</f>
        <v>0.45173611111111112</v>
      </c>
      <c r="AE619" s="3" t="str">
        <f>TEXT(TwitterClean[[#This Row],[Post_Date]],"dddd")</f>
        <v>Sunday</v>
      </c>
      <c r="AF619">
        <f>HOUR(TwitterClean[[#This Row],[Post_Time]])</f>
        <v>10</v>
      </c>
      <c r="AG619" t="str">
        <f>IF(TwitterClean[[#This Row],[videos]]="Null","No","Yes")</f>
        <v>No</v>
      </c>
      <c r="AH619" t="str">
        <f>IF(TwitterClean[[#This Row],[photos]]="null","No","Yes")</f>
        <v>No</v>
      </c>
      <c r="AI619" t="str">
        <f>IF(TwitterClean[[#This Row],[hashtags]]="null","No","Yes")</f>
        <v>No</v>
      </c>
      <c r="AJ619" t="str">
        <f>IF(TwitterClean[[#This Row],[external_url]]="null","Yes","No")</f>
        <v>No</v>
      </c>
      <c r="AK619">
        <f>LEN(TwitterClean[[#This Row],[description]])</f>
        <v>215</v>
      </c>
      <c r="AL619" t="str">
        <f>IF(TwitterClean[[#This Row],[followers]]&lt;100000,"&lt;100K",IF(TwitterClean[[#This Row],[followers]]&lt;1000000,"100K-1M",IF(TwitterClean[[#This Row],[followers]]&lt;10000000,"1M-10M","10M+")))</f>
        <v>10M+</v>
      </c>
    </row>
    <row r="620" spans="1:38">
      <c r="A620">
        <v>1.8682404977953139E+18</v>
      </c>
      <c r="B620" t="s">
        <v>3847</v>
      </c>
      <c r="C620" t="s">
        <v>3848</v>
      </c>
      <c r="D620" t="s">
        <v>3849</v>
      </c>
      <c r="E620" t="s">
        <v>3850</v>
      </c>
      <c r="F620" t="s">
        <v>29</v>
      </c>
      <c r="G620" t="s">
        <v>3851</v>
      </c>
      <c r="H620" t="s">
        <v>3852</v>
      </c>
      <c r="I620">
        <v>2</v>
      </c>
      <c r="J620">
        <v>14</v>
      </c>
      <c r="K620">
        <v>117</v>
      </c>
      <c r="L620">
        <v>20102</v>
      </c>
      <c r="M620" t="s">
        <v>3853</v>
      </c>
      <c r="N620" t="s">
        <v>29</v>
      </c>
      <c r="O620">
        <v>123662</v>
      </c>
      <c r="P620" t="s">
        <v>3854</v>
      </c>
      <c r="Q620">
        <v>77019</v>
      </c>
      <c r="R620" t="s">
        <v>3855</v>
      </c>
      <c r="S620">
        <v>188</v>
      </c>
      <c r="T620" t="b">
        <v>0</v>
      </c>
      <c r="U620">
        <v>0</v>
      </c>
      <c r="V620">
        <v>1</v>
      </c>
      <c r="W620" t="s">
        <v>35</v>
      </c>
      <c r="X620" t="s">
        <v>29</v>
      </c>
      <c r="Y620" t="s">
        <v>3856</v>
      </c>
      <c r="Z620" t="s">
        <v>37</v>
      </c>
      <c r="AA620">
        <f>TwitterClean[[#This Row],[likes]]+TwitterClean[[#This Row],[replies]]+TwitterClean[[#This Row],[reposts]]+TwitterClean[[#This Row],[quotes]]+TwitterClean[[#This Row],[bookmarks]]</f>
        <v>134</v>
      </c>
      <c r="AB620" s="1">
        <f>TwitterClean[[#This Row],[Total_Engagements]]/TwitterClean[[#This Row],[views]]</f>
        <v>6.6660033827479854E-3</v>
      </c>
      <c r="AC620" s="3">
        <f>DATEVALUE(MID(TwitterClean[[#This Row],[date_posted]],2,10))</f>
        <v>45641</v>
      </c>
      <c r="AD620">
        <f>TIMEVALUE(MID(TwitterClean[[#This Row],[date_posted]],13,8))</f>
        <v>0.43309027777777775</v>
      </c>
      <c r="AE620" s="3" t="str">
        <f>TEXT(TwitterClean[[#This Row],[Post_Date]],"dddd")</f>
        <v>Sunday</v>
      </c>
      <c r="AF620">
        <f>HOUR(TwitterClean[[#This Row],[Post_Time]])</f>
        <v>10</v>
      </c>
      <c r="AG620" t="str">
        <f>IF(TwitterClean[[#This Row],[videos]]="Null","No","Yes")</f>
        <v>Yes</v>
      </c>
      <c r="AH620" t="str">
        <f>IF(TwitterClean[[#This Row],[photos]]="null","No","Yes")</f>
        <v>No</v>
      </c>
      <c r="AI620" t="str">
        <f>IF(TwitterClean[[#This Row],[hashtags]]="null","No","Yes")</f>
        <v>No</v>
      </c>
      <c r="AJ620" t="str">
        <f>IF(TwitterClean[[#This Row],[external_url]]="null","Yes","No")</f>
        <v>No</v>
      </c>
      <c r="AK620">
        <f>LEN(TwitterClean[[#This Row],[description]])</f>
        <v>96</v>
      </c>
      <c r="AL620" t="str">
        <f>IF(TwitterClean[[#This Row],[followers]]&lt;100000,"&lt;100K",IF(TwitterClean[[#This Row],[followers]]&lt;1000000,"100K-1M",IF(TwitterClean[[#This Row],[followers]]&lt;10000000,"1M-10M","10M+")))</f>
        <v>100K-1M</v>
      </c>
    </row>
    <row r="621" spans="1:38">
      <c r="A621">
        <v>1.8681581752681969E+18</v>
      </c>
      <c r="B621" t="s">
        <v>3034</v>
      </c>
      <c r="C621" t="s">
        <v>3035</v>
      </c>
      <c r="D621" t="s">
        <v>5194</v>
      </c>
      <c r="E621" t="s">
        <v>5195</v>
      </c>
      <c r="F621" t="s">
        <v>5196</v>
      </c>
      <c r="G621" t="s">
        <v>5197</v>
      </c>
      <c r="H621" t="s">
        <v>5198</v>
      </c>
      <c r="I621">
        <v>76</v>
      </c>
      <c r="J621">
        <v>127</v>
      </c>
      <c r="K621">
        <v>2816</v>
      </c>
      <c r="L621">
        <v>473759</v>
      </c>
      <c r="M621" t="s">
        <v>52</v>
      </c>
      <c r="N621" t="s">
        <v>3040</v>
      </c>
      <c r="O621">
        <v>12876593</v>
      </c>
      <c r="P621" t="s">
        <v>3041</v>
      </c>
      <c r="Q621">
        <v>141401</v>
      </c>
      <c r="R621" t="s">
        <v>3042</v>
      </c>
      <c r="S621">
        <v>717</v>
      </c>
      <c r="T621" t="b">
        <v>0</v>
      </c>
      <c r="U621">
        <v>52</v>
      </c>
      <c r="V621">
        <v>78</v>
      </c>
      <c r="W621" t="s">
        <v>35</v>
      </c>
      <c r="X621" t="s">
        <v>29</v>
      </c>
      <c r="Y621" t="s">
        <v>29</v>
      </c>
      <c r="Z621" t="s">
        <v>37</v>
      </c>
      <c r="AA621">
        <f>TwitterClean[[#This Row],[likes]]+TwitterClean[[#This Row],[replies]]+TwitterClean[[#This Row],[reposts]]+TwitterClean[[#This Row],[quotes]]+TwitterClean[[#This Row],[bookmarks]]</f>
        <v>3149</v>
      </c>
      <c r="AB621" s="1">
        <f>TwitterClean[[#This Row],[Total_Engagements]]/TwitterClean[[#This Row],[views]]</f>
        <v>6.6468394267971687E-3</v>
      </c>
      <c r="AC621" s="3">
        <f>DATEVALUE(MID(TwitterClean[[#This Row],[date_posted]],2,10))</f>
        <v>45641</v>
      </c>
      <c r="AD621">
        <f>TIMEVALUE(MID(TwitterClean[[#This Row],[date_posted]],13,8))</f>
        <v>0.20592592592592593</v>
      </c>
      <c r="AE621" s="3" t="str">
        <f>TEXT(TwitterClean[[#This Row],[Post_Date]],"dddd")</f>
        <v>Sunday</v>
      </c>
      <c r="AF621">
        <f>HOUR(TwitterClean[[#This Row],[Post_Time]])</f>
        <v>4</v>
      </c>
      <c r="AG621" t="str">
        <f>IF(TwitterClean[[#This Row],[videos]]="Null","No","Yes")</f>
        <v>No</v>
      </c>
      <c r="AH621" t="str">
        <f>IF(TwitterClean[[#This Row],[photos]]="null","No","Yes")</f>
        <v>Yes</v>
      </c>
      <c r="AI621" t="str">
        <f>IF(TwitterClean[[#This Row],[hashtags]]="null","No","Yes")</f>
        <v>Yes</v>
      </c>
      <c r="AJ621" t="str">
        <f>IF(TwitterClean[[#This Row],[external_url]]="null","Yes","No")</f>
        <v>No</v>
      </c>
      <c r="AK621">
        <f>LEN(TwitterClean[[#This Row],[description]])</f>
        <v>55</v>
      </c>
      <c r="AL621" t="str">
        <f>IF(TwitterClean[[#This Row],[followers]]&lt;100000,"&lt;100K",IF(TwitterClean[[#This Row],[followers]]&lt;1000000,"100K-1M",IF(TwitterClean[[#This Row],[followers]]&lt;10000000,"1M-10M","10M+")))</f>
        <v>10M+</v>
      </c>
    </row>
    <row r="622" spans="1:38">
      <c r="A622">
        <v>1.8682760685469041E+18</v>
      </c>
      <c r="B622" t="s">
        <v>3392</v>
      </c>
      <c r="C622" t="s">
        <v>3393</v>
      </c>
      <c r="D622" t="s">
        <v>5250</v>
      </c>
      <c r="E622" t="s">
        <v>5251</v>
      </c>
      <c r="F622" t="s">
        <v>29</v>
      </c>
      <c r="G622" t="s">
        <v>5252</v>
      </c>
      <c r="H622" t="s">
        <v>29</v>
      </c>
      <c r="I622">
        <v>58</v>
      </c>
      <c r="J622">
        <v>168</v>
      </c>
      <c r="K622">
        <v>928</v>
      </c>
      <c r="L622">
        <v>187460</v>
      </c>
      <c r="M622" t="s">
        <v>5253</v>
      </c>
      <c r="N622" t="s">
        <v>3405</v>
      </c>
      <c r="O622">
        <v>1480966</v>
      </c>
      <c r="P622" t="s">
        <v>3399</v>
      </c>
      <c r="Q622">
        <v>103753</v>
      </c>
      <c r="R622" t="s">
        <v>3400</v>
      </c>
      <c r="S622">
        <v>552</v>
      </c>
      <c r="T622" t="b">
        <v>0</v>
      </c>
      <c r="U622">
        <v>81</v>
      </c>
      <c r="V622">
        <v>9</v>
      </c>
      <c r="W622" t="s">
        <v>35</v>
      </c>
      <c r="X622" t="s">
        <v>29</v>
      </c>
      <c r="Y622" t="s">
        <v>29</v>
      </c>
      <c r="Z622" t="s">
        <v>37</v>
      </c>
      <c r="AA622">
        <f>TwitterClean[[#This Row],[likes]]+TwitterClean[[#This Row],[replies]]+TwitterClean[[#This Row],[reposts]]+TwitterClean[[#This Row],[quotes]]+TwitterClean[[#This Row],[bookmarks]]</f>
        <v>1244</v>
      </c>
      <c r="AB622" s="1">
        <f>TwitterClean[[#This Row],[Total_Engagements]]/TwitterClean[[#This Row],[views]]</f>
        <v>6.636082364237704E-3</v>
      </c>
      <c r="AC622" s="3">
        <f>DATEVALUE(MID(TwitterClean[[#This Row],[date_posted]],2,10))</f>
        <v>45641</v>
      </c>
      <c r="AD622">
        <f>TIMEVALUE(MID(TwitterClean[[#This Row],[date_posted]],13,8))</f>
        <v>0.53125</v>
      </c>
      <c r="AE622" s="3" t="str">
        <f>TEXT(TwitterClean[[#This Row],[Post_Date]],"dddd")</f>
        <v>Sunday</v>
      </c>
      <c r="AF622">
        <f>HOUR(TwitterClean[[#This Row],[Post_Time]])</f>
        <v>12</v>
      </c>
      <c r="AG622" t="str">
        <f>IF(TwitterClean[[#This Row],[videos]]="Null","No","Yes")</f>
        <v>No</v>
      </c>
      <c r="AH622" t="str">
        <f>IF(TwitterClean[[#This Row],[photos]]="null","No","Yes")</f>
        <v>No</v>
      </c>
      <c r="AI622" t="str">
        <f>IF(TwitterClean[[#This Row],[hashtags]]="null","No","Yes")</f>
        <v>Yes</v>
      </c>
      <c r="AJ622" t="str">
        <f>IF(TwitterClean[[#This Row],[external_url]]="null","Yes","No")</f>
        <v>No</v>
      </c>
      <c r="AK622">
        <f>LEN(TwitterClean[[#This Row],[description]])</f>
        <v>55</v>
      </c>
      <c r="AL622" t="str">
        <f>IF(TwitterClean[[#This Row],[followers]]&lt;100000,"&lt;100K",IF(TwitterClean[[#This Row],[followers]]&lt;1000000,"100K-1M",IF(TwitterClean[[#This Row],[followers]]&lt;10000000,"1M-10M","10M+")))</f>
        <v>1M-10M</v>
      </c>
    </row>
    <row r="623" spans="1:38">
      <c r="A623">
        <v>1.8683029138497009E+18</v>
      </c>
      <c r="B623" t="s">
        <v>2230</v>
      </c>
      <c r="C623" t="s">
        <v>2231</v>
      </c>
      <c r="D623" t="s">
        <v>2667</v>
      </c>
      <c r="E623" t="s">
        <v>2668</v>
      </c>
      <c r="F623" t="s">
        <v>2669</v>
      </c>
      <c r="G623" t="s">
        <v>2670</v>
      </c>
      <c r="H623" t="s">
        <v>29</v>
      </c>
      <c r="I623">
        <v>62</v>
      </c>
      <c r="J623">
        <v>23</v>
      </c>
      <c r="K623">
        <v>135</v>
      </c>
      <c r="L623">
        <v>36022</v>
      </c>
      <c r="M623" t="s">
        <v>2671</v>
      </c>
      <c r="N623" t="s">
        <v>29</v>
      </c>
      <c r="O623">
        <v>3314171</v>
      </c>
      <c r="P623" t="s">
        <v>2237</v>
      </c>
      <c r="Q623">
        <v>706459</v>
      </c>
      <c r="R623" t="s">
        <v>2238</v>
      </c>
      <c r="S623">
        <v>10308</v>
      </c>
      <c r="T623" t="b">
        <v>0</v>
      </c>
      <c r="U623">
        <v>17</v>
      </c>
      <c r="V623">
        <v>2</v>
      </c>
      <c r="W623" t="s">
        <v>35</v>
      </c>
      <c r="X623" t="s">
        <v>29</v>
      </c>
      <c r="Y623" t="s">
        <v>29</v>
      </c>
      <c r="Z623" t="s">
        <v>37</v>
      </c>
      <c r="AA623">
        <f>TwitterClean[[#This Row],[likes]]+TwitterClean[[#This Row],[replies]]+TwitterClean[[#This Row],[reposts]]+TwitterClean[[#This Row],[quotes]]+TwitterClean[[#This Row],[bookmarks]]</f>
        <v>239</v>
      </c>
      <c r="AB623" s="1">
        <f>TwitterClean[[#This Row],[Total_Engagements]]/TwitterClean[[#This Row],[views]]</f>
        <v>6.6348342679473657E-3</v>
      </c>
      <c r="AC623" s="3">
        <f>DATEVALUE(MID(TwitterClean[[#This Row],[date_posted]],2,10))</f>
        <v>45641</v>
      </c>
      <c r="AD623">
        <f>TIMEVALUE(MID(TwitterClean[[#This Row],[date_posted]],13,8))</f>
        <v>0.60532407407407407</v>
      </c>
      <c r="AE623" s="3" t="str">
        <f>TEXT(TwitterClean[[#This Row],[Post_Date]],"dddd")</f>
        <v>Sunday</v>
      </c>
      <c r="AF623">
        <f>HOUR(TwitterClean[[#This Row],[Post_Time]])</f>
        <v>14</v>
      </c>
      <c r="AG623" t="str">
        <f>IF(TwitterClean[[#This Row],[videos]]="Null","No","Yes")</f>
        <v>No</v>
      </c>
      <c r="AH623" t="str">
        <f>IF(TwitterClean[[#This Row],[photos]]="null","No","Yes")</f>
        <v>Yes</v>
      </c>
      <c r="AI623" t="str">
        <f>IF(TwitterClean[[#This Row],[hashtags]]="null","No","Yes")</f>
        <v>No</v>
      </c>
      <c r="AJ623" t="str">
        <f>IF(TwitterClean[[#This Row],[external_url]]="null","Yes","No")</f>
        <v>No</v>
      </c>
      <c r="AK623">
        <f>LEN(TwitterClean[[#This Row],[description]])</f>
        <v>104</v>
      </c>
      <c r="AL623" t="str">
        <f>IF(TwitterClean[[#This Row],[followers]]&lt;100000,"&lt;100K",IF(TwitterClean[[#This Row],[followers]]&lt;1000000,"100K-1M",IF(TwitterClean[[#This Row],[followers]]&lt;10000000,"1M-10M","10M+")))</f>
        <v>1M-10M</v>
      </c>
    </row>
    <row r="624" spans="1:38">
      <c r="A624">
        <v>1.8684000203509681E+18</v>
      </c>
      <c r="B624" t="s">
        <v>1646</v>
      </c>
      <c r="C624" t="s">
        <v>1647</v>
      </c>
      <c r="D624" t="s">
        <v>1767</v>
      </c>
      <c r="E624" t="s">
        <v>1768</v>
      </c>
      <c r="F624" t="s">
        <v>29</v>
      </c>
      <c r="G624" t="s">
        <v>1769</v>
      </c>
      <c r="H624" t="s">
        <v>29</v>
      </c>
      <c r="I624">
        <v>1</v>
      </c>
      <c r="J624">
        <v>1</v>
      </c>
      <c r="K624">
        <v>48</v>
      </c>
      <c r="L624">
        <v>7864</v>
      </c>
      <c r="M624" t="s">
        <v>1770</v>
      </c>
      <c r="N624" t="s">
        <v>1771</v>
      </c>
      <c r="O624">
        <v>3768943</v>
      </c>
      <c r="P624" t="s">
        <v>1653</v>
      </c>
      <c r="Q624">
        <v>897934</v>
      </c>
      <c r="R624" t="s">
        <v>1654</v>
      </c>
      <c r="S624">
        <v>28</v>
      </c>
      <c r="T624" t="b">
        <v>0</v>
      </c>
      <c r="U624">
        <v>0</v>
      </c>
      <c r="V624">
        <v>1</v>
      </c>
      <c r="W624" t="s">
        <v>35</v>
      </c>
      <c r="X624" t="s">
        <v>1772</v>
      </c>
      <c r="Y624" t="s">
        <v>29</v>
      </c>
      <c r="Z624" t="s">
        <v>37</v>
      </c>
      <c r="AA624">
        <f>TwitterClean[[#This Row],[likes]]+TwitterClean[[#This Row],[replies]]+TwitterClean[[#This Row],[reposts]]+TwitterClean[[#This Row],[quotes]]+TwitterClean[[#This Row],[bookmarks]]</f>
        <v>51</v>
      </c>
      <c r="AB624" s="1">
        <f>TwitterClean[[#This Row],[Total_Engagements]]/TwitterClean[[#This Row],[views]]</f>
        <v>6.4852492370295013E-3</v>
      </c>
      <c r="AC624" s="3">
        <f>DATEVALUE(MID(TwitterClean[[#This Row],[date_posted]],2,10))</f>
        <v>45641</v>
      </c>
      <c r="AD624">
        <f>TIMEVALUE(MID(TwitterClean[[#This Row],[date_posted]],13,8))</f>
        <v>0.87328703703703703</v>
      </c>
      <c r="AE624" s="3" t="str">
        <f>TEXT(TwitterClean[[#This Row],[Post_Date]],"dddd")</f>
        <v>Sunday</v>
      </c>
      <c r="AF624">
        <f>HOUR(TwitterClean[[#This Row],[Post_Time]])</f>
        <v>20</v>
      </c>
      <c r="AG624" t="str">
        <f>IF(TwitterClean[[#This Row],[videos]]="Null","No","Yes")</f>
        <v>No</v>
      </c>
      <c r="AH624" t="str">
        <f>IF(TwitterClean[[#This Row],[photos]]="null","No","Yes")</f>
        <v>No</v>
      </c>
      <c r="AI624" t="str">
        <f>IF(TwitterClean[[#This Row],[hashtags]]="null","No","Yes")</f>
        <v>Yes</v>
      </c>
      <c r="AJ624" t="str">
        <f>IF(TwitterClean[[#This Row],[external_url]]="null","Yes","No")</f>
        <v>No</v>
      </c>
      <c r="AK624">
        <f>LEN(TwitterClean[[#This Row],[description]])</f>
        <v>112</v>
      </c>
      <c r="AL624" t="str">
        <f>IF(TwitterClean[[#This Row],[followers]]&lt;100000,"&lt;100K",IF(TwitterClean[[#This Row],[followers]]&lt;1000000,"100K-1M",IF(TwitterClean[[#This Row],[followers]]&lt;10000000,"1M-10M","10M+")))</f>
        <v>1M-10M</v>
      </c>
    </row>
    <row r="625" spans="1:38">
      <c r="A625">
        <v>1.8681134975084874E+18</v>
      </c>
      <c r="B625" t="s">
        <v>4723</v>
      </c>
      <c r="C625" t="s">
        <v>4724</v>
      </c>
      <c r="D625" t="s">
        <v>4725</v>
      </c>
      <c r="E625" t="s">
        <v>4726</v>
      </c>
      <c r="F625" t="s">
        <v>4727</v>
      </c>
      <c r="G625" t="s">
        <v>4728</v>
      </c>
      <c r="H625" t="s">
        <v>4729</v>
      </c>
      <c r="I625">
        <v>1</v>
      </c>
      <c r="J625">
        <v>1</v>
      </c>
      <c r="K625">
        <v>13</v>
      </c>
      <c r="L625">
        <v>2629</v>
      </c>
      <c r="M625" t="s">
        <v>4730</v>
      </c>
      <c r="N625" t="s">
        <v>29</v>
      </c>
      <c r="O625">
        <v>113399</v>
      </c>
      <c r="P625" t="s">
        <v>4731</v>
      </c>
      <c r="Q625">
        <v>86636</v>
      </c>
      <c r="R625" t="s">
        <v>4732</v>
      </c>
      <c r="S625">
        <v>247</v>
      </c>
      <c r="T625" t="b">
        <v>0</v>
      </c>
      <c r="U625">
        <v>1</v>
      </c>
      <c r="V625">
        <v>1</v>
      </c>
      <c r="W625" t="s">
        <v>35</v>
      </c>
      <c r="X625" t="s">
        <v>29</v>
      </c>
      <c r="Y625" t="s">
        <v>29</v>
      </c>
      <c r="Z625" t="s">
        <v>37</v>
      </c>
      <c r="AA625">
        <f>TwitterClean[[#This Row],[likes]]+TwitterClean[[#This Row],[replies]]+TwitterClean[[#This Row],[reposts]]+TwitterClean[[#This Row],[quotes]]+TwitterClean[[#This Row],[bookmarks]]</f>
        <v>17</v>
      </c>
      <c r="AB625" s="1">
        <f>TwitterClean[[#This Row],[Total_Engagements]]/TwitterClean[[#This Row],[views]]</f>
        <v>6.4663370102700643E-3</v>
      </c>
      <c r="AC625" s="3">
        <f>DATEVALUE(MID(TwitterClean[[#This Row],[date_posted]],2,10))</f>
        <v>45641</v>
      </c>
      <c r="AD625">
        <f>TIMEVALUE(MID(TwitterClean[[#This Row],[date_posted]],13,8))</f>
        <v>8.2638888888888887E-2</v>
      </c>
      <c r="AE625" s="3" t="str">
        <f>TEXT(TwitterClean[[#This Row],[Post_Date]],"dddd")</f>
        <v>Sunday</v>
      </c>
      <c r="AF625">
        <f>HOUR(TwitterClean[[#This Row],[Post_Time]])</f>
        <v>1</v>
      </c>
      <c r="AG625" t="str">
        <f>IF(TwitterClean[[#This Row],[videos]]="Null","No","Yes")</f>
        <v>No</v>
      </c>
      <c r="AH625" t="str">
        <f>IF(TwitterClean[[#This Row],[photos]]="null","No","Yes")</f>
        <v>Yes</v>
      </c>
      <c r="AI625" t="str">
        <f>IF(TwitterClean[[#This Row],[hashtags]]="null","No","Yes")</f>
        <v>No</v>
      </c>
      <c r="AJ625" t="str">
        <f>IF(TwitterClean[[#This Row],[external_url]]="null","Yes","No")</f>
        <v>No</v>
      </c>
      <c r="AK625">
        <f>LEN(TwitterClean[[#This Row],[description]])</f>
        <v>74</v>
      </c>
      <c r="AL625" t="str">
        <f>IF(TwitterClean[[#This Row],[followers]]&lt;100000,"&lt;100K",IF(TwitterClean[[#This Row],[followers]]&lt;1000000,"100K-1M",IF(TwitterClean[[#This Row],[followers]]&lt;10000000,"1M-10M","10M+")))</f>
        <v>100K-1M</v>
      </c>
    </row>
    <row r="626" spans="1:38">
      <c r="A626">
        <v>1.8683153548687283E+18</v>
      </c>
      <c r="B626" t="s">
        <v>3392</v>
      </c>
      <c r="C626" t="s">
        <v>3393</v>
      </c>
      <c r="D626" t="s">
        <v>4863</v>
      </c>
      <c r="E626" t="s">
        <v>4864</v>
      </c>
      <c r="F626" t="s">
        <v>4865</v>
      </c>
      <c r="G626" t="s">
        <v>4866</v>
      </c>
      <c r="H626" t="s">
        <v>29</v>
      </c>
      <c r="I626">
        <v>35</v>
      </c>
      <c r="J626">
        <v>15</v>
      </c>
      <c r="K626">
        <v>147</v>
      </c>
      <c r="L626">
        <v>34641</v>
      </c>
      <c r="M626" t="s">
        <v>52</v>
      </c>
      <c r="N626" t="s">
        <v>3405</v>
      </c>
      <c r="O626">
        <v>1480966</v>
      </c>
      <c r="P626" t="s">
        <v>3399</v>
      </c>
      <c r="Q626">
        <v>103753</v>
      </c>
      <c r="R626" t="s">
        <v>3400</v>
      </c>
      <c r="S626">
        <v>552</v>
      </c>
      <c r="T626" t="b">
        <v>0</v>
      </c>
      <c r="U626">
        <v>25</v>
      </c>
      <c r="V626">
        <v>2</v>
      </c>
      <c r="W626" t="s">
        <v>35</v>
      </c>
      <c r="X626" t="s">
        <v>29</v>
      </c>
      <c r="Y626" t="s">
        <v>29</v>
      </c>
      <c r="Z626" t="s">
        <v>37</v>
      </c>
      <c r="AA626">
        <f>TwitterClean[[#This Row],[likes]]+TwitterClean[[#This Row],[replies]]+TwitterClean[[#This Row],[reposts]]+TwitterClean[[#This Row],[quotes]]+TwitterClean[[#This Row],[bookmarks]]</f>
        <v>224</v>
      </c>
      <c r="AB626" s="1">
        <f>TwitterClean[[#This Row],[Total_Engagements]]/TwitterClean[[#This Row],[views]]</f>
        <v>6.4663260298490231E-3</v>
      </c>
      <c r="AC626" s="3">
        <f>DATEVALUE(MID(TwitterClean[[#This Row],[date_posted]],2,10))</f>
        <v>45641</v>
      </c>
      <c r="AD626">
        <f>TIMEVALUE(MID(TwitterClean[[#This Row],[date_posted]],13,8))</f>
        <v>0.63965277777777774</v>
      </c>
      <c r="AE626" s="3" t="str">
        <f>TEXT(TwitterClean[[#This Row],[Post_Date]],"dddd")</f>
        <v>Sunday</v>
      </c>
      <c r="AF626">
        <f>HOUR(TwitterClean[[#This Row],[Post_Time]])</f>
        <v>15</v>
      </c>
      <c r="AG626" t="str">
        <f>IF(TwitterClean[[#This Row],[videos]]="Null","No","Yes")</f>
        <v>No</v>
      </c>
      <c r="AH626" t="str">
        <f>IF(TwitterClean[[#This Row],[photos]]="null","No","Yes")</f>
        <v>Yes</v>
      </c>
      <c r="AI626" t="str">
        <f>IF(TwitterClean[[#This Row],[hashtags]]="null","No","Yes")</f>
        <v>Yes</v>
      </c>
      <c r="AJ626" t="str">
        <f>IF(TwitterClean[[#This Row],[external_url]]="null","Yes","No")</f>
        <v>No</v>
      </c>
      <c r="AK626">
        <f>LEN(TwitterClean[[#This Row],[description]])</f>
        <v>44</v>
      </c>
      <c r="AL626" t="str">
        <f>IF(TwitterClean[[#This Row],[followers]]&lt;100000,"&lt;100K",IF(TwitterClean[[#This Row],[followers]]&lt;1000000,"100K-1M",IF(TwitterClean[[#This Row],[followers]]&lt;10000000,"1M-10M","10M+")))</f>
        <v>1M-10M</v>
      </c>
    </row>
    <row r="627" spans="1:38">
      <c r="A627">
        <v>1.8683519003676058E+18</v>
      </c>
      <c r="B627" t="s">
        <v>3638</v>
      </c>
      <c r="C627" t="s">
        <v>3639</v>
      </c>
      <c r="D627" t="s">
        <v>4242</v>
      </c>
      <c r="E627" t="s">
        <v>4243</v>
      </c>
      <c r="F627" t="s">
        <v>4244</v>
      </c>
      <c r="G627" t="s">
        <v>4245</v>
      </c>
      <c r="H627" t="s">
        <v>4246</v>
      </c>
      <c r="I627">
        <v>533</v>
      </c>
      <c r="J627">
        <v>660</v>
      </c>
      <c r="K627">
        <v>5291</v>
      </c>
      <c r="L627">
        <v>1185862</v>
      </c>
      <c r="M627" t="s">
        <v>52</v>
      </c>
      <c r="N627" t="s">
        <v>29</v>
      </c>
      <c r="O627">
        <v>8885747</v>
      </c>
      <c r="P627" t="s">
        <v>3643</v>
      </c>
      <c r="Q627">
        <v>115852</v>
      </c>
      <c r="R627" t="s">
        <v>3644</v>
      </c>
      <c r="S627">
        <v>469</v>
      </c>
      <c r="T627" t="b">
        <v>0</v>
      </c>
      <c r="U627">
        <v>1106</v>
      </c>
      <c r="V627">
        <v>66</v>
      </c>
      <c r="W627" t="s">
        <v>35</v>
      </c>
      <c r="X627" t="s">
        <v>29</v>
      </c>
      <c r="Y627" t="s">
        <v>29</v>
      </c>
      <c r="Z627" t="s">
        <v>37</v>
      </c>
      <c r="AA627">
        <f>TwitterClean[[#This Row],[likes]]+TwitterClean[[#This Row],[replies]]+TwitterClean[[#This Row],[reposts]]+TwitterClean[[#This Row],[quotes]]+TwitterClean[[#This Row],[bookmarks]]</f>
        <v>7656</v>
      </c>
      <c r="AB627" s="1">
        <f>TwitterClean[[#This Row],[Total_Engagements]]/TwitterClean[[#This Row],[views]]</f>
        <v>6.4560631844177482E-3</v>
      </c>
      <c r="AC627" s="3">
        <f>DATEVALUE(MID(TwitterClean[[#This Row],[date_posted]],2,10))</f>
        <v>45641</v>
      </c>
      <c r="AD627">
        <f>TIMEVALUE(MID(TwitterClean[[#This Row],[date_posted]],13,8))</f>
        <v>0.74050925925925926</v>
      </c>
      <c r="AE627" s="3" t="str">
        <f>TEXT(TwitterClean[[#This Row],[Post_Date]],"dddd")</f>
        <v>Sunday</v>
      </c>
      <c r="AF627">
        <f>HOUR(TwitterClean[[#This Row],[Post_Time]])</f>
        <v>17</v>
      </c>
      <c r="AG627" t="str">
        <f>IF(TwitterClean[[#This Row],[videos]]="Null","No","Yes")</f>
        <v>No</v>
      </c>
      <c r="AH627" t="str">
        <f>IF(TwitterClean[[#This Row],[photos]]="null","No","Yes")</f>
        <v>Yes</v>
      </c>
      <c r="AI627" t="str">
        <f>IF(TwitterClean[[#This Row],[hashtags]]="null","No","Yes")</f>
        <v>No</v>
      </c>
      <c r="AJ627" t="str">
        <f>IF(TwitterClean[[#This Row],[external_url]]="null","Yes","No")</f>
        <v>No</v>
      </c>
      <c r="AK627">
        <f>LEN(TwitterClean[[#This Row],[description]])</f>
        <v>45</v>
      </c>
      <c r="AL627" t="str">
        <f>IF(TwitterClean[[#This Row],[followers]]&lt;100000,"&lt;100K",IF(TwitterClean[[#This Row],[followers]]&lt;1000000,"100K-1M",IF(TwitterClean[[#This Row],[followers]]&lt;10000000,"1M-10M","10M+")))</f>
        <v>1M-10M</v>
      </c>
    </row>
    <row r="628" spans="1:38">
      <c r="A628">
        <v>1.8683444661148303E+18</v>
      </c>
      <c r="B628" t="s">
        <v>2230</v>
      </c>
      <c r="C628" t="s">
        <v>2231</v>
      </c>
      <c r="D628" t="s">
        <v>2269</v>
      </c>
      <c r="E628" t="s">
        <v>2329</v>
      </c>
      <c r="F628" t="s">
        <v>2330</v>
      </c>
      <c r="G628" t="s">
        <v>2331</v>
      </c>
      <c r="H628" t="s">
        <v>29</v>
      </c>
      <c r="I628">
        <v>34</v>
      </c>
      <c r="J628">
        <v>25</v>
      </c>
      <c r="K628">
        <v>82</v>
      </c>
      <c r="L628">
        <v>24694</v>
      </c>
      <c r="M628" t="s">
        <v>2332</v>
      </c>
      <c r="N628" t="s">
        <v>29</v>
      </c>
      <c r="O628">
        <v>3313888</v>
      </c>
      <c r="P628" t="s">
        <v>2237</v>
      </c>
      <c r="Q628">
        <v>706459</v>
      </c>
      <c r="R628" t="s">
        <v>2238</v>
      </c>
      <c r="S628">
        <v>10308</v>
      </c>
      <c r="T628" t="b">
        <v>0</v>
      </c>
      <c r="U628">
        <v>4</v>
      </c>
      <c r="V628">
        <v>13</v>
      </c>
      <c r="W628" t="s">
        <v>35</v>
      </c>
      <c r="X628" t="s">
        <v>29</v>
      </c>
      <c r="Y628" t="s">
        <v>29</v>
      </c>
      <c r="Z628" t="s">
        <v>37</v>
      </c>
      <c r="AA628">
        <f>TwitterClean[[#This Row],[likes]]+TwitterClean[[#This Row],[replies]]+TwitterClean[[#This Row],[reposts]]+TwitterClean[[#This Row],[quotes]]+TwitterClean[[#This Row],[bookmarks]]</f>
        <v>158</v>
      </c>
      <c r="AB628" s="1">
        <f>TwitterClean[[#This Row],[Total_Engagements]]/TwitterClean[[#This Row],[views]]</f>
        <v>6.3983153802543132E-3</v>
      </c>
      <c r="AC628" s="3">
        <f>DATEVALUE(MID(TwitterClean[[#This Row],[date_posted]],2,10))</f>
        <v>45641</v>
      </c>
      <c r="AD628">
        <f>TIMEVALUE(MID(TwitterClean[[#This Row],[date_posted]],13,8))</f>
        <v>0.71998842592592593</v>
      </c>
      <c r="AE628" s="3" t="str">
        <f>TEXT(TwitterClean[[#This Row],[Post_Date]],"dddd")</f>
        <v>Sunday</v>
      </c>
      <c r="AF628">
        <f>HOUR(TwitterClean[[#This Row],[Post_Time]])</f>
        <v>17</v>
      </c>
      <c r="AG628" t="str">
        <f>IF(TwitterClean[[#This Row],[videos]]="Null","No","Yes")</f>
        <v>No</v>
      </c>
      <c r="AH628" t="str">
        <f>IF(TwitterClean[[#This Row],[photos]]="null","No","Yes")</f>
        <v>Yes</v>
      </c>
      <c r="AI628" t="str">
        <f>IF(TwitterClean[[#This Row],[hashtags]]="null","No","Yes")</f>
        <v>No</v>
      </c>
      <c r="AJ628" t="str">
        <f>IF(TwitterClean[[#This Row],[external_url]]="null","Yes","No")</f>
        <v>No</v>
      </c>
      <c r="AK628">
        <f>LEN(TwitterClean[[#This Row],[description]])</f>
        <v>99</v>
      </c>
      <c r="AL628" t="str">
        <f>IF(TwitterClean[[#This Row],[followers]]&lt;100000,"&lt;100K",IF(TwitterClean[[#This Row],[followers]]&lt;1000000,"100K-1M",IF(TwitterClean[[#This Row],[followers]]&lt;10000000,"1M-10M","10M+")))</f>
        <v>1M-10M</v>
      </c>
    </row>
    <row r="629" spans="1:38">
      <c r="A629">
        <v>1.8680882642313833E+18</v>
      </c>
      <c r="B629" t="s">
        <v>3034</v>
      </c>
      <c r="C629" t="s">
        <v>3035</v>
      </c>
      <c r="D629" t="s">
        <v>3772</v>
      </c>
      <c r="E629" t="s">
        <v>3773</v>
      </c>
      <c r="F629" t="s">
        <v>29</v>
      </c>
      <c r="G629" t="s">
        <v>3774</v>
      </c>
      <c r="H629" t="s">
        <v>3262</v>
      </c>
      <c r="I629">
        <v>42</v>
      </c>
      <c r="J629">
        <v>46</v>
      </c>
      <c r="K629">
        <v>511</v>
      </c>
      <c r="L629">
        <v>95846</v>
      </c>
      <c r="M629" t="s">
        <v>52</v>
      </c>
      <c r="N629" t="s">
        <v>3040</v>
      </c>
      <c r="O629">
        <v>12876593</v>
      </c>
      <c r="P629" t="s">
        <v>3041</v>
      </c>
      <c r="Q629">
        <v>141401</v>
      </c>
      <c r="R629" t="s">
        <v>3042</v>
      </c>
      <c r="S629">
        <v>717</v>
      </c>
      <c r="T629" t="b">
        <v>0</v>
      </c>
      <c r="U629">
        <v>5</v>
      </c>
      <c r="V629">
        <v>9</v>
      </c>
      <c r="W629" t="s">
        <v>35</v>
      </c>
      <c r="X629" t="s">
        <v>29</v>
      </c>
      <c r="Y629" t="s">
        <v>3775</v>
      </c>
      <c r="Z629" t="s">
        <v>37</v>
      </c>
      <c r="AA629">
        <f>TwitterClean[[#This Row],[likes]]+TwitterClean[[#This Row],[replies]]+TwitterClean[[#This Row],[reposts]]+TwitterClean[[#This Row],[quotes]]+TwitterClean[[#This Row],[bookmarks]]</f>
        <v>613</v>
      </c>
      <c r="AB629" s="1">
        <f>TwitterClean[[#This Row],[Total_Engagements]]/TwitterClean[[#This Row],[views]]</f>
        <v>6.3956763975544098E-3</v>
      </c>
      <c r="AC629" s="3">
        <f>DATEVALUE(MID(TwitterClean[[#This Row],[date_posted]],2,10))</f>
        <v>45641</v>
      </c>
      <c r="AD629">
        <f>TIMEVALUE(MID(TwitterClean[[#This Row],[date_posted]],13,8))</f>
        <v>1.3009259259259259E-2</v>
      </c>
      <c r="AE629" s="3" t="str">
        <f>TEXT(TwitterClean[[#This Row],[Post_Date]],"dddd")</f>
        <v>Sunday</v>
      </c>
      <c r="AF629">
        <f>HOUR(TwitterClean[[#This Row],[Post_Time]])</f>
        <v>0</v>
      </c>
      <c r="AG629" t="str">
        <f>IF(TwitterClean[[#This Row],[videos]]="Null","No","Yes")</f>
        <v>Yes</v>
      </c>
      <c r="AH629" t="str">
        <f>IF(TwitterClean[[#This Row],[photos]]="null","No","Yes")</f>
        <v>No</v>
      </c>
      <c r="AI629" t="str">
        <f>IF(TwitterClean[[#This Row],[hashtags]]="null","No","Yes")</f>
        <v>Yes</v>
      </c>
      <c r="AJ629" t="str">
        <f>IF(TwitterClean[[#This Row],[external_url]]="null","Yes","No")</f>
        <v>No</v>
      </c>
      <c r="AK629">
        <f>LEN(TwitterClean[[#This Row],[description]])</f>
        <v>67</v>
      </c>
      <c r="AL629" t="str">
        <f>IF(TwitterClean[[#This Row],[followers]]&lt;100000,"&lt;100K",IF(TwitterClean[[#This Row],[followers]]&lt;1000000,"100K-1M",IF(TwitterClean[[#This Row],[followers]]&lt;10000000,"1M-10M","10M+")))</f>
        <v>10M+</v>
      </c>
    </row>
    <row r="630" spans="1:38">
      <c r="A630">
        <v>1.8684580742030956E+18</v>
      </c>
      <c r="B630" t="s">
        <v>1646</v>
      </c>
      <c r="C630" t="s">
        <v>1647</v>
      </c>
      <c r="D630" t="s">
        <v>1648</v>
      </c>
      <c r="E630" t="s">
        <v>1649</v>
      </c>
      <c r="F630" t="s">
        <v>29</v>
      </c>
      <c r="G630" t="s">
        <v>1650</v>
      </c>
      <c r="H630" t="s">
        <v>29</v>
      </c>
      <c r="I630">
        <v>82</v>
      </c>
      <c r="J630">
        <v>79</v>
      </c>
      <c r="K630">
        <v>1076</v>
      </c>
      <c r="L630">
        <v>234965</v>
      </c>
      <c r="M630" t="s">
        <v>1651</v>
      </c>
      <c r="N630" t="s">
        <v>1652</v>
      </c>
      <c r="O630">
        <v>3768943</v>
      </c>
      <c r="P630" t="s">
        <v>1653</v>
      </c>
      <c r="Q630">
        <v>897934</v>
      </c>
      <c r="R630" t="s">
        <v>1654</v>
      </c>
      <c r="S630">
        <v>28</v>
      </c>
      <c r="T630" t="b">
        <v>0</v>
      </c>
      <c r="U630">
        <v>200</v>
      </c>
      <c r="V630">
        <v>61</v>
      </c>
      <c r="W630" t="s">
        <v>35</v>
      </c>
      <c r="X630" t="s">
        <v>1655</v>
      </c>
      <c r="Y630" t="s">
        <v>29</v>
      </c>
      <c r="Z630" t="s">
        <v>37</v>
      </c>
      <c r="AA630">
        <f>TwitterClean[[#This Row],[likes]]+TwitterClean[[#This Row],[replies]]+TwitterClean[[#This Row],[reposts]]+TwitterClean[[#This Row],[quotes]]+TwitterClean[[#This Row],[bookmarks]]</f>
        <v>1498</v>
      </c>
      <c r="AB630" s="1">
        <f>TwitterClean[[#This Row],[Total_Engagements]]/TwitterClean[[#This Row],[views]]</f>
        <v>6.3754176153895262E-3</v>
      </c>
      <c r="AC630" s="3">
        <f>DATEVALUE(MID(TwitterClean[[#This Row],[date_posted]],2,10))</f>
        <v>45642</v>
      </c>
      <c r="AD630">
        <f>TIMEVALUE(MID(TwitterClean[[#This Row],[date_posted]],13,8))</f>
        <v>3.3483796296296296E-2</v>
      </c>
      <c r="AE630" s="3" t="str">
        <f>TEXT(TwitterClean[[#This Row],[Post_Date]],"dddd")</f>
        <v>Monday</v>
      </c>
      <c r="AF630">
        <f>HOUR(TwitterClean[[#This Row],[Post_Time]])</f>
        <v>0</v>
      </c>
      <c r="AG630" t="str">
        <f>IF(TwitterClean[[#This Row],[videos]]="Null","No","Yes")</f>
        <v>No</v>
      </c>
      <c r="AH630" t="str">
        <f>IF(TwitterClean[[#This Row],[photos]]="null","No","Yes")</f>
        <v>No</v>
      </c>
      <c r="AI630" t="str">
        <f>IF(TwitterClean[[#This Row],[hashtags]]="null","No","Yes")</f>
        <v>Yes</v>
      </c>
      <c r="AJ630" t="str">
        <f>IF(TwitterClean[[#This Row],[external_url]]="null","Yes","No")</f>
        <v>No</v>
      </c>
      <c r="AK630">
        <f>LEN(TwitterClean[[#This Row],[description]])</f>
        <v>100</v>
      </c>
      <c r="AL630" t="str">
        <f>IF(TwitterClean[[#This Row],[followers]]&lt;100000,"&lt;100K",IF(TwitterClean[[#This Row],[followers]]&lt;1000000,"100K-1M",IF(TwitterClean[[#This Row],[followers]]&lt;10000000,"1M-10M","10M+")))</f>
        <v>1M-10M</v>
      </c>
    </row>
    <row r="631" spans="1:38">
      <c r="A631">
        <v>1.8683628844990551E+18</v>
      </c>
      <c r="B631" t="s">
        <v>2230</v>
      </c>
      <c r="C631" t="s">
        <v>2231</v>
      </c>
      <c r="D631" t="s">
        <v>2319</v>
      </c>
      <c r="E631" t="s">
        <v>2320</v>
      </c>
      <c r="F631" t="s">
        <v>2321</v>
      </c>
      <c r="G631" t="s">
        <v>2322</v>
      </c>
      <c r="H631" t="s">
        <v>29</v>
      </c>
      <c r="I631">
        <v>51</v>
      </c>
      <c r="J631">
        <v>19</v>
      </c>
      <c r="K631">
        <v>69</v>
      </c>
      <c r="L631">
        <v>23409</v>
      </c>
      <c r="M631" t="s">
        <v>2323</v>
      </c>
      <c r="N631" t="s">
        <v>29</v>
      </c>
      <c r="O631">
        <v>3313888</v>
      </c>
      <c r="P631" t="s">
        <v>2237</v>
      </c>
      <c r="Q631">
        <v>706459</v>
      </c>
      <c r="R631" t="s">
        <v>2238</v>
      </c>
      <c r="S631">
        <v>10308</v>
      </c>
      <c r="T631" t="b">
        <v>0</v>
      </c>
      <c r="U631">
        <v>4</v>
      </c>
      <c r="V631">
        <v>6</v>
      </c>
      <c r="W631" t="s">
        <v>35</v>
      </c>
      <c r="X631" t="s">
        <v>29</v>
      </c>
      <c r="Y631" t="s">
        <v>29</v>
      </c>
      <c r="Z631" t="s">
        <v>37</v>
      </c>
      <c r="AA631">
        <f>TwitterClean[[#This Row],[likes]]+TwitterClean[[#This Row],[replies]]+TwitterClean[[#This Row],[reposts]]+TwitterClean[[#This Row],[quotes]]+TwitterClean[[#This Row],[bookmarks]]</f>
        <v>149</v>
      </c>
      <c r="AB631" s="1">
        <f>TwitterClean[[#This Row],[Total_Engagements]]/TwitterClean[[#This Row],[views]]</f>
        <v>6.3650732624204367E-3</v>
      </c>
      <c r="AC631" s="3">
        <f>DATEVALUE(MID(TwitterClean[[#This Row],[date_posted]],2,10))</f>
        <v>45641</v>
      </c>
      <c r="AD631">
        <f>TIMEVALUE(MID(TwitterClean[[#This Row],[date_posted]],13,8))</f>
        <v>0.77081018518518518</v>
      </c>
      <c r="AE631" s="3" t="str">
        <f>TEXT(TwitterClean[[#This Row],[Post_Date]],"dddd")</f>
        <v>Sunday</v>
      </c>
      <c r="AF631">
        <f>HOUR(TwitterClean[[#This Row],[Post_Time]])</f>
        <v>18</v>
      </c>
      <c r="AG631" t="str">
        <f>IF(TwitterClean[[#This Row],[videos]]="Null","No","Yes")</f>
        <v>No</v>
      </c>
      <c r="AH631" t="str">
        <f>IF(TwitterClean[[#This Row],[photos]]="null","No","Yes")</f>
        <v>Yes</v>
      </c>
      <c r="AI631" t="str">
        <f>IF(TwitterClean[[#This Row],[hashtags]]="null","No","Yes")</f>
        <v>No</v>
      </c>
      <c r="AJ631" t="str">
        <f>IF(TwitterClean[[#This Row],[external_url]]="null","Yes","No")</f>
        <v>No</v>
      </c>
      <c r="AK631">
        <f>LEN(TwitterClean[[#This Row],[description]])</f>
        <v>87</v>
      </c>
      <c r="AL631" t="str">
        <f>IF(TwitterClean[[#This Row],[followers]]&lt;100000,"&lt;100K",IF(TwitterClean[[#This Row],[followers]]&lt;1000000,"100K-1M",IF(TwitterClean[[#This Row],[followers]]&lt;10000000,"1M-10M","10M+")))</f>
        <v>1M-10M</v>
      </c>
    </row>
    <row r="632" spans="1:38">
      <c r="A632">
        <v>1.8681564767678505E+18</v>
      </c>
      <c r="B632" t="s">
        <v>2230</v>
      </c>
      <c r="C632" t="s">
        <v>2231</v>
      </c>
      <c r="D632" t="s">
        <v>2549</v>
      </c>
      <c r="E632" t="s">
        <v>2550</v>
      </c>
      <c r="F632" t="s">
        <v>2551</v>
      </c>
      <c r="G632" t="s">
        <v>2552</v>
      </c>
      <c r="H632" t="s">
        <v>29</v>
      </c>
      <c r="I632">
        <v>62</v>
      </c>
      <c r="J632">
        <v>30</v>
      </c>
      <c r="K632">
        <v>138</v>
      </c>
      <c r="L632">
        <v>40923</v>
      </c>
      <c r="M632" t="s">
        <v>2553</v>
      </c>
      <c r="N632" t="s">
        <v>29</v>
      </c>
      <c r="O632">
        <v>3313892</v>
      </c>
      <c r="P632" t="s">
        <v>2237</v>
      </c>
      <c r="Q632">
        <v>706459</v>
      </c>
      <c r="R632" t="s">
        <v>2238</v>
      </c>
      <c r="S632">
        <v>10308</v>
      </c>
      <c r="T632" t="b">
        <v>0</v>
      </c>
      <c r="U632">
        <v>10</v>
      </c>
      <c r="V632">
        <v>18</v>
      </c>
      <c r="W632" t="s">
        <v>35</v>
      </c>
      <c r="X632" t="s">
        <v>29</v>
      </c>
      <c r="Y632" t="s">
        <v>29</v>
      </c>
      <c r="Z632" t="s">
        <v>37</v>
      </c>
      <c r="AA632">
        <f>TwitterClean[[#This Row],[likes]]+TwitterClean[[#This Row],[replies]]+TwitterClean[[#This Row],[reposts]]+TwitterClean[[#This Row],[quotes]]+TwitterClean[[#This Row],[bookmarks]]</f>
        <v>258</v>
      </c>
      <c r="AB632" s="1">
        <f>TwitterClean[[#This Row],[Total_Engagements]]/TwitterClean[[#This Row],[views]]</f>
        <v>6.304523128802874E-3</v>
      </c>
      <c r="AC632" s="3">
        <f>DATEVALUE(MID(TwitterClean[[#This Row],[date_posted]],2,10))</f>
        <v>45641</v>
      </c>
      <c r="AD632">
        <f>TIMEVALUE(MID(TwitterClean[[#This Row],[date_posted]],13,8))</f>
        <v>0.20123842592592592</v>
      </c>
      <c r="AE632" s="3" t="str">
        <f>TEXT(TwitterClean[[#This Row],[Post_Date]],"dddd")</f>
        <v>Sunday</v>
      </c>
      <c r="AF632">
        <f>HOUR(TwitterClean[[#This Row],[Post_Time]])</f>
        <v>4</v>
      </c>
      <c r="AG632" t="str">
        <f>IF(TwitterClean[[#This Row],[videos]]="Null","No","Yes")</f>
        <v>No</v>
      </c>
      <c r="AH632" t="str">
        <f>IF(TwitterClean[[#This Row],[photos]]="null","No","Yes")</f>
        <v>Yes</v>
      </c>
      <c r="AI632" t="str">
        <f>IF(TwitterClean[[#This Row],[hashtags]]="null","No","Yes")</f>
        <v>No</v>
      </c>
      <c r="AJ632" t="str">
        <f>IF(TwitterClean[[#This Row],[external_url]]="null","Yes","No")</f>
        <v>No</v>
      </c>
      <c r="AK632">
        <f>LEN(TwitterClean[[#This Row],[description]])</f>
        <v>87</v>
      </c>
      <c r="AL632" t="str">
        <f>IF(TwitterClean[[#This Row],[followers]]&lt;100000,"&lt;100K",IF(TwitterClean[[#This Row],[followers]]&lt;1000000,"100K-1M",IF(TwitterClean[[#This Row],[followers]]&lt;10000000,"1M-10M","10M+")))</f>
        <v>1M-10M</v>
      </c>
    </row>
    <row r="633" spans="1:38">
      <c r="A633">
        <v>1.8683023049667628E+18</v>
      </c>
      <c r="B633" t="s">
        <v>2230</v>
      </c>
      <c r="C633" t="s">
        <v>2231</v>
      </c>
      <c r="D633" t="s">
        <v>2338</v>
      </c>
      <c r="E633" t="s">
        <v>2339</v>
      </c>
      <c r="F633" t="s">
        <v>2340</v>
      </c>
      <c r="G633" t="s">
        <v>2341</v>
      </c>
      <c r="H633" t="s">
        <v>29</v>
      </c>
      <c r="I633">
        <v>54</v>
      </c>
      <c r="J633">
        <v>7</v>
      </c>
      <c r="K633">
        <v>181</v>
      </c>
      <c r="L633">
        <v>40073</v>
      </c>
      <c r="M633" t="s">
        <v>2342</v>
      </c>
      <c r="N633" t="s">
        <v>29</v>
      </c>
      <c r="O633">
        <v>3313888</v>
      </c>
      <c r="P633" t="s">
        <v>2237</v>
      </c>
      <c r="Q633">
        <v>706459</v>
      </c>
      <c r="R633" t="s">
        <v>2238</v>
      </c>
      <c r="S633">
        <v>10308</v>
      </c>
      <c r="T633" t="b">
        <v>0</v>
      </c>
      <c r="U633">
        <v>3</v>
      </c>
      <c r="V633">
        <v>7</v>
      </c>
      <c r="W633" t="s">
        <v>35</v>
      </c>
      <c r="X633" t="s">
        <v>29</v>
      </c>
      <c r="Y633" t="s">
        <v>29</v>
      </c>
      <c r="Z633" t="s">
        <v>37</v>
      </c>
      <c r="AA633">
        <f>TwitterClean[[#This Row],[likes]]+TwitterClean[[#This Row],[replies]]+TwitterClean[[#This Row],[reposts]]+TwitterClean[[#This Row],[quotes]]+TwitterClean[[#This Row],[bookmarks]]</f>
        <v>252</v>
      </c>
      <c r="AB633" s="1">
        <f>TwitterClean[[#This Row],[Total_Engagements]]/TwitterClean[[#This Row],[views]]</f>
        <v>6.2885234447133979E-3</v>
      </c>
      <c r="AC633" s="3">
        <f>DATEVALUE(MID(TwitterClean[[#This Row],[date_posted]],2,10))</f>
        <v>45641</v>
      </c>
      <c r="AD633">
        <f>TIMEVALUE(MID(TwitterClean[[#This Row],[date_posted]],13,8))</f>
        <v>0.60364583333333333</v>
      </c>
      <c r="AE633" s="3" t="str">
        <f>TEXT(TwitterClean[[#This Row],[Post_Date]],"dddd")</f>
        <v>Sunday</v>
      </c>
      <c r="AF633">
        <f>HOUR(TwitterClean[[#This Row],[Post_Time]])</f>
        <v>14</v>
      </c>
      <c r="AG633" t="str">
        <f>IF(TwitterClean[[#This Row],[videos]]="Null","No","Yes")</f>
        <v>No</v>
      </c>
      <c r="AH633" t="str">
        <f>IF(TwitterClean[[#This Row],[photos]]="null","No","Yes")</f>
        <v>Yes</v>
      </c>
      <c r="AI633" t="str">
        <f>IF(TwitterClean[[#This Row],[hashtags]]="null","No","Yes")</f>
        <v>No</v>
      </c>
      <c r="AJ633" t="str">
        <f>IF(TwitterClean[[#This Row],[external_url]]="null","Yes","No")</f>
        <v>No</v>
      </c>
      <c r="AK633">
        <f>LEN(TwitterClean[[#This Row],[description]])</f>
        <v>75</v>
      </c>
      <c r="AL633" t="str">
        <f>IF(TwitterClean[[#This Row],[followers]]&lt;100000,"&lt;100K",IF(TwitterClean[[#This Row],[followers]]&lt;1000000,"100K-1M",IF(TwitterClean[[#This Row],[followers]]&lt;10000000,"1M-10M","10M+")))</f>
        <v>1M-10M</v>
      </c>
    </row>
    <row r="634" spans="1:38">
      <c r="A634">
        <v>1.8683569530568788E+18</v>
      </c>
      <c r="B634" t="s">
        <v>2230</v>
      </c>
      <c r="C634" t="s">
        <v>2231</v>
      </c>
      <c r="D634" t="s">
        <v>2529</v>
      </c>
      <c r="E634" t="s">
        <v>2530</v>
      </c>
      <c r="F634" t="s">
        <v>2531</v>
      </c>
      <c r="G634" t="s">
        <v>2532</v>
      </c>
      <c r="H634" t="s">
        <v>29</v>
      </c>
      <c r="I634">
        <v>25</v>
      </c>
      <c r="J634">
        <v>36</v>
      </c>
      <c r="K634">
        <v>91</v>
      </c>
      <c r="L634">
        <v>26600</v>
      </c>
      <c r="M634" t="s">
        <v>2533</v>
      </c>
      <c r="N634" t="s">
        <v>29</v>
      </c>
      <c r="O634">
        <v>3313887</v>
      </c>
      <c r="P634" t="s">
        <v>2237</v>
      </c>
      <c r="Q634">
        <v>706459</v>
      </c>
      <c r="R634" t="s">
        <v>2238</v>
      </c>
      <c r="S634">
        <v>10308</v>
      </c>
      <c r="T634" t="b">
        <v>0</v>
      </c>
      <c r="U634">
        <v>6</v>
      </c>
      <c r="V634">
        <v>9</v>
      </c>
      <c r="W634" t="s">
        <v>35</v>
      </c>
      <c r="X634" t="s">
        <v>29</v>
      </c>
      <c r="Y634" t="s">
        <v>29</v>
      </c>
      <c r="Z634" t="s">
        <v>37</v>
      </c>
      <c r="AA634">
        <f>TwitterClean[[#This Row],[likes]]+TwitterClean[[#This Row],[replies]]+TwitterClean[[#This Row],[reposts]]+TwitterClean[[#This Row],[quotes]]+TwitterClean[[#This Row],[bookmarks]]</f>
        <v>167</v>
      </c>
      <c r="AB634" s="1">
        <f>TwitterClean[[#This Row],[Total_Engagements]]/TwitterClean[[#This Row],[views]]</f>
        <v>6.2781954887218046E-3</v>
      </c>
      <c r="AC634" s="3">
        <f>DATEVALUE(MID(TwitterClean[[#This Row],[date_posted]],2,10))</f>
        <v>45641</v>
      </c>
      <c r="AD634">
        <f>TIMEVALUE(MID(TwitterClean[[#This Row],[date_posted]],13,8))</f>
        <v>0.75444444444444447</v>
      </c>
      <c r="AE634" s="3" t="str">
        <f>TEXT(TwitterClean[[#This Row],[Post_Date]],"dddd")</f>
        <v>Sunday</v>
      </c>
      <c r="AF634">
        <f>HOUR(TwitterClean[[#This Row],[Post_Time]])</f>
        <v>18</v>
      </c>
      <c r="AG634" t="str">
        <f>IF(TwitterClean[[#This Row],[videos]]="Null","No","Yes")</f>
        <v>No</v>
      </c>
      <c r="AH634" t="str">
        <f>IF(TwitterClean[[#This Row],[photos]]="null","No","Yes")</f>
        <v>Yes</v>
      </c>
      <c r="AI634" t="str">
        <f>IF(TwitterClean[[#This Row],[hashtags]]="null","No","Yes")</f>
        <v>No</v>
      </c>
      <c r="AJ634" t="str">
        <f>IF(TwitterClean[[#This Row],[external_url]]="null","Yes","No")</f>
        <v>No</v>
      </c>
      <c r="AK634">
        <f>LEN(TwitterClean[[#This Row],[description]])</f>
        <v>53</v>
      </c>
      <c r="AL634" t="str">
        <f>IF(TwitterClean[[#This Row],[followers]]&lt;100000,"&lt;100K",IF(TwitterClean[[#This Row],[followers]]&lt;1000000,"100K-1M",IF(TwitterClean[[#This Row],[followers]]&lt;10000000,"1M-10M","10M+")))</f>
        <v>1M-10M</v>
      </c>
    </row>
    <row r="635" spans="1:38">
      <c r="A635">
        <v>1.8675085111163415E+18</v>
      </c>
      <c r="B635" t="s">
        <v>2714</v>
      </c>
      <c r="C635" t="s">
        <v>2715</v>
      </c>
      <c r="D635" t="s">
        <v>2762</v>
      </c>
      <c r="E635" t="s">
        <v>2763</v>
      </c>
      <c r="F635" t="s">
        <v>29</v>
      </c>
      <c r="G635" t="s">
        <v>2764</v>
      </c>
      <c r="H635" t="s">
        <v>2765</v>
      </c>
      <c r="I635">
        <v>2</v>
      </c>
      <c r="J635">
        <v>4</v>
      </c>
      <c r="K635">
        <v>18</v>
      </c>
      <c r="L635">
        <v>4309</v>
      </c>
      <c r="M635" t="s">
        <v>52</v>
      </c>
      <c r="N635" t="s">
        <v>2766</v>
      </c>
      <c r="O635">
        <v>182895</v>
      </c>
      <c r="P635" t="s">
        <v>2720</v>
      </c>
      <c r="Q635">
        <v>30781</v>
      </c>
      <c r="R635" t="s">
        <v>2721</v>
      </c>
      <c r="S635">
        <v>559</v>
      </c>
      <c r="T635" t="b">
        <v>0</v>
      </c>
      <c r="U635">
        <v>2</v>
      </c>
      <c r="V635">
        <v>1</v>
      </c>
      <c r="W635" t="s">
        <v>35</v>
      </c>
      <c r="X635" t="s">
        <v>29</v>
      </c>
      <c r="Y635" t="s">
        <v>2767</v>
      </c>
      <c r="Z635" t="s">
        <v>37</v>
      </c>
      <c r="AA635">
        <f>TwitterClean[[#This Row],[likes]]+TwitterClean[[#This Row],[replies]]+TwitterClean[[#This Row],[reposts]]+TwitterClean[[#This Row],[quotes]]+TwitterClean[[#This Row],[bookmarks]]</f>
        <v>27</v>
      </c>
      <c r="AB635" s="1">
        <f>TwitterClean[[#This Row],[Total_Engagements]]/TwitterClean[[#This Row],[views]]</f>
        <v>6.2659549779531211E-3</v>
      </c>
      <c r="AC635" s="3">
        <f>DATEVALUE(MID(TwitterClean[[#This Row],[date_posted]],2,10))</f>
        <v>45639</v>
      </c>
      <c r="AD635">
        <f>TIMEVALUE(MID(TwitterClean[[#This Row],[date_posted]],13,8))</f>
        <v>0.41319444444444442</v>
      </c>
      <c r="AE635" s="3" t="str">
        <f>TEXT(TwitterClean[[#This Row],[Post_Date]],"dddd")</f>
        <v>Friday</v>
      </c>
      <c r="AF635">
        <f>HOUR(TwitterClean[[#This Row],[Post_Time]])</f>
        <v>9</v>
      </c>
      <c r="AG635" t="str">
        <f>IF(TwitterClean[[#This Row],[videos]]="Null","No","Yes")</f>
        <v>Yes</v>
      </c>
      <c r="AH635" t="str">
        <f>IF(TwitterClean[[#This Row],[photos]]="null","No","Yes")</f>
        <v>No</v>
      </c>
      <c r="AI635" t="str">
        <f>IF(TwitterClean[[#This Row],[hashtags]]="null","No","Yes")</f>
        <v>Yes</v>
      </c>
      <c r="AJ635" t="str">
        <f>IF(TwitterClean[[#This Row],[external_url]]="null","Yes","No")</f>
        <v>No</v>
      </c>
      <c r="AK635">
        <f>LEN(TwitterClean[[#This Row],[description]])</f>
        <v>158</v>
      </c>
      <c r="AL635" t="str">
        <f>IF(TwitterClean[[#This Row],[followers]]&lt;100000,"&lt;100K",IF(TwitterClean[[#This Row],[followers]]&lt;1000000,"100K-1M",IF(TwitterClean[[#This Row],[followers]]&lt;10000000,"1M-10M","10M+")))</f>
        <v>100K-1M</v>
      </c>
    </row>
    <row r="636" spans="1:38">
      <c r="A636">
        <v>1.8680971584879782E+18</v>
      </c>
      <c r="B636" t="s">
        <v>3034</v>
      </c>
      <c r="C636" t="s">
        <v>3035</v>
      </c>
      <c r="D636" t="s">
        <v>3419</v>
      </c>
      <c r="E636" t="s">
        <v>3420</v>
      </c>
      <c r="F636" t="s">
        <v>29</v>
      </c>
      <c r="G636" t="s">
        <v>3421</v>
      </c>
      <c r="H636" t="s">
        <v>3262</v>
      </c>
      <c r="I636">
        <v>73</v>
      </c>
      <c r="J636">
        <v>44</v>
      </c>
      <c r="K636">
        <v>779</v>
      </c>
      <c r="L636">
        <v>149461</v>
      </c>
      <c r="M636" t="s">
        <v>52</v>
      </c>
      <c r="N636" t="s">
        <v>3040</v>
      </c>
      <c r="O636">
        <v>12876593</v>
      </c>
      <c r="P636" t="s">
        <v>3041</v>
      </c>
      <c r="Q636">
        <v>141401</v>
      </c>
      <c r="R636" t="s">
        <v>3042</v>
      </c>
      <c r="S636">
        <v>717</v>
      </c>
      <c r="T636" t="b">
        <v>0</v>
      </c>
      <c r="U636">
        <v>11</v>
      </c>
      <c r="V636">
        <v>17</v>
      </c>
      <c r="W636" t="s">
        <v>35</v>
      </c>
      <c r="X636" t="s">
        <v>29</v>
      </c>
      <c r="Y636" t="s">
        <v>3422</v>
      </c>
      <c r="Z636" t="s">
        <v>37</v>
      </c>
      <c r="AA636">
        <f>TwitterClean[[#This Row],[likes]]+TwitterClean[[#This Row],[replies]]+TwitterClean[[#This Row],[reposts]]+TwitterClean[[#This Row],[quotes]]+TwitterClean[[#This Row],[bookmarks]]</f>
        <v>924</v>
      </c>
      <c r="AB636" s="1">
        <f>TwitterClean[[#This Row],[Total_Engagements]]/TwitterClean[[#This Row],[views]]</f>
        <v>6.1822147583650584E-3</v>
      </c>
      <c r="AC636" s="3">
        <f>DATEVALUE(MID(TwitterClean[[#This Row],[date_posted]],2,10))</f>
        <v>45641</v>
      </c>
      <c r="AD636">
        <f>TIMEVALUE(MID(TwitterClean[[#This Row],[date_posted]],13,8))</f>
        <v>3.7546296296296293E-2</v>
      </c>
      <c r="AE636" s="3" t="str">
        <f>TEXT(TwitterClean[[#This Row],[Post_Date]],"dddd")</f>
        <v>Sunday</v>
      </c>
      <c r="AF636">
        <f>HOUR(TwitterClean[[#This Row],[Post_Time]])</f>
        <v>0</v>
      </c>
      <c r="AG636" t="str">
        <f>IF(TwitterClean[[#This Row],[videos]]="Null","No","Yes")</f>
        <v>Yes</v>
      </c>
      <c r="AH636" t="str">
        <f>IF(TwitterClean[[#This Row],[photos]]="null","No","Yes")</f>
        <v>No</v>
      </c>
      <c r="AI636" t="str">
        <f>IF(TwitterClean[[#This Row],[hashtags]]="null","No","Yes")</f>
        <v>Yes</v>
      </c>
      <c r="AJ636" t="str">
        <f>IF(TwitterClean[[#This Row],[external_url]]="null","Yes","No")</f>
        <v>No</v>
      </c>
      <c r="AK636">
        <f>LEN(TwitterClean[[#This Row],[description]])</f>
        <v>63</v>
      </c>
      <c r="AL636" t="str">
        <f>IF(TwitterClean[[#This Row],[followers]]&lt;100000,"&lt;100K",IF(TwitterClean[[#This Row],[followers]]&lt;1000000,"100K-1M",IF(TwitterClean[[#This Row],[followers]]&lt;10000000,"1M-10M","10M+")))</f>
        <v>10M+</v>
      </c>
    </row>
    <row r="637" spans="1:38">
      <c r="A637">
        <v>1.8682647533256338E+18</v>
      </c>
      <c r="B637" t="s">
        <v>4777</v>
      </c>
      <c r="C637" t="s">
        <v>4778</v>
      </c>
      <c r="D637" t="s">
        <v>4810</v>
      </c>
      <c r="E637" t="s">
        <v>4603</v>
      </c>
      <c r="F637" t="s">
        <v>29</v>
      </c>
      <c r="G637" t="s">
        <v>4811</v>
      </c>
      <c r="H637" t="s">
        <v>29</v>
      </c>
      <c r="I637">
        <v>346</v>
      </c>
      <c r="J637">
        <v>105</v>
      </c>
      <c r="K637">
        <v>1908</v>
      </c>
      <c r="L637">
        <v>405653</v>
      </c>
      <c r="M637" t="s">
        <v>4812</v>
      </c>
      <c r="N637" t="s">
        <v>742</v>
      </c>
      <c r="O637">
        <v>10795896</v>
      </c>
      <c r="P637" t="s">
        <v>4783</v>
      </c>
      <c r="Q637">
        <v>95508</v>
      </c>
      <c r="R637" t="s">
        <v>4784</v>
      </c>
      <c r="S637">
        <v>98</v>
      </c>
      <c r="T637" t="b">
        <v>0</v>
      </c>
      <c r="U637">
        <v>98</v>
      </c>
      <c r="V637">
        <v>48</v>
      </c>
      <c r="W637" t="s">
        <v>35</v>
      </c>
      <c r="X637" t="s">
        <v>29</v>
      </c>
      <c r="Y637" t="s">
        <v>29</v>
      </c>
      <c r="Z637" t="s">
        <v>37</v>
      </c>
      <c r="AA637">
        <f>TwitterClean[[#This Row],[likes]]+TwitterClean[[#This Row],[replies]]+TwitterClean[[#This Row],[reposts]]+TwitterClean[[#This Row],[quotes]]+TwitterClean[[#This Row],[bookmarks]]</f>
        <v>2505</v>
      </c>
      <c r="AB637" s="1">
        <f>TwitterClean[[#This Row],[Total_Engagements]]/TwitterClean[[#This Row],[views]]</f>
        <v>6.1752285820639808E-3</v>
      </c>
      <c r="AC637" s="3">
        <f>DATEVALUE(MID(TwitterClean[[#This Row],[date_posted]],2,10))</f>
        <v>45641</v>
      </c>
      <c r="AD637">
        <f>TIMEVALUE(MID(TwitterClean[[#This Row],[date_posted]],13,8))</f>
        <v>0.50002314814814819</v>
      </c>
      <c r="AE637" s="3" t="str">
        <f>TEXT(TwitterClean[[#This Row],[Post_Date]],"dddd")</f>
        <v>Sunday</v>
      </c>
      <c r="AF637">
        <f>HOUR(TwitterClean[[#This Row],[Post_Time]])</f>
        <v>12</v>
      </c>
      <c r="AG637" t="str">
        <f>IF(TwitterClean[[#This Row],[videos]]="Null","No","Yes")</f>
        <v>No</v>
      </c>
      <c r="AH637" t="str">
        <f>IF(TwitterClean[[#This Row],[photos]]="null","No","Yes")</f>
        <v>No</v>
      </c>
      <c r="AI637" t="str">
        <f>IF(TwitterClean[[#This Row],[hashtags]]="null","No","Yes")</f>
        <v>Yes</v>
      </c>
      <c r="AJ637" t="str">
        <f>IF(TwitterClean[[#This Row],[external_url]]="null","Yes","No")</f>
        <v>No</v>
      </c>
      <c r="AK637">
        <f>LEN(TwitterClean[[#This Row],[description]])</f>
        <v>101</v>
      </c>
      <c r="AL637" t="str">
        <f>IF(TwitterClean[[#This Row],[followers]]&lt;100000,"&lt;100K",IF(TwitterClean[[#This Row],[followers]]&lt;1000000,"100K-1M",IF(TwitterClean[[#This Row],[followers]]&lt;10000000,"1M-10M","10M+")))</f>
        <v>10M+</v>
      </c>
    </row>
    <row r="638" spans="1:38">
      <c r="A638">
        <v>1.8680879945083049E+18</v>
      </c>
      <c r="B638" t="s">
        <v>2230</v>
      </c>
      <c r="C638" t="s">
        <v>2231</v>
      </c>
      <c r="D638" t="s">
        <v>2409</v>
      </c>
      <c r="E638" t="s">
        <v>2410</v>
      </c>
      <c r="F638" t="s">
        <v>2411</v>
      </c>
      <c r="G638" t="s">
        <v>2412</v>
      </c>
      <c r="H638" t="s">
        <v>29</v>
      </c>
      <c r="I638">
        <v>30</v>
      </c>
      <c r="J638">
        <v>35</v>
      </c>
      <c r="K638">
        <v>132</v>
      </c>
      <c r="L638">
        <v>34451</v>
      </c>
      <c r="M638" t="s">
        <v>2413</v>
      </c>
      <c r="N638" t="s">
        <v>29</v>
      </c>
      <c r="O638">
        <v>3313898</v>
      </c>
      <c r="P638" t="s">
        <v>2237</v>
      </c>
      <c r="Q638">
        <v>706459</v>
      </c>
      <c r="R638" t="s">
        <v>2238</v>
      </c>
      <c r="S638">
        <v>10308</v>
      </c>
      <c r="T638" t="b">
        <v>0</v>
      </c>
      <c r="U638">
        <v>6</v>
      </c>
      <c r="V638">
        <v>9</v>
      </c>
      <c r="W638" t="s">
        <v>35</v>
      </c>
      <c r="X638" t="s">
        <v>29</v>
      </c>
      <c r="Y638" t="s">
        <v>29</v>
      </c>
      <c r="Z638" t="s">
        <v>37</v>
      </c>
      <c r="AA638">
        <f>TwitterClean[[#This Row],[likes]]+TwitterClean[[#This Row],[replies]]+TwitterClean[[#This Row],[reposts]]+TwitterClean[[#This Row],[quotes]]+TwitterClean[[#This Row],[bookmarks]]</f>
        <v>212</v>
      </c>
      <c r="AB638" s="1">
        <f>TwitterClean[[#This Row],[Total_Engagements]]/TwitterClean[[#This Row],[views]]</f>
        <v>6.1536675277930972E-3</v>
      </c>
      <c r="AC638" s="3">
        <f>DATEVALUE(MID(TwitterClean[[#This Row],[date_posted]],2,10))</f>
        <v>45641</v>
      </c>
      <c r="AD638">
        <f>TIMEVALUE(MID(TwitterClean[[#This Row],[date_posted]],13,8))</f>
        <v>1.2256944444444445E-2</v>
      </c>
      <c r="AE638" s="3" t="str">
        <f>TEXT(TwitterClean[[#This Row],[Post_Date]],"dddd")</f>
        <v>Sunday</v>
      </c>
      <c r="AF638">
        <f>HOUR(TwitterClean[[#This Row],[Post_Time]])</f>
        <v>0</v>
      </c>
      <c r="AG638" t="str">
        <f>IF(TwitterClean[[#This Row],[videos]]="Null","No","Yes")</f>
        <v>No</v>
      </c>
      <c r="AH638" t="str">
        <f>IF(TwitterClean[[#This Row],[photos]]="null","No","Yes")</f>
        <v>Yes</v>
      </c>
      <c r="AI638" t="str">
        <f>IF(TwitterClean[[#This Row],[hashtags]]="null","No","Yes")</f>
        <v>No</v>
      </c>
      <c r="AJ638" t="str">
        <f>IF(TwitterClean[[#This Row],[external_url]]="null","Yes","No")</f>
        <v>No</v>
      </c>
      <c r="AK638">
        <f>LEN(TwitterClean[[#This Row],[description]])</f>
        <v>76</v>
      </c>
      <c r="AL638" t="str">
        <f>IF(TwitterClean[[#This Row],[followers]]&lt;100000,"&lt;100K",IF(TwitterClean[[#This Row],[followers]]&lt;1000000,"100K-1M",IF(TwitterClean[[#This Row],[followers]]&lt;10000000,"1M-10M","10M+")))</f>
        <v>1M-10M</v>
      </c>
    </row>
    <row r="639" spans="1:38">
      <c r="A639">
        <v>1.8683817685978854E+18</v>
      </c>
      <c r="B639" t="s">
        <v>3407</v>
      </c>
      <c r="C639" t="s">
        <v>3407</v>
      </c>
      <c r="D639" t="s">
        <v>3861</v>
      </c>
      <c r="E639" t="s">
        <v>3862</v>
      </c>
      <c r="F639" t="s">
        <v>29</v>
      </c>
      <c r="G639" t="s">
        <v>3863</v>
      </c>
      <c r="H639" t="s">
        <v>3411</v>
      </c>
      <c r="I639">
        <v>1</v>
      </c>
      <c r="J639">
        <v>2</v>
      </c>
      <c r="K639">
        <v>37</v>
      </c>
      <c r="L639">
        <v>6845</v>
      </c>
      <c r="M639" t="s">
        <v>52</v>
      </c>
      <c r="N639" t="s">
        <v>29</v>
      </c>
      <c r="O639">
        <v>341169</v>
      </c>
      <c r="P639" t="s">
        <v>3412</v>
      </c>
      <c r="Q639">
        <v>82161</v>
      </c>
      <c r="R639" t="s">
        <v>3413</v>
      </c>
      <c r="S639">
        <v>1186</v>
      </c>
      <c r="T639" t="b">
        <v>0</v>
      </c>
      <c r="U639">
        <v>1</v>
      </c>
      <c r="V639">
        <v>1</v>
      </c>
      <c r="W639" t="s">
        <v>35</v>
      </c>
      <c r="X639" t="s">
        <v>29</v>
      </c>
      <c r="Y639" t="s">
        <v>3864</v>
      </c>
      <c r="Z639" t="s">
        <v>37</v>
      </c>
      <c r="AA639">
        <f>TwitterClean[[#This Row],[likes]]+TwitterClean[[#This Row],[replies]]+TwitterClean[[#This Row],[reposts]]+TwitterClean[[#This Row],[quotes]]+TwitterClean[[#This Row],[bookmarks]]</f>
        <v>42</v>
      </c>
      <c r="AB639" s="1">
        <f>TwitterClean[[#This Row],[Total_Engagements]]/TwitterClean[[#This Row],[views]]</f>
        <v>6.1358655953250548E-3</v>
      </c>
      <c r="AC639" s="3">
        <f>DATEVALUE(MID(TwitterClean[[#This Row],[date_posted]],2,10))</f>
        <v>45641</v>
      </c>
      <c r="AD639">
        <f>TIMEVALUE(MID(TwitterClean[[#This Row],[date_posted]],13,8))</f>
        <v>0.82292824074074078</v>
      </c>
      <c r="AE639" s="3" t="str">
        <f>TEXT(TwitterClean[[#This Row],[Post_Date]],"dddd")</f>
        <v>Sunday</v>
      </c>
      <c r="AF639">
        <f>HOUR(TwitterClean[[#This Row],[Post_Time]])</f>
        <v>19</v>
      </c>
      <c r="AG639" t="str">
        <f>IF(TwitterClean[[#This Row],[videos]]="Null","No","Yes")</f>
        <v>Yes</v>
      </c>
      <c r="AH639" t="str">
        <f>IF(TwitterClean[[#This Row],[photos]]="null","No","Yes")</f>
        <v>No</v>
      </c>
      <c r="AI639" t="str">
        <f>IF(TwitterClean[[#This Row],[hashtags]]="null","No","Yes")</f>
        <v>No</v>
      </c>
      <c r="AJ639" t="str">
        <f>IF(TwitterClean[[#This Row],[external_url]]="null","Yes","No")</f>
        <v>No</v>
      </c>
      <c r="AK639">
        <f>LEN(TwitterClean[[#This Row],[description]])</f>
        <v>88</v>
      </c>
      <c r="AL639" t="str">
        <f>IF(TwitterClean[[#This Row],[followers]]&lt;100000,"&lt;100K",IF(TwitterClean[[#This Row],[followers]]&lt;1000000,"100K-1M",IF(TwitterClean[[#This Row],[followers]]&lt;10000000,"1M-10M","10M+")))</f>
        <v>100K-1M</v>
      </c>
    </row>
    <row r="640" spans="1:38">
      <c r="A640">
        <v>1.8681069849665088E+18</v>
      </c>
      <c r="B640" t="s">
        <v>3034</v>
      </c>
      <c r="C640" t="s">
        <v>3035</v>
      </c>
      <c r="D640" t="s">
        <v>5109</v>
      </c>
      <c r="E640" t="s">
        <v>5110</v>
      </c>
      <c r="F640" t="s">
        <v>29</v>
      </c>
      <c r="G640" t="s">
        <v>5111</v>
      </c>
      <c r="H640" t="s">
        <v>5112</v>
      </c>
      <c r="I640">
        <v>75</v>
      </c>
      <c r="J640">
        <v>46</v>
      </c>
      <c r="K640">
        <v>663</v>
      </c>
      <c r="L640">
        <v>133350</v>
      </c>
      <c r="M640" t="s">
        <v>52</v>
      </c>
      <c r="N640" t="s">
        <v>3040</v>
      </c>
      <c r="O640">
        <v>12876593</v>
      </c>
      <c r="P640" t="s">
        <v>3041</v>
      </c>
      <c r="Q640">
        <v>141401</v>
      </c>
      <c r="R640" t="s">
        <v>3042</v>
      </c>
      <c r="S640">
        <v>717</v>
      </c>
      <c r="T640" t="b">
        <v>0</v>
      </c>
      <c r="U640">
        <v>9</v>
      </c>
      <c r="V640">
        <v>25</v>
      </c>
      <c r="W640" t="s">
        <v>35</v>
      </c>
      <c r="X640" t="s">
        <v>29</v>
      </c>
      <c r="Y640" t="s">
        <v>29</v>
      </c>
      <c r="Z640" t="s">
        <v>37</v>
      </c>
      <c r="AA640">
        <f>TwitterClean[[#This Row],[likes]]+TwitterClean[[#This Row],[replies]]+TwitterClean[[#This Row],[reposts]]+TwitterClean[[#This Row],[quotes]]+TwitterClean[[#This Row],[bookmarks]]</f>
        <v>818</v>
      </c>
      <c r="AB640" s="1">
        <f>TwitterClean[[#This Row],[Total_Engagements]]/TwitterClean[[#This Row],[views]]</f>
        <v>6.1342332208473944E-3</v>
      </c>
      <c r="AC640" s="3">
        <f>DATEVALUE(MID(TwitterClean[[#This Row],[date_posted]],2,10))</f>
        <v>45641</v>
      </c>
      <c r="AD640">
        <f>TIMEVALUE(MID(TwitterClean[[#This Row],[date_posted]],13,8))</f>
        <v>6.4664351851851848E-2</v>
      </c>
      <c r="AE640" s="3" t="str">
        <f>TEXT(TwitterClean[[#This Row],[Post_Date]],"dddd")</f>
        <v>Sunday</v>
      </c>
      <c r="AF640">
        <f>HOUR(TwitterClean[[#This Row],[Post_Time]])</f>
        <v>1</v>
      </c>
      <c r="AG640" t="str">
        <f>IF(TwitterClean[[#This Row],[videos]]="Null","No","Yes")</f>
        <v>No</v>
      </c>
      <c r="AH640" t="str">
        <f>IF(TwitterClean[[#This Row],[photos]]="null","No","Yes")</f>
        <v>No</v>
      </c>
      <c r="AI640" t="str">
        <f>IF(TwitterClean[[#This Row],[hashtags]]="null","No","Yes")</f>
        <v>Yes</v>
      </c>
      <c r="AJ640" t="str">
        <f>IF(TwitterClean[[#This Row],[external_url]]="null","Yes","No")</f>
        <v>No</v>
      </c>
      <c r="AK640">
        <f>LEN(TwitterClean[[#This Row],[description]])</f>
        <v>49</v>
      </c>
      <c r="AL640" t="str">
        <f>IF(TwitterClean[[#This Row],[followers]]&lt;100000,"&lt;100K",IF(TwitterClean[[#This Row],[followers]]&lt;1000000,"100K-1M",IF(TwitterClean[[#This Row],[followers]]&lt;10000000,"1M-10M","10M+")))</f>
        <v>10M+</v>
      </c>
    </row>
    <row r="641" spans="1:38">
      <c r="A641">
        <v>1.8681897888615713E+18</v>
      </c>
      <c r="B641" t="s">
        <v>3034</v>
      </c>
      <c r="C641" t="s">
        <v>3035</v>
      </c>
      <c r="D641" t="s">
        <v>3663</v>
      </c>
      <c r="E641" t="s">
        <v>3664</v>
      </c>
      <c r="F641" t="s">
        <v>29</v>
      </c>
      <c r="G641" t="s">
        <v>3665</v>
      </c>
      <c r="H641" t="s">
        <v>29</v>
      </c>
      <c r="I641">
        <v>63</v>
      </c>
      <c r="J641">
        <v>51</v>
      </c>
      <c r="K641">
        <v>726</v>
      </c>
      <c r="L641">
        <v>145764</v>
      </c>
      <c r="M641" t="s">
        <v>52</v>
      </c>
      <c r="N641" t="s">
        <v>3040</v>
      </c>
      <c r="O641">
        <v>12876593</v>
      </c>
      <c r="P641" t="s">
        <v>3041</v>
      </c>
      <c r="Q641">
        <v>141401</v>
      </c>
      <c r="R641" t="s">
        <v>3042</v>
      </c>
      <c r="S641">
        <v>717</v>
      </c>
      <c r="T641" t="b">
        <v>0</v>
      </c>
      <c r="U641">
        <v>3</v>
      </c>
      <c r="V641">
        <v>30</v>
      </c>
      <c r="W641" t="s">
        <v>35</v>
      </c>
      <c r="X641" t="s">
        <v>29</v>
      </c>
      <c r="Y641" t="s">
        <v>3666</v>
      </c>
      <c r="Z641" t="s">
        <v>37</v>
      </c>
      <c r="AA641">
        <f>TwitterClean[[#This Row],[likes]]+TwitterClean[[#This Row],[replies]]+TwitterClean[[#This Row],[reposts]]+TwitterClean[[#This Row],[quotes]]+TwitterClean[[#This Row],[bookmarks]]</f>
        <v>873</v>
      </c>
      <c r="AB641" s="1">
        <f>TwitterClean[[#This Row],[Total_Engagements]]/TwitterClean[[#This Row],[views]]</f>
        <v>5.9891331192887132E-3</v>
      </c>
      <c r="AC641" s="3">
        <f>DATEVALUE(MID(TwitterClean[[#This Row],[date_posted]],2,10))</f>
        <v>45641</v>
      </c>
      <c r="AD641">
        <f>TIMEVALUE(MID(TwitterClean[[#This Row],[date_posted]],13,8))</f>
        <v>0.2931597222222222</v>
      </c>
      <c r="AE641" s="3" t="str">
        <f>TEXT(TwitterClean[[#This Row],[Post_Date]],"dddd")</f>
        <v>Sunday</v>
      </c>
      <c r="AF641">
        <f>HOUR(TwitterClean[[#This Row],[Post_Time]])</f>
        <v>7</v>
      </c>
      <c r="AG641" t="str">
        <f>IF(TwitterClean[[#This Row],[videos]]="Null","No","Yes")</f>
        <v>Yes</v>
      </c>
      <c r="AH641" t="str">
        <f>IF(TwitterClean[[#This Row],[photos]]="null","No","Yes")</f>
        <v>No</v>
      </c>
      <c r="AI641" t="str">
        <f>IF(TwitterClean[[#This Row],[hashtags]]="null","No","Yes")</f>
        <v>Yes</v>
      </c>
      <c r="AJ641" t="str">
        <f>IF(TwitterClean[[#This Row],[external_url]]="null","Yes","No")</f>
        <v>No</v>
      </c>
      <c r="AK641">
        <f>LEN(TwitterClean[[#This Row],[description]])</f>
        <v>39</v>
      </c>
      <c r="AL641" t="str">
        <f>IF(TwitterClean[[#This Row],[followers]]&lt;100000,"&lt;100K",IF(TwitterClean[[#This Row],[followers]]&lt;1000000,"100K-1M",IF(TwitterClean[[#This Row],[followers]]&lt;10000000,"1M-10M","10M+")))</f>
        <v>10M+</v>
      </c>
    </row>
    <row r="642" spans="1:38">
      <c r="A642">
        <v>1.8680865095529434E+18</v>
      </c>
      <c r="B642" t="s">
        <v>3034</v>
      </c>
      <c r="C642" t="s">
        <v>3035</v>
      </c>
      <c r="D642" t="s">
        <v>5062</v>
      </c>
      <c r="E642" t="s">
        <v>5063</v>
      </c>
      <c r="F642" t="s">
        <v>5064</v>
      </c>
      <c r="G642" t="s">
        <v>5065</v>
      </c>
      <c r="H642" t="s">
        <v>3262</v>
      </c>
      <c r="I642">
        <v>24</v>
      </c>
      <c r="J642">
        <v>49</v>
      </c>
      <c r="K642">
        <v>511</v>
      </c>
      <c r="L642">
        <v>100046</v>
      </c>
      <c r="M642" t="s">
        <v>52</v>
      </c>
      <c r="N642" t="s">
        <v>3040</v>
      </c>
      <c r="O642">
        <v>12876592</v>
      </c>
      <c r="P642" t="s">
        <v>3041</v>
      </c>
      <c r="Q642">
        <v>141401</v>
      </c>
      <c r="R642" t="s">
        <v>3042</v>
      </c>
      <c r="S642">
        <v>717</v>
      </c>
      <c r="T642" t="b">
        <v>0</v>
      </c>
      <c r="U642">
        <v>2</v>
      </c>
      <c r="V642">
        <v>13</v>
      </c>
      <c r="W642" t="s">
        <v>35</v>
      </c>
      <c r="X642" t="s">
        <v>29</v>
      </c>
      <c r="Y642" t="s">
        <v>29</v>
      </c>
      <c r="Z642" t="s">
        <v>37</v>
      </c>
      <c r="AA642">
        <f>TwitterClean[[#This Row],[likes]]+TwitterClean[[#This Row],[replies]]+TwitterClean[[#This Row],[reposts]]+TwitterClean[[#This Row],[quotes]]+TwitterClean[[#This Row],[bookmarks]]</f>
        <v>599</v>
      </c>
      <c r="AB642" s="1">
        <f>TwitterClean[[#This Row],[Total_Engagements]]/TwitterClean[[#This Row],[views]]</f>
        <v>5.9872458669012257E-3</v>
      </c>
      <c r="AC642" s="3">
        <f>DATEVALUE(MID(TwitterClean[[#This Row],[date_posted]],2,10))</f>
        <v>45641</v>
      </c>
      <c r="AD642">
        <f>TIMEVALUE(MID(TwitterClean[[#This Row],[date_posted]],13,8))</f>
        <v>8.1597222222222227E-3</v>
      </c>
      <c r="AE642" s="3" t="str">
        <f>TEXT(TwitterClean[[#This Row],[Post_Date]],"dddd")</f>
        <v>Sunday</v>
      </c>
      <c r="AF642">
        <f>HOUR(TwitterClean[[#This Row],[Post_Time]])</f>
        <v>0</v>
      </c>
      <c r="AG642" t="str">
        <f>IF(TwitterClean[[#This Row],[videos]]="Null","No","Yes")</f>
        <v>No</v>
      </c>
      <c r="AH642" t="str">
        <f>IF(TwitterClean[[#This Row],[photos]]="null","No","Yes")</f>
        <v>Yes</v>
      </c>
      <c r="AI642" t="str">
        <f>IF(TwitterClean[[#This Row],[hashtags]]="null","No","Yes")</f>
        <v>Yes</v>
      </c>
      <c r="AJ642" t="str">
        <f>IF(TwitterClean[[#This Row],[external_url]]="null","Yes","No")</f>
        <v>No</v>
      </c>
      <c r="AK642">
        <f>LEN(TwitterClean[[#This Row],[description]])</f>
        <v>118</v>
      </c>
      <c r="AL642" t="str">
        <f>IF(TwitterClean[[#This Row],[followers]]&lt;100000,"&lt;100K",IF(TwitterClean[[#This Row],[followers]]&lt;1000000,"100K-1M",IF(TwitterClean[[#This Row],[followers]]&lt;10000000,"1M-10M","10M+")))</f>
        <v>10M+</v>
      </c>
    </row>
    <row r="643" spans="1:38">
      <c r="A643">
        <v>1.8681103262914276E+18</v>
      </c>
      <c r="B643" t="s">
        <v>2230</v>
      </c>
      <c r="C643" t="s">
        <v>2231</v>
      </c>
      <c r="D643" t="s">
        <v>2348</v>
      </c>
      <c r="E643" t="s">
        <v>2349</v>
      </c>
      <c r="F643" t="s">
        <v>2350</v>
      </c>
      <c r="G643" t="s">
        <v>2351</v>
      </c>
      <c r="H643" t="s">
        <v>29</v>
      </c>
      <c r="I643">
        <v>20</v>
      </c>
      <c r="J643">
        <v>9</v>
      </c>
      <c r="K643">
        <v>165</v>
      </c>
      <c r="L643">
        <v>33076</v>
      </c>
      <c r="M643" t="s">
        <v>2352</v>
      </c>
      <c r="N643" t="s">
        <v>29</v>
      </c>
      <c r="O643">
        <v>3313894</v>
      </c>
      <c r="P643" t="s">
        <v>2237</v>
      </c>
      <c r="Q643">
        <v>706459</v>
      </c>
      <c r="R643" t="s">
        <v>2238</v>
      </c>
      <c r="S643">
        <v>10308</v>
      </c>
      <c r="T643" t="b">
        <v>0</v>
      </c>
      <c r="U643">
        <v>1</v>
      </c>
      <c r="V643">
        <v>2</v>
      </c>
      <c r="W643" t="s">
        <v>35</v>
      </c>
      <c r="X643" t="s">
        <v>29</v>
      </c>
      <c r="Y643" t="s">
        <v>29</v>
      </c>
      <c r="Z643" t="s">
        <v>37</v>
      </c>
      <c r="AA643">
        <f>TwitterClean[[#This Row],[likes]]+TwitterClean[[#This Row],[replies]]+TwitterClean[[#This Row],[reposts]]+TwitterClean[[#This Row],[quotes]]+TwitterClean[[#This Row],[bookmarks]]</f>
        <v>197</v>
      </c>
      <c r="AB643" s="1">
        <f>TwitterClean[[#This Row],[Total_Engagements]]/TwitterClean[[#This Row],[views]]</f>
        <v>5.9559801668883786E-3</v>
      </c>
      <c r="AC643" s="3">
        <f>DATEVALUE(MID(TwitterClean[[#This Row],[date_posted]],2,10))</f>
        <v>45641</v>
      </c>
      <c r="AD643">
        <f>TIMEVALUE(MID(TwitterClean[[#This Row],[date_posted]],13,8))</f>
        <v>7.3888888888888893E-2</v>
      </c>
      <c r="AE643" s="3" t="str">
        <f>TEXT(TwitterClean[[#This Row],[Post_Date]],"dddd")</f>
        <v>Sunday</v>
      </c>
      <c r="AF643">
        <f>HOUR(TwitterClean[[#This Row],[Post_Time]])</f>
        <v>1</v>
      </c>
      <c r="AG643" t="str">
        <f>IF(TwitterClean[[#This Row],[videos]]="Null","No","Yes")</f>
        <v>No</v>
      </c>
      <c r="AH643" t="str">
        <f>IF(TwitterClean[[#This Row],[photos]]="null","No","Yes")</f>
        <v>Yes</v>
      </c>
      <c r="AI643" t="str">
        <f>IF(TwitterClean[[#This Row],[hashtags]]="null","No","Yes")</f>
        <v>No</v>
      </c>
      <c r="AJ643" t="str">
        <f>IF(TwitterClean[[#This Row],[external_url]]="null","Yes","No")</f>
        <v>No</v>
      </c>
      <c r="AK643">
        <f>LEN(TwitterClean[[#This Row],[description]])</f>
        <v>77</v>
      </c>
      <c r="AL643" t="str">
        <f>IF(TwitterClean[[#This Row],[followers]]&lt;100000,"&lt;100K",IF(TwitterClean[[#This Row],[followers]]&lt;1000000,"100K-1M",IF(TwitterClean[[#This Row],[followers]]&lt;10000000,"1M-10M","10M+")))</f>
        <v>1M-10M</v>
      </c>
    </row>
    <row r="644" spans="1:38">
      <c r="A644">
        <v>1.8683670695713385E+18</v>
      </c>
      <c r="B644" t="s">
        <v>1646</v>
      </c>
      <c r="C644" t="s">
        <v>1647</v>
      </c>
      <c r="D644" t="s">
        <v>1665</v>
      </c>
      <c r="E644" t="s">
        <v>1666</v>
      </c>
      <c r="F644" t="s">
        <v>29</v>
      </c>
      <c r="G644" t="s">
        <v>1667</v>
      </c>
      <c r="H644" t="s">
        <v>29</v>
      </c>
      <c r="I644">
        <v>1</v>
      </c>
      <c r="J644">
        <v>1</v>
      </c>
      <c r="K644">
        <v>52</v>
      </c>
      <c r="L644">
        <v>9266</v>
      </c>
      <c r="M644" t="s">
        <v>1668</v>
      </c>
      <c r="N644" t="s">
        <v>1669</v>
      </c>
      <c r="O644">
        <v>3768943</v>
      </c>
      <c r="P644" t="s">
        <v>1653</v>
      </c>
      <c r="Q644">
        <v>897934</v>
      </c>
      <c r="R644" t="s">
        <v>1654</v>
      </c>
      <c r="S644">
        <v>28</v>
      </c>
      <c r="T644" t="b">
        <v>0</v>
      </c>
      <c r="U644">
        <v>0</v>
      </c>
      <c r="V644">
        <v>1</v>
      </c>
      <c r="W644" t="s">
        <v>35</v>
      </c>
      <c r="X644" t="s">
        <v>1670</v>
      </c>
      <c r="Y644" t="s">
        <v>29</v>
      </c>
      <c r="Z644" t="s">
        <v>37</v>
      </c>
      <c r="AA644">
        <f>TwitterClean[[#This Row],[likes]]+TwitterClean[[#This Row],[replies]]+TwitterClean[[#This Row],[reposts]]+TwitterClean[[#This Row],[quotes]]+TwitterClean[[#This Row],[bookmarks]]</f>
        <v>55</v>
      </c>
      <c r="AB644" s="1">
        <f>TwitterClean[[#This Row],[Total_Engagements]]/TwitterClean[[#This Row],[views]]</f>
        <v>5.9356788258148069E-3</v>
      </c>
      <c r="AC644" s="3">
        <f>DATEVALUE(MID(TwitterClean[[#This Row],[date_posted]],2,10))</f>
        <v>45641</v>
      </c>
      <c r="AD644">
        <f>TIMEVALUE(MID(TwitterClean[[#This Row],[date_posted]],13,8))</f>
        <v>0.78236111111111106</v>
      </c>
      <c r="AE644" s="3" t="str">
        <f>TEXT(TwitterClean[[#This Row],[Post_Date]],"dddd")</f>
        <v>Sunday</v>
      </c>
      <c r="AF644">
        <f>HOUR(TwitterClean[[#This Row],[Post_Time]])</f>
        <v>18</v>
      </c>
      <c r="AG644" t="str">
        <f>IF(TwitterClean[[#This Row],[videos]]="Null","No","Yes")</f>
        <v>No</v>
      </c>
      <c r="AH644" t="str">
        <f>IF(TwitterClean[[#This Row],[photos]]="null","No","Yes")</f>
        <v>No</v>
      </c>
      <c r="AI644" t="str">
        <f>IF(TwitterClean[[#This Row],[hashtags]]="null","No","Yes")</f>
        <v>Yes</v>
      </c>
      <c r="AJ644" t="str">
        <f>IF(TwitterClean[[#This Row],[external_url]]="null","Yes","No")</f>
        <v>No</v>
      </c>
      <c r="AK644">
        <f>LEN(TwitterClean[[#This Row],[description]])</f>
        <v>145</v>
      </c>
      <c r="AL644" t="str">
        <f>IF(TwitterClean[[#This Row],[followers]]&lt;100000,"&lt;100K",IF(TwitterClean[[#This Row],[followers]]&lt;1000000,"100K-1M",IF(TwitterClean[[#This Row],[followers]]&lt;10000000,"1M-10M","10M+")))</f>
        <v>1M-10M</v>
      </c>
    </row>
    <row r="645" spans="1:38">
      <c r="A645">
        <v>1.8683867457940813E+18</v>
      </c>
      <c r="B645" t="s">
        <v>3196</v>
      </c>
      <c r="C645" t="s">
        <v>3196</v>
      </c>
      <c r="D645" t="s">
        <v>5002</v>
      </c>
      <c r="E645" t="s">
        <v>5003</v>
      </c>
      <c r="F645" t="s">
        <v>29</v>
      </c>
      <c r="G645" t="s">
        <v>5004</v>
      </c>
      <c r="H645" t="s">
        <v>29</v>
      </c>
      <c r="I645">
        <v>7</v>
      </c>
      <c r="J645">
        <v>2</v>
      </c>
      <c r="K645">
        <v>43</v>
      </c>
      <c r="L645">
        <v>9128</v>
      </c>
      <c r="M645" t="s">
        <v>5005</v>
      </c>
      <c r="N645" t="s">
        <v>5006</v>
      </c>
      <c r="O645">
        <v>376786</v>
      </c>
      <c r="P645" t="s">
        <v>3202</v>
      </c>
      <c r="Q645">
        <v>106893</v>
      </c>
      <c r="R645" t="s">
        <v>3203</v>
      </c>
      <c r="S645">
        <v>415</v>
      </c>
      <c r="T645" t="b">
        <v>0</v>
      </c>
      <c r="U645">
        <v>1</v>
      </c>
      <c r="V645">
        <v>1</v>
      </c>
      <c r="W645" t="s">
        <v>35</v>
      </c>
      <c r="X645" t="s">
        <v>29</v>
      </c>
      <c r="Y645" t="s">
        <v>29</v>
      </c>
      <c r="Z645" t="s">
        <v>37</v>
      </c>
      <c r="AA645">
        <f>TwitterClean[[#This Row],[likes]]+TwitterClean[[#This Row],[replies]]+TwitterClean[[#This Row],[reposts]]+TwitterClean[[#This Row],[quotes]]+TwitterClean[[#This Row],[bookmarks]]</f>
        <v>54</v>
      </c>
      <c r="AB645" s="1">
        <f>TwitterClean[[#This Row],[Total_Engagements]]/TwitterClean[[#This Row],[views]]</f>
        <v>5.9158632778264679E-3</v>
      </c>
      <c r="AC645" s="3">
        <f>DATEVALUE(MID(TwitterClean[[#This Row],[date_posted]],2,10))</f>
        <v>45641</v>
      </c>
      <c r="AD645">
        <f>TIMEVALUE(MID(TwitterClean[[#This Row],[date_posted]],13,8))</f>
        <v>0.83665509259259263</v>
      </c>
      <c r="AE645" s="3" t="str">
        <f>TEXT(TwitterClean[[#This Row],[Post_Date]],"dddd")</f>
        <v>Sunday</v>
      </c>
      <c r="AF645">
        <f>HOUR(TwitterClean[[#This Row],[Post_Time]])</f>
        <v>20</v>
      </c>
      <c r="AG645" t="str">
        <f>IF(TwitterClean[[#This Row],[videos]]="Null","No","Yes")</f>
        <v>No</v>
      </c>
      <c r="AH645" t="str">
        <f>IF(TwitterClean[[#This Row],[photos]]="null","No","Yes")</f>
        <v>No</v>
      </c>
      <c r="AI645" t="str">
        <f>IF(TwitterClean[[#This Row],[hashtags]]="null","No","Yes")</f>
        <v>Yes</v>
      </c>
      <c r="AJ645" t="str">
        <f>IF(TwitterClean[[#This Row],[external_url]]="null","Yes","No")</f>
        <v>No</v>
      </c>
      <c r="AK645">
        <f>LEN(TwitterClean[[#This Row],[description]])</f>
        <v>75</v>
      </c>
      <c r="AL645" t="str">
        <f>IF(TwitterClean[[#This Row],[followers]]&lt;100000,"&lt;100K",IF(TwitterClean[[#This Row],[followers]]&lt;1000000,"100K-1M",IF(TwitterClean[[#This Row],[followers]]&lt;10000000,"1M-10M","10M+")))</f>
        <v>100K-1M</v>
      </c>
    </row>
    <row r="646" spans="1:38">
      <c r="A646">
        <v>1.8684439402252168E+18</v>
      </c>
      <c r="B646" t="s">
        <v>228</v>
      </c>
      <c r="C646" t="s">
        <v>228</v>
      </c>
      <c r="D646" t="s">
        <v>1178</v>
      </c>
      <c r="E646" t="s">
        <v>1179</v>
      </c>
      <c r="F646" t="s">
        <v>1180</v>
      </c>
      <c r="G646" t="s">
        <v>1181</v>
      </c>
      <c r="H646" t="s">
        <v>29</v>
      </c>
      <c r="I646">
        <v>9</v>
      </c>
      <c r="J646">
        <v>3</v>
      </c>
      <c r="K646">
        <v>16</v>
      </c>
      <c r="L646">
        <v>5079</v>
      </c>
      <c r="M646" t="s">
        <v>1182</v>
      </c>
      <c r="N646" t="s">
        <v>29</v>
      </c>
      <c r="O646">
        <v>1239616</v>
      </c>
      <c r="P646" t="s">
        <v>235</v>
      </c>
      <c r="Q646">
        <v>402839</v>
      </c>
      <c r="R646" t="s">
        <v>236</v>
      </c>
      <c r="S646">
        <v>1644</v>
      </c>
      <c r="T646" t="b">
        <v>0</v>
      </c>
      <c r="U646">
        <v>1</v>
      </c>
      <c r="V646">
        <v>1</v>
      </c>
      <c r="W646" t="s">
        <v>35</v>
      </c>
      <c r="X646" t="s">
        <v>29</v>
      </c>
      <c r="Y646" t="s">
        <v>29</v>
      </c>
      <c r="Z646" t="s">
        <v>37</v>
      </c>
      <c r="AA646">
        <f>TwitterClean[[#This Row],[likes]]+TwitterClean[[#This Row],[replies]]+TwitterClean[[#This Row],[reposts]]+TwitterClean[[#This Row],[quotes]]+TwitterClean[[#This Row],[bookmarks]]</f>
        <v>30</v>
      </c>
      <c r="AB646" s="1">
        <f>TwitterClean[[#This Row],[Total_Engagements]]/TwitterClean[[#This Row],[views]]</f>
        <v>5.9066745422327229E-3</v>
      </c>
      <c r="AC646" s="3">
        <f>DATEVALUE(MID(TwitterClean[[#This Row],[date_posted]],2,10))</f>
        <v>45641</v>
      </c>
      <c r="AD646">
        <f>TIMEVALUE(MID(TwitterClean[[#This Row],[date_posted]],13,8))</f>
        <v>0.99449074074074073</v>
      </c>
      <c r="AE646" s="3" t="str">
        <f>TEXT(TwitterClean[[#This Row],[Post_Date]],"dddd")</f>
        <v>Sunday</v>
      </c>
      <c r="AF646">
        <f>HOUR(TwitterClean[[#This Row],[Post_Time]])</f>
        <v>23</v>
      </c>
      <c r="AG646" t="str">
        <f>IF(TwitterClean[[#This Row],[videos]]="Null","No","Yes")</f>
        <v>No</v>
      </c>
      <c r="AH646" t="str">
        <f>IF(TwitterClean[[#This Row],[photos]]="null","No","Yes")</f>
        <v>Yes</v>
      </c>
      <c r="AI646" t="str">
        <f>IF(TwitterClean[[#This Row],[hashtags]]="null","No","Yes")</f>
        <v>No</v>
      </c>
      <c r="AJ646" t="str">
        <f>IF(TwitterClean[[#This Row],[external_url]]="null","Yes","No")</f>
        <v>No</v>
      </c>
      <c r="AK646">
        <f>LEN(TwitterClean[[#This Row],[description]])</f>
        <v>214</v>
      </c>
      <c r="AL646" t="str">
        <f>IF(TwitterClean[[#This Row],[followers]]&lt;100000,"&lt;100K",IF(TwitterClean[[#This Row],[followers]]&lt;1000000,"100K-1M",IF(TwitterClean[[#This Row],[followers]]&lt;10000000,"1M-10M","10M+")))</f>
        <v>1M-10M</v>
      </c>
    </row>
    <row r="647" spans="1:38">
      <c r="A647">
        <v>1.8681785949434312E+18</v>
      </c>
      <c r="B647" t="s">
        <v>2230</v>
      </c>
      <c r="C647" t="s">
        <v>2231</v>
      </c>
      <c r="D647" t="s">
        <v>2284</v>
      </c>
      <c r="E647" t="s">
        <v>2285</v>
      </c>
      <c r="F647" t="s">
        <v>2286</v>
      </c>
      <c r="G647" t="s">
        <v>2287</v>
      </c>
      <c r="H647" t="s">
        <v>29</v>
      </c>
      <c r="I647">
        <v>55</v>
      </c>
      <c r="J647">
        <v>22</v>
      </c>
      <c r="K647">
        <v>98</v>
      </c>
      <c r="L647">
        <v>30417</v>
      </c>
      <c r="M647" t="s">
        <v>2288</v>
      </c>
      <c r="N647" t="s">
        <v>29</v>
      </c>
      <c r="O647">
        <v>3313891</v>
      </c>
      <c r="P647" t="s">
        <v>2237</v>
      </c>
      <c r="Q647">
        <v>706459</v>
      </c>
      <c r="R647" t="s">
        <v>2238</v>
      </c>
      <c r="S647">
        <v>10308</v>
      </c>
      <c r="T647" t="b">
        <v>0</v>
      </c>
      <c r="U647">
        <v>1</v>
      </c>
      <c r="V647">
        <v>3</v>
      </c>
      <c r="W647" t="s">
        <v>35</v>
      </c>
      <c r="X647" t="s">
        <v>29</v>
      </c>
      <c r="Y647" t="s">
        <v>29</v>
      </c>
      <c r="Z647" t="s">
        <v>37</v>
      </c>
      <c r="AA647">
        <f>TwitterClean[[#This Row],[likes]]+TwitterClean[[#This Row],[replies]]+TwitterClean[[#This Row],[reposts]]+TwitterClean[[#This Row],[quotes]]+TwitterClean[[#This Row],[bookmarks]]</f>
        <v>179</v>
      </c>
      <c r="AB647" s="1">
        <f>TwitterClean[[#This Row],[Total_Engagements]]/TwitterClean[[#This Row],[views]]</f>
        <v>5.8848670151559982E-3</v>
      </c>
      <c r="AC647" s="3">
        <f>DATEVALUE(MID(TwitterClean[[#This Row],[date_posted]],2,10))</f>
        <v>45641</v>
      </c>
      <c r="AD647">
        <f>TIMEVALUE(MID(TwitterClean[[#This Row],[date_posted]],13,8))</f>
        <v>0.26226851851851851</v>
      </c>
      <c r="AE647" s="3" t="str">
        <f>TEXT(TwitterClean[[#This Row],[Post_Date]],"dddd")</f>
        <v>Sunday</v>
      </c>
      <c r="AF647">
        <f>HOUR(TwitterClean[[#This Row],[Post_Time]])</f>
        <v>6</v>
      </c>
      <c r="AG647" t="str">
        <f>IF(TwitterClean[[#This Row],[videos]]="Null","No","Yes")</f>
        <v>No</v>
      </c>
      <c r="AH647" t="str">
        <f>IF(TwitterClean[[#This Row],[photos]]="null","No","Yes")</f>
        <v>Yes</v>
      </c>
      <c r="AI647" t="str">
        <f>IF(TwitterClean[[#This Row],[hashtags]]="null","No","Yes")</f>
        <v>No</v>
      </c>
      <c r="AJ647" t="str">
        <f>IF(TwitterClean[[#This Row],[external_url]]="null","Yes","No")</f>
        <v>No</v>
      </c>
      <c r="AK647">
        <f>LEN(TwitterClean[[#This Row],[description]])</f>
        <v>76</v>
      </c>
      <c r="AL647" t="str">
        <f>IF(TwitterClean[[#This Row],[followers]]&lt;100000,"&lt;100K",IF(TwitterClean[[#This Row],[followers]]&lt;1000000,"100K-1M",IF(TwitterClean[[#This Row],[followers]]&lt;10000000,"1M-10M","10M+")))</f>
        <v>1M-10M</v>
      </c>
    </row>
    <row r="648" spans="1:38">
      <c r="A648">
        <v>1.8681091486821338E+18</v>
      </c>
      <c r="B648" t="s">
        <v>3034</v>
      </c>
      <c r="C648" t="s">
        <v>3035</v>
      </c>
      <c r="D648" t="s">
        <v>3437</v>
      </c>
      <c r="E648" t="s">
        <v>3438</v>
      </c>
      <c r="F648" t="s">
        <v>29</v>
      </c>
      <c r="G648" t="s">
        <v>3439</v>
      </c>
      <c r="H648" t="s">
        <v>3262</v>
      </c>
      <c r="I648">
        <v>51</v>
      </c>
      <c r="J648">
        <v>33</v>
      </c>
      <c r="K648">
        <v>430</v>
      </c>
      <c r="L648">
        <v>90617</v>
      </c>
      <c r="M648" t="s">
        <v>52</v>
      </c>
      <c r="N648" t="s">
        <v>3040</v>
      </c>
      <c r="O648">
        <v>12876593</v>
      </c>
      <c r="P648" t="s">
        <v>3041</v>
      </c>
      <c r="Q648">
        <v>141401</v>
      </c>
      <c r="R648" t="s">
        <v>3042</v>
      </c>
      <c r="S648">
        <v>717</v>
      </c>
      <c r="T648" t="b">
        <v>0</v>
      </c>
      <c r="U648">
        <v>3</v>
      </c>
      <c r="V648">
        <v>14</v>
      </c>
      <c r="W648" t="s">
        <v>35</v>
      </c>
      <c r="X648" t="s">
        <v>29</v>
      </c>
      <c r="Y648" t="s">
        <v>3440</v>
      </c>
      <c r="Z648" t="s">
        <v>37</v>
      </c>
      <c r="AA648">
        <f>TwitterClean[[#This Row],[likes]]+TwitterClean[[#This Row],[replies]]+TwitterClean[[#This Row],[reposts]]+TwitterClean[[#This Row],[quotes]]+TwitterClean[[#This Row],[bookmarks]]</f>
        <v>531</v>
      </c>
      <c r="AB648" s="1">
        <f>TwitterClean[[#This Row],[Total_Engagements]]/TwitterClean[[#This Row],[views]]</f>
        <v>5.8598276261628609E-3</v>
      </c>
      <c r="AC648" s="3">
        <f>DATEVALUE(MID(TwitterClean[[#This Row],[date_posted]],2,10))</f>
        <v>45641</v>
      </c>
      <c r="AD648">
        <f>TIMEVALUE(MID(TwitterClean[[#This Row],[date_posted]],13,8))</f>
        <v>7.0636574074074074E-2</v>
      </c>
      <c r="AE648" s="3" t="str">
        <f>TEXT(TwitterClean[[#This Row],[Post_Date]],"dddd")</f>
        <v>Sunday</v>
      </c>
      <c r="AF648">
        <f>HOUR(TwitterClean[[#This Row],[Post_Time]])</f>
        <v>1</v>
      </c>
      <c r="AG648" t="str">
        <f>IF(TwitterClean[[#This Row],[videos]]="Null","No","Yes")</f>
        <v>Yes</v>
      </c>
      <c r="AH648" t="str">
        <f>IF(TwitterClean[[#This Row],[photos]]="null","No","Yes")</f>
        <v>No</v>
      </c>
      <c r="AI648" t="str">
        <f>IF(TwitterClean[[#This Row],[hashtags]]="null","No","Yes")</f>
        <v>Yes</v>
      </c>
      <c r="AJ648" t="str">
        <f>IF(TwitterClean[[#This Row],[external_url]]="null","Yes","No")</f>
        <v>No</v>
      </c>
      <c r="AK648">
        <f>LEN(TwitterClean[[#This Row],[description]])</f>
        <v>68</v>
      </c>
      <c r="AL648" t="str">
        <f>IF(TwitterClean[[#This Row],[followers]]&lt;100000,"&lt;100K",IF(TwitterClean[[#This Row],[followers]]&lt;1000000,"100K-1M",IF(TwitterClean[[#This Row],[followers]]&lt;10000000,"1M-10M","10M+")))</f>
        <v>10M+</v>
      </c>
    </row>
    <row r="649" spans="1:38">
      <c r="A649">
        <v>1.8665164747324214E+18</v>
      </c>
      <c r="B649" t="s">
        <v>2714</v>
      </c>
      <c r="C649" t="s">
        <v>2715</v>
      </c>
      <c r="D649" t="s">
        <v>2783</v>
      </c>
      <c r="E649" t="s">
        <v>2784</v>
      </c>
      <c r="F649" t="s">
        <v>29</v>
      </c>
      <c r="G649" t="s">
        <v>2785</v>
      </c>
      <c r="H649" t="s">
        <v>2786</v>
      </c>
      <c r="I649">
        <v>0</v>
      </c>
      <c r="J649">
        <v>1</v>
      </c>
      <c r="K649">
        <v>23</v>
      </c>
      <c r="L649">
        <v>4642</v>
      </c>
      <c r="M649" t="s">
        <v>52</v>
      </c>
      <c r="N649" t="s">
        <v>2787</v>
      </c>
      <c r="O649">
        <v>182895</v>
      </c>
      <c r="P649" t="s">
        <v>2720</v>
      </c>
      <c r="Q649">
        <v>30781</v>
      </c>
      <c r="R649" t="s">
        <v>2721</v>
      </c>
      <c r="S649">
        <v>559</v>
      </c>
      <c r="T649" t="b">
        <v>0</v>
      </c>
      <c r="U649">
        <v>2</v>
      </c>
      <c r="V649">
        <v>1</v>
      </c>
      <c r="W649" t="s">
        <v>35</v>
      </c>
      <c r="X649" t="s">
        <v>29</v>
      </c>
      <c r="Y649" t="s">
        <v>2788</v>
      </c>
      <c r="Z649" t="s">
        <v>37</v>
      </c>
      <c r="AA649">
        <f>TwitterClean[[#This Row],[likes]]+TwitterClean[[#This Row],[replies]]+TwitterClean[[#This Row],[reposts]]+TwitterClean[[#This Row],[quotes]]+TwitterClean[[#This Row],[bookmarks]]</f>
        <v>27</v>
      </c>
      <c r="AB649" s="1">
        <f>TwitterClean[[#This Row],[Total_Engagements]]/TwitterClean[[#This Row],[views]]</f>
        <v>5.8164584230934943E-3</v>
      </c>
      <c r="AC649" s="3">
        <f>DATEVALUE(MID(TwitterClean[[#This Row],[date_posted]],2,10))</f>
        <v>45636</v>
      </c>
      <c r="AD649">
        <f>TIMEVALUE(MID(TwitterClean[[#This Row],[date_posted]],13,8))</f>
        <v>0.67569444444444449</v>
      </c>
      <c r="AE649" s="3" t="str">
        <f>TEXT(TwitterClean[[#This Row],[Post_Date]],"dddd")</f>
        <v>Tuesday</v>
      </c>
      <c r="AF649">
        <f>HOUR(TwitterClean[[#This Row],[Post_Time]])</f>
        <v>16</v>
      </c>
      <c r="AG649" t="str">
        <f>IF(TwitterClean[[#This Row],[videos]]="Null","No","Yes")</f>
        <v>Yes</v>
      </c>
      <c r="AH649" t="str">
        <f>IF(TwitterClean[[#This Row],[photos]]="null","No","Yes")</f>
        <v>No</v>
      </c>
      <c r="AI649" t="str">
        <f>IF(TwitterClean[[#This Row],[hashtags]]="null","No","Yes")</f>
        <v>Yes</v>
      </c>
      <c r="AJ649" t="str">
        <f>IF(TwitterClean[[#This Row],[external_url]]="null","Yes","No")</f>
        <v>No</v>
      </c>
      <c r="AK649">
        <f>LEN(TwitterClean[[#This Row],[description]])</f>
        <v>157</v>
      </c>
      <c r="AL649" t="str">
        <f>IF(TwitterClean[[#This Row],[followers]]&lt;100000,"&lt;100K",IF(TwitterClean[[#This Row],[followers]]&lt;1000000,"100K-1M",IF(TwitterClean[[#This Row],[followers]]&lt;10000000,"1M-10M","10M+")))</f>
        <v>100K-1M</v>
      </c>
    </row>
    <row r="650" spans="1:38">
      <c r="A650">
        <v>1.8683703567357422E+18</v>
      </c>
      <c r="B650" t="s">
        <v>3196</v>
      </c>
      <c r="C650" t="s">
        <v>3196</v>
      </c>
      <c r="D650" t="s">
        <v>5092</v>
      </c>
      <c r="E650" t="s">
        <v>5093</v>
      </c>
      <c r="F650" t="s">
        <v>29</v>
      </c>
      <c r="G650" t="s">
        <v>5094</v>
      </c>
      <c r="H650" t="s">
        <v>29</v>
      </c>
      <c r="I650">
        <v>5</v>
      </c>
      <c r="J650">
        <v>6</v>
      </c>
      <c r="K650">
        <v>68</v>
      </c>
      <c r="L650">
        <v>14279</v>
      </c>
      <c r="M650" t="s">
        <v>5005</v>
      </c>
      <c r="N650" t="s">
        <v>5006</v>
      </c>
      <c r="O650">
        <v>376786</v>
      </c>
      <c r="P650" t="s">
        <v>3202</v>
      </c>
      <c r="Q650">
        <v>106893</v>
      </c>
      <c r="R650" t="s">
        <v>3203</v>
      </c>
      <c r="S650">
        <v>415</v>
      </c>
      <c r="T650" t="b">
        <v>0</v>
      </c>
      <c r="U650">
        <v>3</v>
      </c>
      <c r="V650">
        <v>1</v>
      </c>
      <c r="W650" t="s">
        <v>35</v>
      </c>
      <c r="X650" t="s">
        <v>29</v>
      </c>
      <c r="Y650" t="s">
        <v>29</v>
      </c>
      <c r="Z650" t="s">
        <v>37</v>
      </c>
      <c r="AA650">
        <f>TwitterClean[[#This Row],[likes]]+TwitterClean[[#This Row],[replies]]+TwitterClean[[#This Row],[reposts]]+TwitterClean[[#This Row],[quotes]]+TwitterClean[[#This Row],[bookmarks]]</f>
        <v>83</v>
      </c>
      <c r="AB650" s="1">
        <f>TwitterClean[[#This Row],[Total_Engagements]]/TwitterClean[[#This Row],[views]]</f>
        <v>5.812731984032495E-3</v>
      </c>
      <c r="AC650" s="3">
        <f>DATEVALUE(MID(TwitterClean[[#This Row],[date_posted]],2,10))</f>
        <v>45641</v>
      </c>
      <c r="AD650">
        <f>TIMEVALUE(MID(TwitterClean[[#This Row],[date_posted]],13,8))</f>
        <v>0.79143518518518519</v>
      </c>
      <c r="AE650" s="3" t="str">
        <f>TEXT(TwitterClean[[#This Row],[Post_Date]],"dddd")</f>
        <v>Sunday</v>
      </c>
      <c r="AF650">
        <f>HOUR(TwitterClean[[#This Row],[Post_Time]])</f>
        <v>18</v>
      </c>
      <c r="AG650" t="str">
        <f>IF(TwitterClean[[#This Row],[videos]]="Null","No","Yes")</f>
        <v>No</v>
      </c>
      <c r="AH650" t="str">
        <f>IF(TwitterClean[[#This Row],[photos]]="null","No","Yes")</f>
        <v>No</v>
      </c>
      <c r="AI650" t="str">
        <f>IF(TwitterClean[[#This Row],[hashtags]]="null","No","Yes")</f>
        <v>Yes</v>
      </c>
      <c r="AJ650" t="str">
        <f>IF(TwitterClean[[#This Row],[external_url]]="null","Yes","No")</f>
        <v>No</v>
      </c>
      <c r="AK650">
        <f>LEN(TwitterClean[[#This Row],[description]])</f>
        <v>105</v>
      </c>
      <c r="AL650" t="str">
        <f>IF(TwitterClean[[#This Row],[followers]]&lt;100000,"&lt;100K",IF(TwitterClean[[#This Row],[followers]]&lt;1000000,"100K-1M",IF(TwitterClean[[#This Row],[followers]]&lt;10000000,"1M-10M","10M+")))</f>
        <v>100K-1M</v>
      </c>
    </row>
    <row r="651" spans="1:38">
      <c r="A651">
        <v>1.8655592445792379E+18</v>
      </c>
      <c r="B651" t="s">
        <v>3973</v>
      </c>
      <c r="C651" t="s">
        <v>3974</v>
      </c>
      <c r="D651" t="s">
        <v>4024</v>
      </c>
      <c r="E651" t="s">
        <v>4025</v>
      </c>
      <c r="F651" t="s">
        <v>29</v>
      </c>
      <c r="G651" t="s">
        <v>4026</v>
      </c>
      <c r="H651" t="s">
        <v>4027</v>
      </c>
      <c r="I651">
        <v>3</v>
      </c>
      <c r="J651">
        <v>11</v>
      </c>
      <c r="K651">
        <v>110</v>
      </c>
      <c r="L651">
        <v>23239</v>
      </c>
      <c r="M651" t="s">
        <v>52</v>
      </c>
      <c r="N651" t="s">
        <v>29</v>
      </c>
      <c r="O651">
        <v>2035100</v>
      </c>
      <c r="P651" t="s">
        <v>3979</v>
      </c>
      <c r="Q651">
        <v>106867</v>
      </c>
      <c r="R651" t="s">
        <v>3980</v>
      </c>
      <c r="S651">
        <v>411</v>
      </c>
      <c r="T651" t="b">
        <v>0</v>
      </c>
      <c r="U651">
        <v>7</v>
      </c>
      <c r="V651">
        <v>3</v>
      </c>
      <c r="W651" t="s">
        <v>35</v>
      </c>
      <c r="X651" t="s">
        <v>29</v>
      </c>
      <c r="Y651" t="s">
        <v>4028</v>
      </c>
      <c r="Z651" t="s">
        <v>4029</v>
      </c>
      <c r="AA651">
        <f>TwitterClean[[#This Row],[likes]]+TwitterClean[[#This Row],[replies]]+TwitterClean[[#This Row],[reposts]]+TwitterClean[[#This Row],[quotes]]+TwitterClean[[#This Row],[bookmarks]]</f>
        <v>134</v>
      </c>
      <c r="AB651" s="1">
        <f>TwitterClean[[#This Row],[Total_Engagements]]/TwitterClean[[#This Row],[views]]</f>
        <v>5.7661689401437236E-3</v>
      </c>
      <c r="AC651" s="3">
        <f>DATEVALUE(MID(TwitterClean[[#This Row],[date_posted]],2,10))</f>
        <v>45634</v>
      </c>
      <c r="AD651">
        <f>TIMEVALUE(MID(TwitterClean[[#This Row],[date_posted]],13,8))</f>
        <v>3.4236111111111113E-2</v>
      </c>
      <c r="AE651" s="3" t="str">
        <f>TEXT(TwitterClean[[#This Row],[Post_Date]],"dddd")</f>
        <v>Sunday</v>
      </c>
      <c r="AF651">
        <f>HOUR(TwitterClean[[#This Row],[Post_Time]])</f>
        <v>0</v>
      </c>
      <c r="AG651" t="str">
        <f>IF(TwitterClean[[#This Row],[videos]]="Null","No","Yes")</f>
        <v>Yes</v>
      </c>
      <c r="AH651" t="str">
        <f>IF(TwitterClean[[#This Row],[photos]]="null","No","Yes")</f>
        <v>No</v>
      </c>
      <c r="AI651" t="str">
        <f>IF(TwitterClean[[#This Row],[hashtags]]="null","No","Yes")</f>
        <v>No</v>
      </c>
      <c r="AJ651" t="str">
        <f>IF(TwitterClean[[#This Row],[external_url]]="null","Yes","No")</f>
        <v>No</v>
      </c>
      <c r="AK651">
        <f>LEN(TwitterClean[[#This Row],[description]])</f>
        <v>58</v>
      </c>
      <c r="AL651" t="str">
        <f>IF(TwitterClean[[#This Row],[followers]]&lt;100000,"&lt;100K",IF(TwitterClean[[#This Row],[followers]]&lt;1000000,"100K-1M",IF(TwitterClean[[#This Row],[followers]]&lt;10000000,"1M-10M","10M+")))</f>
        <v>1M-10M</v>
      </c>
    </row>
    <row r="652" spans="1:38">
      <c r="A652">
        <v>1.8672291453627354E+18</v>
      </c>
      <c r="B652" t="s">
        <v>3973</v>
      </c>
      <c r="C652" t="s">
        <v>3974</v>
      </c>
      <c r="D652" t="s">
        <v>4018</v>
      </c>
      <c r="E652" t="s">
        <v>4019</v>
      </c>
      <c r="F652" t="s">
        <v>29</v>
      </c>
      <c r="G652" t="s">
        <v>4020</v>
      </c>
      <c r="H652" t="s">
        <v>4021</v>
      </c>
      <c r="I652">
        <v>6</v>
      </c>
      <c r="J652">
        <v>9</v>
      </c>
      <c r="K652">
        <v>65</v>
      </c>
      <c r="L652">
        <v>14056</v>
      </c>
      <c r="M652" t="s">
        <v>4022</v>
      </c>
      <c r="N652" t="s">
        <v>29</v>
      </c>
      <c r="O652">
        <v>2035100</v>
      </c>
      <c r="P652" t="s">
        <v>3979</v>
      </c>
      <c r="Q652">
        <v>106867</v>
      </c>
      <c r="R652" t="s">
        <v>3980</v>
      </c>
      <c r="S652">
        <v>411</v>
      </c>
      <c r="T652" t="b">
        <v>0</v>
      </c>
      <c r="U652">
        <v>1</v>
      </c>
      <c r="V652">
        <v>0</v>
      </c>
      <c r="W652" t="s">
        <v>35</v>
      </c>
      <c r="X652" t="s">
        <v>29</v>
      </c>
      <c r="Y652" t="s">
        <v>4023</v>
      </c>
      <c r="Z652" t="s">
        <v>37</v>
      </c>
      <c r="AA652">
        <f>TwitterClean[[#This Row],[likes]]+TwitterClean[[#This Row],[replies]]+TwitterClean[[#This Row],[reposts]]+TwitterClean[[#This Row],[quotes]]+TwitterClean[[#This Row],[bookmarks]]</f>
        <v>81</v>
      </c>
      <c r="AB652" s="1">
        <f>TwitterClean[[#This Row],[Total_Engagements]]/TwitterClean[[#This Row],[views]]</f>
        <v>5.7626636311895272E-3</v>
      </c>
      <c r="AC652" s="3">
        <f>DATEVALUE(MID(TwitterClean[[#This Row],[date_posted]],2,10))</f>
        <v>45638</v>
      </c>
      <c r="AD652">
        <f>TIMEVALUE(MID(TwitterClean[[#This Row],[date_posted]],13,8))</f>
        <v>0.64229166666666671</v>
      </c>
      <c r="AE652" s="3" t="str">
        <f>TEXT(TwitterClean[[#This Row],[Post_Date]],"dddd")</f>
        <v>Thursday</v>
      </c>
      <c r="AF652">
        <f>HOUR(TwitterClean[[#This Row],[Post_Time]])</f>
        <v>15</v>
      </c>
      <c r="AG652" t="str">
        <f>IF(TwitterClean[[#This Row],[videos]]="Null","No","Yes")</f>
        <v>Yes</v>
      </c>
      <c r="AH652" t="str">
        <f>IF(TwitterClean[[#This Row],[photos]]="null","No","Yes")</f>
        <v>No</v>
      </c>
      <c r="AI652" t="str">
        <f>IF(TwitterClean[[#This Row],[hashtags]]="null","No","Yes")</f>
        <v>No</v>
      </c>
      <c r="AJ652" t="str">
        <f>IF(TwitterClean[[#This Row],[external_url]]="null","Yes","No")</f>
        <v>No</v>
      </c>
      <c r="AK652">
        <f>LEN(TwitterClean[[#This Row],[description]])</f>
        <v>193</v>
      </c>
      <c r="AL652" t="str">
        <f>IF(TwitterClean[[#This Row],[followers]]&lt;100000,"&lt;100K",IF(TwitterClean[[#This Row],[followers]]&lt;1000000,"100K-1M",IF(TwitterClean[[#This Row],[followers]]&lt;10000000,"1M-10M","10M+")))</f>
        <v>1M-10M</v>
      </c>
    </row>
    <row r="653" spans="1:38">
      <c r="A653">
        <v>1.862883847685182E+18</v>
      </c>
      <c r="B653" t="s">
        <v>4105</v>
      </c>
      <c r="C653" t="s">
        <v>4106</v>
      </c>
      <c r="D653" t="s">
        <v>4191</v>
      </c>
      <c r="E653" t="s">
        <v>4192</v>
      </c>
      <c r="F653" t="s">
        <v>4193</v>
      </c>
      <c r="G653" t="s">
        <v>4194</v>
      </c>
      <c r="H653" t="s">
        <v>29</v>
      </c>
      <c r="I653">
        <v>238</v>
      </c>
      <c r="J653">
        <v>706</v>
      </c>
      <c r="K653">
        <v>3642</v>
      </c>
      <c r="L653">
        <v>919818</v>
      </c>
      <c r="M653" t="s">
        <v>52</v>
      </c>
      <c r="N653" t="s">
        <v>29</v>
      </c>
      <c r="O653">
        <v>303062</v>
      </c>
      <c r="P653" t="s">
        <v>4111</v>
      </c>
      <c r="Q653">
        <v>24240</v>
      </c>
      <c r="R653" t="s">
        <v>4112</v>
      </c>
      <c r="S653">
        <v>8053</v>
      </c>
      <c r="T653" t="b">
        <v>0</v>
      </c>
      <c r="U653">
        <v>36</v>
      </c>
      <c r="V653">
        <v>657</v>
      </c>
      <c r="W653" t="s">
        <v>35</v>
      </c>
      <c r="X653" t="s">
        <v>29</v>
      </c>
      <c r="Y653" t="s">
        <v>4195</v>
      </c>
      <c r="Z653" t="s">
        <v>37</v>
      </c>
      <c r="AA653">
        <f>TwitterClean[[#This Row],[likes]]+TwitterClean[[#This Row],[replies]]+TwitterClean[[#This Row],[reposts]]+TwitterClean[[#This Row],[quotes]]+TwitterClean[[#This Row],[bookmarks]]</f>
        <v>5279</v>
      </c>
      <c r="AB653" s="1">
        <f>TwitterClean[[#This Row],[Total_Engagements]]/TwitterClean[[#This Row],[views]]</f>
        <v>5.7391788375526463E-3</v>
      </c>
      <c r="AC653" s="3">
        <f>DATEVALUE(MID(TwitterClean[[#This Row],[date_posted]],2,10))</f>
        <v>45626</v>
      </c>
      <c r="AD653">
        <f>TIMEVALUE(MID(TwitterClean[[#This Row],[date_posted]],13,8))</f>
        <v>0.65155092592592589</v>
      </c>
      <c r="AE653" s="3" t="str">
        <f>TEXT(TwitterClean[[#This Row],[Post_Date]],"dddd")</f>
        <v>Saturday</v>
      </c>
      <c r="AF653">
        <f>HOUR(TwitterClean[[#This Row],[Post_Time]])</f>
        <v>15</v>
      </c>
      <c r="AG653" t="str">
        <f>IF(TwitterClean[[#This Row],[videos]]="Null","No","Yes")</f>
        <v>Yes</v>
      </c>
      <c r="AH653" t="str">
        <f>IF(TwitterClean[[#This Row],[photos]]="null","No","Yes")</f>
        <v>Yes</v>
      </c>
      <c r="AI653" t="str">
        <f>IF(TwitterClean[[#This Row],[hashtags]]="null","No","Yes")</f>
        <v>No</v>
      </c>
      <c r="AJ653" t="str">
        <f>IF(TwitterClean[[#This Row],[external_url]]="null","Yes","No")</f>
        <v>No</v>
      </c>
      <c r="AK653">
        <f>LEN(TwitterClean[[#This Row],[description]])</f>
        <v>691</v>
      </c>
      <c r="AL653" t="str">
        <f>IF(TwitterClean[[#This Row],[followers]]&lt;100000,"&lt;100K",IF(TwitterClean[[#This Row],[followers]]&lt;1000000,"100K-1M",IF(TwitterClean[[#This Row],[followers]]&lt;10000000,"1M-10M","10M+")))</f>
        <v>100K-1M</v>
      </c>
    </row>
    <row r="654" spans="1:38">
      <c r="A654">
        <v>1.8683427308769531E+18</v>
      </c>
      <c r="B654" t="s">
        <v>1267</v>
      </c>
      <c r="C654" t="s">
        <v>1268</v>
      </c>
      <c r="D654" t="s">
        <v>1550</v>
      </c>
      <c r="E654" t="s">
        <v>1551</v>
      </c>
      <c r="F654" t="s">
        <v>29</v>
      </c>
      <c r="G654" t="s">
        <v>1552</v>
      </c>
      <c r="H654" t="s">
        <v>1553</v>
      </c>
      <c r="I654">
        <v>92</v>
      </c>
      <c r="J654">
        <v>154</v>
      </c>
      <c r="K654">
        <v>1264</v>
      </c>
      <c r="L654">
        <v>269617</v>
      </c>
      <c r="M654" t="s">
        <v>52</v>
      </c>
      <c r="N654" t="s">
        <v>1273</v>
      </c>
      <c r="O654">
        <v>17891381</v>
      </c>
      <c r="P654" t="s">
        <v>1274</v>
      </c>
      <c r="Q654">
        <v>168939</v>
      </c>
      <c r="R654" t="s">
        <v>1275</v>
      </c>
      <c r="S654">
        <v>47365</v>
      </c>
      <c r="T654" t="b">
        <v>0</v>
      </c>
      <c r="U654">
        <v>10</v>
      </c>
      <c r="V654">
        <v>8</v>
      </c>
      <c r="W654" t="s">
        <v>35</v>
      </c>
      <c r="X654" t="s">
        <v>29</v>
      </c>
      <c r="Y654" t="s">
        <v>29</v>
      </c>
      <c r="Z654" t="s">
        <v>1554</v>
      </c>
      <c r="AA654">
        <f>TwitterClean[[#This Row],[likes]]+TwitterClean[[#This Row],[replies]]+TwitterClean[[#This Row],[reposts]]+TwitterClean[[#This Row],[quotes]]+TwitterClean[[#This Row],[bookmarks]]</f>
        <v>1528</v>
      </c>
      <c r="AB654" s="1">
        <f>TwitterClean[[#This Row],[Total_Engagements]]/TwitterClean[[#This Row],[views]]</f>
        <v>5.6672984270279697E-3</v>
      </c>
      <c r="AC654" s="3">
        <f>DATEVALUE(MID(TwitterClean[[#This Row],[date_posted]],2,10))</f>
        <v>45641</v>
      </c>
      <c r="AD654">
        <f>TIMEVALUE(MID(TwitterClean[[#This Row],[date_posted]],13,8))</f>
        <v>0.7151967592592593</v>
      </c>
      <c r="AE654" s="3" t="str">
        <f>TEXT(TwitterClean[[#This Row],[Post_Date]],"dddd")</f>
        <v>Sunday</v>
      </c>
      <c r="AF654">
        <f>HOUR(TwitterClean[[#This Row],[Post_Time]])</f>
        <v>17</v>
      </c>
      <c r="AG654" t="str">
        <f>IF(TwitterClean[[#This Row],[videos]]="Null","No","Yes")</f>
        <v>No</v>
      </c>
      <c r="AH654" t="str">
        <f>IF(TwitterClean[[#This Row],[photos]]="null","No","Yes")</f>
        <v>No</v>
      </c>
      <c r="AI654" t="str">
        <f>IF(TwitterClean[[#This Row],[hashtags]]="null","No","Yes")</f>
        <v>Yes</v>
      </c>
      <c r="AJ654" t="str">
        <f>IF(TwitterClean[[#This Row],[external_url]]="null","Yes","No")</f>
        <v>No</v>
      </c>
      <c r="AK654">
        <f>LEN(TwitterClean[[#This Row],[description]])</f>
        <v>94</v>
      </c>
      <c r="AL654" t="str">
        <f>IF(TwitterClean[[#This Row],[followers]]&lt;100000,"&lt;100K",IF(TwitterClean[[#This Row],[followers]]&lt;1000000,"100K-1M",IF(TwitterClean[[#This Row],[followers]]&lt;10000000,"1M-10M","10M+")))</f>
        <v>10M+</v>
      </c>
    </row>
    <row r="655" spans="1:38">
      <c r="A655">
        <v>1.8683306751177239E+18</v>
      </c>
      <c r="B655" t="s">
        <v>3837</v>
      </c>
      <c r="C655" t="s">
        <v>3838</v>
      </c>
      <c r="D655" t="s">
        <v>4848</v>
      </c>
      <c r="E655" t="s">
        <v>4849</v>
      </c>
      <c r="F655" t="s">
        <v>4850</v>
      </c>
      <c r="G655" t="s">
        <v>4851</v>
      </c>
      <c r="H655" t="s">
        <v>29</v>
      </c>
      <c r="I655">
        <v>370</v>
      </c>
      <c r="J655">
        <v>23</v>
      </c>
      <c r="K655">
        <v>268</v>
      </c>
      <c r="L655">
        <v>122457</v>
      </c>
      <c r="M655" t="s">
        <v>52</v>
      </c>
      <c r="N655" t="s">
        <v>3843</v>
      </c>
      <c r="O655">
        <v>984256</v>
      </c>
      <c r="P655" t="s">
        <v>3844</v>
      </c>
      <c r="Q655">
        <v>136135</v>
      </c>
      <c r="R655" t="s">
        <v>3845</v>
      </c>
      <c r="S655">
        <v>438</v>
      </c>
      <c r="T655" t="b">
        <v>0</v>
      </c>
      <c r="U655">
        <v>26</v>
      </c>
      <c r="V655">
        <v>3</v>
      </c>
      <c r="W655" t="s">
        <v>35</v>
      </c>
      <c r="X655" t="s">
        <v>29</v>
      </c>
      <c r="Y655" t="s">
        <v>29</v>
      </c>
      <c r="Z655" t="s">
        <v>37</v>
      </c>
      <c r="AA655">
        <f>TwitterClean[[#This Row],[likes]]+TwitterClean[[#This Row],[replies]]+TwitterClean[[#This Row],[reposts]]+TwitterClean[[#This Row],[quotes]]+TwitterClean[[#This Row],[bookmarks]]</f>
        <v>690</v>
      </c>
      <c r="AB655" s="1">
        <f>TwitterClean[[#This Row],[Total_Engagements]]/TwitterClean[[#This Row],[views]]</f>
        <v>5.6346309316739757E-3</v>
      </c>
      <c r="AC655" s="3">
        <f>DATEVALUE(MID(TwitterClean[[#This Row],[date_posted]],2,10))</f>
        <v>45641</v>
      </c>
      <c r="AD655">
        <f>TIMEVALUE(MID(TwitterClean[[#This Row],[date_posted]],13,8))</f>
        <v>0.68193287037037043</v>
      </c>
      <c r="AE655" s="3" t="str">
        <f>TEXT(TwitterClean[[#This Row],[Post_Date]],"dddd")</f>
        <v>Sunday</v>
      </c>
      <c r="AF655">
        <f>HOUR(TwitterClean[[#This Row],[Post_Time]])</f>
        <v>16</v>
      </c>
      <c r="AG655" t="str">
        <f>IF(TwitterClean[[#This Row],[videos]]="Null","No","Yes")</f>
        <v>No</v>
      </c>
      <c r="AH655" t="str">
        <f>IF(TwitterClean[[#This Row],[photos]]="null","No","Yes")</f>
        <v>Yes</v>
      </c>
      <c r="AI655" t="str">
        <f>IF(TwitterClean[[#This Row],[hashtags]]="null","No","Yes")</f>
        <v>Yes</v>
      </c>
      <c r="AJ655" t="str">
        <f>IF(TwitterClean[[#This Row],[external_url]]="null","Yes","No")</f>
        <v>No</v>
      </c>
      <c r="AK655">
        <f>LEN(TwitterClean[[#This Row],[description]])</f>
        <v>62</v>
      </c>
      <c r="AL655" t="str">
        <f>IF(TwitterClean[[#This Row],[followers]]&lt;100000,"&lt;100K",IF(TwitterClean[[#This Row],[followers]]&lt;1000000,"100K-1M",IF(TwitterClean[[#This Row],[followers]]&lt;10000000,"1M-10M","10M+")))</f>
        <v>100K-1M</v>
      </c>
    </row>
    <row r="656" spans="1:38">
      <c r="A656">
        <v>1.8683628915958008E+18</v>
      </c>
      <c r="B656" t="s">
        <v>228</v>
      </c>
      <c r="C656" t="s">
        <v>228</v>
      </c>
      <c r="D656" t="s">
        <v>958</v>
      </c>
      <c r="E656" t="s">
        <v>959</v>
      </c>
      <c r="F656" t="s">
        <v>960</v>
      </c>
      <c r="G656" t="s">
        <v>961</v>
      </c>
      <c r="H656" t="s">
        <v>29</v>
      </c>
      <c r="I656">
        <v>9</v>
      </c>
      <c r="J656">
        <v>4</v>
      </c>
      <c r="K656">
        <v>11</v>
      </c>
      <c r="L656">
        <v>4809</v>
      </c>
      <c r="M656" t="s">
        <v>962</v>
      </c>
      <c r="N656" t="s">
        <v>29</v>
      </c>
      <c r="O656">
        <v>1239617</v>
      </c>
      <c r="P656" t="s">
        <v>235</v>
      </c>
      <c r="Q656">
        <v>402839</v>
      </c>
      <c r="R656" t="s">
        <v>236</v>
      </c>
      <c r="S656">
        <v>1644</v>
      </c>
      <c r="T656" t="b">
        <v>0</v>
      </c>
      <c r="U656">
        <v>2</v>
      </c>
      <c r="V656">
        <v>1</v>
      </c>
      <c r="W656" t="s">
        <v>35</v>
      </c>
      <c r="X656" t="s">
        <v>29</v>
      </c>
      <c r="Y656" t="s">
        <v>29</v>
      </c>
      <c r="Z656" t="s">
        <v>37</v>
      </c>
      <c r="AA656">
        <f>TwitterClean[[#This Row],[likes]]+TwitterClean[[#This Row],[replies]]+TwitterClean[[#This Row],[reposts]]+TwitterClean[[#This Row],[quotes]]+TwitterClean[[#This Row],[bookmarks]]</f>
        <v>27</v>
      </c>
      <c r="AB656" s="1">
        <f>TwitterClean[[#This Row],[Total_Engagements]]/TwitterClean[[#This Row],[views]]</f>
        <v>5.6144728633811605E-3</v>
      </c>
      <c r="AC656" s="3">
        <f>DATEVALUE(MID(TwitterClean[[#This Row],[date_posted]],2,10))</f>
        <v>45641</v>
      </c>
      <c r="AD656">
        <f>TIMEVALUE(MID(TwitterClean[[#This Row],[date_posted]],13,8))</f>
        <v>0.77083333333333337</v>
      </c>
      <c r="AE656" s="3" t="str">
        <f>TEXT(TwitterClean[[#This Row],[Post_Date]],"dddd")</f>
        <v>Sunday</v>
      </c>
      <c r="AF656">
        <f>HOUR(TwitterClean[[#This Row],[Post_Time]])</f>
        <v>18</v>
      </c>
      <c r="AG656" t="str">
        <f>IF(TwitterClean[[#This Row],[videos]]="Null","No","Yes")</f>
        <v>No</v>
      </c>
      <c r="AH656" t="str">
        <f>IF(TwitterClean[[#This Row],[photos]]="null","No","Yes")</f>
        <v>Yes</v>
      </c>
      <c r="AI656" t="str">
        <f>IF(TwitterClean[[#This Row],[hashtags]]="null","No","Yes")</f>
        <v>No</v>
      </c>
      <c r="AJ656" t="str">
        <f>IF(TwitterClean[[#This Row],[external_url]]="null","Yes","No")</f>
        <v>No</v>
      </c>
      <c r="AK656">
        <f>LEN(TwitterClean[[#This Row],[description]])</f>
        <v>209</v>
      </c>
      <c r="AL656" t="str">
        <f>IF(TwitterClean[[#This Row],[followers]]&lt;100000,"&lt;100K",IF(TwitterClean[[#This Row],[followers]]&lt;1000000,"100K-1M",IF(TwitterClean[[#This Row],[followers]]&lt;10000000,"1M-10M","10M+")))</f>
        <v>1M-10M</v>
      </c>
    </row>
    <row r="657" spans="1:38">
      <c r="A657">
        <v>1.8681396634097132E+18</v>
      </c>
      <c r="B657" t="s">
        <v>3034</v>
      </c>
      <c r="C657" t="s">
        <v>3035</v>
      </c>
      <c r="D657" t="s">
        <v>3944</v>
      </c>
      <c r="E657" t="s">
        <v>3945</v>
      </c>
      <c r="F657" t="s">
        <v>29</v>
      </c>
      <c r="G657" t="s">
        <v>3946</v>
      </c>
      <c r="H657" t="s">
        <v>29</v>
      </c>
      <c r="I657">
        <v>74</v>
      </c>
      <c r="J657">
        <v>52</v>
      </c>
      <c r="K657">
        <v>477</v>
      </c>
      <c r="L657">
        <v>111424</v>
      </c>
      <c r="M657" t="s">
        <v>52</v>
      </c>
      <c r="N657" t="s">
        <v>3040</v>
      </c>
      <c r="O657">
        <v>12876593</v>
      </c>
      <c r="P657" t="s">
        <v>3041</v>
      </c>
      <c r="Q657">
        <v>141401</v>
      </c>
      <c r="R657" t="s">
        <v>3042</v>
      </c>
      <c r="S657">
        <v>717</v>
      </c>
      <c r="T657" t="b">
        <v>0</v>
      </c>
      <c r="U657">
        <v>12</v>
      </c>
      <c r="V657">
        <v>10</v>
      </c>
      <c r="W657" t="s">
        <v>35</v>
      </c>
      <c r="X657" t="s">
        <v>29</v>
      </c>
      <c r="Y657" t="s">
        <v>3947</v>
      </c>
      <c r="Z657" t="s">
        <v>37</v>
      </c>
      <c r="AA657">
        <f>TwitterClean[[#This Row],[likes]]+TwitterClean[[#This Row],[replies]]+TwitterClean[[#This Row],[reposts]]+TwitterClean[[#This Row],[quotes]]+TwitterClean[[#This Row],[bookmarks]]</f>
        <v>625</v>
      </c>
      <c r="AB657" s="1">
        <f>TwitterClean[[#This Row],[Total_Engagements]]/TwitterClean[[#This Row],[views]]</f>
        <v>5.609204480183802E-3</v>
      </c>
      <c r="AC657" s="3">
        <f>DATEVALUE(MID(TwitterClean[[#This Row],[date_posted]],2,10))</f>
        <v>45641</v>
      </c>
      <c r="AD657">
        <f>TIMEVALUE(MID(TwitterClean[[#This Row],[date_posted]],13,8))</f>
        <v>0.15483796296296296</v>
      </c>
      <c r="AE657" s="3" t="str">
        <f>TEXT(TwitterClean[[#This Row],[Post_Date]],"dddd")</f>
        <v>Sunday</v>
      </c>
      <c r="AF657">
        <f>HOUR(TwitterClean[[#This Row],[Post_Time]])</f>
        <v>3</v>
      </c>
      <c r="AG657" t="str">
        <f>IF(TwitterClean[[#This Row],[videos]]="Null","No","Yes")</f>
        <v>Yes</v>
      </c>
      <c r="AH657" t="str">
        <f>IF(TwitterClean[[#This Row],[photos]]="null","No","Yes")</f>
        <v>No</v>
      </c>
      <c r="AI657" t="str">
        <f>IF(TwitterClean[[#This Row],[hashtags]]="null","No","Yes")</f>
        <v>Yes</v>
      </c>
      <c r="AJ657" t="str">
        <f>IF(TwitterClean[[#This Row],[external_url]]="null","Yes","No")</f>
        <v>No</v>
      </c>
      <c r="AK657">
        <f>LEN(TwitterClean[[#This Row],[description]])</f>
        <v>65</v>
      </c>
      <c r="AL657" t="str">
        <f>IF(TwitterClean[[#This Row],[followers]]&lt;100000,"&lt;100K",IF(TwitterClean[[#This Row],[followers]]&lt;1000000,"100K-1M",IF(TwitterClean[[#This Row],[followers]]&lt;10000000,"1M-10M","10M+")))</f>
        <v>10M+</v>
      </c>
    </row>
    <row r="658" spans="1:38">
      <c r="A658">
        <v>1.8684825477110825E+18</v>
      </c>
      <c r="B658" t="s">
        <v>1656</v>
      </c>
      <c r="C658" t="s">
        <v>1657</v>
      </c>
      <c r="D658" t="s">
        <v>1730</v>
      </c>
      <c r="E658" t="s">
        <v>1731</v>
      </c>
      <c r="F658" t="s">
        <v>29</v>
      </c>
      <c r="G658" t="s">
        <v>1732</v>
      </c>
      <c r="H658" t="s">
        <v>29</v>
      </c>
      <c r="I658">
        <v>5</v>
      </c>
      <c r="J658">
        <v>1</v>
      </c>
      <c r="K658">
        <v>19</v>
      </c>
      <c r="L658">
        <v>4825</v>
      </c>
      <c r="M658" t="s">
        <v>52</v>
      </c>
      <c r="N658" t="s">
        <v>1733</v>
      </c>
      <c r="O658">
        <v>2819405</v>
      </c>
      <c r="P658" t="s">
        <v>1662</v>
      </c>
      <c r="Q658">
        <v>286268</v>
      </c>
      <c r="R658" t="s">
        <v>1663</v>
      </c>
      <c r="S658">
        <v>4</v>
      </c>
      <c r="T658" t="b">
        <v>0</v>
      </c>
      <c r="U658">
        <v>1</v>
      </c>
      <c r="V658">
        <v>1</v>
      </c>
      <c r="W658" t="s">
        <v>35</v>
      </c>
      <c r="X658" t="s">
        <v>29</v>
      </c>
      <c r="Y658" t="s">
        <v>1734</v>
      </c>
      <c r="Z658" t="s">
        <v>37</v>
      </c>
      <c r="AA658">
        <f>TwitterClean[[#This Row],[likes]]+TwitterClean[[#This Row],[replies]]+TwitterClean[[#This Row],[reposts]]+TwitterClean[[#This Row],[quotes]]+TwitterClean[[#This Row],[bookmarks]]</f>
        <v>27</v>
      </c>
      <c r="AB658" s="1">
        <f>TwitterClean[[#This Row],[Total_Engagements]]/TwitterClean[[#This Row],[views]]</f>
        <v>5.5958549222797924E-3</v>
      </c>
      <c r="AC658" s="3">
        <f>DATEVALUE(MID(TwitterClean[[#This Row],[date_posted]],2,10))</f>
        <v>45642</v>
      </c>
      <c r="AD658">
        <f>TIMEVALUE(MID(TwitterClean[[#This Row],[date_posted]],13,8))</f>
        <v>0.10101851851851852</v>
      </c>
      <c r="AE658" s="3" t="str">
        <f>TEXT(TwitterClean[[#This Row],[Post_Date]],"dddd")</f>
        <v>Monday</v>
      </c>
      <c r="AF658">
        <f>HOUR(TwitterClean[[#This Row],[Post_Time]])</f>
        <v>2</v>
      </c>
      <c r="AG658" t="str">
        <f>IF(TwitterClean[[#This Row],[videos]]="Null","No","Yes")</f>
        <v>Yes</v>
      </c>
      <c r="AH658" t="str">
        <f>IF(TwitterClean[[#This Row],[photos]]="null","No","Yes")</f>
        <v>No</v>
      </c>
      <c r="AI658" t="str">
        <f>IF(TwitterClean[[#This Row],[hashtags]]="null","No","Yes")</f>
        <v>Yes</v>
      </c>
      <c r="AJ658" t="str">
        <f>IF(TwitterClean[[#This Row],[external_url]]="null","Yes","No")</f>
        <v>No</v>
      </c>
      <c r="AK658">
        <f>LEN(TwitterClean[[#This Row],[description]])</f>
        <v>276</v>
      </c>
      <c r="AL658" t="str">
        <f>IF(TwitterClean[[#This Row],[followers]]&lt;100000,"&lt;100K",IF(TwitterClean[[#This Row],[followers]]&lt;1000000,"100K-1M",IF(TwitterClean[[#This Row],[followers]]&lt;10000000,"1M-10M","10M+")))</f>
        <v>1M-10M</v>
      </c>
    </row>
    <row r="659" spans="1:38">
      <c r="A659">
        <v>1.8683203492400952E+18</v>
      </c>
      <c r="B659" t="s">
        <v>1656</v>
      </c>
      <c r="C659" t="s">
        <v>1657</v>
      </c>
      <c r="D659" t="s">
        <v>2117</v>
      </c>
      <c r="E659" t="s">
        <v>2118</v>
      </c>
      <c r="F659" t="s">
        <v>29</v>
      </c>
      <c r="G659" t="s">
        <v>2119</v>
      </c>
      <c r="H659" t="s">
        <v>29</v>
      </c>
      <c r="I659">
        <v>32</v>
      </c>
      <c r="J659">
        <v>8</v>
      </c>
      <c r="K659">
        <v>55</v>
      </c>
      <c r="L659">
        <v>17704</v>
      </c>
      <c r="M659" t="s">
        <v>2120</v>
      </c>
      <c r="N659" t="s">
        <v>29</v>
      </c>
      <c r="O659">
        <v>2819409</v>
      </c>
      <c r="P659" t="s">
        <v>1662</v>
      </c>
      <c r="Q659">
        <v>286269</v>
      </c>
      <c r="R659" t="s">
        <v>1663</v>
      </c>
      <c r="S659">
        <v>4</v>
      </c>
      <c r="T659" t="b">
        <v>0</v>
      </c>
      <c r="U659">
        <v>2</v>
      </c>
      <c r="V659">
        <v>2</v>
      </c>
      <c r="W659" t="s">
        <v>35</v>
      </c>
      <c r="X659" t="s">
        <v>2121</v>
      </c>
      <c r="Y659" t="s">
        <v>29</v>
      </c>
      <c r="Z659" t="s">
        <v>37</v>
      </c>
      <c r="AA659">
        <f>TwitterClean[[#This Row],[likes]]+TwitterClean[[#This Row],[replies]]+TwitterClean[[#This Row],[reposts]]+TwitterClean[[#This Row],[quotes]]+TwitterClean[[#This Row],[bookmarks]]</f>
        <v>99</v>
      </c>
      <c r="AB659" s="1">
        <f>TwitterClean[[#This Row],[Total_Engagements]]/TwitterClean[[#This Row],[views]]</f>
        <v>5.5919566199728876E-3</v>
      </c>
      <c r="AC659" s="3">
        <f>DATEVALUE(MID(TwitterClean[[#This Row],[date_posted]],2,10))</f>
        <v>45641</v>
      </c>
      <c r="AD659">
        <f>TIMEVALUE(MID(TwitterClean[[#This Row],[date_posted]],13,8))</f>
        <v>0.6534375</v>
      </c>
      <c r="AE659" s="3" t="str">
        <f>TEXT(TwitterClean[[#This Row],[Post_Date]],"dddd")</f>
        <v>Sunday</v>
      </c>
      <c r="AF659">
        <f>HOUR(TwitterClean[[#This Row],[Post_Time]])</f>
        <v>15</v>
      </c>
      <c r="AG659" t="str">
        <f>IF(TwitterClean[[#This Row],[videos]]="Null","No","Yes")</f>
        <v>No</v>
      </c>
      <c r="AH659" t="str">
        <f>IF(TwitterClean[[#This Row],[photos]]="null","No","Yes")</f>
        <v>No</v>
      </c>
      <c r="AI659" t="str">
        <f>IF(TwitterClean[[#This Row],[hashtags]]="null","No","Yes")</f>
        <v>No</v>
      </c>
      <c r="AJ659" t="str">
        <f>IF(TwitterClean[[#This Row],[external_url]]="null","Yes","No")</f>
        <v>No</v>
      </c>
      <c r="AK659">
        <f>LEN(TwitterClean[[#This Row],[description]])</f>
        <v>78</v>
      </c>
      <c r="AL659" t="str">
        <f>IF(TwitterClean[[#This Row],[followers]]&lt;100000,"&lt;100K",IF(TwitterClean[[#This Row],[followers]]&lt;1000000,"100K-1M",IF(TwitterClean[[#This Row],[followers]]&lt;10000000,"1M-10M","10M+")))</f>
        <v>1M-10M</v>
      </c>
    </row>
    <row r="660" spans="1:38">
      <c r="A660">
        <v>1.8683228346755689E+18</v>
      </c>
      <c r="B660" t="s">
        <v>2230</v>
      </c>
      <c r="C660" t="s">
        <v>2231</v>
      </c>
      <c r="D660" t="s">
        <v>2259</v>
      </c>
      <c r="E660" t="s">
        <v>2260</v>
      </c>
      <c r="F660" t="s">
        <v>2261</v>
      </c>
      <c r="G660" t="s">
        <v>2262</v>
      </c>
      <c r="H660" t="s">
        <v>29</v>
      </c>
      <c r="I660">
        <v>2705</v>
      </c>
      <c r="J660">
        <v>814</v>
      </c>
      <c r="K660">
        <v>9651</v>
      </c>
      <c r="L660">
        <v>2555996</v>
      </c>
      <c r="M660" t="s">
        <v>2263</v>
      </c>
      <c r="N660" t="s">
        <v>29</v>
      </c>
      <c r="O660">
        <v>3313889</v>
      </c>
      <c r="P660" t="s">
        <v>2237</v>
      </c>
      <c r="Q660">
        <v>706459</v>
      </c>
      <c r="R660" t="s">
        <v>2238</v>
      </c>
      <c r="S660">
        <v>10308</v>
      </c>
      <c r="T660" t="b">
        <v>0</v>
      </c>
      <c r="U660">
        <v>602</v>
      </c>
      <c r="V660">
        <v>466</v>
      </c>
      <c r="W660" t="s">
        <v>35</v>
      </c>
      <c r="X660" t="s">
        <v>29</v>
      </c>
      <c r="Y660" t="s">
        <v>29</v>
      </c>
      <c r="Z660" t="s">
        <v>37</v>
      </c>
      <c r="AA660">
        <f>TwitterClean[[#This Row],[likes]]+TwitterClean[[#This Row],[replies]]+TwitterClean[[#This Row],[reposts]]+TwitterClean[[#This Row],[quotes]]+TwitterClean[[#This Row],[bookmarks]]</f>
        <v>14238</v>
      </c>
      <c r="AB660" s="1">
        <f>TwitterClean[[#This Row],[Total_Engagements]]/TwitterClean[[#This Row],[views]]</f>
        <v>5.5704312526310687E-3</v>
      </c>
      <c r="AC660" s="3">
        <f>DATEVALUE(MID(TwitterClean[[#This Row],[date_posted]],2,10))</f>
        <v>45641</v>
      </c>
      <c r="AD660">
        <f>TIMEVALUE(MID(TwitterClean[[#This Row],[date_posted]],13,8))</f>
        <v>0.66030092592592593</v>
      </c>
      <c r="AE660" s="3" t="str">
        <f>TEXT(TwitterClean[[#This Row],[Post_Date]],"dddd")</f>
        <v>Sunday</v>
      </c>
      <c r="AF660">
        <f>HOUR(TwitterClean[[#This Row],[Post_Time]])</f>
        <v>15</v>
      </c>
      <c r="AG660" t="str">
        <f>IF(TwitterClean[[#This Row],[videos]]="Null","No","Yes")</f>
        <v>No</v>
      </c>
      <c r="AH660" t="str">
        <f>IF(TwitterClean[[#This Row],[photos]]="null","No","Yes")</f>
        <v>Yes</v>
      </c>
      <c r="AI660" t="str">
        <f>IF(TwitterClean[[#This Row],[hashtags]]="null","No","Yes")</f>
        <v>No</v>
      </c>
      <c r="AJ660" t="str">
        <f>IF(TwitterClean[[#This Row],[external_url]]="null","Yes","No")</f>
        <v>No</v>
      </c>
      <c r="AK660">
        <f>LEN(TwitterClean[[#This Row],[description]])</f>
        <v>83</v>
      </c>
      <c r="AL660" t="str">
        <f>IF(TwitterClean[[#This Row],[followers]]&lt;100000,"&lt;100K",IF(TwitterClean[[#This Row],[followers]]&lt;1000000,"100K-1M",IF(TwitterClean[[#This Row],[followers]]&lt;10000000,"1M-10M","10M+")))</f>
        <v>1M-10M</v>
      </c>
    </row>
    <row r="661" spans="1:38">
      <c r="A661">
        <v>1.8684048105437473E+18</v>
      </c>
      <c r="B661" t="s">
        <v>2230</v>
      </c>
      <c r="C661" t="s">
        <v>2231</v>
      </c>
      <c r="D661" t="s">
        <v>2434</v>
      </c>
      <c r="E661" t="s">
        <v>2435</v>
      </c>
      <c r="F661" t="s">
        <v>2436</v>
      </c>
      <c r="G661" t="s">
        <v>2437</v>
      </c>
      <c r="H661" t="s">
        <v>29</v>
      </c>
      <c r="I661">
        <v>27</v>
      </c>
      <c r="J661">
        <v>18</v>
      </c>
      <c r="K661">
        <v>87</v>
      </c>
      <c r="L661">
        <v>25268</v>
      </c>
      <c r="M661" t="s">
        <v>2438</v>
      </c>
      <c r="N661" t="s">
        <v>29</v>
      </c>
      <c r="O661">
        <v>3313886</v>
      </c>
      <c r="P661" t="s">
        <v>2237</v>
      </c>
      <c r="Q661">
        <v>706459</v>
      </c>
      <c r="R661" t="s">
        <v>2238</v>
      </c>
      <c r="S661">
        <v>10308</v>
      </c>
      <c r="T661" t="b">
        <v>0</v>
      </c>
      <c r="U661">
        <v>2</v>
      </c>
      <c r="V661">
        <v>6</v>
      </c>
      <c r="W661" t="s">
        <v>35</v>
      </c>
      <c r="X661" t="s">
        <v>29</v>
      </c>
      <c r="Y661" t="s">
        <v>29</v>
      </c>
      <c r="Z661" t="s">
        <v>37</v>
      </c>
      <c r="AA661">
        <f>TwitterClean[[#This Row],[likes]]+TwitterClean[[#This Row],[replies]]+TwitterClean[[#This Row],[reposts]]+TwitterClean[[#This Row],[quotes]]+TwitterClean[[#This Row],[bookmarks]]</f>
        <v>140</v>
      </c>
      <c r="AB661" s="1">
        <f>TwitterClean[[#This Row],[Total_Engagements]]/TwitterClean[[#This Row],[views]]</f>
        <v>5.5406047174291597E-3</v>
      </c>
      <c r="AC661" s="3">
        <f>DATEVALUE(MID(TwitterClean[[#This Row],[date_posted]],2,10))</f>
        <v>45641</v>
      </c>
      <c r="AD661">
        <f>TIMEVALUE(MID(TwitterClean[[#This Row],[date_posted]],13,8))</f>
        <v>0.88650462962962961</v>
      </c>
      <c r="AE661" s="3" t="str">
        <f>TEXT(TwitterClean[[#This Row],[Post_Date]],"dddd")</f>
        <v>Sunday</v>
      </c>
      <c r="AF661">
        <f>HOUR(TwitterClean[[#This Row],[Post_Time]])</f>
        <v>21</v>
      </c>
      <c r="AG661" t="str">
        <f>IF(TwitterClean[[#This Row],[videos]]="Null","No","Yes")</f>
        <v>No</v>
      </c>
      <c r="AH661" t="str">
        <f>IF(TwitterClean[[#This Row],[photos]]="null","No","Yes")</f>
        <v>Yes</v>
      </c>
      <c r="AI661" t="str">
        <f>IF(TwitterClean[[#This Row],[hashtags]]="null","No","Yes")</f>
        <v>No</v>
      </c>
      <c r="AJ661" t="str">
        <f>IF(TwitterClean[[#This Row],[external_url]]="null","Yes","No")</f>
        <v>No</v>
      </c>
      <c r="AK661">
        <f>LEN(TwitterClean[[#This Row],[description]])</f>
        <v>96</v>
      </c>
      <c r="AL661" t="str">
        <f>IF(TwitterClean[[#This Row],[followers]]&lt;100000,"&lt;100K",IF(TwitterClean[[#This Row],[followers]]&lt;1000000,"100K-1M",IF(TwitterClean[[#This Row],[followers]]&lt;10000000,"1M-10M","10M+")))</f>
        <v>1M-10M</v>
      </c>
    </row>
    <row r="662" spans="1:38">
      <c r="A662">
        <v>1.868245869784642E+18</v>
      </c>
      <c r="B662" t="s">
        <v>2994</v>
      </c>
      <c r="C662" t="s">
        <v>2995</v>
      </c>
      <c r="D662" t="s">
        <v>3857</v>
      </c>
      <c r="E662" t="s">
        <v>695</v>
      </c>
      <c r="F662" t="s">
        <v>29</v>
      </c>
      <c r="G662" t="s">
        <v>3858</v>
      </c>
      <c r="H662" t="s">
        <v>2999</v>
      </c>
      <c r="I662">
        <v>11</v>
      </c>
      <c r="J662">
        <v>12</v>
      </c>
      <c r="K662">
        <v>220</v>
      </c>
      <c r="L662">
        <v>44534</v>
      </c>
      <c r="M662" t="s">
        <v>3859</v>
      </c>
      <c r="N662" t="s">
        <v>29</v>
      </c>
      <c r="O662">
        <v>812163</v>
      </c>
      <c r="P662" t="s">
        <v>3000</v>
      </c>
      <c r="Q662">
        <v>110924</v>
      </c>
      <c r="R662" t="s">
        <v>3001</v>
      </c>
      <c r="S662">
        <v>322</v>
      </c>
      <c r="T662" t="b">
        <v>0</v>
      </c>
      <c r="U662">
        <v>0</v>
      </c>
      <c r="V662">
        <v>3</v>
      </c>
      <c r="W662" t="s">
        <v>35</v>
      </c>
      <c r="X662" t="s">
        <v>29</v>
      </c>
      <c r="Y662" t="s">
        <v>3860</v>
      </c>
      <c r="Z662" t="s">
        <v>37</v>
      </c>
      <c r="AA662">
        <f>TwitterClean[[#This Row],[likes]]+TwitterClean[[#This Row],[replies]]+TwitterClean[[#This Row],[reposts]]+TwitterClean[[#This Row],[quotes]]+TwitterClean[[#This Row],[bookmarks]]</f>
        <v>246</v>
      </c>
      <c r="AB662" s="1">
        <f>TwitterClean[[#This Row],[Total_Engagements]]/TwitterClean[[#This Row],[views]]</f>
        <v>5.5238694031526474E-3</v>
      </c>
      <c r="AC662" s="3">
        <f>DATEVALUE(MID(TwitterClean[[#This Row],[date_posted]],2,10))</f>
        <v>45641</v>
      </c>
      <c r="AD662">
        <f>TIMEVALUE(MID(TwitterClean[[#This Row],[date_posted]],13,8))</f>
        <v>0.44791666666666669</v>
      </c>
      <c r="AE662" s="3" t="str">
        <f>TEXT(TwitterClean[[#This Row],[Post_Date]],"dddd")</f>
        <v>Sunday</v>
      </c>
      <c r="AF662">
        <f>HOUR(TwitterClean[[#This Row],[Post_Time]])</f>
        <v>10</v>
      </c>
      <c r="AG662" t="str">
        <f>IF(TwitterClean[[#This Row],[videos]]="Null","No","Yes")</f>
        <v>Yes</v>
      </c>
      <c r="AH662" t="str">
        <f>IF(TwitterClean[[#This Row],[photos]]="null","No","Yes")</f>
        <v>No</v>
      </c>
      <c r="AI662" t="str">
        <f>IF(TwitterClean[[#This Row],[hashtags]]="null","No","Yes")</f>
        <v>No</v>
      </c>
      <c r="AJ662" t="str">
        <f>IF(TwitterClean[[#This Row],[external_url]]="null","Yes","No")</f>
        <v>No</v>
      </c>
      <c r="AK662">
        <f>LEN(TwitterClean[[#This Row],[description]])</f>
        <v>103</v>
      </c>
      <c r="AL662" t="str">
        <f>IF(TwitterClean[[#This Row],[followers]]&lt;100000,"&lt;100K",IF(TwitterClean[[#This Row],[followers]]&lt;1000000,"100K-1M",IF(TwitterClean[[#This Row],[followers]]&lt;10000000,"1M-10M","10M+")))</f>
        <v>100K-1M</v>
      </c>
    </row>
    <row r="663" spans="1:38">
      <c r="A663">
        <v>1.866996926811382E+18</v>
      </c>
      <c r="B663" t="s">
        <v>3973</v>
      </c>
      <c r="C663" t="s">
        <v>3974</v>
      </c>
      <c r="D663" t="s">
        <v>4007</v>
      </c>
      <c r="E663" t="s">
        <v>4008</v>
      </c>
      <c r="F663" t="s">
        <v>29</v>
      </c>
      <c r="G663" t="s">
        <v>4009</v>
      </c>
      <c r="H663" t="s">
        <v>4010</v>
      </c>
      <c r="I663">
        <v>3</v>
      </c>
      <c r="J663">
        <v>34</v>
      </c>
      <c r="K663">
        <v>150</v>
      </c>
      <c r="L663">
        <v>35683</v>
      </c>
      <c r="M663" t="s">
        <v>4011</v>
      </c>
      <c r="N663" t="s">
        <v>29</v>
      </c>
      <c r="O663">
        <v>2035100</v>
      </c>
      <c r="P663" t="s">
        <v>3979</v>
      </c>
      <c r="Q663">
        <v>106867</v>
      </c>
      <c r="R663" t="s">
        <v>3980</v>
      </c>
      <c r="S663">
        <v>411</v>
      </c>
      <c r="T663" t="b">
        <v>0</v>
      </c>
      <c r="U663">
        <v>1</v>
      </c>
      <c r="V663">
        <v>8</v>
      </c>
      <c r="W663" t="s">
        <v>35</v>
      </c>
      <c r="X663" t="s">
        <v>29</v>
      </c>
      <c r="Y663" t="s">
        <v>4012</v>
      </c>
      <c r="Z663" t="s">
        <v>37</v>
      </c>
      <c r="AA663">
        <f>TwitterClean[[#This Row],[likes]]+TwitterClean[[#This Row],[replies]]+TwitterClean[[#This Row],[reposts]]+TwitterClean[[#This Row],[quotes]]+TwitterClean[[#This Row],[bookmarks]]</f>
        <v>196</v>
      </c>
      <c r="AB663" s="1">
        <f>TwitterClean[[#This Row],[Total_Engagements]]/TwitterClean[[#This Row],[views]]</f>
        <v>5.492811703051873E-3</v>
      </c>
      <c r="AC663" s="3">
        <f>DATEVALUE(MID(TwitterClean[[#This Row],[date_posted]],2,10))</f>
        <v>45638</v>
      </c>
      <c r="AD663">
        <f>TIMEVALUE(MID(TwitterClean[[#This Row],[date_posted]],13,8))</f>
        <v>1.4930555555555556E-3</v>
      </c>
      <c r="AE663" s="3" t="str">
        <f>TEXT(TwitterClean[[#This Row],[Post_Date]],"dddd")</f>
        <v>Thursday</v>
      </c>
      <c r="AF663">
        <f>HOUR(TwitterClean[[#This Row],[Post_Time]])</f>
        <v>0</v>
      </c>
      <c r="AG663" t="str">
        <f>IF(TwitterClean[[#This Row],[videos]]="Null","No","Yes")</f>
        <v>Yes</v>
      </c>
      <c r="AH663" t="str">
        <f>IF(TwitterClean[[#This Row],[photos]]="null","No","Yes")</f>
        <v>No</v>
      </c>
      <c r="AI663" t="str">
        <f>IF(TwitterClean[[#This Row],[hashtags]]="null","No","Yes")</f>
        <v>No</v>
      </c>
      <c r="AJ663" t="str">
        <f>IF(TwitterClean[[#This Row],[external_url]]="null","Yes","No")</f>
        <v>No</v>
      </c>
      <c r="AK663">
        <f>LEN(TwitterClean[[#This Row],[description]])</f>
        <v>198</v>
      </c>
      <c r="AL663" t="str">
        <f>IF(TwitterClean[[#This Row],[followers]]&lt;100000,"&lt;100K",IF(TwitterClean[[#This Row],[followers]]&lt;1000000,"100K-1M",IF(TwitterClean[[#This Row],[followers]]&lt;10000000,"1M-10M","10M+")))</f>
        <v>1M-10M</v>
      </c>
    </row>
    <row r="664" spans="1:38">
      <c r="A664">
        <v>1.8682916953951194E+18</v>
      </c>
      <c r="B664" t="s">
        <v>2230</v>
      </c>
      <c r="C664" t="s">
        <v>2231</v>
      </c>
      <c r="D664" t="s">
        <v>2672</v>
      </c>
      <c r="E664" t="s">
        <v>2673</v>
      </c>
      <c r="F664" t="s">
        <v>2674</v>
      </c>
      <c r="G664" t="s">
        <v>2675</v>
      </c>
      <c r="H664" t="s">
        <v>29</v>
      </c>
      <c r="I664">
        <v>38</v>
      </c>
      <c r="J664">
        <v>26</v>
      </c>
      <c r="K664">
        <v>106</v>
      </c>
      <c r="L664">
        <v>33206</v>
      </c>
      <c r="M664" t="s">
        <v>2676</v>
      </c>
      <c r="N664" t="s">
        <v>29</v>
      </c>
      <c r="O664">
        <v>3313889</v>
      </c>
      <c r="P664" t="s">
        <v>2237</v>
      </c>
      <c r="Q664">
        <v>706459</v>
      </c>
      <c r="R664" t="s">
        <v>2238</v>
      </c>
      <c r="S664">
        <v>10308</v>
      </c>
      <c r="T664" t="b">
        <v>0</v>
      </c>
      <c r="U664">
        <v>4</v>
      </c>
      <c r="V664">
        <v>8</v>
      </c>
      <c r="W664" t="s">
        <v>35</v>
      </c>
      <c r="X664" t="s">
        <v>29</v>
      </c>
      <c r="Y664" t="s">
        <v>29</v>
      </c>
      <c r="Z664" t="s">
        <v>37</v>
      </c>
      <c r="AA664">
        <f>TwitterClean[[#This Row],[likes]]+TwitterClean[[#This Row],[replies]]+TwitterClean[[#This Row],[reposts]]+TwitterClean[[#This Row],[quotes]]+TwitterClean[[#This Row],[bookmarks]]</f>
        <v>182</v>
      </c>
      <c r="AB664" s="1">
        <f>TwitterClean[[#This Row],[Total_Engagements]]/TwitterClean[[#This Row],[views]]</f>
        <v>5.4809371800277062E-3</v>
      </c>
      <c r="AC664" s="3">
        <f>DATEVALUE(MID(TwitterClean[[#This Row],[date_posted]],2,10))</f>
        <v>45641</v>
      </c>
      <c r="AD664">
        <f>TIMEVALUE(MID(TwitterClean[[#This Row],[date_posted]],13,8))</f>
        <v>0.57437499999999997</v>
      </c>
      <c r="AE664" s="3" t="str">
        <f>TEXT(TwitterClean[[#This Row],[Post_Date]],"dddd")</f>
        <v>Sunday</v>
      </c>
      <c r="AF664">
        <f>HOUR(TwitterClean[[#This Row],[Post_Time]])</f>
        <v>13</v>
      </c>
      <c r="AG664" t="str">
        <f>IF(TwitterClean[[#This Row],[videos]]="Null","No","Yes")</f>
        <v>No</v>
      </c>
      <c r="AH664" t="str">
        <f>IF(TwitterClean[[#This Row],[photos]]="null","No","Yes")</f>
        <v>Yes</v>
      </c>
      <c r="AI664" t="str">
        <f>IF(TwitterClean[[#This Row],[hashtags]]="null","No","Yes")</f>
        <v>No</v>
      </c>
      <c r="AJ664" t="str">
        <f>IF(TwitterClean[[#This Row],[external_url]]="null","Yes","No")</f>
        <v>No</v>
      </c>
      <c r="AK664">
        <f>LEN(TwitterClean[[#This Row],[description]])</f>
        <v>103</v>
      </c>
      <c r="AL664" t="str">
        <f>IF(TwitterClean[[#This Row],[followers]]&lt;100000,"&lt;100K",IF(TwitterClean[[#This Row],[followers]]&lt;1000000,"100K-1M",IF(TwitterClean[[#This Row],[followers]]&lt;10000000,"1M-10M","10M+")))</f>
        <v>1M-10M</v>
      </c>
    </row>
    <row r="665" spans="1:38">
      <c r="A665">
        <v>1.8678734160591916E+18</v>
      </c>
      <c r="B665" t="s">
        <v>2714</v>
      </c>
      <c r="C665" t="s">
        <v>2715</v>
      </c>
      <c r="D665" t="s">
        <v>2716</v>
      </c>
      <c r="E665" t="s">
        <v>2717</v>
      </c>
      <c r="F665" t="s">
        <v>29</v>
      </c>
      <c r="G665" t="s">
        <v>2718</v>
      </c>
      <c r="H665" t="s">
        <v>2719</v>
      </c>
      <c r="I665">
        <v>7</v>
      </c>
      <c r="J665">
        <v>6</v>
      </c>
      <c r="K665">
        <v>115</v>
      </c>
      <c r="L665">
        <v>25767</v>
      </c>
      <c r="M665" t="s">
        <v>52</v>
      </c>
      <c r="N665" t="s">
        <v>29</v>
      </c>
      <c r="O665">
        <v>182895</v>
      </c>
      <c r="P665" t="s">
        <v>2720</v>
      </c>
      <c r="Q665">
        <v>30781</v>
      </c>
      <c r="R665" t="s">
        <v>2721</v>
      </c>
      <c r="S665">
        <v>559</v>
      </c>
      <c r="T665" t="b">
        <v>0</v>
      </c>
      <c r="U665">
        <v>3</v>
      </c>
      <c r="V665">
        <v>10</v>
      </c>
      <c r="W665" t="s">
        <v>35</v>
      </c>
      <c r="X665" t="s">
        <v>29</v>
      </c>
      <c r="Y665" t="s">
        <v>2722</v>
      </c>
      <c r="Z665" t="s">
        <v>37</v>
      </c>
      <c r="AA665">
        <f>TwitterClean[[#This Row],[likes]]+TwitterClean[[#This Row],[replies]]+TwitterClean[[#This Row],[reposts]]+TwitterClean[[#This Row],[quotes]]+TwitterClean[[#This Row],[bookmarks]]</f>
        <v>141</v>
      </c>
      <c r="AB665" s="1">
        <f>TwitterClean[[#This Row],[Total_Engagements]]/TwitterClean[[#This Row],[views]]</f>
        <v>5.4721154965653744E-3</v>
      </c>
      <c r="AC665" s="3">
        <f>DATEVALUE(MID(TwitterClean[[#This Row],[date_posted]],2,10))</f>
        <v>45640</v>
      </c>
      <c r="AD665">
        <f>TIMEVALUE(MID(TwitterClean[[#This Row],[date_posted]],13,8))</f>
        <v>0.4201388888888889</v>
      </c>
      <c r="AE665" s="3" t="str">
        <f>TEXT(TwitterClean[[#This Row],[Post_Date]],"dddd")</f>
        <v>Saturday</v>
      </c>
      <c r="AF665">
        <f>HOUR(TwitterClean[[#This Row],[Post_Time]])</f>
        <v>10</v>
      </c>
      <c r="AG665" t="str">
        <f>IF(TwitterClean[[#This Row],[videos]]="Null","No","Yes")</f>
        <v>Yes</v>
      </c>
      <c r="AH665" t="str">
        <f>IF(TwitterClean[[#This Row],[photos]]="null","No","Yes")</f>
        <v>No</v>
      </c>
      <c r="AI665" t="str">
        <f>IF(TwitterClean[[#This Row],[hashtags]]="null","No","Yes")</f>
        <v>No</v>
      </c>
      <c r="AJ665" t="str">
        <f>IF(TwitterClean[[#This Row],[external_url]]="null","Yes","No")</f>
        <v>No</v>
      </c>
      <c r="AK665">
        <f>LEN(TwitterClean[[#This Row],[description]])</f>
        <v>148</v>
      </c>
      <c r="AL665" t="str">
        <f>IF(TwitterClean[[#This Row],[followers]]&lt;100000,"&lt;100K",IF(TwitterClean[[#This Row],[followers]]&lt;1000000,"100K-1M",IF(TwitterClean[[#This Row],[followers]]&lt;10000000,"1M-10M","10M+")))</f>
        <v>100K-1M</v>
      </c>
    </row>
    <row r="666" spans="1:38">
      <c r="A666">
        <v>1.8683934194224543E+18</v>
      </c>
      <c r="B666" t="s">
        <v>1646</v>
      </c>
      <c r="C666" t="s">
        <v>1647</v>
      </c>
      <c r="D666" t="s">
        <v>1829</v>
      </c>
      <c r="E666" t="s">
        <v>1830</v>
      </c>
      <c r="F666" t="s">
        <v>29</v>
      </c>
      <c r="G666" t="s">
        <v>1831</v>
      </c>
      <c r="H666" t="s">
        <v>29</v>
      </c>
      <c r="I666">
        <v>4</v>
      </c>
      <c r="J666">
        <v>2</v>
      </c>
      <c r="K666">
        <v>42</v>
      </c>
      <c r="L666">
        <v>9174</v>
      </c>
      <c r="M666" t="s">
        <v>1832</v>
      </c>
      <c r="N666" t="s">
        <v>1652</v>
      </c>
      <c r="O666">
        <v>3768943</v>
      </c>
      <c r="P666" t="s">
        <v>1653</v>
      </c>
      <c r="Q666">
        <v>897934</v>
      </c>
      <c r="R666" t="s">
        <v>1654</v>
      </c>
      <c r="S666">
        <v>28</v>
      </c>
      <c r="T666" t="b">
        <v>0</v>
      </c>
      <c r="U666">
        <v>1</v>
      </c>
      <c r="V666">
        <v>1</v>
      </c>
      <c r="W666" t="s">
        <v>35</v>
      </c>
      <c r="X666" t="s">
        <v>1833</v>
      </c>
      <c r="Y666" t="s">
        <v>29</v>
      </c>
      <c r="Z666" t="s">
        <v>37</v>
      </c>
      <c r="AA666">
        <f>TwitterClean[[#This Row],[likes]]+TwitterClean[[#This Row],[replies]]+TwitterClean[[#This Row],[reposts]]+TwitterClean[[#This Row],[quotes]]+TwitterClean[[#This Row],[bookmarks]]</f>
        <v>50</v>
      </c>
      <c r="AB666" s="1">
        <f>TwitterClean[[#This Row],[Total_Engagements]]/TwitterClean[[#This Row],[views]]</f>
        <v>5.4501853063004145E-3</v>
      </c>
      <c r="AC666" s="3">
        <f>DATEVALUE(MID(TwitterClean[[#This Row],[date_posted]],2,10))</f>
        <v>45641</v>
      </c>
      <c r="AD666">
        <f>TIMEVALUE(MID(TwitterClean[[#This Row],[date_posted]],13,8))</f>
        <v>0.85506944444444444</v>
      </c>
      <c r="AE666" s="3" t="str">
        <f>TEXT(TwitterClean[[#This Row],[Post_Date]],"dddd")</f>
        <v>Sunday</v>
      </c>
      <c r="AF666">
        <f>HOUR(TwitterClean[[#This Row],[Post_Time]])</f>
        <v>20</v>
      </c>
      <c r="AG666" t="str">
        <f>IF(TwitterClean[[#This Row],[videos]]="Null","No","Yes")</f>
        <v>No</v>
      </c>
      <c r="AH666" t="str">
        <f>IF(TwitterClean[[#This Row],[photos]]="null","No","Yes")</f>
        <v>No</v>
      </c>
      <c r="AI666" t="str">
        <f>IF(TwitterClean[[#This Row],[hashtags]]="null","No","Yes")</f>
        <v>Yes</v>
      </c>
      <c r="AJ666" t="str">
        <f>IF(TwitterClean[[#This Row],[external_url]]="null","Yes","No")</f>
        <v>No</v>
      </c>
      <c r="AK666">
        <f>LEN(TwitterClean[[#This Row],[description]])</f>
        <v>125</v>
      </c>
      <c r="AL666" t="str">
        <f>IF(TwitterClean[[#This Row],[followers]]&lt;100000,"&lt;100K",IF(TwitterClean[[#This Row],[followers]]&lt;1000000,"100K-1M",IF(TwitterClean[[#This Row],[followers]]&lt;10000000,"1M-10M","10M+")))</f>
        <v>1M-10M</v>
      </c>
    </row>
    <row r="667" spans="1:38">
      <c r="A667">
        <v>1.861417375922561E+18</v>
      </c>
      <c r="B667" t="s">
        <v>4096</v>
      </c>
      <c r="C667" t="s">
        <v>4097</v>
      </c>
      <c r="D667" t="s">
        <v>4098</v>
      </c>
      <c r="E667" t="s">
        <v>4099</v>
      </c>
      <c r="F667" t="s">
        <v>29</v>
      </c>
      <c r="G667" t="s">
        <v>4100</v>
      </c>
      <c r="H667" t="s">
        <v>29</v>
      </c>
      <c r="I667">
        <v>163</v>
      </c>
      <c r="J667">
        <v>740</v>
      </c>
      <c r="K667">
        <v>4085</v>
      </c>
      <c r="L667">
        <v>1190863</v>
      </c>
      <c r="M667" t="s">
        <v>52</v>
      </c>
      <c r="N667" t="s">
        <v>4101</v>
      </c>
      <c r="O667">
        <v>76661</v>
      </c>
      <c r="P667" t="s">
        <v>4102</v>
      </c>
      <c r="Q667">
        <v>7251</v>
      </c>
      <c r="R667" t="s">
        <v>4103</v>
      </c>
      <c r="S667">
        <v>1497</v>
      </c>
      <c r="T667" t="b">
        <v>0</v>
      </c>
      <c r="U667">
        <v>18</v>
      </c>
      <c r="V667">
        <v>1457</v>
      </c>
      <c r="W667" t="s">
        <v>35</v>
      </c>
      <c r="X667" t="s">
        <v>29</v>
      </c>
      <c r="Y667" t="s">
        <v>4104</v>
      </c>
      <c r="Z667" t="s">
        <v>37</v>
      </c>
      <c r="AA667">
        <f>TwitterClean[[#This Row],[likes]]+TwitterClean[[#This Row],[replies]]+TwitterClean[[#This Row],[reposts]]+TwitterClean[[#This Row],[quotes]]+TwitterClean[[#This Row],[bookmarks]]</f>
        <v>6463</v>
      </c>
      <c r="AB667" s="1">
        <f>TwitterClean[[#This Row],[Total_Engagements]]/TwitterClean[[#This Row],[views]]</f>
        <v>5.4271566082748392E-3</v>
      </c>
      <c r="AC667" s="3">
        <f>DATEVALUE(MID(TwitterClean[[#This Row],[date_posted]],2,10))</f>
        <v>45622</v>
      </c>
      <c r="AD667">
        <f>TIMEVALUE(MID(TwitterClean[[#This Row],[date_posted]],13,8))</f>
        <v>0.60486111111111107</v>
      </c>
      <c r="AE667" s="3" t="str">
        <f>TEXT(TwitterClean[[#This Row],[Post_Date]],"dddd")</f>
        <v>Tuesday</v>
      </c>
      <c r="AF667">
        <f>HOUR(TwitterClean[[#This Row],[Post_Time]])</f>
        <v>14</v>
      </c>
      <c r="AG667" t="str">
        <f>IF(TwitterClean[[#This Row],[videos]]="Null","No","Yes")</f>
        <v>Yes</v>
      </c>
      <c r="AH667" t="str">
        <f>IF(TwitterClean[[#This Row],[photos]]="null","No","Yes")</f>
        <v>No</v>
      </c>
      <c r="AI667" t="str">
        <f>IF(TwitterClean[[#This Row],[hashtags]]="null","No","Yes")</f>
        <v>Yes</v>
      </c>
      <c r="AJ667" t="str">
        <f>IF(TwitterClean[[#This Row],[external_url]]="null","Yes","No")</f>
        <v>No</v>
      </c>
      <c r="AK667">
        <f>LEN(TwitterClean[[#This Row],[description]])</f>
        <v>97</v>
      </c>
      <c r="AL667" t="str">
        <f>IF(TwitterClean[[#This Row],[followers]]&lt;100000,"&lt;100K",IF(TwitterClean[[#This Row],[followers]]&lt;1000000,"100K-1M",IF(TwitterClean[[#This Row],[followers]]&lt;10000000,"1M-10M","10M+")))</f>
        <v>&lt;100K</v>
      </c>
    </row>
    <row r="668" spans="1:38">
      <c r="A668">
        <v>1.7406919784704822E+18</v>
      </c>
      <c r="B668" t="s">
        <v>4124</v>
      </c>
      <c r="C668" t="s">
        <v>4125</v>
      </c>
      <c r="D668" t="s">
        <v>4126</v>
      </c>
      <c r="E668" t="s">
        <v>4127</v>
      </c>
      <c r="F668" t="s">
        <v>4128</v>
      </c>
      <c r="G668" t="s">
        <v>4129</v>
      </c>
      <c r="H668" t="s">
        <v>29</v>
      </c>
      <c r="I668">
        <v>137</v>
      </c>
      <c r="J668">
        <v>77</v>
      </c>
      <c r="K668">
        <v>1645</v>
      </c>
      <c r="L668">
        <v>355493</v>
      </c>
      <c r="M668" t="s">
        <v>52</v>
      </c>
      <c r="N668" t="s">
        <v>4130</v>
      </c>
      <c r="O668">
        <v>151269</v>
      </c>
      <c r="P668" t="s">
        <v>4131</v>
      </c>
      <c r="Q668">
        <v>3349</v>
      </c>
      <c r="R668" t="s">
        <v>4132</v>
      </c>
      <c r="S668">
        <v>187</v>
      </c>
      <c r="T668" t="b">
        <v>0</v>
      </c>
      <c r="U668">
        <v>14</v>
      </c>
      <c r="V668">
        <v>47</v>
      </c>
      <c r="W668" t="s">
        <v>35</v>
      </c>
      <c r="X668" t="s">
        <v>29</v>
      </c>
      <c r="Y668" t="s">
        <v>29</v>
      </c>
      <c r="Z668" t="s">
        <v>37</v>
      </c>
      <c r="AA668">
        <f>TwitterClean[[#This Row],[likes]]+TwitterClean[[#This Row],[replies]]+TwitterClean[[#This Row],[reposts]]+TwitterClean[[#This Row],[quotes]]+TwitterClean[[#This Row],[bookmarks]]</f>
        <v>1920</v>
      </c>
      <c r="AB668" s="1">
        <f>TwitterClean[[#This Row],[Total_Engagements]]/TwitterClean[[#This Row],[views]]</f>
        <v>5.4009502296810345E-3</v>
      </c>
      <c r="AC668" s="3">
        <f>DATEVALUE(MID(TwitterClean[[#This Row],[date_posted]],2,10))</f>
        <v>45289</v>
      </c>
      <c r="AD668">
        <f>TIMEVALUE(MID(TwitterClean[[#This Row],[date_posted]],13,8))</f>
        <v>0.46622685185185186</v>
      </c>
      <c r="AE668" s="3" t="str">
        <f>TEXT(TwitterClean[[#This Row],[Post_Date]],"dddd")</f>
        <v>Friday</v>
      </c>
      <c r="AF668">
        <f>HOUR(TwitterClean[[#This Row],[Post_Time]])</f>
        <v>11</v>
      </c>
      <c r="AG668" t="str">
        <f>IF(TwitterClean[[#This Row],[videos]]="Null","No","Yes")</f>
        <v>No</v>
      </c>
      <c r="AH668" t="str">
        <f>IF(TwitterClean[[#This Row],[photos]]="null","No","Yes")</f>
        <v>Yes</v>
      </c>
      <c r="AI668" t="str">
        <f>IF(TwitterClean[[#This Row],[hashtags]]="null","No","Yes")</f>
        <v>Yes</v>
      </c>
      <c r="AJ668" t="str">
        <f>IF(TwitterClean[[#This Row],[external_url]]="null","Yes","No")</f>
        <v>No</v>
      </c>
      <c r="AK668">
        <f>LEN(TwitterClean[[#This Row],[description]])</f>
        <v>7</v>
      </c>
      <c r="AL668" t="str">
        <f>IF(TwitterClean[[#This Row],[followers]]&lt;100000,"&lt;100K",IF(TwitterClean[[#This Row],[followers]]&lt;1000000,"100K-1M",IF(TwitterClean[[#This Row],[followers]]&lt;10000000,"1M-10M","10M+")))</f>
        <v>100K-1M</v>
      </c>
    </row>
    <row r="669" spans="1:38">
      <c r="A669">
        <v>1.8683572379843466E+18</v>
      </c>
      <c r="B669" t="s">
        <v>1656</v>
      </c>
      <c r="C669" t="s">
        <v>1657</v>
      </c>
      <c r="D669" t="s">
        <v>1715</v>
      </c>
      <c r="E669" t="s">
        <v>1716</v>
      </c>
      <c r="F669" t="s">
        <v>29</v>
      </c>
      <c r="G669" t="s">
        <v>1717</v>
      </c>
      <c r="H669" t="s">
        <v>29</v>
      </c>
      <c r="I669">
        <v>1</v>
      </c>
      <c r="J669">
        <v>2</v>
      </c>
      <c r="K669">
        <v>42</v>
      </c>
      <c r="L669">
        <v>12068</v>
      </c>
      <c r="M669" t="s">
        <v>1718</v>
      </c>
      <c r="N669" t="s">
        <v>29</v>
      </c>
      <c r="O669">
        <v>2819406</v>
      </c>
      <c r="P669" t="s">
        <v>1662</v>
      </c>
      <c r="Q669">
        <v>286269</v>
      </c>
      <c r="R669" t="s">
        <v>1663</v>
      </c>
      <c r="S669">
        <v>4</v>
      </c>
      <c r="T669" t="b">
        <v>0</v>
      </c>
      <c r="U669">
        <v>18</v>
      </c>
      <c r="V669">
        <v>2</v>
      </c>
      <c r="W669" t="s">
        <v>35</v>
      </c>
      <c r="X669" t="s">
        <v>1719</v>
      </c>
      <c r="Y669" t="s">
        <v>29</v>
      </c>
      <c r="Z669" t="s">
        <v>37</v>
      </c>
      <c r="AA669">
        <f>TwitterClean[[#This Row],[likes]]+TwitterClean[[#This Row],[replies]]+TwitterClean[[#This Row],[reposts]]+TwitterClean[[#This Row],[quotes]]+TwitterClean[[#This Row],[bookmarks]]</f>
        <v>65</v>
      </c>
      <c r="AB669" s="1">
        <f>TwitterClean[[#This Row],[Total_Engagements]]/TwitterClean[[#This Row],[views]]</f>
        <v>5.3861451773284724E-3</v>
      </c>
      <c r="AC669" s="3">
        <f>DATEVALUE(MID(TwitterClean[[#This Row],[date_posted]],2,10))</f>
        <v>45641</v>
      </c>
      <c r="AD669">
        <f>TIMEVALUE(MID(TwitterClean[[#This Row],[date_posted]],13,8))</f>
        <v>0.75523148148148145</v>
      </c>
      <c r="AE669" s="3" t="str">
        <f>TEXT(TwitterClean[[#This Row],[Post_Date]],"dddd")</f>
        <v>Sunday</v>
      </c>
      <c r="AF669">
        <f>HOUR(TwitterClean[[#This Row],[Post_Time]])</f>
        <v>18</v>
      </c>
      <c r="AG669" t="str">
        <f>IF(TwitterClean[[#This Row],[videos]]="Null","No","Yes")</f>
        <v>No</v>
      </c>
      <c r="AH669" t="str">
        <f>IF(TwitterClean[[#This Row],[photos]]="null","No","Yes")</f>
        <v>No</v>
      </c>
      <c r="AI669" t="str">
        <f>IF(TwitterClean[[#This Row],[hashtags]]="null","No","Yes")</f>
        <v>No</v>
      </c>
      <c r="AJ669" t="str">
        <f>IF(TwitterClean[[#This Row],[external_url]]="null","Yes","No")</f>
        <v>No</v>
      </c>
      <c r="AK669">
        <f>LEN(TwitterClean[[#This Row],[description]])</f>
        <v>75</v>
      </c>
      <c r="AL669" t="str">
        <f>IF(TwitterClean[[#This Row],[followers]]&lt;100000,"&lt;100K",IF(TwitterClean[[#This Row],[followers]]&lt;1000000,"100K-1M",IF(TwitterClean[[#This Row],[followers]]&lt;10000000,"1M-10M","10M+")))</f>
        <v>1M-10M</v>
      </c>
    </row>
    <row r="670" spans="1:38">
      <c r="A670">
        <v>1.8683479540602063E+18</v>
      </c>
      <c r="B670" t="s">
        <v>2994</v>
      </c>
      <c r="C670" t="s">
        <v>2995</v>
      </c>
      <c r="D670" t="s">
        <v>5127</v>
      </c>
      <c r="E670" t="s">
        <v>5128</v>
      </c>
      <c r="F670" t="s">
        <v>5129</v>
      </c>
      <c r="G670" t="s">
        <v>5130</v>
      </c>
      <c r="H670" t="s">
        <v>29</v>
      </c>
      <c r="I670">
        <v>77</v>
      </c>
      <c r="J670">
        <v>73</v>
      </c>
      <c r="K670">
        <v>962</v>
      </c>
      <c r="L670">
        <v>211887</v>
      </c>
      <c r="M670" t="s">
        <v>52</v>
      </c>
      <c r="N670" t="s">
        <v>3174</v>
      </c>
      <c r="O670">
        <v>812163</v>
      </c>
      <c r="P670" t="s">
        <v>3000</v>
      </c>
      <c r="Q670">
        <v>110924</v>
      </c>
      <c r="R670" t="s">
        <v>3001</v>
      </c>
      <c r="S670">
        <v>322</v>
      </c>
      <c r="T670" t="b">
        <v>0</v>
      </c>
      <c r="U670">
        <v>23</v>
      </c>
      <c r="V670">
        <v>6</v>
      </c>
      <c r="W670" t="s">
        <v>35</v>
      </c>
      <c r="X670" t="s">
        <v>29</v>
      </c>
      <c r="Y670" t="s">
        <v>29</v>
      </c>
      <c r="Z670" t="s">
        <v>37</v>
      </c>
      <c r="AA670">
        <f>TwitterClean[[#This Row],[likes]]+TwitterClean[[#This Row],[replies]]+TwitterClean[[#This Row],[reposts]]+TwitterClean[[#This Row],[quotes]]+TwitterClean[[#This Row],[bookmarks]]</f>
        <v>1141</v>
      </c>
      <c r="AB670" s="1">
        <f>TwitterClean[[#This Row],[Total_Engagements]]/TwitterClean[[#This Row],[views]]</f>
        <v>5.384945749385286E-3</v>
      </c>
      <c r="AC670" s="3">
        <f>DATEVALUE(MID(TwitterClean[[#This Row],[date_posted]],2,10))</f>
        <v>45641</v>
      </c>
      <c r="AD670">
        <f>TIMEVALUE(MID(TwitterClean[[#This Row],[date_posted]],13,8))</f>
        <v>0.72961805555555559</v>
      </c>
      <c r="AE670" s="3" t="str">
        <f>TEXT(TwitterClean[[#This Row],[Post_Date]],"dddd")</f>
        <v>Sunday</v>
      </c>
      <c r="AF670">
        <f>HOUR(TwitterClean[[#This Row],[Post_Time]])</f>
        <v>17</v>
      </c>
      <c r="AG670" t="str">
        <f>IF(TwitterClean[[#This Row],[videos]]="Null","No","Yes")</f>
        <v>No</v>
      </c>
      <c r="AH670" t="str">
        <f>IF(TwitterClean[[#This Row],[photos]]="null","No","Yes")</f>
        <v>Yes</v>
      </c>
      <c r="AI670" t="str">
        <f>IF(TwitterClean[[#This Row],[hashtags]]="null","No","Yes")</f>
        <v>Yes</v>
      </c>
      <c r="AJ670" t="str">
        <f>IF(TwitterClean[[#This Row],[external_url]]="null","Yes","No")</f>
        <v>No</v>
      </c>
      <c r="AK670">
        <f>LEN(TwitterClean[[#This Row],[description]])</f>
        <v>82</v>
      </c>
      <c r="AL670" t="str">
        <f>IF(TwitterClean[[#This Row],[followers]]&lt;100000,"&lt;100K",IF(TwitterClean[[#This Row],[followers]]&lt;1000000,"100K-1M",IF(TwitterClean[[#This Row],[followers]]&lt;10000000,"1M-10M","10M+")))</f>
        <v>100K-1M</v>
      </c>
    </row>
    <row r="671" spans="1:38">
      <c r="A671">
        <v>1.868401245876085E+18</v>
      </c>
      <c r="B671" t="s">
        <v>26</v>
      </c>
      <c r="C671" t="s">
        <v>26</v>
      </c>
      <c r="D671" t="s">
        <v>134</v>
      </c>
      <c r="E671" t="s">
        <v>135</v>
      </c>
      <c r="F671" t="s">
        <v>29</v>
      </c>
      <c r="G671" t="s">
        <v>136</v>
      </c>
      <c r="H671" t="s">
        <v>29</v>
      </c>
      <c r="I671">
        <v>8</v>
      </c>
      <c r="J671">
        <v>2</v>
      </c>
      <c r="K671">
        <v>32</v>
      </c>
      <c r="L671">
        <v>8239</v>
      </c>
      <c r="M671" t="s">
        <v>31</v>
      </c>
      <c r="N671" t="s">
        <v>137</v>
      </c>
      <c r="O671">
        <v>5771760</v>
      </c>
      <c r="P671" t="s">
        <v>33</v>
      </c>
      <c r="Q671">
        <v>222223</v>
      </c>
      <c r="R671" t="s">
        <v>34</v>
      </c>
      <c r="S671">
        <v>122</v>
      </c>
      <c r="T671" t="b">
        <v>0</v>
      </c>
      <c r="U671">
        <v>1</v>
      </c>
      <c r="V671">
        <v>1</v>
      </c>
      <c r="W671" t="s">
        <v>35</v>
      </c>
      <c r="X671" t="s">
        <v>29</v>
      </c>
      <c r="Y671" t="s">
        <v>138</v>
      </c>
      <c r="Z671" t="s">
        <v>37</v>
      </c>
      <c r="AA671">
        <f>TwitterClean[[#This Row],[likes]]+TwitterClean[[#This Row],[replies]]+TwitterClean[[#This Row],[reposts]]+TwitterClean[[#This Row],[quotes]]+TwitterClean[[#This Row],[bookmarks]]</f>
        <v>44</v>
      </c>
      <c r="AB671" s="1">
        <f>TwitterClean[[#This Row],[Total_Engagements]]/TwitterClean[[#This Row],[views]]</f>
        <v>5.3404539385847796E-3</v>
      </c>
      <c r="AC671" s="3">
        <f>DATEVALUE(MID(TwitterClean[[#This Row],[date_posted]],2,10))</f>
        <v>45641</v>
      </c>
      <c r="AD671">
        <f>TIMEVALUE(MID(TwitterClean[[#This Row],[date_posted]],13,8))</f>
        <v>0.87666666666666671</v>
      </c>
      <c r="AE671" s="3" t="str">
        <f>TEXT(TwitterClean[[#This Row],[Post_Date]],"dddd")</f>
        <v>Sunday</v>
      </c>
      <c r="AF671">
        <f>HOUR(TwitterClean[[#This Row],[Post_Time]])</f>
        <v>21</v>
      </c>
      <c r="AG671" t="str">
        <f>IF(TwitterClean[[#This Row],[videos]]="Null","No","Yes")</f>
        <v>Yes</v>
      </c>
      <c r="AH671" t="str">
        <f>IF(TwitterClean[[#This Row],[photos]]="null","No","Yes")</f>
        <v>No</v>
      </c>
      <c r="AI671" t="str">
        <f>IF(TwitterClean[[#This Row],[hashtags]]="null","No","Yes")</f>
        <v>Yes</v>
      </c>
      <c r="AJ671" t="str">
        <f>IF(TwitterClean[[#This Row],[external_url]]="null","Yes","No")</f>
        <v>No</v>
      </c>
      <c r="AK671">
        <f>LEN(TwitterClean[[#This Row],[description]])</f>
        <v>57</v>
      </c>
      <c r="AL671" t="str">
        <f>IF(TwitterClean[[#This Row],[followers]]&lt;100000,"&lt;100K",IF(TwitterClean[[#This Row],[followers]]&lt;1000000,"100K-1M",IF(TwitterClean[[#This Row],[followers]]&lt;10000000,"1M-10M","10M+")))</f>
        <v>1M-10M</v>
      </c>
    </row>
    <row r="672" spans="1:38">
      <c r="A672">
        <v>1.8683123183727124E+18</v>
      </c>
      <c r="B672" t="s">
        <v>2230</v>
      </c>
      <c r="C672" t="s">
        <v>2231</v>
      </c>
      <c r="D672" t="s">
        <v>2333</v>
      </c>
      <c r="E672" t="s">
        <v>2334</v>
      </c>
      <c r="F672" t="s">
        <v>2335</v>
      </c>
      <c r="G672" t="s">
        <v>2336</v>
      </c>
      <c r="H672" t="s">
        <v>29</v>
      </c>
      <c r="I672">
        <v>49</v>
      </c>
      <c r="J672">
        <v>11</v>
      </c>
      <c r="K672">
        <v>112</v>
      </c>
      <c r="L672">
        <v>33900</v>
      </c>
      <c r="M672" t="s">
        <v>2337</v>
      </c>
      <c r="N672" t="s">
        <v>29</v>
      </c>
      <c r="O672">
        <v>3313889</v>
      </c>
      <c r="P672" t="s">
        <v>2237</v>
      </c>
      <c r="Q672">
        <v>706459</v>
      </c>
      <c r="R672" t="s">
        <v>2238</v>
      </c>
      <c r="S672">
        <v>10308</v>
      </c>
      <c r="T672" t="b">
        <v>0</v>
      </c>
      <c r="U672">
        <v>5</v>
      </c>
      <c r="V672">
        <v>3</v>
      </c>
      <c r="W672" t="s">
        <v>35</v>
      </c>
      <c r="X672" t="s">
        <v>29</v>
      </c>
      <c r="Y672" t="s">
        <v>29</v>
      </c>
      <c r="Z672" t="s">
        <v>37</v>
      </c>
      <c r="AA672">
        <f>TwitterClean[[#This Row],[likes]]+TwitterClean[[#This Row],[replies]]+TwitterClean[[#This Row],[reposts]]+TwitterClean[[#This Row],[quotes]]+TwitterClean[[#This Row],[bookmarks]]</f>
        <v>180</v>
      </c>
      <c r="AB672" s="1">
        <f>TwitterClean[[#This Row],[Total_Engagements]]/TwitterClean[[#This Row],[views]]</f>
        <v>5.3097345132743362E-3</v>
      </c>
      <c r="AC672" s="3">
        <f>DATEVALUE(MID(TwitterClean[[#This Row],[date_posted]],2,10))</f>
        <v>45641</v>
      </c>
      <c r="AD672">
        <f>TIMEVALUE(MID(TwitterClean[[#This Row],[date_posted]],13,8))</f>
        <v>0.63127314814814817</v>
      </c>
      <c r="AE672" s="3" t="str">
        <f>TEXT(TwitterClean[[#This Row],[Post_Date]],"dddd")</f>
        <v>Sunday</v>
      </c>
      <c r="AF672">
        <f>HOUR(TwitterClean[[#This Row],[Post_Time]])</f>
        <v>15</v>
      </c>
      <c r="AG672" t="str">
        <f>IF(TwitterClean[[#This Row],[videos]]="Null","No","Yes")</f>
        <v>No</v>
      </c>
      <c r="AH672" t="str">
        <f>IF(TwitterClean[[#This Row],[photos]]="null","No","Yes")</f>
        <v>Yes</v>
      </c>
      <c r="AI672" t="str">
        <f>IF(TwitterClean[[#This Row],[hashtags]]="null","No","Yes")</f>
        <v>No</v>
      </c>
      <c r="AJ672" t="str">
        <f>IF(TwitterClean[[#This Row],[external_url]]="null","Yes","No")</f>
        <v>No</v>
      </c>
      <c r="AK672">
        <f>LEN(TwitterClean[[#This Row],[description]])</f>
        <v>99</v>
      </c>
      <c r="AL672" t="str">
        <f>IF(TwitterClean[[#This Row],[followers]]&lt;100000,"&lt;100K",IF(TwitterClean[[#This Row],[followers]]&lt;1000000,"100K-1M",IF(TwitterClean[[#This Row],[followers]]&lt;10000000,"1M-10M","10M+")))</f>
        <v>1M-10M</v>
      </c>
    </row>
    <row r="673" spans="1:38">
      <c r="A673">
        <v>1.8681676344133391E+18</v>
      </c>
      <c r="B673" t="s">
        <v>3034</v>
      </c>
      <c r="C673" t="s">
        <v>3035</v>
      </c>
      <c r="D673" t="s">
        <v>3754</v>
      </c>
      <c r="E673" t="s">
        <v>3755</v>
      </c>
      <c r="F673" t="s">
        <v>29</v>
      </c>
      <c r="G673" t="s">
        <v>3756</v>
      </c>
      <c r="H673" t="s">
        <v>3262</v>
      </c>
      <c r="I673">
        <v>58</v>
      </c>
      <c r="J673">
        <v>54</v>
      </c>
      <c r="K673">
        <v>1012</v>
      </c>
      <c r="L673">
        <v>218038</v>
      </c>
      <c r="M673" t="s">
        <v>52</v>
      </c>
      <c r="N673" t="s">
        <v>29</v>
      </c>
      <c r="O673">
        <v>12876593</v>
      </c>
      <c r="P673" t="s">
        <v>3041</v>
      </c>
      <c r="Q673">
        <v>141401</v>
      </c>
      <c r="R673" t="s">
        <v>3042</v>
      </c>
      <c r="S673">
        <v>717</v>
      </c>
      <c r="T673" t="b">
        <v>0</v>
      </c>
      <c r="U673">
        <v>4</v>
      </c>
      <c r="V673">
        <v>29</v>
      </c>
      <c r="W673" t="s">
        <v>35</v>
      </c>
      <c r="X673" t="s">
        <v>29</v>
      </c>
      <c r="Y673" t="s">
        <v>3757</v>
      </c>
      <c r="Z673" t="s">
        <v>37</v>
      </c>
      <c r="AA673">
        <f>TwitterClean[[#This Row],[likes]]+TwitterClean[[#This Row],[replies]]+TwitterClean[[#This Row],[reposts]]+TwitterClean[[#This Row],[quotes]]+TwitterClean[[#This Row],[bookmarks]]</f>
        <v>1157</v>
      </c>
      <c r="AB673" s="1">
        <f>TwitterClean[[#This Row],[Total_Engagements]]/TwitterClean[[#This Row],[views]]</f>
        <v>5.3064144782102203E-3</v>
      </c>
      <c r="AC673" s="3">
        <f>DATEVALUE(MID(TwitterClean[[#This Row],[date_posted]],2,10))</f>
        <v>45641</v>
      </c>
      <c r="AD673">
        <f>TIMEVALUE(MID(TwitterClean[[#This Row],[date_posted]],13,8))</f>
        <v>0.23202546296296298</v>
      </c>
      <c r="AE673" s="3" t="str">
        <f>TEXT(TwitterClean[[#This Row],[Post_Date]],"dddd")</f>
        <v>Sunday</v>
      </c>
      <c r="AF673">
        <f>HOUR(TwitterClean[[#This Row],[Post_Time]])</f>
        <v>5</v>
      </c>
      <c r="AG673" t="str">
        <f>IF(TwitterClean[[#This Row],[videos]]="Null","No","Yes")</f>
        <v>Yes</v>
      </c>
      <c r="AH673" t="str">
        <f>IF(TwitterClean[[#This Row],[photos]]="null","No","Yes")</f>
        <v>No</v>
      </c>
      <c r="AI673" t="str">
        <f>IF(TwitterClean[[#This Row],[hashtags]]="null","No","Yes")</f>
        <v>No</v>
      </c>
      <c r="AJ673" t="str">
        <f>IF(TwitterClean[[#This Row],[external_url]]="null","Yes","No")</f>
        <v>No</v>
      </c>
      <c r="AK673">
        <f>LEN(TwitterClean[[#This Row],[description]])</f>
        <v>95</v>
      </c>
      <c r="AL673" t="str">
        <f>IF(TwitterClean[[#This Row],[followers]]&lt;100000,"&lt;100K",IF(TwitterClean[[#This Row],[followers]]&lt;1000000,"100K-1M",IF(TwitterClean[[#This Row],[followers]]&lt;10000000,"1M-10M","10M+")))</f>
        <v>10M+</v>
      </c>
    </row>
    <row r="674" spans="1:38">
      <c r="A674">
        <v>1.8683392594022241E+18</v>
      </c>
      <c r="B674" t="s">
        <v>2230</v>
      </c>
      <c r="C674" t="s">
        <v>2231</v>
      </c>
      <c r="D674" t="s">
        <v>2389</v>
      </c>
      <c r="E674" t="s">
        <v>2390</v>
      </c>
      <c r="F674" t="s">
        <v>2391</v>
      </c>
      <c r="G674" t="s">
        <v>2392</v>
      </c>
      <c r="H674" t="s">
        <v>29</v>
      </c>
      <c r="I674">
        <v>48</v>
      </c>
      <c r="J674">
        <v>8</v>
      </c>
      <c r="K674">
        <v>129</v>
      </c>
      <c r="L674">
        <v>37326</v>
      </c>
      <c r="M674" t="s">
        <v>2393</v>
      </c>
      <c r="N674" t="s">
        <v>29</v>
      </c>
      <c r="O674">
        <v>3313888</v>
      </c>
      <c r="P674" t="s">
        <v>2237</v>
      </c>
      <c r="Q674">
        <v>706459</v>
      </c>
      <c r="R674" t="s">
        <v>2238</v>
      </c>
      <c r="S674">
        <v>10308</v>
      </c>
      <c r="T674" t="b">
        <v>0</v>
      </c>
      <c r="U674">
        <v>3</v>
      </c>
      <c r="V674">
        <v>10</v>
      </c>
      <c r="W674" t="s">
        <v>35</v>
      </c>
      <c r="X674" t="s">
        <v>29</v>
      </c>
      <c r="Y674" t="s">
        <v>29</v>
      </c>
      <c r="Z674" t="s">
        <v>37</v>
      </c>
      <c r="AA674">
        <f>TwitterClean[[#This Row],[likes]]+TwitterClean[[#This Row],[replies]]+TwitterClean[[#This Row],[reposts]]+TwitterClean[[#This Row],[quotes]]+TwitterClean[[#This Row],[bookmarks]]</f>
        <v>198</v>
      </c>
      <c r="AB674" s="1">
        <f>TwitterClean[[#This Row],[Total_Engagements]]/TwitterClean[[#This Row],[views]]</f>
        <v>5.30461340620479E-3</v>
      </c>
      <c r="AC674" s="3">
        <f>DATEVALUE(MID(TwitterClean[[#This Row],[date_posted]],2,10))</f>
        <v>45641</v>
      </c>
      <c r="AD674">
        <f>TIMEVALUE(MID(TwitterClean[[#This Row],[date_posted]],13,8))</f>
        <v>0.70562499999999995</v>
      </c>
      <c r="AE674" s="3" t="str">
        <f>TEXT(TwitterClean[[#This Row],[Post_Date]],"dddd")</f>
        <v>Sunday</v>
      </c>
      <c r="AF674">
        <f>HOUR(TwitterClean[[#This Row],[Post_Time]])</f>
        <v>16</v>
      </c>
      <c r="AG674" t="str">
        <f>IF(TwitterClean[[#This Row],[videos]]="Null","No","Yes")</f>
        <v>No</v>
      </c>
      <c r="AH674" t="str">
        <f>IF(TwitterClean[[#This Row],[photos]]="null","No","Yes")</f>
        <v>Yes</v>
      </c>
      <c r="AI674" t="str">
        <f>IF(TwitterClean[[#This Row],[hashtags]]="null","No","Yes")</f>
        <v>No</v>
      </c>
      <c r="AJ674" t="str">
        <f>IF(TwitterClean[[#This Row],[external_url]]="null","Yes","No")</f>
        <v>No</v>
      </c>
      <c r="AK674">
        <f>LEN(TwitterClean[[#This Row],[description]])</f>
        <v>89</v>
      </c>
      <c r="AL674" t="str">
        <f>IF(TwitterClean[[#This Row],[followers]]&lt;100000,"&lt;100K",IF(TwitterClean[[#This Row],[followers]]&lt;1000000,"100K-1M",IF(TwitterClean[[#This Row],[followers]]&lt;10000000,"1M-10M","10M+")))</f>
        <v>1M-10M</v>
      </c>
    </row>
    <row r="675" spans="1:38">
      <c r="A675">
        <v>1.8682950783994312E+18</v>
      </c>
      <c r="B675" t="s">
        <v>333</v>
      </c>
      <c r="C675" t="s">
        <v>334</v>
      </c>
      <c r="D675" t="s">
        <v>335</v>
      </c>
      <c r="E675" t="s">
        <v>336</v>
      </c>
      <c r="F675" t="s">
        <v>337</v>
      </c>
      <c r="G675" t="s">
        <v>338</v>
      </c>
      <c r="H675" t="s">
        <v>29</v>
      </c>
      <c r="I675">
        <v>3</v>
      </c>
      <c r="J675">
        <v>5</v>
      </c>
      <c r="K675">
        <v>87</v>
      </c>
      <c r="L675">
        <v>18192</v>
      </c>
      <c r="M675" t="s">
        <v>339</v>
      </c>
      <c r="N675" t="s">
        <v>340</v>
      </c>
      <c r="O675">
        <v>337839</v>
      </c>
      <c r="P675" t="s">
        <v>341</v>
      </c>
      <c r="Q675">
        <v>57638</v>
      </c>
      <c r="R675" t="s">
        <v>342</v>
      </c>
      <c r="S675">
        <v>587</v>
      </c>
      <c r="T675" t="b">
        <v>0</v>
      </c>
      <c r="U675">
        <v>0</v>
      </c>
      <c r="V675">
        <v>1</v>
      </c>
      <c r="W675" t="s">
        <v>35</v>
      </c>
      <c r="X675" t="s">
        <v>29</v>
      </c>
      <c r="Y675" t="s">
        <v>29</v>
      </c>
      <c r="Z675" t="s">
        <v>37</v>
      </c>
      <c r="AA675">
        <f>TwitterClean[[#This Row],[likes]]+TwitterClean[[#This Row],[replies]]+TwitterClean[[#This Row],[reposts]]+TwitterClean[[#This Row],[quotes]]+TwitterClean[[#This Row],[bookmarks]]</f>
        <v>96</v>
      </c>
      <c r="AB675" s="1">
        <f>TwitterClean[[#This Row],[Total_Engagements]]/TwitterClean[[#This Row],[views]]</f>
        <v>5.2770448548812663E-3</v>
      </c>
      <c r="AC675" s="3">
        <f>DATEVALUE(MID(TwitterClean[[#This Row],[date_posted]],2,10))</f>
        <v>45641</v>
      </c>
      <c r="AD675">
        <f>TIMEVALUE(MID(TwitterClean[[#This Row],[date_posted]],13,8))</f>
        <v>0.58370370370370372</v>
      </c>
      <c r="AE675" s="3" t="str">
        <f>TEXT(TwitterClean[[#This Row],[Post_Date]],"dddd")</f>
        <v>Sunday</v>
      </c>
      <c r="AF675">
        <f>HOUR(TwitterClean[[#This Row],[Post_Time]])</f>
        <v>14</v>
      </c>
      <c r="AG675" t="str">
        <f>IF(TwitterClean[[#This Row],[videos]]="Null","No","Yes")</f>
        <v>No</v>
      </c>
      <c r="AH675" t="str">
        <f>IF(TwitterClean[[#This Row],[photos]]="null","No","Yes")</f>
        <v>Yes</v>
      </c>
      <c r="AI675" t="str">
        <f>IF(TwitterClean[[#This Row],[hashtags]]="null","No","Yes")</f>
        <v>Yes</v>
      </c>
      <c r="AJ675" t="str">
        <f>IF(TwitterClean[[#This Row],[external_url]]="null","Yes","No")</f>
        <v>No</v>
      </c>
      <c r="AK675">
        <f>LEN(TwitterClean[[#This Row],[description]])</f>
        <v>80</v>
      </c>
      <c r="AL675" t="str">
        <f>IF(TwitterClean[[#This Row],[followers]]&lt;100000,"&lt;100K",IF(TwitterClean[[#This Row],[followers]]&lt;1000000,"100K-1M",IF(TwitterClean[[#This Row],[followers]]&lt;10000000,"1M-10M","10M+")))</f>
        <v>100K-1M</v>
      </c>
    </row>
    <row r="676" spans="1:38">
      <c r="A676">
        <v>1.8683202881754404E+18</v>
      </c>
      <c r="B676" t="s">
        <v>735</v>
      </c>
      <c r="C676" t="s">
        <v>736</v>
      </c>
      <c r="D676" t="s">
        <v>737</v>
      </c>
      <c r="E676" t="s">
        <v>738</v>
      </c>
      <c r="F676" t="s">
        <v>29</v>
      </c>
      <c r="G676" t="s">
        <v>739</v>
      </c>
      <c r="H676" t="s">
        <v>740</v>
      </c>
      <c r="I676">
        <v>7</v>
      </c>
      <c r="J676">
        <v>10</v>
      </c>
      <c r="K676">
        <v>149</v>
      </c>
      <c r="L676">
        <v>31995</v>
      </c>
      <c r="M676" t="s">
        <v>741</v>
      </c>
      <c r="N676" t="s">
        <v>742</v>
      </c>
      <c r="O676">
        <v>2354194</v>
      </c>
      <c r="P676" t="s">
        <v>743</v>
      </c>
      <c r="Q676">
        <v>72197</v>
      </c>
      <c r="R676" t="s">
        <v>744</v>
      </c>
      <c r="S676">
        <v>789</v>
      </c>
      <c r="T676" t="b">
        <v>0</v>
      </c>
      <c r="U676">
        <v>0</v>
      </c>
      <c r="V676">
        <v>2</v>
      </c>
      <c r="W676" t="s">
        <v>35</v>
      </c>
      <c r="X676" t="s">
        <v>29</v>
      </c>
      <c r="Y676" t="s">
        <v>29</v>
      </c>
      <c r="Z676" t="s">
        <v>37</v>
      </c>
      <c r="AA676">
        <f>TwitterClean[[#This Row],[likes]]+TwitterClean[[#This Row],[replies]]+TwitterClean[[#This Row],[reposts]]+TwitterClean[[#This Row],[quotes]]+TwitterClean[[#This Row],[bookmarks]]</f>
        <v>168</v>
      </c>
      <c r="AB676" s="1">
        <f>TwitterClean[[#This Row],[Total_Engagements]]/TwitterClean[[#This Row],[views]]</f>
        <v>5.2508204406938588E-3</v>
      </c>
      <c r="AC676" s="3">
        <f>DATEVALUE(MID(TwitterClean[[#This Row],[date_posted]],2,10))</f>
        <v>45641</v>
      </c>
      <c r="AD676">
        <f>TIMEVALUE(MID(TwitterClean[[#This Row],[date_posted]],13,8))</f>
        <v>0.65327546296296302</v>
      </c>
      <c r="AE676" s="3" t="str">
        <f>TEXT(TwitterClean[[#This Row],[Post_Date]],"dddd")</f>
        <v>Sunday</v>
      </c>
      <c r="AF676">
        <f>HOUR(TwitterClean[[#This Row],[Post_Time]])</f>
        <v>15</v>
      </c>
      <c r="AG676" t="str">
        <f>IF(TwitterClean[[#This Row],[videos]]="Null","No","Yes")</f>
        <v>No</v>
      </c>
      <c r="AH676" t="str">
        <f>IF(TwitterClean[[#This Row],[photos]]="null","No","Yes")</f>
        <v>No</v>
      </c>
      <c r="AI676" t="str">
        <f>IF(TwitterClean[[#This Row],[hashtags]]="null","No","Yes")</f>
        <v>Yes</v>
      </c>
      <c r="AJ676" t="str">
        <f>IF(TwitterClean[[#This Row],[external_url]]="null","Yes","No")</f>
        <v>No</v>
      </c>
      <c r="AK676">
        <f>LEN(TwitterClean[[#This Row],[description]])</f>
        <v>260</v>
      </c>
      <c r="AL676" t="str">
        <f>IF(TwitterClean[[#This Row],[followers]]&lt;100000,"&lt;100K",IF(TwitterClean[[#This Row],[followers]]&lt;1000000,"100K-1M",IF(TwitterClean[[#This Row],[followers]]&lt;10000000,"1M-10M","10M+")))</f>
        <v>1M-10M</v>
      </c>
    </row>
    <row r="677" spans="1:38">
      <c r="A677">
        <v>1.8683288281473027E+18</v>
      </c>
      <c r="B677" t="s">
        <v>3168</v>
      </c>
      <c r="C677" t="s">
        <v>3169</v>
      </c>
      <c r="D677" t="s">
        <v>3633</v>
      </c>
      <c r="E677" t="s">
        <v>3634</v>
      </c>
      <c r="F677" t="s">
        <v>29</v>
      </c>
      <c r="G677" t="s">
        <v>3635</v>
      </c>
      <c r="H677" t="s">
        <v>29</v>
      </c>
      <c r="I677">
        <v>2</v>
      </c>
      <c r="J677">
        <v>1</v>
      </c>
      <c r="K677">
        <v>57</v>
      </c>
      <c r="L677">
        <v>11880</v>
      </c>
      <c r="M677" t="s">
        <v>52</v>
      </c>
      <c r="N677" t="s">
        <v>3636</v>
      </c>
      <c r="O677">
        <v>294711</v>
      </c>
      <c r="P677" t="s">
        <v>3175</v>
      </c>
      <c r="Q677">
        <v>66342</v>
      </c>
      <c r="R677" t="s">
        <v>3176</v>
      </c>
      <c r="S677">
        <v>1449</v>
      </c>
      <c r="T677" t="b">
        <v>0</v>
      </c>
      <c r="U677">
        <v>1</v>
      </c>
      <c r="V677">
        <v>1</v>
      </c>
      <c r="W677" t="s">
        <v>35</v>
      </c>
      <c r="X677" t="s">
        <v>29</v>
      </c>
      <c r="Y677" t="s">
        <v>3637</v>
      </c>
      <c r="Z677" t="s">
        <v>37</v>
      </c>
      <c r="AA677">
        <f>TwitterClean[[#This Row],[likes]]+TwitterClean[[#This Row],[replies]]+TwitterClean[[#This Row],[reposts]]+TwitterClean[[#This Row],[quotes]]+TwitterClean[[#This Row],[bookmarks]]</f>
        <v>62</v>
      </c>
      <c r="AB677" s="1">
        <f>TwitterClean[[#This Row],[Total_Engagements]]/TwitterClean[[#This Row],[views]]</f>
        <v>5.2188552188552192E-3</v>
      </c>
      <c r="AC677" s="3">
        <f>DATEVALUE(MID(TwitterClean[[#This Row],[date_posted]],2,10))</f>
        <v>45641</v>
      </c>
      <c r="AD677">
        <f>TIMEVALUE(MID(TwitterClean[[#This Row],[date_posted]],13,8))</f>
        <v>0.67684027777777778</v>
      </c>
      <c r="AE677" s="3" t="str">
        <f>TEXT(TwitterClean[[#This Row],[Post_Date]],"dddd")</f>
        <v>Sunday</v>
      </c>
      <c r="AF677">
        <f>HOUR(TwitterClean[[#This Row],[Post_Time]])</f>
        <v>16</v>
      </c>
      <c r="AG677" t="str">
        <f>IF(TwitterClean[[#This Row],[videos]]="Null","No","Yes")</f>
        <v>Yes</v>
      </c>
      <c r="AH677" t="str">
        <f>IF(TwitterClean[[#This Row],[photos]]="null","No","Yes")</f>
        <v>No</v>
      </c>
      <c r="AI677" t="str">
        <f>IF(TwitterClean[[#This Row],[hashtags]]="null","No","Yes")</f>
        <v>Yes</v>
      </c>
      <c r="AJ677" t="str">
        <f>IF(TwitterClean[[#This Row],[external_url]]="null","Yes","No")</f>
        <v>No</v>
      </c>
      <c r="AK677">
        <f>LEN(TwitterClean[[#This Row],[description]])</f>
        <v>95</v>
      </c>
      <c r="AL677" t="str">
        <f>IF(TwitterClean[[#This Row],[followers]]&lt;100000,"&lt;100K",IF(TwitterClean[[#This Row],[followers]]&lt;1000000,"100K-1M",IF(TwitterClean[[#This Row],[followers]]&lt;10000000,"1M-10M","10M+")))</f>
        <v>100K-1M</v>
      </c>
    </row>
    <row r="678" spans="1:38">
      <c r="A678">
        <v>1.8681461672314719E+18</v>
      </c>
      <c r="B678" t="s">
        <v>3034</v>
      </c>
      <c r="C678" t="s">
        <v>3035</v>
      </c>
      <c r="D678" t="s">
        <v>3667</v>
      </c>
      <c r="E678" t="s">
        <v>3668</v>
      </c>
      <c r="F678" t="s">
        <v>29</v>
      </c>
      <c r="G678" t="s">
        <v>3669</v>
      </c>
      <c r="H678" t="s">
        <v>3262</v>
      </c>
      <c r="I678">
        <v>63</v>
      </c>
      <c r="J678">
        <v>37</v>
      </c>
      <c r="K678">
        <v>475</v>
      </c>
      <c r="L678">
        <v>112514</v>
      </c>
      <c r="M678" t="s">
        <v>52</v>
      </c>
      <c r="N678" t="s">
        <v>3040</v>
      </c>
      <c r="O678">
        <v>12876593</v>
      </c>
      <c r="P678" t="s">
        <v>3041</v>
      </c>
      <c r="Q678">
        <v>141401</v>
      </c>
      <c r="R678" t="s">
        <v>3042</v>
      </c>
      <c r="S678">
        <v>717</v>
      </c>
      <c r="T678" t="b">
        <v>0</v>
      </c>
      <c r="U678">
        <v>3</v>
      </c>
      <c r="V678">
        <v>8</v>
      </c>
      <c r="W678" t="s">
        <v>35</v>
      </c>
      <c r="X678" t="s">
        <v>29</v>
      </c>
      <c r="Y678" t="s">
        <v>3670</v>
      </c>
      <c r="Z678" t="s">
        <v>37</v>
      </c>
      <c r="AA678">
        <f>TwitterClean[[#This Row],[likes]]+TwitterClean[[#This Row],[replies]]+TwitterClean[[#This Row],[reposts]]+TwitterClean[[#This Row],[quotes]]+TwitterClean[[#This Row],[bookmarks]]</f>
        <v>586</v>
      </c>
      <c r="AB678" s="1">
        <f>TwitterClean[[#This Row],[Total_Engagements]]/TwitterClean[[#This Row],[views]]</f>
        <v>5.2082407522619405E-3</v>
      </c>
      <c r="AC678" s="3">
        <f>DATEVALUE(MID(TwitterClean[[#This Row],[date_posted]],2,10))</f>
        <v>45641</v>
      </c>
      <c r="AD678">
        <f>TIMEVALUE(MID(TwitterClean[[#This Row],[date_posted]],13,8))</f>
        <v>0.17278935185185185</v>
      </c>
      <c r="AE678" s="3" t="str">
        <f>TEXT(TwitterClean[[#This Row],[Post_Date]],"dddd")</f>
        <v>Sunday</v>
      </c>
      <c r="AF678">
        <f>HOUR(TwitterClean[[#This Row],[Post_Time]])</f>
        <v>4</v>
      </c>
      <c r="AG678" t="str">
        <f>IF(TwitterClean[[#This Row],[videos]]="Null","No","Yes")</f>
        <v>Yes</v>
      </c>
      <c r="AH678" t="str">
        <f>IF(TwitterClean[[#This Row],[photos]]="null","No","Yes")</f>
        <v>No</v>
      </c>
      <c r="AI678" t="str">
        <f>IF(TwitterClean[[#This Row],[hashtags]]="null","No","Yes")</f>
        <v>Yes</v>
      </c>
      <c r="AJ678" t="str">
        <f>IF(TwitterClean[[#This Row],[external_url]]="null","Yes","No")</f>
        <v>No</v>
      </c>
      <c r="AK678">
        <f>LEN(TwitterClean[[#This Row],[description]])</f>
        <v>94</v>
      </c>
      <c r="AL678" t="str">
        <f>IF(TwitterClean[[#This Row],[followers]]&lt;100000,"&lt;100K",IF(TwitterClean[[#This Row],[followers]]&lt;1000000,"100K-1M",IF(TwitterClean[[#This Row],[followers]]&lt;10000000,"1M-10M","10M+")))</f>
        <v>10M+</v>
      </c>
    </row>
    <row r="679" spans="1:38">
      <c r="A679">
        <v>1.8681018162250061E+18</v>
      </c>
      <c r="B679" t="s">
        <v>2474</v>
      </c>
      <c r="C679" t="s">
        <v>2475</v>
      </c>
      <c r="D679" t="s">
        <v>4920</v>
      </c>
      <c r="E679" t="s">
        <v>4921</v>
      </c>
      <c r="F679" t="s">
        <v>4922</v>
      </c>
      <c r="G679" t="s">
        <v>4923</v>
      </c>
      <c r="H679" t="s">
        <v>4924</v>
      </c>
      <c r="I679">
        <v>12</v>
      </c>
      <c r="J679">
        <v>3</v>
      </c>
      <c r="K679">
        <v>46</v>
      </c>
      <c r="L679">
        <v>12100</v>
      </c>
      <c r="M679" t="s">
        <v>52</v>
      </c>
      <c r="N679" t="s">
        <v>4925</v>
      </c>
      <c r="O679">
        <v>1511302</v>
      </c>
      <c r="P679" t="s">
        <v>2481</v>
      </c>
      <c r="Q679">
        <v>56647</v>
      </c>
      <c r="R679" t="s">
        <v>2482</v>
      </c>
      <c r="S679">
        <v>80</v>
      </c>
      <c r="T679" t="b">
        <v>0</v>
      </c>
      <c r="U679">
        <v>2</v>
      </c>
      <c r="V679">
        <v>0</v>
      </c>
      <c r="W679" t="s">
        <v>35</v>
      </c>
      <c r="X679" t="s">
        <v>29</v>
      </c>
      <c r="Y679" t="s">
        <v>29</v>
      </c>
      <c r="Z679" t="s">
        <v>37</v>
      </c>
      <c r="AA679">
        <f>TwitterClean[[#This Row],[likes]]+TwitterClean[[#This Row],[replies]]+TwitterClean[[#This Row],[reposts]]+TwitterClean[[#This Row],[quotes]]+TwitterClean[[#This Row],[bookmarks]]</f>
        <v>63</v>
      </c>
      <c r="AB679" s="1">
        <f>TwitterClean[[#This Row],[Total_Engagements]]/TwitterClean[[#This Row],[views]]</f>
        <v>5.2066115702479338E-3</v>
      </c>
      <c r="AC679" s="3">
        <f>DATEVALUE(MID(TwitterClean[[#This Row],[date_posted]],2,10))</f>
        <v>45641</v>
      </c>
      <c r="AD679">
        <f>TIMEVALUE(MID(TwitterClean[[#This Row],[date_posted]],13,8))</f>
        <v>5.0405092592592592E-2</v>
      </c>
      <c r="AE679" s="3" t="str">
        <f>TEXT(TwitterClean[[#This Row],[Post_Date]],"dddd")</f>
        <v>Sunday</v>
      </c>
      <c r="AF679">
        <f>HOUR(TwitterClean[[#This Row],[Post_Time]])</f>
        <v>1</v>
      </c>
      <c r="AG679" t="str">
        <f>IF(TwitterClean[[#This Row],[videos]]="Null","No","Yes")</f>
        <v>No</v>
      </c>
      <c r="AH679" t="str">
        <f>IF(TwitterClean[[#This Row],[photos]]="null","No","Yes")</f>
        <v>Yes</v>
      </c>
      <c r="AI679" t="str">
        <f>IF(TwitterClean[[#This Row],[hashtags]]="null","No","Yes")</f>
        <v>Yes</v>
      </c>
      <c r="AJ679" t="str">
        <f>IF(TwitterClean[[#This Row],[external_url]]="null","Yes","No")</f>
        <v>No</v>
      </c>
      <c r="AK679">
        <f>LEN(TwitterClean[[#This Row],[description]])</f>
        <v>141</v>
      </c>
      <c r="AL679" t="str">
        <f>IF(TwitterClean[[#This Row],[followers]]&lt;100000,"&lt;100K",IF(TwitterClean[[#This Row],[followers]]&lt;1000000,"100K-1M",IF(TwitterClean[[#This Row],[followers]]&lt;10000000,"1M-10M","10M+")))</f>
        <v>1M-10M</v>
      </c>
    </row>
    <row r="680" spans="1:38">
      <c r="A680">
        <v>1.8683481079327462E+18</v>
      </c>
      <c r="B680" t="s">
        <v>3837</v>
      </c>
      <c r="C680" t="s">
        <v>3838</v>
      </c>
      <c r="D680" t="s">
        <v>4813</v>
      </c>
      <c r="E680" t="s">
        <v>4814</v>
      </c>
      <c r="F680" t="s">
        <v>29</v>
      </c>
      <c r="G680" t="s">
        <v>4815</v>
      </c>
      <c r="H680" t="s">
        <v>29</v>
      </c>
      <c r="I680">
        <v>105</v>
      </c>
      <c r="J680">
        <v>36</v>
      </c>
      <c r="K680">
        <v>244</v>
      </c>
      <c r="L680">
        <v>79221</v>
      </c>
      <c r="M680" t="s">
        <v>4506</v>
      </c>
      <c r="N680" t="s">
        <v>3843</v>
      </c>
      <c r="O680">
        <v>984257</v>
      </c>
      <c r="P680" t="s">
        <v>3844</v>
      </c>
      <c r="Q680">
        <v>136135</v>
      </c>
      <c r="R680" t="s">
        <v>3845</v>
      </c>
      <c r="S680">
        <v>438</v>
      </c>
      <c r="T680" t="b">
        <v>0</v>
      </c>
      <c r="U680">
        <v>25</v>
      </c>
      <c r="V680">
        <v>2</v>
      </c>
      <c r="W680" t="s">
        <v>35</v>
      </c>
      <c r="X680" t="s">
        <v>29</v>
      </c>
      <c r="Y680" t="s">
        <v>29</v>
      </c>
      <c r="Z680" t="s">
        <v>37</v>
      </c>
      <c r="AA680">
        <f>TwitterClean[[#This Row],[likes]]+TwitterClean[[#This Row],[replies]]+TwitterClean[[#This Row],[reposts]]+TwitterClean[[#This Row],[quotes]]+TwitterClean[[#This Row],[bookmarks]]</f>
        <v>412</v>
      </c>
      <c r="AB680" s="1">
        <f>TwitterClean[[#This Row],[Total_Engagements]]/TwitterClean[[#This Row],[views]]</f>
        <v>5.200641244114566E-3</v>
      </c>
      <c r="AC680" s="3">
        <f>DATEVALUE(MID(TwitterClean[[#This Row],[date_posted]],2,10))</f>
        <v>45641</v>
      </c>
      <c r="AD680">
        <f>TIMEVALUE(MID(TwitterClean[[#This Row],[date_posted]],13,8))</f>
        <v>0.73003472222222221</v>
      </c>
      <c r="AE680" s="3" t="str">
        <f>TEXT(TwitterClean[[#This Row],[Post_Date]],"dddd")</f>
        <v>Sunday</v>
      </c>
      <c r="AF680">
        <f>HOUR(TwitterClean[[#This Row],[Post_Time]])</f>
        <v>17</v>
      </c>
      <c r="AG680" t="str">
        <f>IF(TwitterClean[[#This Row],[videos]]="Null","No","Yes")</f>
        <v>No</v>
      </c>
      <c r="AH680" t="str">
        <f>IF(TwitterClean[[#This Row],[photos]]="null","No","Yes")</f>
        <v>No</v>
      </c>
      <c r="AI680" t="str">
        <f>IF(TwitterClean[[#This Row],[hashtags]]="null","No","Yes")</f>
        <v>Yes</v>
      </c>
      <c r="AJ680" t="str">
        <f>IF(TwitterClean[[#This Row],[external_url]]="null","Yes","No")</f>
        <v>No</v>
      </c>
      <c r="AK680">
        <f>LEN(TwitterClean[[#This Row],[description]])</f>
        <v>94</v>
      </c>
      <c r="AL680" t="str">
        <f>IF(TwitterClean[[#This Row],[followers]]&lt;100000,"&lt;100K",IF(TwitterClean[[#This Row],[followers]]&lt;1000000,"100K-1M",IF(TwitterClean[[#This Row],[followers]]&lt;10000000,"1M-10M","10M+")))</f>
        <v>100K-1M</v>
      </c>
    </row>
    <row r="681" spans="1:38">
      <c r="A681">
        <v>1.8683529576636339E+18</v>
      </c>
      <c r="B681" t="s">
        <v>2994</v>
      </c>
      <c r="C681" t="s">
        <v>2995</v>
      </c>
      <c r="D681" t="s">
        <v>4756</v>
      </c>
      <c r="E681" t="s">
        <v>4757</v>
      </c>
      <c r="F681" t="s">
        <v>4758</v>
      </c>
      <c r="G681" t="s">
        <v>4759</v>
      </c>
      <c r="H681" t="s">
        <v>29</v>
      </c>
      <c r="I681">
        <v>21</v>
      </c>
      <c r="J681">
        <v>35</v>
      </c>
      <c r="K681">
        <v>350</v>
      </c>
      <c r="L681">
        <v>79089</v>
      </c>
      <c r="M681" t="s">
        <v>52</v>
      </c>
      <c r="N681" t="s">
        <v>3174</v>
      </c>
      <c r="O681">
        <v>812163</v>
      </c>
      <c r="P681" t="s">
        <v>3000</v>
      </c>
      <c r="Q681">
        <v>110924</v>
      </c>
      <c r="R681" t="s">
        <v>3001</v>
      </c>
      <c r="S681">
        <v>322</v>
      </c>
      <c r="T681" t="b">
        <v>0</v>
      </c>
      <c r="U681">
        <v>2</v>
      </c>
      <c r="V681">
        <v>2</v>
      </c>
      <c r="W681" t="s">
        <v>35</v>
      </c>
      <c r="X681" t="s">
        <v>29</v>
      </c>
      <c r="Y681" t="s">
        <v>29</v>
      </c>
      <c r="Z681" t="s">
        <v>37</v>
      </c>
      <c r="AA681">
        <f>TwitterClean[[#This Row],[likes]]+TwitterClean[[#This Row],[replies]]+TwitterClean[[#This Row],[reposts]]+TwitterClean[[#This Row],[quotes]]+TwitterClean[[#This Row],[bookmarks]]</f>
        <v>410</v>
      </c>
      <c r="AB681" s="1">
        <f>TwitterClean[[#This Row],[Total_Engagements]]/TwitterClean[[#This Row],[views]]</f>
        <v>5.184033177812338E-3</v>
      </c>
      <c r="AC681" s="3">
        <f>DATEVALUE(MID(TwitterClean[[#This Row],[date_posted]],2,10))</f>
        <v>45641</v>
      </c>
      <c r="AD681">
        <f>TIMEVALUE(MID(TwitterClean[[#This Row],[date_posted]],13,8))</f>
        <v>0.74342592592592593</v>
      </c>
      <c r="AE681" s="3" t="str">
        <f>TEXT(TwitterClean[[#This Row],[Post_Date]],"dddd")</f>
        <v>Sunday</v>
      </c>
      <c r="AF681">
        <f>HOUR(TwitterClean[[#This Row],[Post_Time]])</f>
        <v>17</v>
      </c>
      <c r="AG681" t="str">
        <f>IF(TwitterClean[[#This Row],[videos]]="Null","No","Yes")</f>
        <v>No</v>
      </c>
      <c r="AH681" t="str">
        <f>IF(TwitterClean[[#This Row],[photos]]="null","No","Yes")</f>
        <v>Yes</v>
      </c>
      <c r="AI681" t="str">
        <f>IF(TwitterClean[[#This Row],[hashtags]]="null","No","Yes")</f>
        <v>Yes</v>
      </c>
      <c r="AJ681" t="str">
        <f>IF(TwitterClean[[#This Row],[external_url]]="null","Yes","No")</f>
        <v>No</v>
      </c>
      <c r="AK681">
        <f>LEN(TwitterClean[[#This Row],[description]])</f>
        <v>95</v>
      </c>
      <c r="AL681" t="str">
        <f>IF(TwitterClean[[#This Row],[followers]]&lt;100000,"&lt;100K",IF(TwitterClean[[#This Row],[followers]]&lt;1000000,"100K-1M",IF(TwitterClean[[#This Row],[followers]]&lt;10000000,"1M-10M","10M+")))</f>
        <v>100K-1M</v>
      </c>
    </row>
    <row r="682" spans="1:38">
      <c r="A682">
        <v>1.868419513928258E+18</v>
      </c>
      <c r="B682" t="s">
        <v>228</v>
      </c>
      <c r="C682" t="s">
        <v>228</v>
      </c>
      <c r="D682" t="s">
        <v>537</v>
      </c>
      <c r="E682" t="s">
        <v>538</v>
      </c>
      <c r="F682" t="s">
        <v>539</v>
      </c>
      <c r="G682" t="s">
        <v>540</v>
      </c>
      <c r="H682" t="s">
        <v>29</v>
      </c>
      <c r="I682">
        <v>95</v>
      </c>
      <c r="J682">
        <v>9</v>
      </c>
      <c r="K682">
        <v>92</v>
      </c>
      <c r="L682">
        <v>47716</v>
      </c>
      <c r="M682" t="s">
        <v>541</v>
      </c>
      <c r="N682" t="s">
        <v>29</v>
      </c>
      <c r="O682">
        <v>1239616</v>
      </c>
      <c r="P682" t="s">
        <v>235</v>
      </c>
      <c r="Q682">
        <v>402839</v>
      </c>
      <c r="R682" t="s">
        <v>236</v>
      </c>
      <c r="S682">
        <v>1644</v>
      </c>
      <c r="T682" t="b">
        <v>0</v>
      </c>
      <c r="U682">
        <v>36</v>
      </c>
      <c r="V682">
        <v>15</v>
      </c>
      <c r="W682" t="s">
        <v>35</v>
      </c>
      <c r="X682" t="s">
        <v>29</v>
      </c>
      <c r="Y682" t="s">
        <v>29</v>
      </c>
      <c r="Z682" t="s">
        <v>37</v>
      </c>
      <c r="AA682">
        <f>TwitterClean[[#This Row],[likes]]+TwitterClean[[#This Row],[replies]]+TwitterClean[[#This Row],[reposts]]+TwitterClean[[#This Row],[quotes]]+TwitterClean[[#This Row],[bookmarks]]</f>
        <v>247</v>
      </c>
      <c r="AB682" s="1">
        <f>TwitterClean[[#This Row],[Total_Engagements]]/TwitterClean[[#This Row],[views]]</f>
        <v>5.1764607259619415E-3</v>
      </c>
      <c r="AC682" s="3">
        <f>DATEVALUE(MID(TwitterClean[[#This Row],[date_posted]],2,10))</f>
        <v>45641</v>
      </c>
      <c r="AD682">
        <f>TIMEVALUE(MID(TwitterClean[[#This Row],[date_posted]],13,8))</f>
        <v>0.92708333333333337</v>
      </c>
      <c r="AE682" s="3" t="str">
        <f>TEXT(TwitterClean[[#This Row],[Post_Date]],"dddd")</f>
        <v>Sunday</v>
      </c>
      <c r="AF682">
        <f>HOUR(TwitterClean[[#This Row],[Post_Time]])</f>
        <v>22</v>
      </c>
      <c r="AG682" t="str">
        <f>IF(TwitterClean[[#This Row],[videos]]="Null","No","Yes")</f>
        <v>No</v>
      </c>
      <c r="AH682" t="str">
        <f>IF(TwitterClean[[#This Row],[photos]]="null","No","Yes")</f>
        <v>Yes</v>
      </c>
      <c r="AI682" t="str">
        <f>IF(TwitterClean[[#This Row],[hashtags]]="null","No","Yes")</f>
        <v>No</v>
      </c>
      <c r="AJ682" t="str">
        <f>IF(TwitterClean[[#This Row],[external_url]]="null","Yes","No")</f>
        <v>No</v>
      </c>
      <c r="AK682">
        <f>LEN(TwitterClean[[#This Row],[description]])</f>
        <v>188</v>
      </c>
      <c r="AL682" t="str">
        <f>IF(TwitterClean[[#This Row],[followers]]&lt;100000,"&lt;100K",IF(TwitterClean[[#This Row],[followers]]&lt;1000000,"100K-1M",IF(TwitterClean[[#This Row],[followers]]&lt;10000000,"1M-10M","10M+")))</f>
        <v>1M-10M</v>
      </c>
    </row>
    <row r="683" spans="1:38">
      <c r="A683">
        <v>1.8659635698854625E+18</v>
      </c>
      <c r="B683" t="s">
        <v>2474</v>
      </c>
      <c r="C683" t="s">
        <v>2475</v>
      </c>
      <c r="D683" t="s">
        <v>2476</v>
      </c>
      <c r="E683" t="s">
        <v>2477</v>
      </c>
      <c r="F683" t="s">
        <v>2478</v>
      </c>
      <c r="G683" t="s">
        <v>2479</v>
      </c>
      <c r="H683" t="s">
        <v>29</v>
      </c>
      <c r="I683">
        <v>6</v>
      </c>
      <c r="J683">
        <v>4</v>
      </c>
      <c r="K683">
        <v>26</v>
      </c>
      <c r="L683">
        <v>7347</v>
      </c>
      <c r="M683" t="s">
        <v>52</v>
      </c>
      <c r="N683" t="s">
        <v>2480</v>
      </c>
      <c r="O683">
        <v>1511252</v>
      </c>
      <c r="P683" t="s">
        <v>2481</v>
      </c>
      <c r="Q683">
        <v>56647</v>
      </c>
      <c r="R683" t="s">
        <v>2482</v>
      </c>
      <c r="S683">
        <v>80</v>
      </c>
      <c r="T683" t="b">
        <v>0</v>
      </c>
      <c r="U683">
        <v>1</v>
      </c>
      <c r="V683">
        <v>1</v>
      </c>
      <c r="W683" t="s">
        <v>35</v>
      </c>
      <c r="X683" t="s">
        <v>29</v>
      </c>
      <c r="Y683" t="s">
        <v>29</v>
      </c>
      <c r="Z683" t="s">
        <v>37</v>
      </c>
      <c r="AA683">
        <f>TwitterClean[[#This Row],[likes]]+TwitterClean[[#This Row],[replies]]+TwitterClean[[#This Row],[reposts]]+TwitterClean[[#This Row],[quotes]]+TwitterClean[[#This Row],[bookmarks]]</f>
        <v>38</v>
      </c>
      <c r="AB683" s="1">
        <f>TwitterClean[[#This Row],[Total_Engagements]]/TwitterClean[[#This Row],[views]]</f>
        <v>5.1721791207295495E-3</v>
      </c>
      <c r="AC683" s="3">
        <f>DATEVALUE(MID(TwitterClean[[#This Row],[date_posted]],2,10))</f>
        <v>45635</v>
      </c>
      <c r="AD683">
        <f>TIMEVALUE(MID(TwitterClean[[#This Row],[date_posted]],13,8))</f>
        <v>0.14996527777777777</v>
      </c>
      <c r="AE683" s="3" t="str">
        <f>TEXT(TwitterClean[[#This Row],[Post_Date]],"dddd")</f>
        <v>Monday</v>
      </c>
      <c r="AF683">
        <f>HOUR(TwitterClean[[#This Row],[Post_Time]])</f>
        <v>3</v>
      </c>
      <c r="AG683" t="str">
        <f>IF(TwitterClean[[#This Row],[videos]]="Null","No","Yes")</f>
        <v>No</v>
      </c>
      <c r="AH683" t="str">
        <f>IF(TwitterClean[[#This Row],[photos]]="null","No","Yes")</f>
        <v>Yes</v>
      </c>
      <c r="AI683" t="str">
        <f>IF(TwitterClean[[#This Row],[hashtags]]="null","No","Yes")</f>
        <v>Yes</v>
      </c>
      <c r="AJ683" t="str">
        <f>IF(TwitterClean[[#This Row],[external_url]]="null","Yes","No")</f>
        <v>No</v>
      </c>
      <c r="AK683">
        <f>LEN(TwitterClean[[#This Row],[description]])</f>
        <v>202</v>
      </c>
      <c r="AL683" t="str">
        <f>IF(TwitterClean[[#This Row],[followers]]&lt;100000,"&lt;100K",IF(TwitterClean[[#This Row],[followers]]&lt;1000000,"100K-1M",IF(TwitterClean[[#This Row],[followers]]&lt;10000000,"1M-10M","10M+")))</f>
        <v>1M-10M</v>
      </c>
    </row>
    <row r="684" spans="1:38">
      <c r="A684">
        <v>1.8683790958824325E+18</v>
      </c>
      <c r="B684" t="s">
        <v>2994</v>
      </c>
      <c r="C684" t="s">
        <v>2995</v>
      </c>
      <c r="D684" t="s">
        <v>3926</v>
      </c>
      <c r="E684" t="s">
        <v>3927</v>
      </c>
      <c r="F684" t="s">
        <v>29</v>
      </c>
      <c r="G684" t="s">
        <v>3928</v>
      </c>
      <c r="H684" t="s">
        <v>2999</v>
      </c>
      <c r="I684">
        <v>118</v>
      </c>
      <c r="J684">
        <v>23</v>
      </c>
      <c r="K684">
        <v>354</v>
      </c>
      <c r="L684">
        <v>103066</v>
      </c>
      <c r="M684" t="s">
        <v>52</v>
      </c>
      <c r="N684" t="s">
        <v>29</v>
      </c>
      <c r="O684">
        <v>812163</v>
      </c>
      <c r="P684" t="s">
        <v>3000</v>
      </c>
      <c r="Q684">
        <v>110924</v>
      </c>
      <c r="R684" t="s">
        <v>3001</v>
      </c>
      <c r="S684">
        <v>322</v>
      </c>
      <c r="T684" t="b">
        <v>0</v>
      </c>
      <c r="U684">
        <v>8</v>
      </c>
      <c r="V684">
        <v>30</v>
      </c>
      <c r="W684" t="s">
        <v>35</v>
      </c>
      <c r="X684" t="s">
        <v>29</v>
      </c>
      <c r="Y684" t="s">
        <v>3929</v>
      </c>
      <c r="Z684" t="s">
        <v>37</v>
      </c>
      <c r="AA684">
        <f>TwitterClean[[#This Row],[likes]]+TwitterClean[[#This Row],[replies]]+TwitterClean[[#This Row],[reposts]]+TwitterClean[[#This Row],[quotes]]+TwitterClean[[#This Row],[bookmarks]]</f>
        <v>533</v>
      </c>
      <c r="AB684" s="1">
        <f>TwitterClean[[#This Row],[Total_Engagements]]/TwitterClean[[#This Row],[views]]</f>
        <v>5.1714435410319601E-3</v>
      </c>
      <c r="AC684" s="3">
        <f>DATEVALUE(MID(TwitterClean[[#This Row],[date_posted]],2,10))</f>
        <v>45641</v>
      </c>
      <c r="AD684">
        <f>TIMEVALUE(MID(TwitterClean[[#This Row],[date_posted]],13,8))</f>
        <v>0.81554398148148144</v>
      </c>
      <c r="AE684" s="3" t="str">
        <f>TEXT(TwitterClean[[#This Row],[Post_Date]],"dddd")</f>
        <v>Sunday</v>
      </c>
      <c r="AF684">
        <f>HOUR(TwitterClean[[#This Row],[Post_Time]])</f>
        <v>19</v>
      </c>
      <c r="AG684" t="str">
        <f>IF(TwitterClean[[#This Row],[videos]]="Null","No","Yes")</f>
        <v>Yes</v>
      </c>
      <c r="AH684" t="str">
        <f>IF(TwitterClean[[#This Row],[photos]]="null","No","Yes")</f>
        <v>No</v>
      </c>
      <c r="AI684" t="str">
        <f>IF(TwitterClean[[#This Row],[hashtags]]="null","No","Yes")</f>
        <v>No</v>
      </c>
      <c r="AJ684" t="str">
        <f>IF(TwitterClean[[#This Row],[external_url]]="null","Yes","No")</f>
        <v>No</v>
      </c>
      <c r="AK684">
        <f>LEN(TwitterClean[[#This Row],[description]])</f>
        <v>94</v>
      </c>
      <c r="AL684" t="str">
        <f>IF(TwitterClean[[#This Row],[followers]]&lt;100000,"&lt;100K",IF(TwitterClean[[#This Row],[followers]]&lt;1000000,"100K-1M",IF(TwitterClean[[#This Row],[followers]]&lt;10000000,"1M-10M","10M+")))</f>
        <v>100K-1M</v>
      </c>
    </row>
    <row r="685" spans="1:38">
      <c r="A685">
        <v>1.8684047701651909E+18</v>
      </c>
      <c r="B685" t="s">
        <v>5095</v>
      </c>
      <c r="C685" t="s">
        <v>5096</v>
      </c>
      <c r="D685" t="s">
        <v>5097</v>
      </c>
      <c r="E685" t="s">
        <v>5098</v>
      </c>
      <c r="F685" t="s">
        <v>29</v>
      </c>
      <c r="G685" t="s">
        <v>5099</v>
      </c>
      <c r="H685" t="s">
        <v>29</v>
      </c>
      <c r="I685">
        <v>6</v>
      </c>
      <c r="J685">
        <v>28</v>
      </c>
      <c r="K685">
        <v>99</v>
      </c>
      <c r="L685">
        <v>28114</v>
      </c>
      <c r="M685" t="s">
        <v>5100</v>
      </c>
      <c r="N685" t="s">
        <v>5101</v>
      </c>
      <c r="O685">
        <v>1894097</v>
      </c>
      <c r="P685" t="s">
        <v>5102</v>
      </c>
      <c r="Q685">
        <v>78436</v>
      </c>
      <c r="R685" t="s">
        <v>5103</v>
      </c>
      <c r="S685">
        <v>676</v>
      </c>
      <c r="T685" t="b">
        <v>0</v>
      </c>
      <c r="U685">
        <v>9</v>
      </c>
      <c r="V685">
        <v>3</v>
      </c>
      <c r="W685" t="s">
        <v>35</v>
      </c>
      <c r="X685" t="s">
        <v>29</v>
      </c>
      <c r="Y685" t="s">
        <v>29</v>
      </c>
      <c r="Z685" t="s">
        <v>37</v>
      </c>
      <c r="AA685">
        <f>TwitterClean[[#This Row],[likes]]+TwitterClean[[#This Row],[replies]]+TwitterClean[[#This Row],[reposts]]+TwitterClean[[#This Row],[quotes]]+TwitterClean[[#This Row],[bookmarks]]</f>
        <v>145</v>
      </c>
      <c r="AB685" s="1">
        <f>TwitterClean[[#This Row],[Total_Engagements]]/TwitterClean[[#This Row],[views]]</f>
        <v>5.1575727395603618E-3</v>
      </c>
      <c r="AC685" s="3">
        <f>DATEVALUE(MID(TwitterClean[[#This Row],[date_posted]],2,10))</f>
        <v>45641</v>
      </c>
      <c r="AD685">
        <f>TIMEVALUE(MID(TwitterClean[[#This Row],[date_posted]],13,8))</f>
        <v>0.88640046296296293</v>
      </c>
      <c r="AE685" s="3" t="str">
        <f>TEXT(TwitterClean[[#This Row],[Post_Date]],"dddd")</f>
        <v>Sunday</v>
      </c>
      <c r="AF685">
        <f>HOUR(TwitterClean[[#This Row],[Post_Time]])</f>
        <v>21</v>
      </c>
      <c r="AG685" t="str">
        <f>IF(TwitterClean[[#This Row],[videos]]="Null","No","Yes")</f>
        <v>No</v>
      </c>
      <c r="AH685" t="str">
        <f>IF(TwitterClean[[#This Row],[photos]]="null","No","Yes")</f>
        <v>No</v>
      </c>
      <c r="AI685" t="str">
        <f>IF(TwitterClean[[#This Row],[hashtags]]="null","No","Yes")</f>
        <v>Yes</v>
      </c>
      <c r="AJ685" t="str">
        <f>IF(TwitterClean[[#This Row],[external_url]]="null","Yes","No")</f>
        <v>No</v>
      </c>
      <c r="AK685">
        <f>LEN(TwitterClean[[#This Row],[description]])</f>
        <v>41</v>
      </c>
      <c r="AL685" t="str">
        <f>IF(TwitterClean[[#This Row],[followers]]&lt;100000,"&lt;100K",IF(TwitterClean[[#This Row],[followers]]&lt;1000000,"100K-1M",IF(TwitterClean[[#This Row],[followers]]&lt;10000000,"1M-10M","10M+")))</f>
        <v>1M-10M</v>
      </c>
    </row>
    <row r="686" spans="1:38">
      <c r="A686">
        <v>1.8683791410299085E+18</v>
      </c>
      <c r="B686" t="s">
        <v>2994</v>
      </c>
      <c r="C686" t="s">
        <v>2995</v>
      </c>
      <c r="D686" t="s">
        <v>2996</v>
      </c>
      <c r="E686" t="s">
        <v>2997</v>
      </c>
      <c r="F686" t="s">
        <v>29</v>
      </c>
      <c r="G686" t="s">
        <v>2998</v>
      </c>
      <c r="H686" t="s">
        <v>2999</v>
      </c>
      <c r="I686">
        <v>166</v>
      </c>
      <c r="J686">
        <v>25</v>
      </c>
      <c r="K686">
        <v>498</v>
      </c>
      <c r="L686">
        <v>148304</v>
      </c>
      <c r="M686" t="s">
        <v>52</v>
      </c>
      <c r="N686" t="s">
        <v>29</v>
      </c>
      <c r="O686">
        <v>812161</v>
      </c>
      <c r="P686" t="s">
        <v>3000</v>
      </c>
      <c r="Q686">
        <v>110924</v>
      </c>
      <c r="R686" t="s">
        <v>3001</v>
      </c>
      <c r="S686">
        <v>322</v>
      </c>
      <c r="T686" t="b">
        <v>0</v>
      </c>
      <c r="U686">
        <v>26</v>
      </c>
      <c r="V686">
        <v>49</v>
      </c>
      <c r="W686" t="s">
        <v>35</v>
      </c>
      <c r="X686" t="s">
        <v>29</v>
      </c>
      <c r="Y686" t="s">
        <v>3002</v>
      </c>
      <c r="Z686" t="s">
        <v>37</v>
      </c>
      <c r="AA686">
        <f>TwitterClean[[#This Row],[likes]]+TwitterClean[[#This Row],[replies]]+TwitterClean[[#This Row],[reposts]]+TwitterClean[[#This Row],[quotes]]+TwitterClean[[#This Row],[bookmarks]]</f>
        <v>764</v>
      </c>
      <c r="AB686" s="1">
        <f>TwitterClean[[#This Row],[Total_Engagements]]/TwitterClean[[#This Row],[views]]</f>
        <v>5.1515805372747865E-3</v>
      </c>
      <c r="AC686" s="3">
        <f>DATEVALUE(MID(TwitterClean[[#This Row],[date_posted]],2,10))</f>
        <v>45641</v>
      </c>
      <c r="AD686">
        <f>TIMEVALUE(MID(TwitterClean[[#This Row],[date_posted]],13,8))</f>
        <v>0.81567129629629631</v>
      </c>
      <c r="AE686" s="3" t="str">
        <f>TEXT(TwitterClean[[#This Row],[Post_Date]],"dddd")</f>
        <v>Sunday</v>
      </c>
      <c r="AF686">
        <f>HOUR(TwitterClean[[#This Row],[Post_Time]])</f>
        <v>19</v>
      </c>
      <c r="AG686" t="str">
        <f>IF(TwitterClean[[#This Row],[videos]]="Null","No","Yes")</f>
        <v>Yes</v>
      </c>
      <c r="AH686" t="str">
        <f>IF(TwitterClean[[#This Row],[photos]]="null","No","Yes")</f>
        <v>No</v>
      </c>
      <c r="AI686" t="str">
        <f>IF(TwitterClean[[#This Row],[hashtags]]="null","No","Yes")</f>
        <v>No</v>
      </c>
      <c r="AJ686" t="str">
        <f>IF(TwitterClean[[#This Row],[external_url]]="null","Yes","No")</f>
        <v>No</v>
      </c>
      <c r="AK686">
        <f>LEN(TwitterClean[[#This Row],[description]])</f>
        <v>59</v>
      </c>
      <c r="AL686" t="str">
        <f>IF(TwitterClean[[#This Row],[followers]]&lt;100000,"&lt;100K",IF(TwitterClean[[#This Row],[followers]]&lt;1000000,"100K-1M",IF(TwitterClean[[#This Row],[followers]]&lt;10000000,"1M-10M","10M+")))</f>
        <v>100K-1M</v>
      </c>
    </row>
    <row r="687" spans="1:38">
      <c r="A687">
        <v>1.8683240423877061E+18</v>
      </c>
      <c r="B687" t="s">
        <v>2230</v>
      </c>
      <c r="C687" t="s">
        <v>2231</v>
      </c>
      <c r="D687" t="s">
        <v>2394</v>
      </c>
      <c r="E687" t="s">
        <v>2395</v>
      </c>
      <c r="F687" t="s">
        <v>2396</v>
      </c>
      <c r="G687" t="s">
        <v>2397</v>
      </c>
      <c r="H687" t="s">
        <v>29</v>
      </c>
      <c r="I687">
        <v>37</v>
      </c>
      <c r="J687">
        <v>17</v>
      </c>
      <c r="K687">
        <v>53</v>
      </c>
      <c r="L687">
        <v>23180</v>
      </c>
      <c r="M687" t="s">
        <v>2398</v>
      </c>
      <c r="N687" t="s">
        <v>29</v>
      </c>
      <c r="O687">
        <v>3313888</v>
      </c>
      <c r="P687" t="s">
        <v>2237</v>
      </c>
      <c r="Q687">
        <v>706459</v>
      </c>
      <c r="R687" t="s">
        <v>2238</v>
      </c>
      <c r="S687">
        <v>10308</v>
      </c>
      <c r="T687" t="b">
        <v>0</v>
      </c>
      <c r="U687">
        <v>4</v>
      </c>
      <c r="V687">
        <v>8</v>
      </c>
      <c r="W687" t="s">
        <v>35</v>
      </c>
      <c r="X687" t="s">
        <v>29</v>
      </c>
      <c r="Y687" t="s">
        <v>29</v>
      </c>
      <c r="Z687" t="s">
        <v>37</v>
      </c>
      <c r="AA687">
        <f>TwitterClean[[#This Row],[likes]]+TwitterClean[[#This Row],[replies]]+TwitterClean[[#This Row],[reposts]]+TwitterClean[[#This Row],[quotes]]+TwitterClean[[#This Row],[bookmarks]]</f>
        <v>119</v>
      </c>
      <c r="AB687" s="1">
        <f>TwitterClean[[#This Row],[Total_Engagements]]/TwitterClean[[#This Row],[views]]</f>
        <v>5.1337359792924938E-3</v>
      </c>
      <c r="AC687" s="3">
        <f>DATEVALUE(MID(TwitterClean[[#This Row],[date_posted]],2,10))</f>
        <v>45641</v>
      </c>
      <c r="AD687">
        <f>TIMEVALUE(MID(TwitterClean[[#This Row],[date_posted]],13,8))</f>
        <v>0.66363425925925923</v>
      </c>
      <c r="AE687" s="3" t="str">
        <f>TEXT(TwitterClean[[#This Row],[Post_Date]],"dddd")</f>
        <v>Sunday</v>
      </c>
      <c r="AF687">
        <f>HOUR(TwitterClean[[#This Row],[Post_Time]])</f>
        <v>15</v>
      </c>
      <c r="AG687" t="str">
        <f>IF(TwitterClean[[#This Row],[videos]]="Null","No","Yes")</f>
        <v>No</v>
      </c>
      <c r="AH687" t="str">
        <f>IF(TwitterClean[[#This Row],[photos]]="null","No","Yes")</f>
        <v>Yes</v>
      </c>
      <c r="AI687" t="str">
        <f>IF(TwitterClean[[#This Row],[hashtags]]="null","No","Yes")</f>
        <v>No</v>
      </c>
      <c r="AJ687" t="str">
        <f>IF(TwitterClean[[#This Row],[external_url]]="null","Yes","No")</f>
        <v>No</v>
      </c>
      <c r="AK687">
        <f>LEN(TwitterClean[[#This Row],[description]])</f>
        <v>100</v>
      </c>
      <c r="AL687" t="str">
        <f>IF(TwitterClean[[#This Row],[followers]]&lt;100000,"&lt;100K",IF(TwitterClean[[#This Row],[followers]]&lt;1000000,"100K-1M",IF(TwitterClean[[#This Row],[followers]]&lt;10000000,"1M-10M","10M+")))</f>
        <v>1M-10M</v>
      </c>
    </row>
    <row r="688" spans="1:38">
      <c r="A688">
        <v>1.8684293757643082E+18</v>
      </c>
      <c r="B688" t="s">
        <v>2230</v>
      </c>
      <c r="C688" t="s">
        <v>2231</v>
      </c>
      <c r="D688" t="s">
        <v>2364</v>
      </c>
      <c r="E688" t="s">
        <v>2365</v>
      </c>
      <c r="F688" t="s">
        <v>2366</v>
      </c>
      <c r="G688" t="s">
        <v>2367</v>
      </c>
      <c r="H688" t="s">
        <v>29</v>
      </c>
      <c r="I688">
        <v>70</v>
      </c>
      <c r="J688">
        <v>17</v>
      </c>
      <c r="K688">
        <v>60</v>
      </c>
      <c r="L688">
        <v>31869</v>
      </c>
      <c r="M688" t="s">
        <v>2368</v>
      </c>
      <c r="N688" t="s">
        <v>29</v>
      </c>
      <c r="O688">
        <v>3313886</v>
      </c>
      <c r="P688" t="s">
        <v>2237</v>
      </c>
      <c r="Q688">
        <v>706459</v>
      </c>
      <c r="R688" t="s">
        <v>2238</v>
      </c>
      <c r="S688">
        <v>10308</v>
      </c>
      <c r="T688" t="b">
        <v>0</v>
      </c>
      <c r="U688">
        <v>9</v>
      </c>
      <c r="V688">
        <v>7</v>
      </c>
      <c r="W688" t="s">
        <v>35</v>
      </c>
      <c r="X688" t="s">
        <v>29</v>
      </c>
      <c r="Y688" t="s">
        <v>29</v>
      </c>
      <c r="Z688" t="s">
        <v>37</v>
      </c>
      <c r="AA688">
        <f>TwitterClean[[#This Row],[likes]]+TwitterClean[[#This Row],[replies]]+TwitterClean[[#This Row],[reposts]]+TwitterClean[[#This Row],[quotes]]+TwitterClean[[#This Row],[bookmarks]]</f>
        <v>163</v>
      </c>
      <c r="AB688" s="1">
        <f>TwitterClean[[#This Row],[Total_Engagements]]/TwitterClean[[#This Row],[views]]</f>
        <v>5.1146882550440866E-3</v>
      </c>
      <c r="AC688" s="3">
        <f>DATEVALUE(MID(TwitterClean[[#This Row],[date_posted]],2,10))</f>
        <v>45641</v>
      </c>
      <c r="AD688">
        <f>TIMEVALUE(MID(TwitterClean[[#This Row],[date_posted]],13,8))</f>
        <v>0.95429398148148148</v>
      </c>
      <c r="AE688" s="3" t="str">
        <f>TEXT(TwitterClean[[#This Row],[Post_Date]],"dddd")</f>
        <v>Sunday</v>
      </c>
      <c r="AF688">
        <f>HOUR(TwitterClean[[#This Row],[Post_Time]])</f>
        <v>22</v>
      </c>
      <c r="AG688" t="str">
        <f>IF(TwitterClean[[#This Row],[videos]]="Null","No","Yes")</f>
        <v>No</v>
      </c>
      <c r="AH688" t="str">
        <f>IF(TwitterClean[[#This Row],[photos]]="null","No","Yes")</f>
        <v>Yes</v>
      </c>
      <c r="AI688" t="str">
        <f>IF(TwitterClean[[#This Row],[hashtags]]="null","No","Yes")</f>
        <v>No</v>
      </c>
      <c r="AJ688" t="str">
        <f>IF(TwitterClean[[#This Row],[external_url]]="null","Yes","No")</f>
        <v>No</v>
      </c>
      <c r="AK688">
        <f>LEN(TwitterClean[[#This Row],[description]])</f>
        <v>85</v>
      </c>
      <c r="AL688" t="str">
        <f>IF(TwitterClean[[#This Row],[followers]]&lt;100000,"&lt;100K",IF(TwitterClean[[#This Row],[followers]]&lt;1000000,"100K-1M",IF(TwitterClean[[#This Row],[followers]]&lt;10000000,"1M-10M","10M+")))</f>
        <v>1M-10M</v>
      </c>
    </row>
    <row r="689" spans="1:38">
      <c r="A689">
        <v>1.8684375331613289E+18</v>
      </c>
      <c r="B689" t="s">
        <v>2230</v>
      </c>
      <c r="C689" t="s">
        <v>2231</v>
      </c>
      <c r="D689" t="s">
        <v>2643</v>
      </c>
      <c r="E689" t="s">
        <v>2644</v>
      </c>
      <c r="F689" t="s">
        <v>2645</v>
      </c>
      <c r="G689" t="s">
        <v>2646</v>
      </c>
      <c r="H689" t="s">
        <v>29</v>
      </c>
      <c r="I689">
        <v>38</v>
      </c>
      <c r="J689">
        <v>22</v>
      </c>
      <c r="K689">
        <v>107</v>
      </c>
      <c r="L689">
        <v>35101</v>
      </c>
      <c r="M689" t="s">
        <v>2647</v>
      </c>
      <c r="N689" t="s">
        <v>29</v>
      </c>
      <c r="O689">
        <v>3313887</v>
      </c>
      <c r="P689" t="s">
        <v>2237</v>
      </c>
      <c r="Q689">
        <v>706459</v>
      </c>
      <c r="R689" t="s">
        <v>2238</v>
      </c>
      <c r="S689">
        <v>10308</v>
      </c>
      <c r="T689" t="b">
        <v>0</v>
      </c>
      <c r="U689">
        <v>5</v>
      </c>
      <c r="V689">
        <v>7</v>
      </c>
      <c r="W689" t="s">
        <v>35</v>
      </c>
      <c r="X689" t="s">
        <v>29</v>
      </c>
      <c r="Y689" t="s">
        <v>29</v>
      </c>
      <c r="Z689" t="s">
        <v>37</v>
      </c>
      <c r="AA689">
        <f>TwitterClean[[#This Row],[likes]]+TwitterClean[[#This Row],[replies]]+TwitterClean[[#This Row],[reposts]]+TwitterClean[[#This Row],[quotes]]+TwitterClean[[#This Row],[bookmarks]]</f>
        <v>179</v>
      </c>
      <c r="AB689" s="1">
        <f>TwitterClean[[#This Row],[Total_Engagements]]/TwitterClean[[#This Row],[views]]</f>
        <v>5.0995698128258457E-3</v>
      </c>
      <c r="AC689" s="3">
        <f>DATEVALUE(MID(TwitterClean[[#This Row],[date_posted]],2,10))</f>
        <v>45641</v>
      </c>
      <c r="AD689">
        <f>TIMEVALUE(MID(TwitterClean[[#This Row],[date_posted]],13,8))</f>
        <v>0.97680555555555559</v>
      </c>
      <c r="AE689" s="3" t="str">
        <f>TEXT(TwitterClean[[#This Row],[Post_Date]],"dddd")</f>
        <v>Sunday</v>
      </c>
      <c r="AF689">
        <f>HOUR(TwitterClean[[#This Row],[Post_Time]])</f>
        <v>23</v>
      </c>
      <c r="AG689" t="str">
        <f>IF(TwitterClean[[#This Row],[videos]]="Null","No","Yes")</f>
        <v>No</v>
      </c>
      <c r="AH689" t="str">
        <f>IF(TwitterClean[[#This Row],[photos]]="null","No","Yes")</f>
        <v>Yes</v>
      </c>
      <c r="AI689" t="str">
        <f>IF(TwitterClean[[#This Row],[hashtags]]="null","No","Yes")</f>
        <v>No</v>
      </c>
      <c r="AJ689" t="str">
        <f>IF(TwitterClean[[#This Row],[external_url]]="null","Yes","No")</f>
        <v>No</v>
      </c>
      <c r="AK689">
        <f>LEN(TwitterClean[[#This Row],[description]])</f>
        <v>112</v>
      </c>
      <c r="AL689" t="str">
        <f>IF(TwitterClean[[#This Row],[followers]]&lt;100000,"&lt;100K",IF(TwitterClean[[#This Row],[followers]]&lt;1000000,"100K-1M",IF(TwitterClean[[#This Row],[followers]]&lt;10000000,"1M-10M","10M+")))</f>
        <v>1M-10M</v>
      </c>
    </row>
    <row r="690" spans="1:38">
      <c r="A690">
        <v>1.8683971838855665E+18</v>
      </c>
      <c r="B690" t="s">
        <v>3196</v>
      </c>
      <c r="C690" t="s">
        <v>3196</v>
      </c>
      <c r="D690" t="s">
        <v>3387</v>
      </c>
      <c r="E690" t="s">
        <v>3388</v>
      </c>
      <c r="F690" t="s">
        <v>29</v>
      </c>
      <c r="G690" t="s">
        <v>3389</v>
      </c>
      <c r="H690" t="s">
        <v>3390</v>
      </c>
      <c r="I690">
        <v>12</v>
      </c>
      <c r="J690">
        <v>17</v>
      </c>
      <c r="K690">
        <v>141</v>
      </c>
      <c r="L690">
        <v>35552</v>
      </c>
      <c r="M690" t="s">
        <v>52</v>
      </c>
      <c r="N690" t="s">
        <v>3201</v>
      </c>
      <c r="O690">
        <v>376785</v>
      </c>
      <c r="P690" t="s">
        <v>3202</v>
      </c>
      <c r="Q690">
        <v>106893</v>
      </c>
      <c r="R690" t="s">
        <v>3203</v>
      </c>
      <c r="S690">
        <v>415</v>
      </c>
      <c r="T690" t="b">
        <v>0</v>
      </c>
      <c r="U690">
        <v>8</v>
      </c>
      <c r="V690">
        <v>3</v>
      </c>
      <c r="W690" t="s">
        <v>35</v>
      </c>
      <c r="X690" t="s">
        <v>29</v>
      </c>
      <c r="Y690" t="s">
        <v>3391</v>
      </c>
      <c r="Z690" t="s">
        <v>37</v>
      </c>
      <c r="AA690">
        <f>TwitterClean[[#This Row],[likes]]+TwitterClean[[#This Row],[replies]]+TwitterClean[[#This Row],[reposts]]+TwitterClean[[#This Row],[quotes]]+TwitterClean[[#This Row],[bookmarks]]</f>
        <v>181</v>
      </c>
      <c r="AB690" s="1">
        <f>TwitterClean[[#This Row],[Total_Engagements]]/TwitterClean[[#This Row],[views]]</f>
        <v>5.0911341134113408E-3</v>
      </c>
      <c r="AC690" s="3">
        <f>DATEVALUE(MID(TwitterClean[[#This Row],[date_posted]],2,10))</f>
        <v>45641</v>
      </c>
      <c r="AD690">
        <f>TIMEVALUE(MID(TwitterClean[[#This Row],[date_posted]],13,8))</f>
        <v>0.86546296296296299</v>
      </c>
      <c r="AE690" s="3" t="str">
        <f>TEXT(TwitterClean[[#This Row],[Post_Date]],"dddd")</f>
        <v>Sunday</v>
      </c>
      <c r="AF690">
        <f>HOUR(TwitterClean[[#This Row],[Post_Time]])</f>
        <v>20</v>
      </c>
      <c r="AG690" t="str">
        <f>IF(TwitterClean[[#This Row],[videos]]="Null","No","Yes")</f>
        <v>Yes</v>
      </c>
      <c r="AH690" t="str">
        <f>IF(TwitterClean[[#This Row],[photos]]="null","No","Yes")</f>
        <v>No</v>
      </c>
      <c r="AI690" t="str">
        <f>IF(TwitterClean[[#This Row],[hashtags]]="null","No","Yes")</f>
        <v>Yes</v>
      </c>
      <c r="AJ690" t="str">
        <f>IF(TwitterClean[[#This Row],[external_url]]="null","Yes","No")</f>
        <v>No</v>
      </c>
      <c r="AK690">
        <f>LEN(TwitterClean[[#This Row],[description]])</f>
        <v>44</v>
      </c>
      <c r="AL690" t="str">
        <f>IF(TwitterClean[[#This Row],[followers]]&lt;100000,"&lt;100K",IF(TwitterClean[[#This Row],[followers]]&lt;1000000,"100K-1M",IF(TwitterClean[[#This Row],[followers]]&lt;10000000,"1M-10M","10M+")))</f>
        <v>100K-1M</v>
      </c>
    </row>
    <row r="691" spans="1:38">
      <c r="A691">
        <v>1.8681700236066038E+18</v>
      </c>
      <c r="B691" t="s">
        <v>3034</v>
      </c>
      <c r="C691" t="s">
        <v>3035</v>
      </c>
      <c r="D691" t="s">
        <v>3874</v>
      </c>
      <c r="E691" t="s">
        <v>3875</v>
      </c>
      <c r="F691" t="s">
        <v>29</v>
      </c>
      <c r="G691" t="s">
        <v>3876</v>
      </c>
      <c r="H691" t="s">
        <v>3652</v>
      </c>
      <c r="I691">
        <v>200</v>
      </c>
      <c r="J691">
        <v>376</v>
      </c>
      <c r="K691">
        <v>3922</v>
      </c>
      <c r="L691">
        <v>924297</v>
      </c>
      <c r="M691" t="s">
        <v>52</v>
      </c>
      <c r="N691" t="s">
        <v>3040</v>
      </c>
      <c r="O691">
        <v>12876593</v>
      </c>
      <c r="P691" t="s">
        <v>3041</v>
      </c>
      <c r="Q691">
        <v>141401</v>
      </c>
      <c r="R691" t="s">
        <v>3042</v>
      </c>
      <c r="S691">
        <v>717</v>
      </c>
      <c r="T691" t="b">
        <v>0</v>
      </c>
      <c r="U691">
        <v>82</v>
      </c>
      <c r="V691">
        <v>72</v>
      </c>
      <c r="W691" t="s">
        <v>35</v>
      </c>
      <c r="X691" t="s">
        <v>29</v>
      </c>
      <c r="Y691" t="s">
        <v>3877</v>
      </c>
      <c r="Z691" t="s">
        <v>37</v>
      </c>
      <c r="AA691">
        <f>TwitterClean[[#This Row],[likes]]+TwitterClean[[#This Row],[replies]]+TwitterClean[[#This Row],[reposts]]+TwitterClean[[#This Row],[quotes]]+TwitterClean[[#This Row],[bookmarks]]</f>
        <v>4652</v>
      </c>
      <c r="AB691" s="1">
        <f>TwitterClean[[#This Row],[Total_Engagements]]/TwitterClean[[#This Row],[views]]</f>
        <v>5.0330142800420214E-3</v>
      </c>
      <c r="AC691" s="3">
        <f>DATEVALUE(MID(TwitterClean[[#This Row],[date_posted]],2,10))</f>
        <v>45641</v>
      </c>
      <c r="AD691">
        <f>TIMEVALUE(MID(TwitterClean[[#This Row],[date_posted]],13,8))</f>
        <v>0.23862268518518517</v>
      </c>
      <c r="AE691" s="3" t="str">
        <f>TEXT(TwitterClean[[#This Row],[Post_Date]],"dddd")</f>
        <v>Sunday</v>
      </c>
      <c r="AF691">
        <f>HOUR(TwitterClean[[#This Row],[Post_Time]])</f>
        <v>5</v>
      </c>
      <c r="AG691" t="str">
        <f>IF(TwitterClean[[#This Row],[videos]]="Null","No","Yes")</f>
        <v>Yes</v>
      </c>
      <c r="AH691" t="str">
        <f>IF(TwitterClean[[#This Row],[photos]]="null","No","Yes")</f>
        <v>No</v>
      </c>
      <c r="AI691" t="str">
        <f>IF(TwitterClean[[#This Row],[hashtags]]="null","No","Yes")</f>
        <v>Yes</v>
      </c>
      <c r="AJ691" t="str">
        <f>IF(TwitterClean[[#This Row],[external_url]]="null","Yes","No")</f>
        <v>No</v>
      </c>
      <c r="AK691">
        <f>LEN(TwitterClean[[#This Row],[description]])</f>
        <v>59</v>
      </c>
      <c r="AL691" t="str">
        <f>IF(TwitterClean[[#This Row],[followers]]&lt;100000,"&lt;100K",IF(TwitterClean[[#This Row],[followers]]&lt;1000000,"100K-1M",IF(TwitterClean[[#This Row],[followers]]&lt;10000000,"1M-10M","10M+")))</f>
        <v>10M+</v>
      </c>
    </row>
    <row r="692" spans="1:38">
      <c r="A692">
        <v>1.8683092753841935E+18</v>
      </c>
      <c r="B692" t="s">
        <v>4338</v>
      </c>
      <c r="C692" t="s">
        <v>4339</v>
      </c>
      <c r="D692" t="s">
        <v>4340</v>
      </c>
      <c r="E692" t="s">
        <v>4341</v>
      </c>
      <c r="F692" t="s">
        <v>4342</v>
      </c>
      <c r="G692" t="s">
        <v>4343</v>
      </c>
      <c r="H692" t="s">
        <v>29</v>
      </c>
      <c r="I692">
        <v>8</v>
      </c>
      <c r="J692">
        <v>5</v>
      </c>
      <c r="K692">
        <v>107</v>
      </c>
      <c r="L692">
        <v>24346</v>
      </c>
      <c r="M692" t="s">
        <v>4344</v>
      </c>
      <c r="N692" t="s">
        <v>4345</v>
      </c>
      <c r="O692">
        <v>1676505</v>
      </c>
      <c r="P692" t="s">
        <v>4346</v>
      </c>
      <c r="Q692">
        <v>35438</v>
      </c>
      <c r="R692" t="s">
        <v>4347</v>
      </c>
      <c r="S692">
        <v>175</v>
      </c>
      <c r="T692" t="b">
        <v>0</v>
      </c>
      <c r="U692">
        <v>0</v>
      </c>
      <c r="V692">
        <v>2</v>
      </c>
      <c r="W692" t="s">
        <v>35</v>
      </c>
      <c r="X692" t="s">
        <v>29</v>
      </c>
      <c r="Y692" t="s">
        <v>29</v>
      </c>
      <c r="Z692" t="s">
        <v>37</v>
      </c>
      <c r="AA692">
        <f>TwitterClean[[#This Row],[likes]]+TwitterClean[[#This Row],[replies]]+TwitterClean[[#This Row],[reposts]]+TwitterClean[[#This Row],[quotes]]+TwitterClean[[#This Row],[bookmarks]]</f>
        <v>122</v>
      </c>
      <c r="AB692" s="1">
        <f>TwitterClean[[#This Row],[Total_Engagements]]/TwitterClean[[#This Row],[views]]</f>
        <v>5.0110901174730965E-3</v>
      </c>
      <c r="AC692" s="3">
        <f>DATEVALUE(MID(TwitterClean[[#This Row],[date_posted]],2,10))</f>
        <v>45641</v>
      </c>
      <c r="AD692">
        <f>TIMEVALUE(MID(TwitterClean[[#This Row],[date_posted]],13,8))</f>
        <v>0.62288194444444445</v>
      </c>
      <c r="AE692" s="3" t="str">
        <f>TEXT(TwitterClean[[#This Row],[Post_Date]],"dddd")</f>
        <v>Sunday</v>
      </c>
      <c r="AF692">
        <f>HOUR(TwitterClean[[#This Row],[Post_Time]])</f>
        <v>14</v>
      </c>
      <c r="AG692" t="str">
        <f>IF(TwitterClean[[#This Row],[videos]]="Null","No","Yes")</f>
        <v>No</v>
      </c>
      <c r="AH692" t="str">
        <f>IF(TwitterClean[[#This Row],[photos]]="null","No","Yes")</f>
        <v>Yes</v>
      </c>
      <c r="AI692" t="str">
        <f>IF(TwitterClean[[#This Row],[hashtags]]="null","No","Yes")</f>
        <v>Yes</v>
      </c>
      <c r="AJ692" t="str">
        <f>IF(TwitterClean[[#This Row],[external_url]]="null","Yes","No")</f>
        <v>No</v>
      </c>
      <c r="AK692">
        <f>LEN(TwitterClean[[#This Row],[description]])</f>
        <v>61</v>
      </c>
      <c r="AL692" t="str">
        <f>IF(TwitterClean[[#This Row],[followers]]&lt;100000,"&lt;100K",IF(TwitterClean[[#This Row],[followers]]&lt;1000000,"100K-1M",IF(TwitterClean[[#This Row],[followers]]&lt;10000000,"1M-10M","10M+")))</f>
        <v>1M-10M</v>
      </c>
    </row>
    <row r="693" spans="1:38">
      <c r="A693">
        <v>1.8683646913171704E+18</v>
      </c>
      <c r="B693" t="s">
        <v>1646</v>
      </c>
      <c r="C693" t="s">
        <v>1647</v>
      </c>
      <c r="D693" t="s">
        <v>1671</v>
      </c>
      <c r="E693" t="s">
        <v>1672</v>
      </c>
      <c r="F693" t="s">
        <v>29</v>
      </c>
      <c r="G693" t="s">
        <v>1673</v>
      </c>
      <c r="H693" t="s">
        <v>29</v>
      </c>
      <c r="I693">
        <v>3</v>
      </c>
      <c r="J693">
        <v>1</v>
      </c>
      <c r="K693">
        <v>36</v>
      </c>
      <c r="L693">
        <v>8202</v>
      </c>
      <c r="M693" t="s">
        <v>1674</v>
      </c>
      <c r="N693" t="s">
        <v>1675</v>
      </c>
      <c r="O693">
        <v>3768943</v>
      </c>
      <c r="P693" t="s">
        <v>1653</v>
      </c>
      <c r="Q693">
        <v>897934</v>
      </c>
      <c r="R693" t="s">
        <v>1654</v>
      </c>
      <c r="S693">
        <v>28</v>
      </c>
      <c r="T693" t="b">
        <v>0</v>
      </c>
      <c r="U693">
        <v>0</v>
      </c>
      <c r="V693">
        <v>1</v>
      </c>
      <c r="W693" t="s">
        <v>35</v>
      </c>
      <c r="X693" t="s">
        <v>1676</v>
      </c>
      <c r="Y693" t="s">
        <v>29</v>
      </c>
      <c r="Z693" t="s">
        <v>37</v>
      </c>
      <c r="AA693">
        <f>TwitterClean[[#This Row],[likes]]+TwitterClean[[#This Row],[replies]]+TwitterClean[[#This Row],[reposts]]+TwitterClean[[#This Row],[quotes]]+TwitterClean[[#This Row],[bookmarks]]</f>
        <v>41</v>
      </c>
      <c r="AB693" s="1">
        <f>TwitterClean[[#This Row],[Total_Engagements]]/TwitterClean[[#This Row],[views]]</f>
        <v>4.9987807851743478E-3</v>
      </c>
      <c r="AC693" s="3">
        <f>DATEVALUE(MID(TwitterClean[[#This Row],[date_posted]],2,10))</f>
        <v>45641</v>
      </c>
      <c r="AD693">
        <f>TIMEVALUE(MID(TwitterClean[[#This Row],[date_posted]],13,8))</f>
        <v>0.77579861111111115</v>
      </c>
      <c r="AE693" s="3" t="str">
        <f>TEXT(TwitterClean[[#This Row],[Post_Date]],"dddd")</f>
        <v>Sunday</v>
      </c>
      <c r="AF693">
        <f>HOUR(TwitterClean[[#This Row],[Post_Time]])</f>
        <v>18</v>
      </c>
      <c r="AG693" t="str">
        <f>IF(TwitterClean[[#This Row],[videos]]="Null","No","Yes")</f>
        <v>No</v>
      </c>
      <c r="AH693" t="str">
        <f>IF(TwitterClean[[#This Row],[photos]]="null","No","Yes")</f>
        <v>No</v>
      </c>
      <c r="AI693" t="str">
        <f>IF(TwitterClean[[#This Row],[hashtags]]="null","No","Yes")</f>
        <v>Yes</v>
      </c>
      <c r="AJ693" t="str">
        <f>IF(TwitterClean[[#This Row],[external_url]]="null","Yes","No")</f>
        <v>No</v>
      </c>
      <c r="AK693">
        <f>LEN(TwitterClean[[#This Row],[description]])</f>
        <v>128</v>
      </c>
      <c r="AL693" t="str">
        <f>IF(TwitterClean[[#This Row],[followers]]&lt;100000,"&lt;100K",IF(TwitterClean[[#This Row],[followers]]&lt;1000000,"100K-1M",IF(TwitterClean[[#This Row],[followers]]&lt;10000000,"1M-10M","10M+")))</f>
        <v>1M-10M</v>
      </c>
    </row>
    <row r="694" spans="1:38">
      <c r="A694">
        <v>1.8683191998162537E+18</v>
      </c>
      <c r="B694" t="s">
        <v>1656</v>
      </c>
      <c r="C694" t="s">
        <v>1657</v>
      </c>
      <c r="D694" t="s">
        <v>1844</v>
      </c>
      <c r="E694" t="s">
        <v>1845</v>
      </c>
      <c r="F694" t="s">
        <v>29</v>
      </c>
      <c r="G694" t="s">
        <v>1846</v>
      </c>
      <c r="H694" t="s">
        <v>29</v>
      </c>
      <c r="I694">
        <v>2</v>
      </c>
      <c r="J694">
        <v>3</v>
      </c>
      <c r="K694">
        <v>29</v>
      </c>
      <c r="L694">
        <v>7219</v>
      </c>
      <c r="M694" t="s">
        <v>1847</v>
      </c>
      <c r="N694" t="s">
        <v>29</v>
      </c>
      <c r="O694">
        <v>2819408</v>
      </c>
      <c r="P694" t="s">
        <v>1662</v>
      </c>
      <c r="Q694">
        <v>286269</v>
      </c>
      <c r="R694" t="s">
        <v>1663</v>
      </c>
      <c r="S694">
        <v>4</v>
      </c>
      <c r="T694" t="b">
        <v>0</v>
      </c>
      <c r="U694">
        <v>1</v>
      </c>
      <c r="V694">
        <v>1</v>
      </c>
      <c r="W694" t="s">
        <v>35</v>
      </c>
      <c r="X694" t="s">
        <v>1848</v>
      </c>
      <c r="Y694" t="s">
        <v>29</v>
      </c>
      <c r="Z694" t="s">
        <v>37</v>
      </c>
      <c r="AA694">
        <f>TwitterClean[[#This Row],[likes]]+TwitterClean[[#This Row],[replies]]+TwitterClean[[#This Row],[reposts]]+TwitterClean[[#This Row],[quotes]]+TwitterClean[[#This Row],[bookmarks]]</f>
        <v>36</v>
      </c>
      <c r="AB694" s="1">
        <f>TwitterClean[[#This Row],[Total_Engagements]]/TwitterClean[[#This Row],[views]]</f>
        <v>4.9868402825876158E-3</v>
      </c>
      <c r="AC694" s="3">
        <f>DATEVALUE(MID(TwitterClean[[#This Row],[date_posted]],2,10))</f>
        <v>45641</v>
      </c>
      <c r="AD694">
        <f>TIMEVALUE(MID(TwitterClean[[#This Row],[date_posted]],13,8))</f>
        <v>0.65026620370370369</v>
      </c>
      <c r="AE694" s="3" t="str">
        <f>TEXT(TwitterClean[[#This Row],[Post_Date]],"dddd")</f>
        <v>Sunday</v>
      </c>
      <c r="AF694">
        <f>HOUR(TwitterClean[[#This Row],[Post_Time]])</f>
        <v>15</v>
      </c>
      <c r="AG694" t="str">
        <f>IF(TwitterClean[[#This Row],[videos]]="Null","No","Yes")</f>
        <v>No</v>
      </c>
      <c r="AH694" t="str">
        <f>IF(TwitterClean[[#This Row],[photos]]="null","No","Yes")</f>
        <v>No</v>
      </c>
      <c r="AI694" t="str">
        <f>IF(TwitterClean[[#This Row],[hashtags]]="null","No","Yes")</f>
        <v>No</v>
      </c>
      <c r="AJ694" t="str">
        <f>IF(TwitterClean[[#This Row],[external_url]]="null","Yes","No")</f>
        <v>No</v>
      </c>
      <c r="AK694">
        <f>LEN(TwitterClean[[#This Row],[description]])</f>
        <v>62</v>
      </c>
      <c r="AL694" t="str">
        <f>IF(TwitterClean[[#This Row],[followers]]&lt;100000,"&lt;100K",IF(TwitterClean[[#This Row],[followers]]&lt;1000000,"100K-1M",IF(TwitterClean[[#This Row],[followers]]&lt;10000000,"1M-10M","10M+")))</f>
        <v>1M-10M</v>
      </c>
    </row>
    <row r="695" spans="1:38">
      <c r="A695">
        <v>1.8681208753812152E+18</v>
      </c>
      <c r="B695" t="s">
        <v>1656</v>
      </c>
      <c r="C695" t="s">
        <v>1657</v>
      </c>
      <c r="D695" t="s">
        <v>1915</v>
      </c>
      <c r="E695" t="s">
        <v>1916</v>
      </c>
      <c r="F695" t="s">
        <v>29</v>
      </c>
      <c r="G695" t="s">
        <v>1917</v>
      </c>
      <c r="H695" t="s">
        <v>29</v>
      </c>
      <c r="I695">
        <v>8</v>
      </c>
      <c r="J695">
        <v>8</v>
      </c>
      <c r="K695">
        <v>53</v>
      </c>
      <c r="L695">
        <v>15149</v>
      </c>
      <c r="M695" t="s">
        <v>52</v>
      </c>
      <c r="N695" t="s">
        <v>1918</v>
      </c>
      <c r="O695">
        <v>2819409</v>
      </c>
      <c r="P695" t="s">
        <v>1662</v>
      </c>
      <c r="Q695">
        <v>286269</v>
      </c>
      <c r="R695" t="s">
        <v>1663</v>
      </c>
      <c r="S695">
        <v>4</v>
      </c>
      <c r="T695" t="b">
        <v>0</v>
      </c>
      <c r="U695">
        <v>3</v>
      </c>
      <c r="V695">
        <v>3</v>
      </c>
      <c r="W695" t="s">
        <v>35</v>
      </c>
      <c r="X695" t="s">
        <v>29</v>
      </c>
      <c r="Y695" t="s">
        <v>1919</v>
      </c>
      <c r="Z695" t="s">
        <v>37</v>
      </c>
      <c r="AA695">
        <f>TwitterClean[[#This Row],[likes]]+TwitterClean[[#This Row],[replies]]+TwitterClean[[#This Row],[reposts]]+TwitterClean[[#This Row],[quotes]]+TwitterClean[[#This Row],[bookmarks]]</f>
        <v>75</v>
      </c>
      <c r="AB695" s="1">
        <f>TwitterClean[[#This Row],[Total_Engagements]]/TwitterClean[[#This Row],[views]]</f>
        <v>4.9508218364248463E-3</v>
      </c>
      <c r="AC695" s="3">
        <f>DATEVALUE(MID(TwitterClean[[#This Row],[date_posted]],2,10))</f>
        <v>45641</v>
      </c>
      <c r="AD695">
        <f>TIMEVALUE(MID(TwitterClean[[#This Row],[date_posted]],13,8))</f>
        <v>0.10299768518518519</v>
      </c>
      <c r="AE695" s="3" t="str">
        <f>TEXT(TwitterClean[[#This Row],[Post_Date]],"dddd")</f>
        <v>Sunday</v>
      </c>
      <c r="AF695">
        <f>HOUR(TwitterClean[[#This Row],[Post_Time]])</f>
        <v>2</v>
      </c>
      <c r="AG695" t="str">
        <f>IF(TwitterClean[[#This Row],[videos]]="Null","No","Yes")</f>
        <v>Yes</v>
      </c>
      <c r="AH695" t="str">
        <f>IF(TwitterClean[[#This Row],[photos]]="null","No","Yes")</f>
        <v>No</v>
      </c>
      <c r="AI695" t="str">
        <f>IF(TwitterClean[[#This Row],[hashtags]]="null","No","Yes")</f>
        <v>Yes</v>
      </c>
      <c r="AJ695" t="str">
        <f>IF(TwitterClean[[#This Row],[external_url]]="null","Yes","No")</f>
        <v>No</v>
      </c>
      <c r="AK695">
        <f>LEN(TwitterClean[[#This Row],[description]])</f>
        <v>221</v>
      </c>
      <c r="AL695" t="str">
        <f>IF(TwitterClean[[#This Row],[followers]]&lt;100000,"&lt;100K",IF(TwitterClean[[#This Row],[followers]]&lt;1000000,"100K-1M",IF(TwitterClean[[#This Row],[followers]]&lt;10000000,"1M-10M","10M+")))</f>
        <v>1M-10M</v>
      </c>
    </row>
    <row r="696" spans="1:38">
      <c r="A696">
        <v>1.8669591462576169E+18</v>
      </c>
      <c r="B696" t="s">
        <v>2925</v>
      </c>
      <c r="C696" t="s">
        <v>2926</v>
      </c>
      <c r="D696" t="s">
        <v>2927</v>
      </c>
      <c r="E696" t="s">
        <v>2928</v>
      </c>
      <c r="F696" t="s">
        <v>2929</v>
      </c>
      <c r="G696" t="s">
        <v>2930</v>
      </c>
      <c r="H696" t="s">
        <v>2931</v>
      </c>
      <c r="I696">
        <v>2</v>
      </c>
      <c r="J696">
        <v>6</v>
      </c>
      <c r="K696">
        <v>7</v>
      </c>
      <c r="L696">
        <v>3453</v>
      </c>
      <c r="M696" t="s">
        <v>2932</v>
      </c>
      <c r="N696" t="s">
        <v>29</v>
      </c>
      <c r="O696">
        <v>4838</v>
      </c>
      <c r="P696" t="s">
        <v>2933</v>
      </c>
      <c r="Q696">
        <v>41996</v>
      </c>
      <c r="R696" t="s">
        <v>2934</v>
      </c>
      <c r="S696">
        <v>1231</v>
      </c>
      <c r="T696" t="b">
        <v>0</v>
      </c>
      <c r="U696">
        <v>2</v>
      </c>
      <c r="V696">
        <v>0</v>
      </c>
      <c r="W696" t="s">
        <v>35</v>
      </c>
      <c r="X696" t="s">
        <v>29</v>
      </c>
      <c r="Y696" t="s">
        <v>29</v>
      </c>
      <c r="Z696" t="s">
        <v>37</v>
      </c>
      <c r="AA696">
        <f>TwitterClean[[#This Row],[likes]]+TwitterClean[[#This Row],[replies]]+TwitterClean[[#This Row],[reposts]]+TwitterClean[[#This Row],[quotes]]+TwitterClean[[#This Row],[bookmarks]]</f>
        <v>17</v>
      </c>
      <c r="AB696" s="1">
        <f>TwitterClean[[#This Row],[Total_Engagements]]/TwitterClean[[#This Row],[views]]</f>
        <v>4.9232551404575732E-3</v>
      </c>
      <c r="AC696" s="3">
        <f>DATEVALUE(MID(TwitterClean[[#This Row],[date_posted]],2,10))</f>
        <v>45637</v>
      </c>
      <c r="AD696">
        <f>TIMEVALUE(MID(TwitterClean[[#This Row],[date_posted]],13,8))</f>
        <v>0.89723379629629629</v>
      </c>
      <c r="AE696" s="3" t="str">
        <f>TEXT(TwitterClean[[#This Row],[Post_Date]],"dddd")</f>
        <v>Wednesday</v>
      </c>
      <c r="AF696">
        <f>HOUR(TwitterClean[[#This Row],[Post_Time]])</f>
        <v>21</v>
      </c>
      <c r="AG696" t="str">
        <f>IF(TwitterClean[[#This Row],[videos]]="Null","No","Yes")</f>
        <v>No</v>
      </c>
      <c r="AH696" t="str">
        <f>IF(TwitterClean[[#This Row],[photos]]="null","No","Yes")</f>
        <v>Yes</v>
      </c>
      <c r="AI696" t="str">
        <f>IF(TwitterClean[[#This Row],[hashtags]]="null","No","Yes")</f>
        <v>No</v>
      </c>
      <c r="AJ696" t="str">
        <f>IF(TwitterClean[[#This Row],[external_url]]="null","Yes","No")</f>
        <v>No</v>
      </c>
      <c r="AK696">
        <f>LEN(TwitterClean[[#This Row],[description]])</f>
        <v>180</v>
      </c>
      <c r="AL696" t="str">
        <f>IF(TwitterClean[[#This Row],[followers]]&lt;100000,"&lt;100K",IF(TwitterClean[[#This Row],[followers]]&lt;1000000,"100K-1M",IF(TwitterClean[[#This Row],[followers]]&lt;10000000,"1M-10M","10M+")))</f>
        <v>&lt;100K</v>
      </c>
    </row>
    <row r="697" spans="1:38">
      <c r="A697">
        <v>1.8174560598183734E+18</v>
      </c>
      <c r="B697" t="s">
        <v>4114</v>
      </c>
      <c r="C697" t="s">
        <v>4115</v>
      </c>
      <c r="D697" t="s">
        <v>4186</v>
      </c>
      <c r="E697" t="s">
        <v>4187</v>
      </c>
      <c r="F697" t="s">
        <v>4188</v>
      </c>
      <c r="G697" t="s">
        <v>4189</v>
      </c>
      <c r="H697" t="s">
        <v>29</v>
      </c>
      <c r="I697">
        <v>149</v>
      </c>
      <c r="J697">
        <v>448</v>
      </c>
      <c r="K697">
        <v>1509</v>
      </c>
      <c r="L697">
        <v>505266</v>
      </c>
      <c r="M697" t="s">
        <v>52</v>
      </c>
      <c r="N697" t="s">
        <v>29</v>
      </c>
      <c r="O697">
        <v>234568</v>
      </c>
      <c r="P697" t="s">
        <v>4121</v>
      </c>
      <c r="Q697">
        <v>102643</v>
      </c>
      <c r="R697" t="s">
        <v>4122</v>
      </c>
      <c r="S697">
        <v>5173</v>
      </c>
      <c r="T697" t="b">
        <v>0</v>
      </c>
      <c r="U697">
        <v>27</v>
      </c>
      <c r="V697">
        <v>314</v>
      </c>
      <c r="W697" t="s">
        <v>35</v>
      </c>
      <c r="X697" t="s">
        <v>29</v>
      </c>
      <c r="Y697" t="s">
        <v>4190</v>
      </c>
      <c r="Z697" t="s">
        <v>37</v>
      </c>
      <c r="AA697">
        <f>TwitterClean[[#This Row],[likes]]+TwitterClean[[#This Row],[replies]]+TwitterClean[[#This Row],[reposts]]+TwitterClean[[#This Row],[quotes]]+TwitterClean[[#This Row],[bookmarks]]</f>
        <v>2447</v>
      </c>
      <c r="AB697" s="1">
        <f>TwitterClean[[#This Row],[Total_Engagements]]/TwitterClean[[#This Row],[views]]</f>
        <v>4.8429935914943816E-3</v>
      </c>
      <c r="AC697" s="3">
        <f>DATEVALUE(MID(TwitterClean[[#This Row],[date_posted]],2,10))</f>
        <v>45501</v>
      </c>
      <c r="AD697">
        <f>TIMEVALUE(MID(TwitterClean[[#This Row],[date_posted]],13,8))</f>
        <v>0.29474537037037035</v>
      </c>
      <c r="AE697" s="3" t="str">
        <f>TEXT(TwitterClean[[#This Row],[Post_Date]],"dddd")</f>
        <v>Sunday</v>
      </c>
      <c r="AF697">
        <f>HOUR(TwitterClean[[#This Row],[Post_Time]])</f>
        <v>7</v>
      </c>
      <c r="AG697" t="str">
        <f>IF(TwitterClean[[#This Row],[videos]]="Null","No","Yes")</f>
        <v>Yes</v>
      </c>
      <c r="AH697" t="str">
        <f>IF(TwitterClean[[#This Row],[photos]]="null","No","Yes")</f>
        <v>Yes</v>
      </c>
      <c r="AI697" t="str">
        <f>IF(TwitterClean[[#This Row],[hashtags]]="null","No","Yes")</f>
        <v>No</v>
      </c>
      <c r="AJ697" t="str">
        <f>IF(TwitterClean[[#This Row],[external_url]]="null","Yes","No")</f>
        <v>No</v>
      </c>
      <c r="AK697">
        <f>LEN(TwitterClean[[#This Row],[description]])</f>
        <v>71</v>
      </c>
      <c r="AL697" t="str">
        <f>IF(TwitterClean[[#This Row],[followers]]&lt;100000,"&lt;100K",IF(TwitterClean[[#This Row],[followers]]&lt;1000000,"100K-1M",IF(TwitterClean[[#This Row],[followers]]&lt;10000000,"1M-10M","10M+")))</f>
        <v>100K-1M</v>
      </c>
    </row>
    <row r="698" spans="1:38">
      <c r="A698">
        <v>1.8683474772856381E+18</v>
      </c>
      <c r="B698" t="s">
        <v>3743</v>
      </c>
      <c r="C698" t="s">
        <v>3744</v>
      </c>
      <c r="D698" t="s">
        <v>4997</v>
      </c>
      <c r="E698" t="s">
        <v>4998</v>
      </c>
      <c r="F698" t="s">
        <v>4999</v>
      </c>
      <c r="G698" t="s">
        <v>5000</v>
      </c>
      <c r="H698" t="s">
        <v>5001</v>
      </c>
      <c r="I698">
        <v>1</v>
      </c>
      <c r="J698">
        <v>2</v>
      </c>
      <c r="K698">
        <v>79</v>
      </c>
      <c r="L698">
        <v>17145</v>
      </c>
      <c r="M698" t="s">
        <v>52</v>
      </c>
      <c r="N698" t="s">
        <v>4737</v>
      </c>
      <c r="O698">
        <v>668750</v>
      </c>
      <c r="P698" t="s">
        <v>3751</v>
      </c>
      <c r="Q698">
        <v>76510</v>
      </c>
      <c r="R698" t="s">
        <v>3752</v>
      </c>
      <c r="S698">
        <v>860</v>
      </c>
      <c r="T698" t="b">
        <v>0</v>
      </c>
      <c r="U698">
        <v>1</v>
      </c>
      <c r="V698">
        <v>0</v>
      </c>
      <c r="W698" t="s">
        <v>35</v>
      </c>
      <c r="X698" t="s">
        <v>29</v>
      </c>
      <c r="Y698" t="s">
        <v>29</v>
      </c>
      <c r="Z698" t="s">
        <v>37</v>
      </c>
      <c r="AA698">
        <f>TwitterClean[[#This Row],[likes]]+TwitterClean[[#This Row],[replies]]+TwitterClean[[#This Row],[reposts]]+TwitterClean[[#This Row],[quotes]]+TwitterClean[[#This Row],[bookmarks]]</f>
        <v>83</v>
      </c>
      <c r="AB698" s="1">
        <f>TwitterClean[[#This Row],[Total_Engagements]]/TwitterClean[[#This Row],[views]]</f>
        <v>4.8410615339749196E-3</v>
      </c>
      <c r="AC698" s="3">
        <f>DATEVALUE(MID(TwitterClean[[#This Row],[date_posted]],2,10))</f>
        <v>45641</v>
      </c>
      <c r="AD698">
        <f>TIMEVALUE(MID(TwitterClean[[#This Row],[date_posted]],13,8))</f>
        <v>0.72829861111111116</v>
      </c>
      <c r="AE698" s="3" t="str">
        <f>TEXT(TwitterClean[[#This Row],[Post_Date]],"dddd")</f>
        <v>Sunday</v>
      </c>
      <c r="AF698">
        <f>HOUR(TwitterClean[[#This Row],[Post_Time]])</f>
        <v>17</v>
      </c>
      <c r="AG698" t="str">
        <f>IF(TwitterClean[[#This Row],[videos]]="Null","No","Yes")</f>
        <v>No</v>
      </c>
      <c r="AH698" t="str">
        <f>IF(TwitterClean[[#This Row],[photos]]="null","No","Yes")</f>
        <v>Yes</v>
      </c>
      <c r="AI698" t="str">
        <f>IF(TwitterClean[[#This Row],[hashtags]]="null","No","Yes")</f>
        <v>Yes</v>
      </c>
      <c r="AJ698" t="str">
        <f>IF(TwitterClean[[#This Row],[external_url]]="null","Yes","No")</f>
        <v>No</v>
      </c>
      <c r="AK698">
        <f>LEN(TwitterClean[[#This Row],[description]])</f>
        <v>123</v>
      </c>
      <c r="AL698" t="str">
        <f>IF(TwitterClean[[#This Row],[followers]]&lt;100000,"&lt;100K",IF(TwitterClean[[#This Row],[followers]]&lt;1000000,"100K-1M",IF(TwitterClean[[#This Row],[followers]]&lt;10000000,"1M-10M","10M+")))</f>
        <v>100K-1M</v>
      </c>
    </row>
    <row r="699" spans="1:38">
      <c r="A699">
        <v>1.8683173504259443E+18</v>
      </c>
      <c r="B699" t="s">
        <v>3205</v>
      </c>
      <c r="C699" t="s">
        <v>3206</v>
      </c>
      <c r="D699" t="s">
        <v>3546</v>
      </c>
      <c r="E699" t="s">
        <v>3547</v>
      </c>
      <c r="F699" t="s">
        <v>29</v>
      </c>
      <c r="G699" t="s">
        <v>3548</v>
      </c>
      <c r="H699" t="s">
        <v>3549</v>
      </c>
      <c r="I699">
        <v>1</v>
      </c>
      <c r="J699">
        <v>1</v>
      </c>
      <c r="K699">
        <v>29</v>
      </c>
      <c r="L699">
        <v>6828</v>
      </c>
      <c r="M699" t="s">
        <v>3550</v>
      </c>
      <c r="N699" t="s">
        <v>3212</v>
      </c>
      <c r="O699">
        <v>156682</v>
      </c>
      <c r="P699" t="s">
        <v>3213</v>
      </c>
      <c r="Q699">
        <v>35682</v>
      </c>
      <c r="R699" t="s">
        <v>3214</v>
      </c>
      <c r="S699">
        <v>1430</v>
      </c>
      <c r="T699" t="b">
        <v>0</v>
      </c>
      <c r="U699">
        <v>0</v>
      </c>
      <c r="V699">
        <v>2</v>
      </c>
      <c r="W699" t="s">
        <v>35</v>
      </c>
      <c r="X699" t="s">
        <v>29</v>
      </c>
      <c r="Y699" t="s">
        <v>3551</v>
      </c>
      <c r="Z699" t="s">
        <v>37</v>
      </c>
      <c r="AA699">
        <f>TwitterClean[[#This Row],[likes]]+TwitterClean[[#This Row],[replies]]+TwitterClean[[#This Row],[reposts]]+TwitterClean[[#This Row],[quotes]]+TwitterClean[[#This Row],[bookmarks]]</f>
        <v>33</v>
      </c>
      <c r="AB699" s="1">
        <f>TwitterClean[[#This Row],[Total_Engagements]]/TwitterClean[[#This Row],[views]]</f>
        <v>4.8330404217926184E-3</v>
      </c>
      <c r="AC699" s="3">
        <f>DATEVALUE(MID(TwitterClean[[#This Row],[date_posted]],2,10))</f>
        <v>45641</v>
      </c>
      <c r="AD699">
        <f>TIMEVALUE(MID(TwitterClean[[#This Row],[date_posted]],13,8))</f>
        <v>0.64516203703703701</v>
      </c>
      <c r="AE699" s="3" t="str">
        <f>TEXT(TwitterClean[[#This Row],[Post_Date]],"dddd")</f>
        <v>Sunday</v>
      </c>
      <c r="AF699">
        <f>HOUR(TwitterClean[[#This Row],[Post_Time]])</f>
        <v>15</v>
      </c>
      <c r="AG699" t="str">
        <f>IF(TwitterClean[[#This Row],[videos]]="Null","No","Yes")</f>
        <v>Yes</v>
      </c>
      <c r="AH699" t="str">
        <f>IF(TwitterClean[[#This Row],[photos]]="null","No","Yes")</f>
        <v>No</v>
      </c>
      <c r="AI699" t="str">
        <f>IF(TwitterClean[[#This Row],[hashtags]]="null","No","Yes")</f>
        <v>Yes</v>
      </c>
      <c r="AJ699" t="str">
        <f>IF(TwitterClean[[#This Row],[external_url]]="null","Yes","No")</f>
        <v>No</v>
      </c>
      <c r="AK699">
        <f>LEN(TwitterClean[[#This Row],[description]])</f>
        <v>91</v>
      </c>
      <c r="AL699" t="str">
        <f>IF(TwitterClean[[#This Row],[followers]]&lt;100000,"&lt;100K",IF(TwitterClean[[#This Row],[followers]]&lt;1000000,"100K-1M",IF(TwitterClean[[#This Row],[followers]]&lt;10000000,"1M-10M","10M+")))</f>
        <v>100K-1M</v>
      </c>
    </row>
    <row r="700" spans="1:38">
      <c r="A700">
        <v>1.8683605126830003E+18</v>
      </c>
      <c r="B700" t="s">
        <v>2230</v>
      </c>
      <c r="C700" t="s">
        <v>2231</v>
      </c>
      <c r="D700" t="s">
        <v>2449</v>
      </c>
      <c r="E700" t="s">
        <v>2450</v>
      </c>
      <c r="F700" t="s">
        <v>2451</v>
      </c>
      <c r="G700" t="s">
        <v>2452</v>
      </c>
      <c r="H700" t="s">
        <v>29</v>
      </c>
      <c r="I700">
        <v>181</v>
      </c>
      <c r="J700">
        <v>11</v>
      </c>
      <c r="K700">
        <v>146</v>
      </c>
      <c r="L700">
        <v>74093</v>
      </c>
      <c r="M700" t="s">
        <v>2453</v>
      </c>
      <c r="N700" t="s">
        <v>29</v>
      </c>
      <c r="O700">
        <v>3313887</v>
      </c>
      <c r="P700" t="s">
        <v>2237</v>
      </c>
      <c r="Q700">
        <v>706459</v>
      </c>
      <c r="R700" t="s">
        <v>2238</v>
      </c>
      <c r="S700">
        <v>10308</v>
      </c>
      <c r="T700" t="b">
        <v>0</v>
      </c>
      <c r="U700">
        <v>17</v>
      </c>
      <c r="V700">
        <v>3</v>
      </c>
      <c r="W700" t="s">
        <v>35</v>
      </c>
      <c r="X700" t="s">
        <v>29</v>
      </c>
      <c r="Y700" t="s">
        <v>29</v>
      </c>
      <c r="Z700" t="s">
        <v>37</v>
      </c>
      <c r="AA700">
        <f>TwitterClean[[#This Row],[likes]]+TwitterClean[[#This Row],[replies]]+TwitterClean[[#This Row],[reposts]]+TwitterClean[[#This Row],[quotes]]+TwitterClean[[#This Row],[bookmarks]]</f>
        <v>358</v>
      </c>
      <c r="AB700" s="1">
        <f>TwitterClean[[#This Row],[Total_Engagements]]/TwitterClean[[#This Row],[views]]</f>
        <v>4.831765483918859E-3</v>
      </c>
      <c r="AC700" s="3">
        <f>DATEVALUE(MID(TwitterClean[[#This Row],[date_posted]],2,10))</f>
        <v>45641</v>
      </c>
      <c r="AD700">
        <f>TIMEVALUE(MID(TwitterClean[[#This Row],[date_posted]],13,8))</f>
        <v>0.76427083333333334</v>
      </c>
      <c r="AE700" s="3" t="str">
        <f>TEXT(TwitterClean[[#This Row],[Post_Date]],"dddd")</f>
        <v>Sunday</v>
      </c>
      <c r="AF700">
        <f>HOUR(TwitterClean[[#This Row],[Post_Time]])</f>
        <v>18</v>
      </c>
      <c r="AG700" t="str">
        <f>IF(TwitterClean[[#This Row],[videos]]="Null","No","Yes")</f>
        <v>No</v>
      </c>
      <c r="AH700" t="str">
        <f>IF(TwitterClean[[#This Row],[photos]]="null","No","Yes")</f>
        <v>Yes</v>
      </c>
      <c r="AI700" t="str">
        <f>IF(TwitterClean[[#This Row],[hashtags]]="null","No","Yes")</f>
        <v>No</v>
      </c>
      <c r="AJ700" t="str">
        <f>IF(TwitterClean[[#This Row],[external_url]]="null","Yes","No")</f>
        <v>No</v>
      </c>
      <c r="AK700">
        <f>LEN(TwitterClean[[#This Row],[description]])</f>
        <v>85</v>
      </c>
      <c r="AL700" t="str">
        <f>IF(TwitterClean[[#This Row],[followers]]&lt;100000,"&lt;100K",IF(TwitterClean[[#This Row],[followers]]&lt;1000000,"100K-1M",IF(TwitterClean[[#This Row],[followers]]&lt;10000000,"1M-10M","10M+")))</f>
        <v>1M-10M</v>
      </c>
    </row>
    <row r="701" spans="1:38">
      <c r="A701">
        <v>1.8682685192567196E+18</v>
      </c>
      <c r="B701" t="s">
        <v>228</v>
      </c>
      <c r="C701" t="s">
        <v>228</v>
      </c>
      <c r="D701" t="s">
        <v>1194</v>
      </c>
      <c r="E701" t="s">
        <v>1195</v>
      </c>
      <c r="F701" t="s">
        <v>1196</v>
      </c>
      <c r="G701" t="s">
        <v>1197</v>
      </c>
      <c r="H701" t="s">
        <v>29</v>
      </c>
      <c r="I701">
        <v>7</v>
      </c>
      <c r="J701">
        <v>3</v>
      </c>
      <c r="K701">
        <v>21</v>
      </c>
      <c r="L701">
        <v>7251</v>
      </c>
      <c r="M701" t="s">
        <v>1198</v>
      </c>
      <c r="N701" t="s">
        <v>29</v>
      </c>
      <c r="O701">
        <v>1239617</v>
      </c>
      <c r="P701" t="s">
        <v>235</v>
      </c>
      <c r="Q701">
        <v>402839</v>
      </c>
      <c r="R701" t="s">
        <v>236</v>
      </c>
      <c r="S701">
        <v>1644</v>
      </c>
      <c r="T701" t="b">
        <v>0</v>
      </c>
      <c r="U701">
        <v>2</v>
      </c>
      <c r="V701">
        <v>2</v>
      </c>
      <c r="W701" t="s">
        <v>35</v>
      </c>
      <c r="X701" t="s">
        <v>29</v>
      </c>
      <c r="Y701" t="s">
        <v>29</v>
      </c>
      <c r="Z701" t="s">
        <v>37</v>
      </c>
      <c r="AA701">
        <f>TwitterClean[[#This Row],[likes]]+TwitterClean[[#This Row],[replies]]+TwitterClean[[#This Row],[reposts]]+TwitterClean[[#This Row],[quotes]]+TwitterClean[[#This Row],[bookmarks]]</f>
        <v>35</v>
      </c>
      <c r="AB701" s="1">
        <f>TwitterClean[[#This Row],[Total_Engagements]]/TwitterClean[[#This Row],[views]]</f>
        <v>4.8269204247689971E-3</v>
      </c>
      <c r="AC701" s="3">
        <f>DATEVALUE(MID(TwitterClean[[#This Row],[date_posted]],2,10))</f>
        <v>45641</v>
      </c>
      <c r="AD701">
        <f>TIMEVALUE(MID(TwitterClean[[#This Row],[date_posted]],13,8))</f>
        <v>0.51041666666666663</v>
      </c>
      <c r="AE701" s="3" t="str">
        <f>TEXT(TwitterClean[[#This Row],[Post_Date]],"dddd")</f>
        <v>Sunday</v>
      </c>
      <c r="AF701">
        <f>HOUR(TwitterClean[[#This Row],[Post_Time]])</f>
        <v>12</v>
      </c>
      <c r="AG701" t="str">
        <f>IF(TwitterClean[[#This Row],[videos]]="Null","No","Yes")</f>
        <v>No</v>
      </c>
      <c r="AH701" t="str">
        <f>IF(TwitterClean[[#This Row],[photos]]="null","No","Yes")</f>
        <v>Yes</v>
      </c>
      <c r="AI701" t="str">
        <f>IF(TwitterClean[[#This Row],[hashtags]]="null","No","Yes")</f>
        <v>No</v>
      </c>
      <c r="AJ701" t="str">
        <f>IF(TwitterClean[[#This Row],[external_url]]="null","Yes","No")</f>
        <v>No</v>
      </c>
      <c r="AK701">
        <f>LEN(TwitterClean[[#This Row],[description]])</f>
        <v>190</v>
      </c>
      <c r="AL701" t="str">
        <f>IF(TwitterClean[[#This Row],[followers]]&lt;100000,"&lt;100K",IF(TwitterClean[[#This Row],[followers]]&lt;1000000,"100K-1M",IF(TwitterClean[[#This Row],[followers]]&lt;10000000,"1M-10M","10M+")))</f>
        <v>1M-10M</v>
      </c>
    </row>
    <row r="702" spans="1:38">
      <c r="A702">
        <v>1.8683795065218092E+18</v>
      </c>
      <c r="B702" t="s">
        <v>3205</v>
      </c>
      <c r="C702" t="s">
        <v>3206</v>
      </c>
      <c r="D702" t="s">
        <v>5185</v>
      </c>
      <c r="E702" t="s">
        <v>5186</v>
      </c>
      <c r="F702" t="s">
        <v>29</v>
      </c>
      <c r="G702" t="s">
        <v>5187</v>
      </c>
      <c r="H702" t="s">
        <v>5188</v>
      </c>
      <c r="I702">
        <v>1</v>
      </c>
      <c r="J702">
        <v>9</v>
      </c>
      <c r="K702">
        <v>42</v>
      </c>
      <c r="L702">
        <v>11043</v>
      </c>
      <c r="M702" t="s">
        <v>5189</v>
      </c>
      <c r="N702" t="s">
        <v>3212</v>
      </c>
      <c r="O702">
        <v>156681</v>
      </c>
      <c r="P702" t="s">
        <v>3213</v>
      </c>
      <c r="Q702">
        <v>35682</v>
      </c>
      <c r="R702" t="s">
        <v>3214</v>
      </c>
      <c r="S702">
        <v>1430</v>
      </c>
      <c r="T702" t="b">
        <v>0</v>
      </c>
      <c r="U702">
        <v>1</v>
      </c>
      <c r="V702">
        <v>0</v>
      </c>
      <c r="W702" t="s">
        <v>35</v>
      </c>
      <c r="X702" t="s">
        <v>29</v>
      </c>
      <c r="Y702" t="s">
        <v>29</v>
      </c>
      <c r="Z702" t="s">
        <v>37</v>
      </c>
      <c r="AA702">
        <f>TwitterClean[[#This Row],[likes]]+TwitterClean[[#This Row],[replies]]+TwitterClean[[#This Row],[reposts]]+TwitterClean[[#This Row],[quotes]]+TwitterClean[[#This Row],[bookmarks]]</f>
        <v>53</v>
      </c>
      <c r="AB702" s="1">
        <f>TwitterClean[[#This Row],[Total_Engagements]]/TwitterClean[[#This Row],[views]]</f>
        <v>4.799420447342208E-3</v>
      </c>
      <c r="AC702" s="3">
        <f>DATEVALUE(MID(TwitterClean[[#This Row],[date_posted]],2,10))</f>
        <v>45641</v>
      </c>
      <c r="AD702">
        <f>TIMEVALUE(MID(TwitterClean[[#This Row],[date_posted]],13,8))</f>
        <v>0.81667824074074069</v>
      </c>
      <c r="AE702" s="3" t="str">
        <f>TEXT(TwitterClean[[#This Row],[Post_Date]],"dddd")</f>
        <v>Sunday</v>
      </c>
      <c r="AF702">
        <f>HOUR(TwitterClean[[#This Row],[Post_Time]])</f>
        <v>19</v>
      </c>
      <c r="AG702" t="str">
        <f>IF(TwitterClean[[#This Row],[videos]]="Null","No","Yes")</f>
        <v>No</v>
      </c>
      <c r="AH702" t="str">
        <f>IF(TwitterClean[[#This Row],[photos]]="null","No","Yes")</f>
        <v>No</v>
      </c>
      <c r="AI702" t="str">
        <f>IF(TwitterClean[[#This Row],[hashtags]]="null","No","Yes")</f>
        <v>Yes</v>
      </c>
      <c r="AJ702" t="str">
        <f>IF(TwitterClean[[#This Row],[external_url]]="null","Yes","No")</f>
        <v>No</v>
      </c>
      <c r="AK702">
        <f>LEN(TwitterClean[[#This Row],[description]])</f>
        <v>185</v>
      </c>
      <c r="AL702" t="str">
        <f>IF(TwitterClean[[#This Row],[followers]]&lt;100000,"&lt;100K",IF(TwitterClean[[#This Row],[followers]]&lt;1000000,"100K-1M",IF(TwitterClean[[#This Row],[followers]]&lt;10000000,"1M-10M","10M+")))</f>
        <v>100K-1M</v>
      </c>
    </row>
    <row r="703" spans="1:38">
      <c r="A703">
        <v>1.865986344238871E+18</v>
      </c>
      <c r="B703" t="s">
        <v>266</v>
      </c>
      <c r="C703" t="s">
        <v>266</v>
      </c>
      <c r="D703" t="s">
        <v>579</v>
      </c>
      <c r="E703" t="s">
        <v>580</v>
      </c>
      <c r="F703" t="s">
        <v>581</v>
      </c>
      <c r="G703" t="s">
        <v>582</v>
      </c>
      <c r="H703" t="s">
        <v>583</v>
      </c>
      <c r="I703">
        <v>25</v>
      </c>
      <c r="J703">
        <v>47</v>
      </c>
      <c r="K703">
        <v>206</v>
      </c>
      <c r="L703">
        <v>60111</v>
      </c>
      <c r="M703" t="s">
        <v>52</v>
      </c>
      <c r="N703" t="s">
        <v>29</v>
      </c>
      <c r="O703">
        <v>47706829</v>
      </c>
      <c r="P703" t="s">
        <v>272</v>
      </c>
      <c r="Q703">
        <v>367152</v>
      </c>
      <c r="R703" t="s">
        <v>273</v>
      </c>
      <c r="S703">
        <v>2012</v>
      </c>
      <c r="T703" t="b">
        <v>0</v>
      </c>
      <c r="U703">
        <v>5</v>
      </c>
      <c r="V703">
        <v>5</v>
      </c>
      <c r="W703" t="s">
        <v>584</v>
      </c>
      <c r="X703" t="s">
        <v>29</v>
      </c>
      <c r="Y703" t="s">
        <v>29</v>
      </c>
      <c r="Z703" t="s">
        <v>37</v>
      </c>
      <c r="AA703">
        <f>TwitterClean[[#This Row],[likes]]+TwitterClean[[#This Row],[replies]]+TwitterClean[[#This Row],[reposts]]+TwitterClean[[#This Row],[quotes]]+TwitterClean[[#This Row],[bookmarks]]</f>
        <v>288</v>
      </c>
      <c r="AB703" s="1">
        <f>TwitterClean[[#This Row],[Total_Engagements]]/TwitterClean[[#This Row],[views]]</f>
        <v>4.7911363976643213E-3</v>
      </c>
      <c r="AC703" s="3">
        <f>DATEVALUE(MID(TwitterClean[[#This Row],[date_posted]],2,10))</f>
        <v>45635</v>
      </c>
      <c r="AD703">
        <f>TIMEVALUE(MID(TwitterClean[[#This Row],[date_posted]],13,8))</f>
        <v>0.21281249999999999</v>
      </c>
      <c r="AE703" s="3" t="str">
        <f>TEXT(TwitterClean[[#This Row],[Post_Date]],"dddd")</f>
        <v>Monday</v>
      </c>
      <c r="AF703">
        <f>HOUR(TwitterClean[[#This Row],[Post_Time]])</f>
        <v>5</v>
      </c>
      <c r="AG703" t="str">
        <f>IF(TwitterClean[[#This Row],[videos]]="Null","No","Yes")</f>
        <v>No</v>
      </c>
      <c r="AH703" t="str">
        <f>IF(TwitterClean[[#This Row],[photos]]="null","No","Yes")</f>
        <v>Yes</v>
      </c>
      <c r="AI703" t="str">
        <f>IF(TwitterClean[[#This Row],[hashtags]]="null","No","Yes")</f>
        <v>No</v>
      </c>
      <c r="AJ703" t="str">
        <f>IF(TwitterClean[[#This Row],[external_url]]="null","Yes","No")</f>
        <v>No</v>
      </c>
      <c r="AK703">
        <f>LEN(TwitterClean[[#This Row],[description]])</f>
        <v>233</v>
      </c>
      <c r="AL703" t="str">
        <f>IF(TwitterClean[[#This Row],[followers]]&lt;100000,"&lt;100K",IF(TwitterClean[[#This Row],[followers]]&lt;1000000,"100K-1M",IF(TwitterClean[[#This Row],[followers]]&lt;10000000,"1M-10M","10M+")))</f>
        <v>10M+</v>
      </c>
    </row>
    <row r="704" spans="1:38">
      <c r="A704">
        <v>1.8681005993985065E+18</v>
      </c>
      <c r="B704" t="s">
        <v>3034</v>
      </c>
      <c r="C704" t="s">
        <v>3035</v>
      </c>
      <c r="D704" t="s">
        <v>3658</v>
      </c>
      <c r="E704" t="s">
        <v>3659</v>
      </c>
      <c r="F704" t="s">
        <v>29</v>
      </c>
      <c r="G704" t="s">
        <v>3660</v>
      </c>
      <c r="H704" t="s">
        <v>3661</v>
      </c>
      <c r="I704">
        <v>45</v>
      </c>
      <c r="J704">
        <v>27</v>
      </c>
      <c r="K704">
        <v>369</v>
      </c>
      <c r="L704">
        <v>101714</v>
      </c>
      <c r="M704" t="s">
        <v>52</v>
      </c>
      <c r="N704" t="s">
        <v>3040</v>
      </c>
      <c r="O704">
        <v>12876593</v>
      </c>
      <c r="P704" t="s">
        <v>3041</v>
      </c>
      <c r="Q704">
        <v>141401</v>
      </c>
      <c r="R704" t="s">
        <v>3042</v>
      </c>
      <c r="S704">
        <v>717</v>
      </c>
      <c r="T704" t="b">
        <v>0</v>
      </c>
      <c r="U704">
        <v>8</v>
      </c>
      <c r="V704">
        <v>34</v>
      </c>
      <c r="W704" t="s">
        <v>35</v>
      </c>
      <c r="X704" t="s">
        <v>29</v>
      </c>
      <c r="Y704" t="s">
        <v>3662</v>
      </c>
      <c r="Z704" t="s">
        <v>37</v>
      </c>
      <c r="AA704">
        <f>TwitterClean[[#This Row],[likes]]+TwitterClean[[#This Row],[replies]]+TwitterClean[[#This Row],[reposts]]+TwitterClean[[#This Row],[quotes]]+TwitterClean[[#This Row],[bookmarks]]</f>
        <v>483</v>
      </c>
      <c r="AB704" s="1">
        <f>TwitterClean[[#This Row],[Total_Engagements]]/TwitterClean[[#This Row],[views]]</f>
        <v>4.7486088444068661E-3</v>
      </c>
      <c r="AC704" s="3">
        <f>DATEVALUE(MID(TwitterClean[[#This Row],[date_posted]],2,10))</f>
        <v>45641</v>
      </c>
      <c r="AD704">
        <f>TIMEVALUE(MID(TwitterClean[[#This Row],[date_posted]],13,8))</f>
        <v>4.704861111111111E-2</v>
      </c>
      <c r="AE704" s="3" t="str">
        <f>TEXT(TwitterClean[[#This Row],[Post_Date]],"dddd")</f>
        <v>Sunday</v>
      </c>
      <c r="AF704">
        <f>HOUR(TwitterClean[[#This Row],[Post_Time]])</f>
        <v>1</v>
      </c>
      <c r="AG704" t="str">
        <f>IF(TwitterClean[[#This Row],[videos]]="Null","No","Yes")</f>
        <v>Yes</v>
      </c>
      <c r="AH704" t="str">
        <f>IF(TwitterClean[[#This Row],[photos]]="null","No","Yes")</f>
        <v>No</v>
      </c>
      <c r="AI704" t="str">
        <f>IF(TwitterClean[[#This Row],[hashtags]]="null","No","Yes")</f>
        <v>Yes</v>
      </c>
      <c r="AJ704" t="str">
        <f>IF(TwitterClean[[#This Row],[external_url]]="null","Yes","No")</f>
        <v>No</v>
      </c>
      <c r="AK704">
        <f>LEN(TwitterClean[[#This Row],[description]])</f>
        <v>121</v>
      </c>
      <c r="AL704" t="str">
        <f>IF(TwitterClean[[#This Row],[followers]]&lt;100000,"&lt;100K",IF(TwitterClean[[#This Row],[followers]]&lt;1000000,"100K-1M",IF(TwitterClean[[#This Row],[followers]]&lt;10000000,"1M-10M","10M+")))</f>
        <v>10M+</v>
      </c>
    </row>
    <row r="705" spans="1:38">
      <c r="A705">
        <v>1.8682375105659292E+18</v>
      </c>
      <c r="B705" t="s">
        <v>2230</v>
      </c>
      <c r="C705" t="s">
        <v>2231</v>
      </c>
      <c r="D705" t="s">
        <v>2399</v>
      </c>
      <c r="E705" t="s">
        <v>2400</v>
      </c>
      <c r="F705" t="s">
        <v>2401</v>
      </c>
      <c r="G705" t="s">
        <v>2402</v>
      </c>
      <c r="H705" t="s">
        <v>29</v>
      </c>
      <c r="I705">
        <v>21</v>
      </c>
      <c r="J705">
        <v>20</v>
      </c>
      <c r="K705">
        <v>67</v>
      </c>
      <c r="L705">
        <v>23955</v>
      </c>
      <c r="M705" t="s">
        <v>2403</v>
      </c>
      <c r="N705" t="s">
        <v>29</v>
      </c>
      <c r="O705">
        <v>3313891</v>
      </c>
      <c r="P705" t="s">
        <v>2237</v>
      </c>
      <c r="Q705">
        <v>706459</v>
      </c>
      <c r="R705" t="s">
        <v>2238</v>
      </c>
      <c r="S705">
        <v>10308</v>
      </c>
      <c r="T705" t="b">
        <v>0</v>
      </c>
      <c r="U705">
        <v>1</v>
      </c>
      <c r="V705">
        <v>4</v>
      </c>
      <c r="W705" t="s">
        <v>35</v>
      </c>
      <c r="X705" t="s">
        <v>29</v>
      </c>
      <c r="Y705" t="s">
        <v>29</v>
      </c>
      <c r="Z705" t="s">
        <v>37</v>
      </c>
      <c r="AA705">
        <f>TwitterClean[[#This Row],[likes]]+TwitterClean[[#This Row],[replies]]+TwitterClean[[#This Row],[reposts]]+TwitterClean[[#This Row],[quotes]]+TwitterClean[[#This Row],[bookmarks]]</f>
        <v>113</v>
      </c>
      <c r="AB705" s="1">
        <f>TwitterClean[[#This Row],[Total_Engagements]]/TwitterClean[[#This Row],[views]]</f>
        <v>4.717178042162388E-3</v>
      </c>
      <c r="AC705" s="3">
        <f>DATEVALUE(MID(TwitterClean[[#This Row],[date_posted]],2,10))</f>
        <v>45641</v>
      </c>
      <c r="AD705">
        <f>TIMEVALUE(MID(TwitterClean[[#This Row],[date_posted]],13,8))</f>
        <v>0.42484953703703704</v>
      </c>
      <c r="AE705" s="3" t="str">
        <f>TEXT(TwitterClean[[#This Row],[Post_Date]],"dddd")</f>
        <v>Sunday</v>
      </c>
      <c r="AF705">
        <f>HOUR(TwitterClean[[#This Row],[Post_Time]])</f>
        <v>10</v>
      </c>
      <c r="AG705" t="str">
        <f>IF(TwitterClean[[#This Row],[videos]]="Null","No","Yes")</f>
        <v>No</v>
      </c>
      <c r="AH705" t="str">
        <f>IF(TwitterClean[[#This Row],[photos]]="null","No","Yes")</f>
        <v>Yes</v>
      </c>
      <c r="AI705" t="str">
        <f>IF(TwitterClean[[#This Row],[hashtags]]="null","No","Yes")</f>
        <v>No</v>
      </c>
      <c r="AJ705" t="str">
        <f>IF(TwitterClean[[#This Row],[external_url]]="null","Yes","No")</f>
        <v>No</v>
      </c>
      <c r="AK705">
        <f>LEN(TwitterClean[[#This Row],[description]])</f>
        <v>82</v>
      </c>
      <c r="AL705" t="str">
        <f>IF(TwitterClean[[#This Row],[followers]]&lt;100000,"&lt;100K",IF(TwitterClean[[#This Row],[followers]]&lt;1000000,"100K-1M",IF(TwitterClean[[#This Row],[followers]]&lt;10000000,"1M-10M","10M+")))</f>
        <v>1M-10M</v>
      </c>
    </row>
    <row r="706" spans="1:38">
      <c r="A706">
        <v>1.8682118958841981E+18</v>
      </c>
      <c r="B706" t="s">
        <v>4538</v>
      </c>
      <c r="C706" t="s">
        <v>4538</v>
      </c>
      <c r="D706" t="s">
        <v>4539</v>
      </c>
      <c r="E706" t="s">
        <v>4540</v>
      </c>
      <c r="F706" t="s">
        <v>29</v>
      </c>
      <c r="G706" t="s">
        <v>4541</v>
      </c>
      <c r="H706" t="s">
        <v>29</v>
      </c>
      <c r="I706">
        <v>34</v>
      </c>
      <c r="J706">
        <v>73</v>
      </c>
      <c r="K706">
        <v>2844</v>
      </c>
      <c r="L706">
        <v>636324</v>
      </c>
      <c r="M706" t="s">
        <v>52</v>
      </c>
      <c r="N706" t="s">
        <v>4542</v>
      </c>
      <c r="O706">
        <v>3035293</v>
      </c>
      <c r="P706" t="s">
        <v>4543</v>
      </c>
      <c r="Q706">
        <v>109936</v>
      </c>
      <c r="R706" t="s">
        <v>4544</v>
      </c>
      <c r="S706">
        <v>244</v>
      </c>
      <c r="T706" t="b">
        <v>0</v>
      </c>
      <c r="U706">
        <v>8</v>
      </c>
      <c r="V706">
        <v>32</v>
      </c>
      <c r="W706" t="s">
        <v>35</v>
      </c>
      <c r="X706" t="s">
        <v>29</v>
      </c>
      <c r="Y706" t="s">
        <v>4545</v>
      </c>
      <c r="Z706" t="s">
        <v>37</v>
      </c>
      <c r="AA706">
        <f>TwitterClean[[#This Row],[likes]]+TwitterClean[[#This Row],[replies]]+TwitterClean[[#This Row],[reposts]]+TwitterClean[[#This Row],[quotes]]+TwitterClean[[#This Row],[bookmarks]]</f>
        <v>2991</v>
      </c>
      <c r="AB706" s="1">
        <f>TwitterClean[[#This Row],[Total_Engagements]]/TwitterClean[[#This Row],[views]]</f>
        <v>4.7004356271333472E-3</v>
      </c>
      <c r="AC706" s="3">
        <f>DATEVALUE(MID(TwitterClean[[#This Row],[date_posted]],2,10))</f>
        <v>45641</v>
      </c>
      <c r="AD706">
        <f>TIMEVALUE(MID(TwitterClean[[#This Row],[date_posted]],13,8))</f>
        <v>0.35416666666666669</v>
      </c>
      <c r="AE706" s="3" t="str">
        <f>TEXT(TwitterClean[[#This Row],[Post_Date]],"dddd")</f>
        <v>Sunday</v>
      </c>
      <c r="AF706">
        <f>HOUR(TwitterClean[[#This Row],[Post_Time]])</f>
        <v>8</v>
      </c>
      <c r="AG706" t="str">
        <f>IF(TwitterClean[[#This Row],[videos]]="Null","No","Yes")</f>
        <v>Yes</v>
      </c>
      <c r="AH706" t="str">
        <f>IF(TwitterClean[[#This Row],[photos]]="null","No","Yes")</f>
        <v>No</v>
      </c>
      <c r="AI706" t="str">
        <f>IF(TwitterClean[[#This Row],[hashtags]]="null","No","Yes")</f>
        <v>Yes</v>
      </c>
      <c r="AJ706" t="str">
        <f>IF(TwitterClean[[#This Row],[external_url]]="null","Yes","No")</f>
        <v>No</v>
      </c>
      <c r="AK706">
        <f>LEN(TwitterClean[[#This Row],[description]])</f>
        <v>155</v>
      </c>
      <c r="AL706" t="str">
        <f>IF(TwitterClean[[#This Row],[followers]]&lt;100000,"&lt;100K",IF(TwitterClean[[#This Row],[followers]]&lt;1000000,"100K-1M",IF(TwitterClean[[#This Row],[followers]]&lt;10000000,"1M-10M","10M+")))</f>
        <v>1M-10M</v>
      </c>
    </row>
    <row r="707" spans="1:38">
      <c r="A707">
        <v>1.8654008736624973E+18</v>
      </c>
      <c r="B707" t="s">
        <v>2714</v>
      </c>
      <c r="C707" t="s">
        <v>2715</v>
      </c>
      <c r="D707" t="s">
        <v>2862</v>
      </c>
      <c r="E707" t="s">
        <v>2863</v>
      </c>
      <c r="F707" t="s">
        <v>29</v>
      </c>
      <c r="G707" t="s">
        <v>2864</v>
      </c>
      <c r="H707" t="s">
        <v>2865</v>
      </c>
      <c r="I707">
        <v>3</v>
      </c>
      <c r="J707">
        <v>1</v>
      </c>
      <c r="K707">
        <v>15</v>
      </c>
      <c r="L707">
        <v>4689</v>
      </c>
      <c r="M707" t="s">
        <v>52</v>
      </c>
      <c r="N707" t="s">
        <v>2866</v>
      </c>
      <c r="O707">
        <v>182895</v>
      </c>
      <c r="P707" t="s">
        <v>2720</v>
      </c>
      <c r="Q707">
        <v>30781</v>
      </c>
      <c r="R707" t="s">
        <v>2721</v>
      </c>
      <c r="S707">
        <v>559</v>
      </c>
      <c r="T707" t="b">
        <v>0</v>
      </c>
      <c r="U707">
        <v>1</v>
      </c>
      <c r="V707">
        <v>2</v>
      </c>
      <c r="W707" t="s">
        <v>35</v>
      </c>
      <c r="X707" t="s">
        <v>29</v>
      </c>
      <c r="Y707" t="s">
        <v>2867</v>
      </c>
      <c r="Z707" t="s">
        <v>37</v>
      </c>
      <c r="AA707">
        <f>TwitterClean[[#This Row],[likes]]+TwitterClean[[#This Row],[replies]]+TwitterClean[[#This Row],[reposts]]+TwitterClean[[#This Row],[quotes]]+TwitterClean[[#This Row],[bookmarks]]</f>
        <v>22</v>
      </c>
      <c r="AB707" s="1">
        <f>TwitterClean[[#This Row],[Total_Engagements]]/TwitterClean[[#This Row],[views]]</f>
        <v>4.6918319471102579E-3</v>
      </c>
      <c r="AC707" s="3">
        <f>DATEVALUE(MID(TwitterClean[[#This Row],[date_posted]],2,10))</f>
        <v>45633</v>
      </c>
      <c r="AD707">
        <f>TIMEVALUE(MID(TwitterClean[[#This Row],[date_posted]],13,8))</f>
        <v>0.59722222222222221</v>
      </c>
      <c r="AE707" s="3" t="str">
        <f>TEXT(TwitterClean[[#This Row],[Post_Date]],"dddd")</f>
        <v>Saturday</v>
      </c>
      <c r="AF707">
        <f>HOUR(TwitterClean[[#This Row],[Post_Time]])</f>
        <v>14</v>
      </c>
      <c r="AG707" t="str">
        <f>IF(TwitterClean[[#This Row],[videos]]="Null","No","Yes")</f>
        <v>Yes</v>
      </c>
      <c r="AH707" t="str">
        <f>IF(TwitterClean[[#This Row],[photos]]="null","No","Yes")</f>
        <v>No</v>
      </c>
      <c r="AI707" t="str">
        <f>IF(TwitterClean[[#This Row],[hashtags]]="null","No","Yes")</f>
        <v>Yes</v>
      </c>
      <c r="AJ707" t="str">
        <f>IF(TwitterClean[[#This Row],[external_url]]="null","Yes","No")</f>
        <v>No</v>
      </c>
      <c r="AK707">
        <f>LEN(TwitterClean[[#This Row],[description]])</f>
        <v>123</v>
      </c>
      <c r="AL707" t="str">
        <f>IF(TwitterClean[[#This Row],[followers]]&lt;100000,"&lt;100K",IF(TwitterClean[[#This Row],[followers]]&lt;1000000,"100K-1M",IF(TwitterClean[[#This Row],[followers]]&lt;10000000,"1M-10M","10M+")))</f>
        <v>100K-1M</v>
      </c>
    </row>
    <row r="708" spans="1:38">
      <c r="A708">
        <v>1.8682192074495104E+18</v>
      </c>
      <c r="B708" t="s">
        <v>884</v>
      </c>
      <c r="C708" t="s">
        <v>885</v>
      </c>
      <c r="D708" t="s">
        <v>886</v>
      </c>
      <c r="E708" t="s">
        <v>887</v>
      </c>
      <c r="F708" t="s">
        <v>888</v>
      </c>
      <c r="G708" t="s">
        <v>889</v>
      </c>
      <c r="H708" t="s">
        <v>29</v>
      </c>
      <c r="I708">
        <v>5</v>
      </c>
      <c r="J708">
        <v>5</v>
      </c>
      <c r="K708">
        <v>40</v>
      </c>
      <c r="L708">
        <v>12256</v>
      </c>
      <c r="M708" t="s">
        <v>890</v>
      </c>
      <c r="N708" t="s">
        <v>891</v>
      </c>
      <c r="O708">
        <v>29878</v>
      </c>
      <c r="P708" t="s">
        <v>892</v>
      </c>
      <c r="Q708">
        <v>16686</v>
      </c>
      <c r="R708" t="s">
        <v>893</v>
      </c>
      <c r="S708">
        <v>81</v>
      </c>
      <c r="T708" t="b">
        <v>0</v>
      </c>
      <c r="U708">
        <v>4</v>
      </c>
      <c r="V708">
        <v>3</v>
      </c>
      <c r="W708" t="s">
        <v>35</v>
      </c>
      <c r="X708" t="s">
        <v>29</v>
      </c>
      <c r="Y708" t="s">
        <v>29</v>
      </c>
      <c r="Z708" t="s">
        <v>37</v>
      </c>
      <c r="AA708">
        <f>TwitterClean[[#This Row],[likes]]+TwitterClean[[#This Row],[replies]]+TwitterClean[[#This Row],[reposts]]+TwitterClean[[#This Row],[quotes]]+TwitterClean[[#This Row],[bookmarks]]</f>
        <v>57</v>
      </c>
      <c r="AB708" s="1">
        <f>TwitterClean[[#This Row],[Total_Engagements]]/TwitterClean[[#This Row],[views]]</f>
        <v>4.6507832898172322E-3</v>
      </c>
      <c r="AC708" s="3">
        <f>DATEVALUE(MID(TwitterClean[[#This Row],[date_posted]],2,10))</f>
        <v>45641</v>
      </c>
      <c r="AD708">
        <f>TIMEVALUE(MID(TwitterClean[[#This Row],[date_posted]],13,8))</f>
        <v>0.37434027777777779</v>
      </c>
      <c r="AE708" s="3" t="str">
        <f>TEXT(TwitterClean[[#This Row],[Post_Date]],"dddd")</f>
        <v>Sunday</v>
      </c>
      <c r="AF708">
        <f>HOUR(TwitterClean[[#This Row],[Post_Time]])</f>
        <v>8</v>
      </c>
      <c r="AG708" t="str">
        <f>IF(TwitterClean[[#This Row],[videos]]="Null","No","Yes")</f>
        <v>No</v>
      </c>
      <c r="AH708" t="str">
        <f>IF(TwitterClean[[#This Row],[photos]]="null","No","Yes")</f>
        <v>Yes</v>
      </c>
      <c r="AI708" t="str">
        <f>IF(TwitterClean[[#This Row],[hashtags]]="null","No","Yes")</f>
        <v>Yes</v>
      </c>
      <c r="AJ708" t="str">
        <f>IF(TwitterClean[[#This Row],[external_url]]="null","Yes","No")</f>
        <v>No</v>
      </c>
      <c r="AK708">
        <f>LEN(TwitterClean[[#This Row],[description]])</f>
        <v>27</v>
      </c>
      <c r="AL708" t="str">
        <f>IF(TwitterClean[[#This Row],[followers]]&lt;100000,"&lt;100K",IF(TwitterClean[[#This Row],[followers]]&lt;1000000,"100K-1M",IF(TwitterClean[[#This Row],[followers]]&lt;10000000,"1M-10M","10M+")))</f>
        <v>&lt;100K</v>
      </c>
    </row>
    <row r="709" spans="1:38">
      <c r="A709">
        <v>1.8683442879575946E+18</v>
      </c>
      <c r="B709" t="s">
        <v>2230</v>
      </c>
      <c r="C709" t="s">
        <v>2231</v>
      </c>
      <c r="D709" t="s">
        <v>2583</v>
      </c>
      <c r="E709" t="s">
        <v>2584</v>
      </c>
      <c r="F709" t="s">
        <v>29</v>
      </c>
      <c r="G709" t="s">
        <v>2585</v>
      </c>
      <c r="H709" t="s">
        <v>29</v>
      </c>
      <c r="I709">
        <v>23</v>
      </c>
      <c r="J709">
        <v>24</v>
      </c>
      <c r="K709">
        <v>116</v>
      </c>
      <c r="L709">
        <v>39986</v>
      </c>
      <c r="M709" t="s">
        <v>2586</v>
      </c>
      <c r="N709" t="s">
        <v>29</v>
      </c>
      <c r="O709">
        <v>3313888</v>
      </c>
      <c r="P709" t="s">
        <v>2237</v>
      </c>
      <c r="Q709">
        <v>706459</v>
      </c>
      <c r="R709" t="s">
        <v>2238</v>
      </c>
      <c r="S709">
        <v>10308</v>
      </c>
      <c r="T709" t="b">
        <v>0</v>
      </c>
      <c r="U709">
        <v>8</v>
      </c>
      <c r="V709">
        <v>14</v>
      </c>
      <c r="W709" t="s">
        <v>35</v>
      </c>
      <c r="X709" t="s">
        <v>29</v>
      </c>
      <c r="Y709" t="s">
        <v>2587</v>
      </c>
      <c r="Z709" t="s">
        <v>37</v>
      </c>
      <c r="AA709">
        <f>TwitterClean[[#This Row],[likes]]+TwitterClean[[#This Row],[replies]]+TwitterClean[[#This Row],[reposts]]+TwitterClean[[#This Row],[quotes]]+TwitterClean[[#This Row],[bookmarks]]</f>
        <v>185</v>
      </c>
      <c r="AB709" s="1">
        <f>TwitterClean[[#This Row],[Total_Engagements]]/TwitterClean[[#This Row],[views]]</f>
        <v>4.626619316760866E-3</v>
      </c>
      <c r="AC709" s="3">
        <f>DATEVALUE(MID(TwitterClean[[#This Row],[date_posted]],2,10))</f>
        <v>45641</v>
      </c>
      <c r="AD709">
        <f>TIMEVALUE(MID(TwitterClean[[#This Row],[date_posted]],13,8))</f>
        <v>0.71950231481481486</v>
      </c>
      <c r="AE709" s="3" t="str">
        <f>TEXT(TwitterClean[[#This Row],[Post_Date]],"dddd")</f>
        <v>Sunday</v>
      </c>
      <c r="AF709">
        <f>HOUR(TwitterClean[[#This Row],[Post_Time]])</f>
        <v>17</v>
      </c>
      <c r="AG709" t="str">
        <f>IF(TwitterClean[[#This Row],[videos]]="Null","No","Yes")</f>
        <v>Yes</v>
      </c>
      <c r="AH709" t="str">
        <f>IF(TwitterClean[[#This Row],[photos]]="null","No","Yes")</f>
        <v>No</v>
      </c>
      <c r="AI709" t="str">
        <f>IF(TwitterClean[[#This Row],[hashtags]]="null","No","Yes")</f>
        <v>No</v>
      </c>
      <c r="AJ709" t="str">
        <f>IF(TwitterClean[[#This Row],[external_url]]="null","Yes","No")</f>
        <v>No</v>
      </c>
      <c r="AK709">
        <f>LEN(TwitterClean[[#This Row],[description]])</f>
        <v>65</v>
      </c>
      <c r="AL709" t="str">
        <f>IF(TwitterClean[[#This Row],[followers]]&lt;100000,"&lt;100K",IF(TwitterClean[[#This Row],[followers]]&lt;1000000,"100K-1M",IF(TwitterClean[[#This Row],[followers]]&lt;10000000,"1M-10M","10M+")))</f>
        <v>1M-10M</v>
      </c>
    </row>
    <row r="710" spans="1:38">
      <c r="A710">
        <v>1.868318768738304E+18</v>
      </c>
      <c r="B710" t="s">
        <v>2230</v>
      </c>
      <c r="C710" t="s">
        <v>2231</v>
      </c>
      <c r="D710" t="s">
        <v>2603</v>
      </c>
      <c r="E710" t="s">
        <v>2604</v>
      </c>
      <c r="F710" t="s">
        <v>2605</v>
      </c>
      <c r="G710" t="s">
        <v>2606</v>
      </c>
      <c r="H710" t="s">
        <v>29</v>
      </c>
      <c r="I710">
        <v>64</v>
      </c>
      <c r="J710">
        <v>8</v>
      </c>
      <c r="K710">
        <v>79</v>
      </c>
      <c r="L710">
        <v>35323</v>
      </c>
      <c r="M710" t="s">
        <v>2607</v>
      </c>
      <c r="N710" t="s">
        <v>29</v>
      </c>
      <c r="O710">
        <v>3313889</v>
      </c>
      <c r="P710" t="s">
        <v>2237</v>
      </c>
      <c r="Q710">
        <v>706459</v>
      </c>
      <c r="R710" t="s">
        <v>2238</v>
      </c>
      <c r="S710">
        <v>10308</v>
      </c>
      <c r="T710" t="b">
        <v>0</v>
      </c>
      <c r="U710">
        <v>7</v>
      </c>
      <c r="V710">
        <v>5</v>
      </c>
      <c r="W710" t="s">
        <v>35</v>
      </c>
      <c r="X710" t="s">
        <v>29</v>
      </c>
      <c r="Y710" t="s">
        <v>29</v>
      </c>
      <c r="Z710" t="s">
        <v>37</v>
      </c>
      <c r="AA710">
        <f>TwitterClean[[#This Row],[likes]]+TwitterClean[[#This Row],[replies]]+TwitterClean[[#This Row],[reposts]]+TwitterClean[[#This Row],[quotes]]+TwitterClean[[#This Row],[bookmarks]]</f>
        <v>163</v>
      </c>
      <c r="AB710" s="1">
        <f>TwitterClean[[#This Row],[Total_Engagements]]/TwitterClean[[#This Row],[views]]</f>
        <v>4.6145570874501036E-3</v>
      </c>
      <c r="AC710" s="3">
        <f>DATEVALUE(MID(TwitterClean[[#This Row],[date_posted]],2,10))</f>
        <v>45641</v>
      </c>
      <c r="AD710">
        <f>TIMEVALUE(MID(TwitterClean[[#This Row],[date_posted]],13,8))</f>
        <v>0.64907407407407403</v>
      </c>
      <c r="AE710" s="3" t="str">
        <f>TEXT(TwitterClean[[#This Row],[Post_Date]],"dddd")</f>
        <v>Sunday</v>
      </c>
      <c r="AF710">
        <f>HOUR(TwitterClean[[#This Row],[Post_Time]])</f>
        <v>15</v>
      </c>
      <c r="AG710" t="str">
        <f>IF(TwitterClean[[#This Row],[videos]]="Null","No","Yes")</f>
        <v>No</v>
      </c>
      <c r="AH710" t="str">
        <f>IF(TwitterClean[[#This Row],[photos]]="null","No","Yes")</f>
        <v>Yes</v>
      </c>
      <c r="AI710" t="str">
        <f>IF(TwitterClean[[#This Row],[hashtags]]="null","No","Yes")</f>
        <v>No</v>
      </c>
      <c r="AJ710" t="str">
        <f>IF(TwitterClean[[#This Row],[external_url]]="null","Yes","No")</f>
        <v>No</v>
      </c>
      <c r="AK710">
        <f>LEN(TwitterClean[[#This Row],[description]])</f>
        <v>84</v>
      </c>
      <c r="AL710" t="str">
        <f>IF(TwitterClean[[#This Row],[followers]]&lt;100000,"&lt;100K",IF(TwitterClean[[#This Row],[followers]]&lt;1000000,"100K-1M",IF(TwitterClean[[#This Row],[followers]]&lt;10000000,"1M-10M","10M+")))</f>
        <v>1M-10M</v>
      </c>
    </row>
    <row r="711" spans="1:38">
      <c r="A711">
        <v>1.868084396655264E+18</v>
      </c>
      <c r="B711" t="s">
        <v>2230</v>
      </c>
      <c r="C711" t="s">
        <v>2231</v>
      </c>
      <c r="D711" t="s">
        <v>2294</v>
      </c>
      <c r="E711" t="s">
        <v>2295</v>
      </c>
      <c r="F711" t="s">
        <v>2296</v>
      </c>
      <c r="G711" t="s">
        <v>2297</v>
      </c>
      <c r="H711" t="s">
        <v>29</v>
      </c>
      <c r="I711">
        <v>19</v>
      </c>
      <c r="J711">
        <v>9</v>
      </c>
      <c r="K711">
        <v>94</v>
      </c>
      <c r="L711">
        <v>26899</v>
      </c>
      <c r="M711" t="s">
        <v>2298</v>
      </c>
      <c r="N711" t="s">
        <v>29</v>
      </c>
      <c r="O711">
        <v>3313898</v>
      </c>
      <c r="P711" t="s">
        <v>2237</v>
      </c>
      <c r="Q711">
        <v>706459</v>
      </c>
      <c r="R711" t="s">
        <v>2238</v>
      </c>
      <c r="S711">
        <v>10308</v>
      </c>
      <c r="T711" t="b">
        <v>0</v>
      </c>
      <c r="U711">
        <v>1</v>
      </c>
      <c r="V711">
        <v>1</v>
      </c>
      <c r="W711" t="s">
        <v>35</v>
      </c>
      <c r="X711" t="s">
        <v>29</v>
      </c>
      <c r="Y711" t="s">
        <v>29</v>
      </c>
      <c r="Z711" t="s">
        <v>37</v>
      </c>
      <c r="AA711">
        <f>TwitterClean[[#This Row],[likes]]+TwitterClean[[#This Row],[replies]]+TwitterClean[[#This Row],[reposts]]+TwitterClean[[#This Row],[quotes]]+TwitterClean[[#This Row],[bookmarks]]</f>
        <v>124</v>
      </c>
      <c r="AB711" s="1">
        <f>TwitterClean[[#This Row],[Total_Engagements]]/TwitterClean[[#This Row],[views]]</f>
        <v>4.6098367969069484E-3</v>
      </c>
      <c r="AC711" s="3">
        <f>DATEVALUE(MID(TwitterClean[[#This Row],[date_posted]],2,10))</f>
        <v>45641</v>
      </c>
      <c r="AD711">
        <f>TIMEVALUE(MID(TwitterClean[[#This Row],[date_posted]],13,8))</f>
        <v>2.3379629629629631E-3</v>
      </c>
      <c r="AE711" s="3" t="str">
        <f>TEXT(TwitterClean[[#This Row],[Post_Date]],"dddd")</f>
        <v>Sunday</v>
      </c>
      <c r="AF711">
        <f>HOUR(TwitterClean[[#This Row],[Post_Time]])</f>
        <v>0</v>
      </c>
      <c r="AG711" t="str">
        <f>IF(TwitterClean[[#This Row],[videos]]="Null","No","Yes")</f>
        <v>No</v>
      </c>
      <c r="AH711" t="str">
        <f>IF(TwitterClean[[#This Row],[photos]]="null","No","Yes")</f>
        <v>Yes</v>
      </c>
      <c r="AI711" t="str">
        <f>IF(TwitterClean[[#This Row],[hashtags]]="null","No","Yes")</f>
        <v>No</v>
      </c>
      <c r="AJ711" t="str">
        <f>IF(TwitterClean[[#This Row],[external_url]]="null","Yes","No")</f>
        <v>No</v>
      </c>
      <c r="AK711">
        <f>LEN(TwitterClean[[#This Row],[description]])</f>
        <v>79</v>
      </c>
      <c r="AL711" t="str">
        <f>IF(TwitterClean[[#This Row],[followers]]&lt;100000,"&lt;100K",IF(TwitterClean[[#This Row],[followers]]&lt;1000000,"100K-1M",IF(TwitterClean[[#This Row],[followers]]&lt;10000000,"1M-10M","10M+")))</f>
        <v>1M-10M</v>
      </c>
    </row>
    <row r="712" spans="1:38">
      <c r="A712">
        <v>1.8684015870829773E+18</v>
      </c>
      <c r="B712" t="s">
        <v>3224</v>
      </c>
      <c r="C712" t="s">
        <v>3225</v>
      </c>
      <c r="D712" t="s">
        <v>4978</v>
      </c>
      <c r="E712" t="s">
        <v>4979</v>
      </c>
      <c r="F712" t="s">
        <v>4980</v>
      </c>
      <c r="G712" t="s">
        <v>4981</v>
      </c>
      <c r="H712" t="s">
        <v>4982</v>
      </c>
      <c r="I712">
        <v>6</v>
      </c>
      <c r="J712">
        <v>41</v>
      </c>
      <c r="K712">
        <v>306</v>
      </c>
      <c r="L712">
        <v>77236</v>
      </c>
      <c r="M712" t="s">
        <v>52</v>
      </c>
      <c r="N712" t="s">
        <v>29</v>
      </c>
      <c r="O712">
        <v>2999631</v>
      </c>
      <c r="P712" t="s">
        <v>3230</v>
      </c>
      <c r="Q712">
        <v>183050</v>
      </c>
      <c r="R712" t="s">
        <v>3231</v>
      </c>
      <c r="S712">
        <v>920</v>
      </c>
      <c r="T712" t="b">
        <v>0</v>
      </c>
      <c r="U712">
        <v>1</v>
      </c>
      <c r="V712">
        <v>1</v>
      </c>
      <c r="W712" t="s">
        <v>35</v>
      </c>
      <c r="X712" t="s">
        <v>29</v>
      </c>
      <c r="Y712" t="s">
        <v>29</v>
      </c>
      <c r="Z712" t="s">
        <v>37</v>
      </c>
      <c r="AA712">
        <f>TwitterClean[[#This Row],[likes]]+TwitterClean[[#This Row],[replies]]+TwitterClean[[#This Row],[reposts]]+TwitterClean[[#This Row],[quotes]]+TwitterClean[[#This Row],[bookmarks]]</f>
        <v>355</v>
      </c>
      <c r="AB712" s="1">
        <f>TwitterClean[[#This Row],[Total_Engagements]]/TwitterClean[[#This Row],[views]]</f>
        <v>4.5963022424776014E-3</v>
      </c>
      <c r="AC712" s="3">
        <f>DATEVALUE(MID(TwitterClean[[#This Row],[date_posted]],2,10))</f>
        <v>45641</v>
      </c>
      <c r="AD712">
        <f>TIMEVALUE(MID(TwitterClean[[#This Row],[date_posted]],13,8))</f>
        <v>0.87761574074074078</v>
      </c>
      <c r="AE712" s="3" t="str">
        <f>TEXT(TwitterClean[[#This Row],[Post_Date]],"dddd")</f>
        <v>Sunday</v>
      </c>
      <c r="AF712">
        <f>HOUR(TwitterClean[[#This Row],[Post_Time]])</f>
        <v>21</v>
      </c>
      <c r="AG712" t="str">
        <f>IF(TwitterClean[[#This Row],[videos]]="Null","No","Yes")</f>
        <v>No</v>
      </c>
      <c r="AH712" t="str">
        <f>IF(TwitterClean[[#This Row],[photos]]="null","No","Yes")</f>
        <v>Yes</v>
      </c>
      <c r="AI712" t="str">
        <f>IF(TwitterClean[[#This Row],[hashtags]]="null","No","Yes")</f>
        <v>No</v>
      </c>
      <c r="AJ712" t="str">
        <f>IF(TwitterClean[[#This Row],[external_url]]="null","Yes","No")</f>
        <v>No</v>
      </c>
      <c r="AK712">
        <f>LEN(TwitterClean[[#This Row],[description]])</f>
        <v>75</v>
      </c>
      <c r="AL712" t="str">
        <f>IF(TwitterClean[[#This Row],[followers]]&lt;100000,"&lt;100K",IF(TwitterClean[[#This Row],[followers]]&lt;1000000,"100K-1M",IF(TwitterClean[[#This Row],[followers]]&lt;10000000,"1M-10M","10M+")))</f>
        <v>1M-10M</v>
      </c>
    </row>
    <row r="713" spans="1:38">
      <c r="A713">
        <v>1.8682782919013663E+18</v>
      </c>
      <c r="B713" t="s">
        <v>3837</v>
      </c>
      <c r="C713" t="s">
        <v>3838</v>
      </c>
      <c r="D713" t="s">
        <v>4963</v>
      </c>
      <c r="E713" t="s">
        <v>4964</v>
      </c>
      <c r="F713" t="s">
        <v>29</v>
      </c>
      <c r="G713" t="s">
        <v>4965</v>
      </c>
      <c r="H713" t="s">
        <v>4966</v>
      </c>
      <c r="I713">
        <v>17</v>
      </c>
      <c r="J713">
        <v>28</v>
      </c>
      <c r="K713">
        <v>256</v>
      </c>
      <c r="L713">
        <v>66427</v>
      </c>
      <c r="M713" t="s">
        <v>4967</v>
      </c>
      <c r="N713" t="s">
        <v>3843</v>
      </c>
      <c r="O713">
        <v>984256</v>
      </c>
      <c r="P713" t="s">
        <v>3844</v>
      </c>
      <c r="Q713">
        <v>136135</v>
      </c>
      <c r="R713" t="s">
        <v>3845</v>
      </c>
      <c r="S713">
        <v>438</v>
      </c>
      <c r="T713" t="b">
        <v>0</v>
      </c>
      <c r="U713">
        <v>2</v>
      </c>
      <c r="V713">
        <v>2</v>
      </c>
      <c r="W713" t="s">
        <v>35</v>
      </c>
      <c r="X713" t="s">
        <v>29</v>
      </c>
      <c r="Y713" t="s">
        <v>29</v>
      </c>
      <c r="Z713" t="s">
        <v>37</v>
      </c>
      <c r="AA713">
        <f>TwitterClean[[#This Row],[likes]]+TwitterClean[[#This Row],[replies]]+TwitterClean[[#This Row],[reposts]]+TwitterClean[[#This Row],[quotes]]+TwitterClean[[#This Row],[bookmarks]]</f>
        <v>305</v>
      </c>
      <c r="AB713" s="1">
        <f>TwitterClean[[#This Row],[Total_Engagements]]/TwitterClean[[#This Row],[views]]</f>
        <v>4.5915064657443506E-3</v>
      </c>
      <c r="AC713" s="3">
        <f>DATEVALUE(MID(TwitterClean[[#This Row],[date_posted]],2,10))</f>
        <v>45641</v>
      </c>
      <c r="AD713">
        <f>TIMEVALUE(MID(TwitterClean[[#This Row],[date_posted]],13,8))</f>
        <v>0.53738425925925926</v>
      </c>
      <c r="AE713" s="3" t="str">
        <f>TEXT(TwitterClean[[#This Row],[Post_Date]],"dddd")</f>
        <v>Sunday</v>
      </c>
      <c r="AF713">
        <f>HOUR(TwitterClean[[#This Row],[Post_Time]])</f>
        <v>12</v>
      </c>
      <c r="AG713" t="str">
        <f>IF(TwitterClean[[#This Row],[videos]]="Null","No","Yes")</f>
        <v>No</v>
      </c>
      <c r="AH713" t="str">
        <f>IF(TwitterClean[[#This Row],[photos]]="null","No","Yes")</f>
        <v>No</v>
      </c>
      <c r="AI713" t="str">
        <f>IF(TwitterClean[[#This Row],[hashtags]]="null","No","Yes")</f>
        <v>Yes</v>
      </c>
      <c r="AJ713" t="str">
        <f>IF(TwitterClean[[#This Row],[external_url]]="null","Yes","No")</f>
        <v>No</v>
      </c>
      <c r="AK713">
        <f>LEN(TwitterClean[[#This Row],[description]])</f>
        <v>249</v>
      </c>
      <c r="AL713" t="str">
        <f>IF(TwitterClean[[#This Row],[followers]]&lt;100000,"&lt;100K",IF(TwitterClean[[#This Row],[followers]]&lt;1000000,"100K-1M",IF(TwitterClean[[#This Row],[followers]]&lt;10000000,"1M-10M","10M+")))</f>
        <v>100K-1M</v>
      </c>
    </row>
    <row r="714" spans="1:38">
      <c r="A714">
        <v>1.8659913774665728E+18</v>
      </c>
      <c r="B714" t="s">
        <v>266</v>
      </c>
      <c r="C714" t="s">
        <v>266</v>
      </c>
      <c r="D714" t="s">
        <v>3096</v>
      </c>
      <c r="E714" t="s">
        <v>3097</v>
      </c>
      <c r="F714" t="s">
        <v>3098</v>
      </c>
      <c r="G714" t="s">
        <v>3099</v>
      </c>
      <c r="H714" t="s">
        <v>3100</v>
      </c>
      <c r="I714">
        <v>17</v>
      </c>
      <c r="J714">
        <v>43</v>
      </c>
      <c r="K714">
        <v>202</v>
      </c>
      <c r="L714">
        <v>58633</v>
      </c>
      <c r="M714" t="s">
        <v>52</v>
      </c>
      <c r="N714" t="s">
        <v>29</v>
      </c>
      <c r="O714">
        <v>47707216</v>
      </c>
      <c r="P714" t="s">
        <v>272</v>
      </c>
      <c r="Q714">
        <v>367154</v>
      </c>
      <c r="R714" t="s">
        <v>273</v>
      </c>
      <c r="S714">
        <v>2012</v>
      </c>
      <c r="T714" t="b">
        <v>0</v>
      </c>
      <c r="U714">
        <v>2</v>
      </c>
      <c r="V714">
        <v>5</v>
      </c>
      <c r="W714" t="s">
        <v>3101</v>
      </c>
      <c r="X714" t="s">
        <v>29</v>
      </c>
      <c r="Y714" t="s">
        <v>29</v>
      </c>
      <c r="Z714" t="s">
        <v>37</v>
      </c>
      <c r="AA714">
        <f>TwitterClean[[#This Row],[likes]]+TwitterClean[[#This Row],[replies]]+TwitterClean[[#This Row],[reposts]]+TwitterClean[[#This Row],[quotes]]+TwitterClean[[#This Row],[bookmarks]]</f>
        <v>269</v>
      </c>
      <c r="AB714" s="1">
        <f>TwitterClean[[#This Row],[Total_Engagements]]/TwitterClean[[#This Row],[views]]</f>
        <v>4.5878600787952178E-3</v>
      </c>
      <c r="AC714" s="3">
        <f>DATEVALUE(MID(TwitterClean[[#This Row],[date_posted]],2,10))</f>
        <v>45635</v>
      </c>
      <c r="AD714">
        <f>TIMEVALUE(MID(TwitterClean[[#This Row],[date_posted]],13,8))</f>
        <v>0.22670138888888888</v>
      </c>
      <c r="AE714" s="3" t="str">
        <f>TEXT(TwitterClean[[#This Row],[Post_Date]],"dddd")</f>
        <v>Monday</v>
      </c>
      <c r="AF714">
        <f>HOUR(TwitterClean[[#This Row],[Post_Time]])</f>
        <v>5</v>
      </c>
      <c r="AG714" t="str">
        <f>IF(TwitterClean[[#This Row],[videos]]="Null","No","Yes")</f>
        <v>No</v>
      </c>
      <c r="AH714" t="str">
        <f>IF(TwitterClean[[#This Row],[photos]]="null","No","Yes")</f>
        <v>Yes</v>
      </c>
      <c r="AI714" t="str">
        <f>IF(TwitterClean[[#This Row],[hashtags]]="null","No","Yes")</f>
        <v>No</v>
      </c>
      <c r="AJ714" t="str">
        <f>IF(TwitterClean[[#This Row],[external_url]]="null","Yes","No")</f>
        <v>No</v>
      </c>
      <c r="AK714">
        <f>LEN(TwitterClean[[#This Row],[description]])</f>
        <v>302</v>
      </c>
      <c r="AL714" t="str">
        <f>IF(TwitterClean[[#This Row],[followers]]&lt;100000,"&lt;100K",IF(TwitterClean[[#This Row],[followers]]&lt;1000000,"100K-1M",IF(TwitterClean[[#This Row],[followers]]&lt;10000000,"1M-10M","10M+")))</f>
        <v>10M+</v>
      </c>
    </row>
    <row r="715" spans="1:38">
      <c r="A715">
        <v>1.8684309293891054E+18</v>
      </c>
      <c r="B715" t="s">
        <v>38</v>
      </c>
      <c r="C715" t="s">
        <v>38</v>
      </c>
      <c r="D715" t="s">
        <v>87</v>
      </c>
      <c r="E715" t="s">
        <v>88</v>
      </c>
      <c r="F715" t="s">
        <v>29</v>
      </c>
      <c r="G715" t="s">
        <v>89</v>
      </c>
      <c r="H715" t="s">
        <v>29</v>
      </c>
      <c r="I715">
        <v>3</v>
      </c>
      <c r="J715">
        <v>7</v>
      </c>
      <c r="K715">
        <v>51</v>
      </c>
      <c r="L715">
        <v>14229</v>
      </c>
      <c r="M715" t="s">
        <v>90</v>
      </c>
      <c r="N715" t="s">
        <v>29</v>
      </c>
      <c r="O715">
        <v>14257907</v>
      </c>
      <c r="P715" t="s">
        <v>43</v>
      </c>
      <c r="Q715">
        <v>357584</v>
      </c>
      <c r="R715" t="s">
        <v>44</v>
      </c>
      <c r="S715">
        <v>3784</v>
      </c>
      <c r="T715" t="b">
        <v>0</v>
      </c>
      <c r="U715">
        <v>1</v>
      </c>
      <c r="V715">
        <v>3</v>
      </c>
      <c r="W715" t="s">
        <v>35</v>
      </c>
      <c r="X715" t="s">
        <v>91</v>
      </c>
      <c r="Y715" t="s">
        <v>29</v>
      </c>
      <c r="Z715" t="s">
        <v>37</v>
      </c>
      <c r="AA715">
        <f>TwitterClean[[#This Row],[likes]]+TwitterClean[[#This Row],[replies]]+TwitterClean[[#This Row],[reposts]]+TwitterClean[[#This Row],[quotes]]+TwitterClean[[#This Row],[bookmarks]]</f>
        <v>65</v>
      </c>
      <c r="AB715" s="1">
        <f>TwitterClean[[#This Row],[Total_Engagements]]/TwitterClean[[#This Row],[views]]</f>
        <v>4.5681354979267693E-3</v>
      </c>
      <c r="AC715" s="3">
        <f>DATEVALUE(MID(TwitterClean[[#This Row],[date_posted]],2,10))</f>
        <v>45641</v>
      </c>
      <c r="AD715">
        <f>TIMEVALUE(MID(TwitterClean[[#This Row],[date_posted]],13,8))</f>
        <v>0.95857638888888885</v>
      </c>
      <c r="AE715" s="3" t="str">
        <f>TEXT(TwitterClean[[#This Row],[Post_Date]],"dddd")</f>
        <v>Sunday</v>
      </c>
      <c r="AF715">
        <f>HOUR(TwitterClean[[#This Row],[Post_Time]])</f>
        <v>23</v>
      </c>
      <c r="AG715" t="str">
        <f>IF(TwitterClean[[#This Row],[videos]]="Null","No","Yes")</f>
        <v>No</v>
      </c>
      <c r="AH715" t="str">
        <f>IF(TwitterClean[[#This Row],[photos]]="null","No","Yes")</f>
        <v>No</v>
      </c>
      <c r="AI715" t="str">
        <f>IF(TwitterClean[[#This Row],[hashtags]]="null","No","Yes")</f>
        <v>No</v>
      </c>
      <c r="AJ715" t="str">
        <f>IF(TwitterClean[[#This Row],[external_url]]="null","Yes","No")</f>
        <v>No</v>
      </c>
      <c r="AK715">
        <f>LEN(TwitterClean[[#This Row],[description]])</f>
        <v>87</v>
      </c>
      <c r="AL715" t="str">
        <f>IF(TwitterClean[[#This Row],[followers]]&lt;100000,"&lt;100K",IF(TwitterClean[[#This Row],[followers]]&lt;1000000,"100K-1M",IF(TwitterClean[[#This Row],[followers]]&lt;10000000,"1M-10M","10M+")))</f>
        <v>10M+</v>
      </c>
    </row>
    <row r="716" spans="1:38">
      <c r="A716">
        <v>1.8684286074518001E+18</v>
      </c>
      <c r="B716" t="s">
        <v>26</v>
      </c>
      <c r="C716" t="s">
        <v>26</v>
      </c>
      <c r="D716" t="s">
        <v>27</v>
      </c>
      <c r="E716" t="s">
        <v>28</v>
      </c>
      <c r="F716" t="s">
        <v>29</v>
      </c>
      <c r="G716" t="s">
        <v>30</v>
      </c>
      <c r="H716" t="s">
        <v>29</v>
      </c>
      <c r="I716">
        <v>2</v>
      </c>
      <c r="J716">
        <v>1</v>
      </c>
      <c r="K716">
        <v>33</v>
      </c>
      <c r="L716">
        <v>8369</v>
      </c>
      <c r="M716" t="s">
        <v>31</v>
      </c>
      <c r="N716" t="s">
        <v>32</v>
      </c>
      <c r="O716">
        <v>5771758</v>
      </c>
      <c r="P716" t="s">
        <v>33</v>
      </c>
      <c r="Q716">
        <v>222223</v>
      </c>
      <c r="R716" t="s">
        <v>34</v>
      </c>
      <c r="S716">
        <v>122</v>
      </c>
      <c r="T716" t="b">
        <v>0</v>
      </c>
      <c r="U716">
        <v>1</v>
      </c>
      <c r="V716">
        <v>1</v>
      </c>
      <c r="W716" t="s">
        <v>35</v>
      </c>
      <c r="X716" t="s">
        <v>29</v>
      </c>
      <c r="Y716" t="s">
        <v>36</v>
      </c>
      <c r="Z716" t="s">
        <v>37</v>
      </c>
      <c r="AA716">
        <f>TwitterClean[[#This Row],[likes]]+TwitterClean[[#This Row],[replies]]+TwitterClean[[#This Row],[reposts]]+TwitterClean[[#This Row],[quotes]]+TwitterClean[[#This Row],[bookmarks]]</f>
        <v>38</v>
      </c>
      <c r="AB716" s="1">
        <f>TwitterClean[[#This Row],[Total_Engagements]]/TwitterClean[[#This Row],[views]]</f>
        <v>4.5405663759111002E-3</v>
      </c>
      <c r="AC716" s="3">
        <f>DATEVALUE(MID(TwitterClean[[#This Row],[date_posted]],2,10))</f>
        <v>45641</v>
      </c>
      <c r="AD716">
        <f>TIMEVALUE(MID(TwitterClean[[#This Row],[date_posted]],13,8))</f>
        <v>0.95217592592592593</v>
      </c>
      <c r="AE716" s="3" t="str">
        <f>TEXT(TwitterClean[[#This Row],[Post_Date]],"dddd")</f>
        <v>Sunday</v>
      </c>
      <c r="AF716">
        <f>HOUR(TwitterClean[[#This Row],[Post_Time]])</f>
        <v>22</v>
      </c>
      <c r="AG716" t="str">
        <f>IF(TwitterClean[[#This Row],[videos]]="Null","No","Yes")</f>
        <v>Yes</v>
      </c>
      <c r="AH716" t="str">
        <f>IF(TwitterClean[[#This Row],[photos]]="null","No","Yes")</f>
        <v>No</v>
      </c>
      <c r="AI716" t="str">
        <f>IF(TwitterClean[[#This Row],[hashtags]]="null","No","Yes")</f>
        <v>Yes</v>
      </c>
      <c r="AJ716" t="str">
        <f>IF(TwitterClean[[#This Row],[external_url]]="null","Yes","No")</f>
        <v>No</v>
      </c>
      <c r="AK716">
        <f>LEN(TwitterClean[[#This Row],[description]])</f>
        <v>220</v>
      </c>
      <c r="AL716" t="str">
        <f>IF(TwitterClean[[#This Row],[followers]]&lt;100000,"&lt;100K",IF(TwitterClean[[#This Row],[followers]]&lt;1000000,"100K-1M",IF(TwitterClean[[#This Row],[followers]]&lt;10000000,"1M-10M","10M+")))</f>
        <v>1M-10M</v>
      </c>
    </row>
    <row r="717" spans="1:38">
      <c r="A717">
        <v>1.7387576436642491E+18</v>
      </c>
      <c r="B717" t="s">
        <v>4138</v>
      </c>
      <c r="C717" t="s">
        <v>4139</v>
      </c>
      <c r="D717" t="s">
        <v>4126</v>
      </c>
      <c r="E717" t="s">
        <v>4599</v>
      </c>
      <c r="F717" t="s">
        <v>4600</v>
      </c>
      <c r="G717" t="s">
        <v>4601</v>
      </c>
      <c r="H717" t="s">
        <v>29</v>
      </c>
      <c r="I717">
        <v>120</v>
      </c>
      <c r="J717">
        <v>23</v>
      </c>
      <c r="K717">
        <v>552</v>
      </c>
      <c r="L717">
        <v>157958</v>
      </c>
      <c r="M717" t="s">
        <v>52</v>
      </c>
      <c r="N717" t="s">
        <v>4130</v>
      </c>
      <c r="O717">
        <v>11185</v>
      </c>
      <c r="P717" t="s">
        <v>4143</v>
      </c>
      <c r="Q717">
        <v>22677</v>
      </c>
      <c r="R717" t="s">
        <v>4144</v>
      </c>
      <c r="S717">
        <v>2557</v>
      </c>
      <c r="T717" t="b">
        <v>0</v>
      </c>
      <c r="U717">
        <v>4</v>
      </c>
      <c r="V717">
        <v>18</v>
      </c>
      <c r="W717" t="s">
        <v>35</v>
      </c>
      <c r="X717" t="s">
        <v>29</v>
      </c>
      <c r="Y717" t="s">
        <v>29</v>
      </c>
      <c r="Z717" t="s">
        <v>37</v>
      </c>
      <c r="AA717">
        <f>TwitterClean[[#This Row],[likes]]+TwitterClean[[#This Row],[replies]]+TwitterClean[[#This Row],[reposts]]+TwitterClean[[#This Row],[quotes]]+TwitterClean[[#This Row],[bookmarks]]</f>
        <v>717</v>
      </c>
      <c r="AB717" s="1">
        <f>TwitterClean[[#This Row],[Total_Engagements]]/TwitterClean[[#This Row],[views]]</f>
        <v>4.5391813013585889E-3</v>
      </c>
      <c r="AC717" s="3">
        <f>DATEVALUE(MID(TwitterClean[[#This Row],[date_posted]],2,10))</f>
        <v>45284</v>
      </c>
      <c r="AD717">
        <f>TIMEVALUE(MID(TwitterClean[[#This Row],[date_posted]],13,8))</f>
        <v>0.1284837962962963</v>
      </c>
      <c r="AE717" s="3" t="str">
        <f>TEXT(TwitterClean[[#This Row],[Post_Date]],"dddd")</f>
        <v>Sunday</v>
      </c>
      <c r="AF717">
        <f>HOUR(TwitterClean[[#This Row],[Post_Time]])</f>
        <v>3</v>
      </c>
      <c r="AG717" t="str">
        <f>IF(TwitterClean[[#This Row],[videos]]="Null","No","Yes")</f>
        <v>No</v>
      </c>
      <c r="AH717" t="str">
        <f>IF(TwitterClean[[#This Row],[photos]]="null","No","Yes")</f>
        <v>Yes</v>
      </c>
      <c r="AI717" t="str">
        <f>IF(TwitterClean[[#This Row],[hashtags]]="null","No","Yes")</f>
        <v>Yes</v>
      </c>
      <c r="AJ717" t="str">
        <f>IF(TwitterClean[[#This Row],[external_url]]="null","Yes","No")</f>
        <v>No</v>
      </c>
      <c r="AK717">
        <f>LEN(TwitterClean[[#This Row],[description]])</f>
        <v>7</v>
      </c>
      <c r="AL717" t="str">
        <f>IF(TwitterClean[[#This Row],[followers]]&lt;100000,"&lt;100K",IF(TwitterClean[[#This Row],[followers]]&lt;1000000,"100K-1M",IF(TwitterClean[[#This Row],[followers]]&lt;10000000,"1M-10M","10M+")))</f>
        <v>&lt;100K</v>
      </c>
    </row>
    <row r="718" spans="1:38">
      <c r="A718">
        <v>1.831121815961535E+18</v>
      </c>
      <c r="B718" t="s">
        <v>4096</v>
      </c>
      <c r="C718" t="s">
        <v>4097</v>
      </c>
      <c r="D718" t="s">
        <v>4145</v>
      </c>
      <c r="E718" t="s">
        <v>4146</v>
      </c>
      <c r="F718" t="s">
        <v>29</v>
      </c>
      <c r="G718" t="s">
        <v>4147</v>
      </c>
      <c r="H718" t="s">
        <v>29</v>
      </c>
      <c r="I718">
        <v>323</v>
      </c>
      <c r="J718">
        <v>688</v>
      </c>
      <c r="K718">
        <v>4097</v>
      </c>
      <c r="L718">
        <v>1515268</v>
      </c>
      <c r="M718" t="s">
        <v>52</v>
      </c>
      <c r="N718" t="s">
        <v>4148</v>
      </c>
      <c r="O718">
        <v>76661</v>
      </c>
      <c r="P718" t="s">
        <v>4102</v>
      </c>
      <c r="Q718">
        <v>7251</v>
      </c>
      <c r="R718" t="s">
        <v>4103</v>
      </c>
      <c r="S718">
        <v>1497</v>
      </c>
      <c r="T718" t="b">
        <v>0</v>
      </c>
      <c r="U718">
        <v>35</v>
      </c>
      <c r="V718">
        <v>1718</v>
      </c>
      <c r="W718" t="s">
        <v>35</v>
      </c>
      <c r="X718" t="s">
        <v>29</v>
      </c>
      <c r="Y718" t="s">
        <v>4149</v>
      </c>
      <c r="Z718" t="s">
        <v>37</v>
      </c>
      <c r="AA718">
        <f>TwitterClean[[#This Row],[likes]]+TwitterClean[[#This Row],[replies]]+TwitterClean[[#This Row],[reposts]]+TwitterClean[[#This Row],[quotes]]+TwitterClean[[#This Row],[bookmarks]]</f>
        <v>6861</v>
      </c>
      <c r="AB718" s="1">
        <f>TwitterClean[[#This Row],[Total_Engagements]]/TwitterClean[[#This Row],[views]]</f>
        <v>4.5279118941335787E-3</v>
      </c>
      <c r="AC718" s="3">
        <f>DATEVALUE(MID(TwitterClean[[#This Row],[date_posted]],2,10))</f>
        <v>45539</v>
      </c>
      <c r="AD718">
        <f>TIMEVALUE(MID(TwitterClean[[#This Row],[date_posted]],13,8))</f>
        <v>5.0462962962962961E-3</v>
      </c>
      <c r="AE718" s="3" t="str">
        <f>TEXT(TwitterClean[[#This Row],[Post_Date]],"dddd")</f>
        <v>Wednesday</v>
      </c>
      <c r="AF718">
        <f>HOUR(TwitterClean[[#This Row],[Post_Time]])</f>
        <v>0</v>
      </c>
      <c r="AG718" t="str">
        <f>IF(TwitterClean[[#This Row],[videos]]="Null","No","Yes")</f>
        <v>Yes</v>
      </c>
      <c r="AH718" t="str">
        <f>IF(TwitterClean[[#This Row],[photos]]="null","No","Yes")</f>
        <v>No</v>
      </c>
      <c r="AI718" t="str">
        <f>IF(TwitterClean[[#This Row],[hashtags]]="null","No","Yes")</f>
        <v>Yes</v>
      </c>
      <c r="AJ718" t="str">
        <f>IF(TwitterClean[[#This Row],[external_url]]="null","Yes","No")</f>
        <v>No</v>
      </c>
      <c r="AK718">
        <f>LEN(TwitterClean[[#This Row],[description]])</f>
        <v>79</v>
      </c>
      <c r="AL718" t="str">
        <f>IF(TwitterClean[[#This Row],[followers]]&lt;100000,"&lt;100K",IF(TwitterClean[[#This Row],[followers]]&lt;1000000,"100K-1M",IF(TwitterClean[[#This Row],[followers]]&lt;10000000,"1M-10M","10M+")))</f>
        <v>&lt;100K</v>
      </c>
    </row>
    <row r="719" spans="1:38">
      <c r="A719">
        <v>1.868348822046507E+18</v>
      </c>
      <c r="B719" t="s">
        <v>2994</v>
      </c>
      <c r="C719" t="s">
        <v>2995</v>
      </c>
      <c r="D719" t="s">
        <v>4639</v>
      </c>
      <c r="E719" t="s">
        <v>4640</v>
      </c>
      <c r="F719" t="s">
        <v>4641</v>
      </c>
      <c r="G719" t="s">
        <v>4642</v>
      </c>
      <c r="H719" t="s">
        <v>29</v>
      </c>
      <c r="I719">
        <v>24</v>
      </c>
      <c r="J719">
        <v>20</v>
      </c>
      <c r="K719">
        <v>230</v>
      </c>
      <c r="L719">
        <v>61203</v>
      </c>
      <c r="M719" t="s">
        <v>4643</v>
      </c>
      <c r="N719" t="s">
        <v>3376</v>
      </c>
      <c r="O719">
        <v>812163</v>
      </c>
      <c r="P719" t="s">
        <v>3000</v>
      </c>
      <c r="Q719">
        <v>110924</v>
      </c>
      <c r="R719" t="s">
        <v>3001</v>
      </c>
      <c r="S719">
        <v>322</v>
      </c>
      <c r="T719" t="b">
        <v>0</v>
      </c>
      <c r="U719">
        <v>0</v>
      </c>
      <c r="V719">
        <v>1</v>
      </c>
      <c r="W719" t="s">
        <v>35</v>
      </c>
      <c r="X719" t="s">
        <v>29</v>
      </c>
      <c r="Y719" t="s">
        <v>29</v>
      </c>
      <c r="Z719" t="s">
        <v>37</v>
      </c>
      <c r="AA719">
        <f>TwitterClean[[#This Row],[likes]]+TwitterClean[[#This Row],[replies]]+TwitterClean[[#This Row],[reposts]]+TwitterClean[[#This Row],[quotes]]+TwitterClean[[#This Row],[bookmarks]]</f>
        <v>275</v>
      </c>
      <c r="AB719" s="1">
        <f>TwitterClean[[#This Row],[Total_Engagements]]/TwitterClean[[#This Row],[views]]</f>
        <v>4.4932437952387959E-3</v>
      </c>
      <c r="AC719" s="3">
        <f>DATEVALUE(MID(TwitterClean[[#This Row],[date_posted]],2,10))</f>
        <v>45641</v>
      </c>
      <c r="AD719">
        <f>TIMEVALUE(MID(TwitterClean[[#This Row],[date_posted]],13,8))</f>
        <v>0.73201388888888885</v>
      </c>
      <c r="AE719" s="3" t="str">
        <f>TEXT(TwitterClean[[#This Row],[Post_Date]],"dddd")</f>
        <v>Sunday</v>
      </c>
      <c r="AF719">
        <f>HOUR(TwitterClean[[#This Row],[Post_Time]])</f>
        <v>17</v>
      </c>
      <c r="AG719" t="str">
        <f>IF(TwitterClean[[#This Row],[videos]]="Null","No","Yes")</f>
        <v>No</v>
      </c>
      <c r="AH719" t="str">
        <f>IF(TwitterClean[[#This Row],[photos]]="null","No","Yes")</f>
        <v>Yes</v>
      </c>
      <c r="AI719" t="str">
        <f>IF(TwitterClean[[#This Row],[hashtags]]="null","No","Yes")</f>
        <v>Yes</v>
      </c>
      <c r="AJ719" t="str">
        <f>IF(TwitterClean[[#This Row],[external_url]]="null","Yes","No")</f>
        <v>No</v>
      </c>
      <c r="AK719">
        <f>LEN(TwitterClean[[#This Row],[description]])</f>
        <v>89</v>
      </c>
      <c r="AL719" t="str">
        <f>IF(TwitterClean[[#This Row],[followers]]&lt;100000,"&lt;100K",IF(TwitterClean[[#This Row],[followers]]&lt;1000000,"100K-1M",IF(TwitterClean[[#This Row],[followers]]&lt;10000000,"1M-10M","10M+")))</f>
        <v>100K-1M</v>
      </c>
    </row>
    <row r="720" spans="1:38">
      <c r="A720">
        <v>1.8660014539925302E+18</v>
      </c>
      <c r="B720" t="s">
        <v>266</v>
      </c>
      <c r="C720" t="s">
        <v>266</v>
      </c>
      <c r="D720" t="s">
        <v>267</v>
      </c>
      <c r="E720" t="s">
        <v>268</v>
      </c>
      <c r="F720" t="s">
        <v>269</v>
      </c>
      <c r="G720" t="s">
        <v>270</v>
      </c>
      <c r="H720" t="s">
        <v>271</v>
      </c>
      <c r="I720">
        <v>17</v>
      </c>
      <c r="J720">
        <v>69</v>
      </c>
      <c r="K720">
        <v>473</v>
      </c>
      <c r="L720">
        <v>130773</v>
      </c>
      <c r="M720" t="s">
        <v>52</v>
      </c>
      <c r="N720" t="s">
        <v>29</v>
      </c>
      <c r="O720">
        <v>47705382</v>
      </c>
      <c r="P720" t="s">
        <v>272</v>
      </c>
      <c r="Q720">
        <v>367157</v>
      </c>
      <c r="R720" t="s">
        <v>273</v>
      </c>
      <c r="S720">
        <v>2012</v>
      </c>
      <c r="T720" t="b">
        <v>0</v>
      </c>
      <c r="U720">
        <v>5</v>
      </c>
      <c r="V720">
        <v>9</v>
      </c>
      <c r="W720" t="s">
        <v>274</v>
      </c>
      <c r="X720" t="s">
        <v>29</v>
      </c>
      <c r="Y720" t="s">
        <v>29</v>
      </c>
      <c r="Z720" t="s">
        <v>37</v>
      </c>
      <c r="AA720">
        <f>TwitterClean[[#This Row],[likes]]+TwitterClean[[#This Row],[replies]]+TwitterClean[[#This Row],[reposts]]+TwitterClean[[#This Row],[quotes]]+TwitterClean[[#This Row],[bookmarks]]</f>
        <v>573</v>
      </c>
      <c r="AB720" s="1">
        <f>TwitterClean[[#This Row],[Total_Engagements]]/TwitterClean[[#This Row],[views]]</f>
        <v>4.3816384115987249E-3</v>
      </c>
      <c r="AC720" s="3">
        <f>DATEVALUE(MID(TwitterClean[[#This Row],[date_posted]],2,10))</f>
        <v>45635</v>
      </c>
      <c r="AD720">
        <f>TIMEVALUE(MID(TwitterClean[[#This Row],[date_posted]],13,8))</f>
        <v>0.25450231481481483</v>
      </c>
      <c r="AE720" s="3" t="str">
        <f>TEXT(TwitterClean[[#This Row],[Post_Date]],"dddd")</f>
        <v>Monday</v>
      </c>
      <c r="AF720">
        <f>HOUR(TwitterClean[[#This Row],[Post_Time]])</f>
        <v>6</v>
      </c>
      <c r="AG720" t="str">
        <f>IF(TwitterClean[[#This Row],[videos]]="Null","No","Yes")</f>
        <v>No</v>
      </c>
      <c r="AH720" t="str">
        <f>IF(TwitterClean[[#This Row],[photos]]="null","No","Yes")</f>
        <v>Yes</v>
      </c>
      <c r="AI720" t="str">
        <f>IF(TwitterClean[[#This Row],[hashtags]]="null","No","Yes")</f>
        <v>No</v>
      </c>
      <c r="AJ720" t="str">
        <f>IF(TwitterClean[[#This Row],[external_url]]="null","Yes","No")</f>
        <v>No</v>
      </c>
      <c r="AK720">
        <f>LEN(TwitterClean[[#This Row],[description]])</f>
        <v>243</v>
      </c>
      <c r="AL720" t="str">
        <f>IF(TwitterClean[[#This Row],[followers]]&lt;100000,"&lt;100K",IF(TwitterClean[[#This Row],[followers]]&lt;1000000,"100K-1M",IF(TwitterClean[[#This Row],[followers]]&lt;10000000,"1M-10M","10M+")))</f>
        <v>10M+</v>
      </c>
    </row>
    <row r="721" spans="1:38">
      <c r="A721">
        <v>1.8684171065150013E+18</v>
      </c>
      <c r="B721" t="s">
        <v>2474</v>
      </c>
      <c r="C721" t="s">
        <v>2475</v>
      </c>
      <c r="D721" t="s">
        <v>5018</v>
      </c>
      <c r="E721" t="s">
        <v>5019</v>
      </c>
      <c r="F721" t="s">
        <v>5020</v>
      </c>
      <c r="G721" t="s">
        <v>5021</v>
      </c>
      <c r="H721" t="s">
        <v>5016</v>
      </c>
      <c r="I721">
        <v>68</v>
      </c>
      <c r="J721">
        <v>2</v>
      </c>
      <c r="K721">
        <v>22</v>
      </c>
      <c r="L721">
        <v>21490</v>
      </c>
      <c r="M721" t="s">
        <v>52</v>
      </c>
      <c r="N721" t="s">
        <v>5022</v>
      </c>
      <c r="O721">
        <v>1511302</v>
      </c>
      <c r="P721" t="s">
        <v>2481</v>
      </c>
      <c r="Q721">
        <v>56647</v>
      </c>
      <c r="R721" t="s">
        <v>2482</v>
      </c>
      <c r="S721">
        <v>80</v>
      </c>
      <c r="T721" t="b">
        <v>0</v>
      </c>
      <c r="U721">
        <v>0</v>
      </c>
      <c r="V721">
        <v>2</v>
      </c>
      <c r="W721" t="s">
        <v>35</v>
      </c>
      <c r="X721" t="s">
        <v>29</v>
      </c>
      <c r="Y721" t="s">
        <v>29</v>
      </c>
      <c r="Z721" t="s">
        <v>37</v>
      </c>
      <c r="AA721">
        <f>TwitterClean[[#This Row],[likes]]+TwitterClean[[#This Row],[replies]]+TwitterClean[[#This Row],[reposts]]+TwitterClean[[#This Row],[quotes]]+TwitterClean[[#This Row],[bookmarks]]</f>
        <v>94</v>
      </c>
      <c r="AB721" s="1">
        <f>TwitterClean[[#This Row],[Total_Engagements]]/TwitterClean[[#This Row],[views]]</f>
        <v>4.3741275011633315E-3</v>
      </c>
      <c r="AC721" s="3">
        <f>DATEVALUE(MID(TwitterClean[[#This Row],[date_posted]],2,10))</f>
        <v>45641</v>
      </c>
      <c r="AD721">
        <f>TIMEVALUE(MID(TwitterClean[[#This Row],[date_posted]],13,8))</f>
        <v>0.92043981481481485</v>
      </c>
      <c r="AE721" s="3" t="str">
        <f>TEXT(TwitterClean[[#This Row],[Post_Date]],"dddd")</f>
        <v>Sunday</v>
      </c>
      <c r="AF721">
        <f>HOUR(TwitterClean[[#This Row],[Post_Time]])</f>
        <v>22</v>
      </c>
      <c r="AG721" t="str">
        <f>IF(TwitterClean[[#This Row],[videos]]="Null","No","Yes")</f>
        <v>No</v>
      </c>
      <c r="AH721" t="str">
        <f>IF(TwitterClean[[#This Row],[photos]]="null","No","Yes")</f>
        <v>Yes</v>
      </c>
      <c r="AI721" t="str">
        <f>IF(TwitterClean[[#This Row],[hashtags]]="null","No","Yes")</f>
        <v>Yes</v>
      </c>
      <c r="AJ721" t="str">
        <f>IF(TwitterClean[[#This Row],[external_url]]="null","Yes","No")</f>
        <v>No</v>
      </c>
      <c r="AK721">
        <f>LEN(TwitterClean[[#This Row],[description]])</f>
        <v>173</v>
      </c>
      <c r="AL721" t="str">
        <f>IF(TwitterClean[[#This Row],[followers]]&lt;100000,"&lt;100K",IF(TwitterClean[[#This Row],[followers]]&lt;1000000,"100K-1M",IF(TwitterClean[[#This Row],[followers]]&lt;10000000,"1M-10M","10M+")))</f>
        <v>1M-10M</v>
      </c>
    </row>
    <row r="722" spans="1:38">
      <c r="A722">
        <v>1.8683883011675633E+18</v>
      </c>
      <c r="B722" t="s">
        <v>2230</v>
      </c>
      <c r="C722" t="s">
        <v>2231</v>
      </c>
      <c r="D722" t="s">
        <v>2464</v>
      </c>
      <c r="E722" t="s">
        <v>2465</v>
      </c>
      <c r="F722" t="s">
        <v>2466</v>
      </c>
      <c r="G722" t="s">
        <v>2467</v>
      </c>
      <c r="H722" t="s">
        <v>29</v>
      </c>
      <c r="I722">
        <v>61</v>
      </c>
      <c r="J722">
        <v>7</v>
      </c>
      <c r="K722">
        <v>56</v>
      </c>
      <c r="L722">
        <v>30294</v>
      </c>
      <c r="M722" t="s">
        <v>2468</v>
      </c>
      <c r="N722" t="s">
        <v>29</v>
      </c>
      <c r="O722">
        <v>3313890</v>
      </c>
      <c r="P722" t="s">
        <v>2237</v>
      </c>
      <c r="Q722">
        <v>706459</v>
      </c>
      <c r="R722" t="s">
        <v>2238</v>
      </c>
      <c r="S722">
        <v>10308</v>
      </c>
      <c r="T722" t="b">
        <v>0</v>
      </c>
      <c r="U722">
        <v>4</v>
      </c>
      <c r="V722">
        <v>3</v>
      </c>
      <c r="W722" t="s">
        <v>35</v>
      </c>
      <c r="X722" t="s">
        <v>29</v>
      </c>
      <c r="Y722" t="s">
        <v>29</v>
      </c>
      <c r="Z722" t="s">
        <v>37</v>
      </c>
      <c r="AA722">
        <f>TwitterClean[[#This Row],[likes]]+TwitterClean[[#This Row],[replies]]+TwitterClean[[#This Row],[reposts]]+TwitterClean[[#This Row],[quotes]]+TwitterClean[[#This Row],[bookmarks]]</f>
        <v>131</v>
      </c>
      <c r="AB722" s="1">
        <f>TwitterClean[[#This Row],[Total_Engagements]]/TwitterClean[[#This Row],[views]]</f>
        <v>4.3242886380141284E-3</v>
      </c>
      <c r="AC722" s="3">
        <f>DATEVALUE(MID(TwitterClean[[#This Row],[date_posted]],2,10))</f>
        <v>45641</v>
      </c>
      <c r="AD722">
        <f>TIMEVALUE(MID(TwitterClean[[#This Row],[date_posted]],13,8))</f>
        <v>0.84094907407407404</v>
      </c>
      <c r="AE722" s="3" t="str">
        <f>TEXT(TwitterClean[[#This Row],[Post_Date]],"dddd")</f>
        <v>Sunday</v>
      </c>
      <c r="AF722">
        <f>HOUR(TwitterClean[[#This Row],[Post_Time]])</f>
        <v>20</v>
      </c>
      <c r="AG722" t="str">
        <f>IF(TwitterClean[[#This Row],[videos]]="Null","No","Yes")</f>
        <v>No</v>
      </c>
      <c r="AH722" t="str">
        <f>IF(TwitterClean[[#This Row],[photos]]="null","No","Yes")</f>
        <v>Yes</v>
      </c>
      <c r="AI722" t="str">
        <f>IF(TwitterClean[[#This Row],[hashtags]]="null","No","Yes")</f>
        <v>No</v>
      </c>
      <c r="AJ722" t="str">
        <f>IF(TwitterClean[[#This Row],[external_url]]="null","Yes","No")</f>
        <v>No</v>
      </c>
      <c r="AK722">
        <f>LEN(TwitterClean[[#This Row],[description]])</f>
        <v>104</v>
      </c>
      <c r="AL722" t="str">
        <f>IF(TwitterClean[[#This Row],[followers]]&lt;100000,"&lt;100K",IF(TwitterClean[[#This Row],[followers]]&lt;1000000,"100K-1M",IF(TwitterClean[[#This Row],[followers]]&lt;10000000,"1M-10M","10M+")))</f>
        <v>1M-10M</v>
      </c>
    </row>
    <row r="723" spans="1:38">
      <c r="A723">
        <v>1.8683526108785626E+18</v>
      </c>
      <c r="B723" t="s">
        <v>228</v>
      </c>
      <c r="C723" t="s">
        <v>228</v>
      </c>
      <c r="D723" t="s">
        <v>420</v>
      </c>
      <c r="E723" t="s">
        <v>421</v>
      </c>
      <c r="F723" t="s">
        <v>29</v>
      </c>
      <c r="G723" t="s">
        <v>422</v>
      </c>
      <c r="H723" t="s">
        <v>423</v>
      </c>
      <c r="I723">
        <v>6</v>
      </c>
      <c r="J723">
        <v>7</v>
      </c>
      <c r="K723">
        <v>23</v>
      </c>
      <c r="L723">
        <v>10422</v>
      </c>
      <c r="M723" t="s">
        <v>52</v>
      </c>
      <c r="N723" t="s">
        <v>29</v>
      </c>
      <c r="O723">
        <v>1239618</v>
      </c>
      <c r="P723" t="s">
        <v>235</v>
      </c>
      <c r="Q723">
        <v>402839</v>
      </c>
      <c r="R723" t="s">
        <v>236</v>
      </c>
      <c r="S723">
        <v>1644</v>
      </c>
      <c r="T723" t="b">
        <v>0</v>
      </c>
      <c r="U723">
        <v>1</v>
      </c>
      <c r="V723">
        <v>8</v>
      </c>
      <c r="W723" t="s">
        <v>35</v>
      </c>
      <c r="X723" t="s">
        <v>29</v>
      </c>
      <c r="Y723" t="s">
        <v>424</v>
      </c>
      <c r="Z723" t="s">
        <v>37</v>
      </c>
      <c r="AA723">
        <f>TwitterClean[[#This Row],[likes]]+TwitterClean[[#This Row],[replies]]+TwitterClean[[#This Row],[reposts]]+TwitterClean[[#This Row],[quotes]]+TwitterClean[[#This Row],[bookmarks]]</f>
        <v>45</v>
      </c>
      <c r="AB723" s="1">
        <f>TwitterClean[[#This Row],[Total_Engagements]]/TwitterClean[[#This Row],[views]]</f>
        <v>4.3177892918825561E-3</v>
      </c>
      <c r="AC723" s="3">
        <f>DATEVALUE(MID(TwitterClean[[#This Row],[date_posted]],2,10))</f>
        <v>45641</v>
      </c>
      <c r="AD723">
        <f>TIMEVALUE(MID(TwitterClean[[#This Row],[date_posted]],13,8))</f>
        <v>0.74246527777777782</v>
      </c>
      <c r="AE723" s="3" t="str">
        <f>TEXT(TwitterClean[[#This Row],[Post_Date]],"dddd")</f>
        <v>Sunday</v>
      </c>
      <c r="AF723">
        <f>HOUR(TwitterClean[[#This Row],[Post_Time]])</f>
        <v>17</v>
      </c>
      <c r="AG723" t="str">
        <f>IF(TwitterClean[[#This Row],[videos]]="Null","No","Yes")</f>
        <v>Yes</v>
      </c>
      <c r="AH723" t="str">
        <f>IF(TwitterClean[[#This Row],[photos]]="null","No","Yes")</f>
        <v>No</v>
      </c>
      <c r="AI723" t="str">
        <f>IF(TwitterClean[[#This Row],[hashtags]]="null","No","Yes")</f>
        <v>No</v>
      </c>
      <c r="AJ723" t="str">
        <f>IF(TwitterClean[[#This Row],[external_url]]="null","Yes","No")</f>
        <v>No</v>
      </c>
      <c r="AK723">
        <f>LEN(TwitterClean[[#This Row],[description]])</f>
        <v>298</v>
      </c>
      <c r="AL723" t="str">
        <f>IF(TwitterClean[[#This Row],[followers]]&lt;100000,"&lt;100K",IF(TwitterClean[[#This Row],[followers]]&lt;1000000,"100K-1M",IF(TwitterClean[[#This Row],[followers]]&lt;10000000,"1M-10M","10M+")))</f>
        <v>1M-10M</v>
      </c>
    </row>
    <row r="724" spans="1:38">
      <c r="A724">
        <v>1.8683510215938993E+18</v>
      </c>
      <c r="B724" t="s">
        <v>2230</v>
      </c>
      <c r="C724" t="s">
        <v>2231</v>
      </c>
      <c r="D724" t="s">
        <v>2657</v>
      </c>
      <c r="E724" t="s">
        <v>2658</v>
      </c>
      <c r="F724" t="s">
        <v>2659</v>
      </c>
      <c r="G724" t="s">
        <v>2660</v>
      </c>
      <c r="H724" t="s">
        <v>29</v>
      </c>
      <c r="I724">
        <v>53</v>
      </c>
      <c r="J724">
        <v>8</v>
      </c>
      <c r="K724">
        <v>66</v>
      </c>
      <c r="L724">
        <v>32695</v>
      </c>
      <c r="M724" t="s">
        <v>2661</v>
      </c>
      <c r="N724" t="s">
        <v>29</v>
      </c>
      <c r="O724">
        <v>3313887</v>
      </c>
      <c r="P724" t="s">
        <v>2237</v>
      </c>
      <c r="Q724">
        <v>706459</v>
      </c>
      <c r="R724" t="s">
        <v>2238</v>
      </c>
      <c r="S724">
        <v>10308</v>
      </c>
      <c r="T724" t="b">
        <v>0</v>
      </c>
      <c r="U724">
        <v>6</v>
      </c>
      <c r="V724">
        <v>8</v>
      </c>
      <c r="W724" t="s">
        <v>35</v>
      </c>
      <c r="X724" t="s">
        <v>29</v>
      </c>
      <c r="Y724" t="s">
        <v>29</v>
      </c>
      <c r="Z724" t="s">
        <v>37</v>
      </c>
      <c r="AA724">
        <f>TwitterClean[[#This Row],[likes]]+TwitterClean[[#This Row],[replies]]+TwitterClean[[#This Row],[reposts]]+TwitterClean[[#This Row],[quotes]]+TwitterClean[[#This Row],[bookmarks]]</f>
        <v>141</v>
      </c>
      <c r="AB724" s="1">
        <f>TwitterClean[[#This Row],[Total_Engagements]]/TwitterClean[[#This Row],[views]]</f>
        <v>4.3125860223275731E-3</v>
      </c>
      <c r="AC724" s="3">
        <f>DATEVALUE(MID(TwitterClean[[#This Row],[date_posted]],2,10))</f>
        <v>45641</v>
      </c>
      <c r="AD724">
        <f>TIMEVALUE(MID(TwitterClean[[#This Row],[date_posted]],13,8))</f>
        <v>0.73807870370370365</v>
      </c>
      <c r="AE724" s="3" t="str">
        <f>TEXT(TwitterClean[[#This Row],[Post_Date]],"dddd")</f>
        <v>Sunday</v>
      </c>
      <c r="AF724">
        <f>HOUR(TwitterClean[[#This Row],[Post_Time]])</f>
        <v>17</v>
      </c>
      <c r="AG724" t="str">
        <f>IF(TwitterClean[[#This Row],[videos]]="Null","No","Yes")</f>
        <v>No</v>
      </c>
      <c r="AH724" t="str">
        <f>IF(TwitterClean[[#This Row],[photos]]="null","No","Yes")</f>
        <v>Yes</v>
      </c>
      <c r="AI724" t="str">
        <f>IF(TwitterClean[[#This Row],[hashtags]]="null","No","Yes")</f>
        <v>No</v>
      </c>
      <c r="AJ724" t="str">
        <f>IF(TwitterClean[[#This Row],[external_url]]="null","Yes","No")</f>
        <v>No</v>
      </c>
      <c r="AK724">
        <f>LEN(TwitterClean[[#This Row],[description]])</f>
        <v>49</v>
      </c>
      <c r="AL724" t="str">
        <f>IF(TwitterClean[[#This Row],[followers]]&lt;100000,"&lt;100K",IF(TwitterClean[[#This Row],[followers]]&lt;1000000,"100K-1M",IF(TwitterClean[[#This Row],[followers]]&lt;10000000,"1M-10M","10M+")))</f>
        <v>1M-10M</v>
      </c>
    </row>
    <row r="725" spans="1:38">
      <c r="A725">
        <v>1.8682999241918139E+18</v>
      </c>
      <c r="B725" t="s">
        <v>2230</v>
      </c>
      <c r="C725" t="s">
        <v>2231</v>
      </c>
      <c r="D725" t="s">
        <v>2264</v>
      </c>
      <c r="E725" t="s">
        <v>2265</v>
      </c>
      <c r="F725" t="s">
        <v>2266</v>
      </c>
      <c r="G725" t="s">
        <v>2267</v>
      </c>
      <c r="H725" t="s">
        <v>29</v>
      </c>
      <c r="I725">
        <v>84</v>
      </c>
      <c r="J725">
        <v>3</v>
      </c>
      <c r="K725">
        <v>18</v>
      </c>
      <c r="L725">
        <v>24847</v>
      </c>
      <c r="M725" t="s">
        <v>2268</v>
      </c>
      <c r="N725" t="s">
        <v>29</v>
      </c>
      <c r="O725">
        <v>3313890</v>
      </c>
      <c r="P725" t="s">
        <v>2237</v>
      </c>
      <c r="Q725">
        <v>706459</v>
      </c>
      <c r="R725" t="s">
        <v>2238</v>
      </c>
      <c r="S725">
        <v>10308</v>
      </c>
      <c r="T725" t="b">
        <v>0</v>
      </c>
      <c r="U725">
        <v>1</v>
      </c>
      <c r="V725">
        <v>1</v>
      </c>
      <c r="W725" t="s">
        <v>35</v>
      </c>
      <c r="X725" t="s">
        <v>29</v>
      </c>
      <c r="Y725" t="s">
        <v>29</v>
      </c>
      <c r="Z725" t="s">
        <v>37</v>
      </c>
      <c r="AA725">
        <f>TwitterClean[[#This Row],[likes]]+TwitterClean[[#This Row],[replies]]+TwitterClean[[#This Row],[reposts]]+TwitterClean[[#This Row],[quotes]]+TwitterClean[[#This Row],[bookmarks]]</f>
        <v>107</v>
      </c>
      <c r="AB725" s="1">
        <f>TwitterClean[[#This Row],[Total_Engagements]]/TwitterClean[[#This Row],[views]]</f>
        <v>4.3063548919386645E-3</v>
      </c>
      <c r="AC725" s="3">
        <f>DATEVALUE(MID(TwitterClean[[#This Row],[date_posted]],2,10))</f>
        <v>45641</v>
      </c>
      <c r="AD725">
        <f>TIMEVALUE(MID(TwitterClean[[#This Row],[date_posted]],13,8))</f>
        <v>0.59707175925925926</v>
      </c>
      <c r="AE725" s="3" t="str">
        <f>TEXT(TwitterClean[[#This Row],[Post_Date]],"dddd")</f>
        <v>Sunday</v>
      </c>
      <c r="AF725">
        <f>HOUR(TwitterClean[[#This Row],[Post_Time]])</f>
        <v>14</v>
      </c>
      <c r="AG725" t="str">
        <f>IF(TwitterClean[[#This Row],[videos]]="Null","No","Yes")</f>
        <v>No</v>
      </c>
      <c r="AH725" t="str">
        <f>IF(TwitterClean[[#This Row],[photos]]="null","No","Yes")</f>
        <v>Yes</v>
      </c>
      <c r="AI725" t="str">
        <f>IF(TwitterClean[[#This Row],[hashtags]]="null","No","Yes")</f>
        <v>No</v>
      </c>
      <c r="AJ725" t="str">
        <f>IF(TwitterClean[[#This Row],[external_url]]="null","Yes","No")</f>
        <v>No</v>
      </c>
      <c r="AK725">
        <f>LEN(TwitterClean[[#This Row],[description]])</f>
        <v>63</v>
      </c>
      <c r="AL725" t="str">
        <f>IF(TwitterClean[[#This Row],[followers]]&lt;100000,"&lt;100K",IF(TwitterClean[[#This Row],[followers]]&lt;1000000,"100K-1M",IF(TwitterClean[[#This Row],[followers]]&lt;10000000,"1M-10M","10M+")))</f>
        <v>1M-10M</v>
      </c>
    </row>
    <row r="726" spans="1:38">
      <c r="A726">
        <v>1.8310844765392202E+18</v>
      </c>
      <c r="B726" t="s">
        <v>4105</v>
      </c>
      <c r="C726" t="s">
        <v>4106</v>
      </c>
      <c r="D726" t="s">
        <v>4168</v>
      </c>
      <c r="E726" t="s">
        <v>4169</v>
      </c>
      <c r="F726" t="s">
        <v>4170</v>
      </c>
      <c r="G726" t="s">
        <v>4171</v>
      </c>
      <c r="H726" t="s">
        <v>29</v>
      </c>
      <c r="I726">
        <v>1557</v>
      </c>
      <c r="J726">
        <v>814</v>
      </c>
      <c r="K726">
        <v>3574</v>
      </c>
      <c r="L726">
        <v>1610328</v>
      </c>
      <c r="M726" t="s">
        <v>52</v>
      </c>
      <c r="N726" t="s">
        <v>29</v>
      </c>
      <c r="O726">
        <v>303062</v>
      </c>
      <c r="P726" t="s">
        <v>4111</v>
      </c>
      <c r="Q726">
        <v>24240</v>
      </c>
      <c r="R726" t="s">
        <v>4112</v>
      </c>
      <c r="S726">
        <v>8053</v>
      </c>
      <c r="T726" t="b">
        <v>0</v>
      </c>
      <c r="U726">
        <v>123</v>
      </c>
      <c r="V726">
        <v>842</v>
      </c>
      <c r="W726" t="s">
        <v>35</v>
      </c>
      <c r="X726" t="s">
        <v>29</v>
      </c>
      <c r="Y726" t="s">
        <v>4172</v>
      </c>
      <c r="Z726" t="s">
        <v>37</v>
      </c>
      <c r="AA726">
        <f>TwitterClean[[#This Row],[likes]]+TwitterClean[[#This Row],[replies]]+TwitterClean[[#This Row],[reposts]]+TwitterClean[[#This Row],[quotes]]+TwitterClean[[#This Row],[bookmarks]]</f>
        <v>6910</v>
      </c>
      <c r="AB726" s="1">
        <f>TwitterClean[[#This Row],[Total_Engagements]]/TwitterClean[[#This Row],[views]]</f>
        <v>4.2910512640902971E-3</v>
      </c>
      <c r="AC726" s="3">
        <f>DATEVALUE(MID(TwitterClean[[#This Row],[date_posted]],2,10))</f>
        <v>45538</v>
      </c>
      <c r="AD726">
        <f>TIMEVALUE(MID(TwitterClean[[#This Row],[date_posted]],13,8))</f>
        <v>0.90200231481481485</v>
      </c>
      <c r="AE726" s="3" t="str">
        <f>TEXT(TwitterClean[[#This Row],[Post_Date]],"dddd")</f>
        <v>Tuesday</v>
      </c>
      <c r="AF726">
        <f>HOUR(TwitterClean[[#This Row],[Post_Time]])</f>
        <v>21</v>
      </c>
      <c r="AG726" t="str">
        <f>IF(TwitterClean[[#This Row],[videos]]="Null","No","Yes")</f>
        <v>Yes</v>
      </c>
      <c r="AH726" t="str">
        <f>IF(TwitterClean[[#This Row],[photos]]="null","No","Yes")</f>
        <v>Yes</v>
      </c>
      <c r="AI726" t="str">
        <f>IF(TwitterClean[[#This Row],[hashtags]]="null","No","Yes")</f>
        <v>No</v>
      </c>
      <c r="AJ726" t="str">
        <f>IF(TwitterClean[[#This Row],[external_url]]="null","Yes","No")</f>
        <v>No</v>
      </c>
      <c r="AK726">
        <f>LEN(TwitterClean[[#This Row],[description]])</f>
        <v>128</v>
      </c>
      <c r="AL726" t="str">
        <f>IF(TwitterClean[[#This Row],[followers]]&lt;100000,"&lt;100K",IF(TwitterClean[[#This Row],[followers]]&lt;1000000,"100K-1M",IF(TwitterClean[[#This Row],[followers]]&lt;10000000,"1M-10M","10M+")))</f>
        <v>100K-1M</v>
      </c>
    </row>
    <row r="727" spans="1:38">
      <c r="A727">
        <v>1.8683563767008873E+18</v>
      </c>
      <c r="B727" t="s">
        <v>46</v>
      </c>
      <c r="C727" t="s">
        <v>47</v>
      </c>
      <c r="D727" t="s">
        <v>763</v>
      </c>
      <c r="E727" t="s">
        <v>764</v>
      </c>
      <c r="F727" t="s">
        <v>765</v>
      </c>
      <c r="G727" t="s">
        <v>766</v>
      </c>
      <c r="H727" t="s">
        <v>29</v>
      </c>
      <c r="I727">
        <v>1</v>
      </c>
      <c r="J727">
        <v>3</v>
      </c>
      <c r="K727">
        <v>56</v>
      </c>
      <c r="L727">
        <v>14718</v>
      </c>
      <c r="M727" t="s">
        <v>52</v>
      </c>
      <c r="N727" t="s">
        <v>182</v>
      </c>
      <c r="O727">
        <v>8293203</v>
      </c>
      <c r="P727" t="s">
        <v>54</v>
      </c>
      <c r="Q727">
        <v>456734</v>
      </c>
      <c r="R727" t="s">
        <v>55</v>
      </c>
      <c r="S727">
        <v>859</v>
      </c>
      <c r="T727" t="b">
        <v>0</v>
      </c>
      <c r="U727">
        <v>1</v>
      </c>
      <c r="V727">
        <v>2</v>
      </c>
      <c r="W727" t="s">
        <v>35</v>
      </c>
      <c r="X727" t="s">
        <v>29</v>
      </c>
      <c r="Y727" t="s">
        <v>29</v>
      </c>
      <c r="Z727" t="s">
        <v>37</v>
      </c>
      <c r="AA727">
        <f>TwitterClean[[#This Row],[likes]]+TwitterClean[[#This Row],[replies]]+TwitterClean[[#This Row],[reposts]]+TwitterClean[[#This Row],[quotes]]+TwitterClean[[#This Row],[bookmarks]]</f>
        <v>63</v>
      </c>
      <c r="AB727" s="1">
        <f>TwitterClean[[#This Row],[Total_Engagements]]/TwitterClean[[#This Row],[views]]</f>
        <v>4.2804728903383608E-3</v>
      </c>
      <c r="AC727" s="3">
        <f>DATEVALUE(MID(TwitterClean[[#This Row],[date_posted]],2,10))</f>
        <v>45641</v>
      </c>
      <c r="AD727">
        <f>TIMEVALUE(MID(TwitterClean[[#This Row],[date_posted]],13,8))</f>
        <v>0.75285879629629626</v>
      </c>
      <c r="AE727" s="3" t="str">
        <f>TEXT(TwitterClean[[#This Row],[Post_Date]],"dddd")</f>
        <v>Sunday</v>
      </c>
      <c r="AF727">
        <f>HOUR(TwitterClean[[#This Row],[Post_Time]])</f>
        <v>18</v>
      </c>
      <c r="AG727" t="str">
        <f>IF(TwitterClean[[#This Row],[videos]]="Null","No","Yes")</f>
        <v>No</v>
      </c>
      <c r="AH727" t="str">
        <f>IF(TwitterClean[[#This Row],[photos]]="null","No","Yes")</f>
        <v>Yes</v>
      </c>
      <c r="AI727" t="str">
        <f>IF(TwitterClean[[#This Row],[hashtags]]="null","No","Yes")</f>
        <v>Yes</v>
      </c>
      <c r="AJ727" t="str">
        <f>IF(TwitterClean[[#This Row],[external_url]]="null","Yes","No")</f>
        <v>No</v>
      </c>
      <c r="AK727">
        <f>LEN(TwitterClean[[#This Row],[description]])</f>
        <v>293</v>
      </c>
      <c r="AL727" t="str">
        <f>IF(TwitterClean[[#This Row],[followers]]&lt;100000,"&lt;100K",IF(TwitterClean[[#This Row],[followers]]&lt;1000000,"100K-1M",IF(TwitterClean[[#This Row],[followers]]&lt;10000000,"1M-10M","10M+")))</f>
        <v>1M-10M</v>
      </c>
    </row>
    <row r="728" spans="1:38">
      <c r="A728">
        <v>1.8659641546343588E+18</v>
      </c>
      <c r="B728" t="s">
        <v>547</v>
      </c>
      <c r="C728" t="s">
        <v>548</v>
      </c>
      <c r="D728" t="s">
        <v>2702</v>
      </c>
      <c r="E728" t="s">
        <v>2703</v>
      </c>
      <c r="F728" t="s">
        <v>2704</v>
      </c>
      <c r="G728" t="s">
        <v>2705</v>
      </c>
      <c r="H728" t="s">
        <v>2706</v>
      </c>
      <c r="I728">
        <v>233</v>
      </c>
      <c r="J728">
        <v>277</v>
      </c>
      <c r="K728">
        <v>2314</v>
      </c>
      <c r="L728">
        <v>682852</v>
      </c>
      <c r="M728" t="s">
        <v>52</v>
      </c>
      <c r="N728" t="s">
        <v>2707</v>
      </c>
      <c r="O728">
        <v>4017795</v>
      </c>
      <c r="P728" t="s">
        <v>555</v>
      </c>
      <c r="Q728">
        <v>216530</v>
      </c>
      <c r="R728" t="s">
        <v>556</v>
      </c>
      <c r="S728">
        <v>214</v>
      </c>
      <c r="T728" t="b">
        <v>0</v>
      </c>
      <c r="U728">
        <v>42</v>
      </c>
      <c r="V728">
        <v>43</v>
      </c>
      <c r="W728" t="s">
        <v>35</v>
      </c>
      <c r="X728" t="s">
        <v>29</v>
      </c>
      <c r="Y728" t="s">
        <v>29</v>
      </c>
      <c r="Z728" t="s">
        <v>37</v>
      </c>
      <c r="AA728">
        <f>TwitterClean[[#This Row],[likes]]+TwitterClean[[#This Row],[replies]]+TwitterClean[[#This Row],[reposts]]+TwitterClean[[#This Row],[quotes]]+TwitterClean[[#This Row],[bookmarks]]</f>
        <v>2909</v>
      </c>
      <c r="AB728" s="1">
        <f>TwitterClean[[#This Row],[Total_Engagements]]/TwitterClean[[#This Row],[views]]</f>
        <v>4.2600739252429513E-3</v>
      </c>
      <c r="AC728" s="3">
        <f>DATEVALUE(MID(TwitterClean[[#This Row],[date_posted]],2,10))</f>
        <v>45635</v>
      </c>
      <c r="AD728">
        <f>TIMEVALUE(MID(TwitterClean[[#This Row],[date_posted]],13,8))</f>
        <v>0.15158564814814815</v>
      </c>
      <c r="AE728" s="3" t="str">
        <f>TEXT(TwitterClean[[#This Row],[Post_Date]],"dddd")</f>
        <v>Monday</v>
      </c>
      <c r="AF728">
        <f>HOUR(TwitterClean[[#This Row],[Post_Time]])</f>
        <v>3</v>
      </c>
      <c r="AG728" t="str">
        <f>IF(TwitterClean[[#This Row],[videos]]="Null","No","Yes")</f>
        <v>No</v>
      </c>
      <c r="AH728" t="str">
        <f>IF(TwitterClean[[#This Row],[photos]]="null","No","Yes")</f>
        <v>Yes</v>
      </c>
      <c r="AI728" t="str">
        <f>IF(TwitterClean[[#This Row],[hashtags]]="null","No","Yes")</f>
        <v>Yes</v>
      </c>
      <c r="AJ728" t="str">
        <f>IF(TwitterClean[[#This Row],[external_url]]="null","Yes","No")</f>
        <v>No</v>
      </c>
      <c r="AK728">
        <f>LEN(TwitterClean[[#This Row],[description]])</f>
        <v>177</v>
      </c>
      <c r="AL728" t="str">
        <f>IF(TwitterClean[[#This Row],[followers]]&lt;100000,"&lt;100K",IF(TwitterClean[[#This Row],[followers]]&lt;1000000,"100K-1M",IF(TwitterClean[[#This Row],[followers]]&lt;10000000,"1M-10M","10M+")))</f>
        <v>1M-10M</v>
      </c>
    </row>
    <row r="729" spans="1:38">
      <c r="A729">
        <v>1.8681716177061112E+18</v>
      </c>
      <c r="B729" t="s">
        <v>3034</v>
      </c>
      <c r="C729" t="s">
        <v>3035</v>
      </c>
      <c r="D729" t="s">
        <v>3758</v>
      </c>
      <c r="E729" t="s">
        <v>3759</v>
      </c>
      <c r="F729" t="s">
        <v>29</v>
      </c>
      <c r="G729" t="s">
        <v>3760</v>
      </c>
      <c r="H729" t="s">
        <v>3761</v>
      </c>
      <c r="I729">
        <v>60</v>
      </c>
      <c r="J729">
        <v>43</v>
      </c>
      <c r="K729">
        <v>429</v>
      </c>
      <c r="L729">
        <v>130875</v>
      </c>
      <c r="M729" t="s">
        <v>52</v>
      </c>
      <c r="N729" t="s">
        <v>3040</v>
      </c>
      <c r="O729">
        <v>12876593</v>
      </c>
      <c r="P729" t="s">
        <v>3041</v>
      </c>
      <c r="Q729">
        <v>141401</v>
      </c>
      <c r="R729" t="s">
        <v>3042</v>
      </c>
      <c r="S729">
        <v>717</v>
      </c>
      <c r="T729" t="b">
        <v>0</v>
      </c>
      <c r="U729">
        <v>19</v>
      </c>
      <c r="V729">
        <v>5</v>
      </c>
      <c r="W729" t="s">
        <v>35</v>
      </c>
      <c r="X729" t="s">
        <v>29</v>
      </c>
      <c r="Y729" t="s">
        <v>3762</v>
      </c>
      <c r="Z729" t="s">
        <v>37</v>
      </c>
      <c r="AA729">
        <f>TwitterClean[[#This Row],[likes]]+TwitterClean[[#This Row],[replies]]+TwitterClean[[#This Row],[reposts]]+TwitterClean[[#This Row],[quotes]]+TwitterClean[[#This Row],[bookmarks]]</f>
        <v>556</v>
      </c>
      <c r="AB729" s="1">
        <f>TwitterClean[[#This Row],[Total_Engagements]]/TwitterClean[[#This Row],[views]]</f>
        <v>4.2483285577841453E-3</v>
      </c>
      <c r="AC729" s="3">
        <f>DATEVALUE(MID(TwitterClean[[#This Row],[date_posted]],2,10))</f>
        <v>45641</v>
      </c>
      <c r="AD729">
        <f>TIMEVALUE(MID(TwitterClean[[#This Row],[date_posted]],13,8))</f>
        <v>0.24302083333333332</v>
      </c>
      <c r="AE729" s="3" t="str">
        <f>TEXT(TwitterClean[[#This Row],[Post_Date]],"dddd")</f>
        <v>Sunday</v>
      </c>
      <c r="AF729">
        <f>HOUR(TwitterClean[[#This Row],[Post_Time]])</f>
        <v>5</v>
      </c>
      <c r="AG729" t="str">
        <f>IF(TwitterClean[[#This Row],[videos]]="Null","No","Yes")</f>
        <v>Yes</v>
      </c>
      <c r="AH729" t="str">
        <f>IF(TwitterClean[[#This Row],[photos]]="null","No","Yes")</f>
        <v>No</v>
      </c>
      <c r="AI729" t="str">
        <f>IF(TwitterClean[[#This Row],[hashtags]]="null","No","Yes")</f>
        <v>Yes</v>
      </c>
      <c r="AJ729" t="str">
        <f>IF(TwitterClean[[#This Row],[external_url]]="null","Yes","No")</f>
        <v>No</v>
      </c>
      <c r="AK729">
        <f>LEN(TwitterClean[[#This Row],[description]])</f>
        <v>106</v>
      </c>
      <c r="AL729" t="str">
        <f>IF(TwitterClean[[#This Row],[followers]]&lt;100000,"&lt;100K",IF(TwitterClean[[#This Row],[followers]]&lt;1000000,"100K-1M",IF(TwitterClean[[#This Row],[followers]]&lt;10000000,"1M-10M","10M+")))</f>
        <v>10M+</v>
      </c>
    </row>
    <row r="730" spans="1:38">
      <c r="A730">
        <v>1.8682481326240074E+18</v>
      </c>
      <c r="B730" t="s">
        <v>4338</v>
      </c>
      <c r="C730" t="s">
        <v>4339</v>
      </c>
      <c r="D730" t="s">
        <v>4581</v>
      </c>
      <c r="E730" t="s">
        <v>4582</v>
      </c>
      <c r="F730" t="s">
        <v>4583</v>
      </c>
      <c r="G730" t="s">
        <v>4584</v>
      </c>
      <c r="H730" t="s">
        <v>29</v>
      </c>
      <c r="I730">
        <v>5</v>
      </c>
      <c r="J730">
        <v>6</v>
      </c>
      <c r="K730">
        <v>77</v>
      </c>
      <c r="L730">
        <v>21033</v>
      </c>
      <c r="M730" t="s">
        <v>4344</v>
      </c>
      <c r="N730" t="s">
        <v>4345</v>
      </c>
      <c r="O730">
        <v>1676505</v>
      </c>
      <c r="P730" t="s">
        <v>4346</v>
      </c>
      <c r="Q730">
        <v>35438</v>
      </c>
      <c r="R730" t="s">
        <v>4347</v>
      </c>
      <c r="S730">
        <v>175</v>
      </c>
      <c r="T730" t="b">
        <v>0</v>
      </c>
      <c r="U730">
        <v>0</v>
      </c>
      <c r="V730">
        <v>1</v>
      </c>
      <c r="W730" t="s">
        <v>35</v>
      </c>
      <c r="X730" t="s">
        <v>29</v>
      </c>
      <c r="Y730" t="s">
        <v>29</v>
      </c>
      <c r="Z730" t="s">
        <v>37</v>
      </c>
      <c r="AA730">
        <f>TwitterClean[[#This Row],[likes]]+TwitterClean[[#This Row],[replies]]+TwitterClean[[#This Row],[reposts]]+TwitterClean[[#This Row],[quotes]]+TwitterClean[[#This Row],[bookmarks]]</f>
        <v>89</v>
      </c>
      <c r="AB730" s="1">
        <f>TwitterClean[[#This Row],[Total_Engagements]]/TwitterClean[[#This Row],[views]]</f>
        <v>4.2314458232301623E-3</v>
      </c>
      <c r="AC730" s="3">
        <f>DATEVALUE(MID(TwitterClean[[#This Row],[date_posted]],2,10))</f>
        <v>45641</v>
      </c>
      <c r="AD730">
        <f>TIMEVALUE(MID(TwitterClean[[#This Row],[date_posted]],13,8))</f>
        <v>0.45415509259259257</v>
      </c>
      <c r="AE730" s="3" t="str">
        <f>TEXT(TwitterClean[[#This Row],[Post_Date]],"dddd")</f>
        <v>Sunday</v>
      </c>
      <c r="AF730">
        <f>HOUR(TwitterClean[[#This Row],[Post_Time]])</f>
        <v>10</v>
      </c>
      <c r="AG730" t="str">
        <f>IF(TwitterClean[[#This Row],[videos]]="Null","No","Yes")</f>
        <v>No</v>
      </c>
      <c r="AH730" t="str">
        <f>IF(TwitterClean[[#This Row],[photos]]="null","No","Yes")</f>
        <v>Yes</v>
      </c>
      <c r="AI730" t="str">
        <f>IF(TwitterClean[[#This Row],[hashtags]]="null","No","Yes")</f>
        <v>Yes</v>
      </c>
      <c r="AJ730" t="str">
        <f>IF(TwitterClean[[#This Row],[external_url]]="null","Yes","No")</f>
        <v>No</v>
      </c>
      <c r="AK730">
        <f>LEN(TwitterClean[[#This Row],[description]])</f>
        <v>75</v>
      </c>
      <c r="AL730" t="str">
        <f>IF(TwitterClean[[#This Row],[followers]]&lt;100000,"&lt;100K",IF(TwitterClean[[#This Row],[followers]]&lt;1000000,"100K-1M",IF(TwitterClean[[#This Row],[followers]]&lt;10000000,"1M-10M","10M+")))</f>
        <v>1M-10M</v>
      </c>
    </row>
    <row r="731" spans="1:38">
      <c r="A731">
        <v>1.8683095505976489E+18</v>
      </c>
      <c r="B731" t="s">
        <v>2994</v>
      </c>
      <c r="C731" t="s">
        <v>2995</v>
      </c>
      <c r="D731" t="s">
        <v>3721</v>
      </c>
      <c r="E731" t="s">
        <v>3722</v>
      </c>
      <c r="F731" t="s">
        <v>29</v>
      </c>
      <c r="G731" t="s">
        <v>3723</v>
      </c>
      <c r="H731" t="s">
        <v>2999</v>
      </c>
      <c r="I731">
        <v>9</v>
      </c>
      <c r="J731">
        <v>11</v>
      </c>
      <c r="K731">
        <v>202</v>
      </c>
      <c r="L731">
        <v>53759</v>
      </c>
      <c r="M731" t="s">
        <v>3724</v>
      </c>
      <c r="N731" t="s">
        <v>29</v>
      </c>
      <c r="O731">
        <v>812161</v>
      </c>
      <c r="P731" t="s">
        <v>3000</v>
      </c>
      <c r="Q731">
        <v>110924</v>
      </c>
      <c r="R731" t="s">
        <v>3001</v>
      </c>
      <c r="S731">
        <v>322</v>
      </c>
      <c r="T731" t="b">
        <v>0</v>
      </c>
      <c r="U731">
        <v>2</v>
      </c>
      <c r="V731">
        <v>1</v>
      </c>
      <c r="W731" t="s">
        <v>35</v>
      </c>
      <c r="X731" t="s">
        <v>29</v>
      </c>
      <c r="Y731" t="s">
        <v>3725</v>
      </c>
      <c r="Z731" t="s">
        <v>37</v>
      </c>
      <c r="AA731">
        <f>TwitterClean[[#This Row],[likes]]+TwitterClean[[#This Row],[replies]]+TwitterClean[[#This Row],[reposts]]+TwitterClean[[#This Row],[quotes]]+TwitterClean[[#This Row],[bookmarks]]</f>
        <v>225</v>
      </c>
      <c r="AB731" s="1">
        <f>TwitterClean[[#This Row],[Total_Engagements]]/TwitterClean[[#This Row],[views]]</f>
        <v>4.1853457095556096E-3</v>
      </c>
      <c r="AC731" s="3">
        <f>DATEVALUE(MID(TwitterClean[[#This Row],[date_posted]],2,10))</f>
        <v>45641</v>
      </c>
      <c r="AD731">
        <f>TIMEVALUE(MID(TwitterClean[[#This Row],[date_posted]],13,8))</f>
        <v>0.62364583333333334</v>
      </c>
      <c r="AE731" s="3" t="str">
        <f>TEXT(TwitterClean[[#This Row],[Post_Date]],"dddd")</f>
        <v>Sunday</v>
      </c>
      <c r="AF731">
        <f>HOUR(TwitterClean[[#This Row],[Post_Time]])</f>
        <v>14</v>
      </c>
      <c r="AG731" t="str">
        <f>IF(TwitterClean[[#This Row],[videos]]="Null","No","Yes")</f>
        <v>Yes</v>
      </c>
      <c r="AH731" t="str">
        <f>IF(TwitterClean[[#This Row],[photos]]="null","No","Yes")</f>
        <v>No</v>
      </c>
      <c r="AI731" t="str">
        <f>IF(TwitterClean[[#This Row],[hashtags]]="null","No","Yes")</f>
        <v>No</v>
      </c>
      <c r="AJ731" t="str">
        <f>IF(TwitterClean[[#This Row],[external_url]]="null","Yes","No")</f>
        <v>No</v>
      </c>
      <c r="AK731">
        <f>LEN(TwitterClean[[#This Row],[description]])</f>
        <v>159</v>
      </c>
      <c r="AL731" t="str">
        <f>IF(TwitterClean[[#This Row],[followers]]&lt;100000,"&lt;100K",IF(TwitterClean[[#This Row],[followers]]&lt;1000000,"100K-1M",IF(TwitterClean[[#This Row],[followers]]&lt;10000000,"1M-10M","10M+")))</f>
        <v>100K-1M</v>
      </c>
    </row>
    <row r="732" spans="1:38">
      <c r="A732">
        <v>1.8684156211651955E+18</v>
      </c>
      <c r="B732" t="s">
        <v>2230</v>
      </c>
      <c r="C732" t="s">
        <v>2231</v>
      </c>
      <c r="D732" t="s">
        <v>2648</v>
      </c>
      <c r="E732" t="s">
        <v>1930</v>
      </c>
      <c r="F732" t="s">
        <v>2649</v>
      </c>
      <c r="G732" t="s">
        <v>2650</v>
      </c>
      <c r="H732" t="s">
        <v>29</v>
      </c>
      <c r="I732">
        <v>40</v>
      </c>
      <c r="J732">
        <v>17</v>
      </c>
      <c r="K732">
        <v>74</v>
      </c>
      <c r="L732">
        <v>35878</v>
      </c>
      <c r="M732" t="s">
        <v>2651</v>
      </c>
      <c r="N732" t="s">
        <v>29</v>
      </c>
      <c r="O732">
        <v>3313886</v>
      </c>
      <c r="P732" t="s">
        <v>2237</v>
      </c>
      <c r="Q732">
        <v>706459</v>
      </c>
      <c r="R732" t="s">
        <v>2238</v>
      </c>
      <c r="S732">
        <v>10308</v>
      </c>
      <c r="T732" t="b">
        <v>0</v>
      </c>
      <c r="U732">
        <v>3</v>
      </c>
      <c r="V732">
        <v>16</v>
      </c>
      <c r="W732" t="s">
        <v>35</v>
      </c>
      <c r="X732" t="s">
        <v>29</v>
      </c>
      <c r="Y732" t="s">
        <v>29</v>
      </c>
      <c r="Z732" t="s">
        <v>37</v>
      </c>
      <c r="AA732">
        <f>TwitterClean[[#This Row],[likes]]+TwitterClean[[#This Row],[replies]]+TwitterClean[[#This Row],[reposts]]+TwitterClean[[#This Row],[quotes]]+TwitterClean[[#This Row],[bookmarks]]</f>
        <v>150</v>
      </c>
      <c r="AB732" s="1">
        <f>TwitterClean[[#This Row],[Total_Engagements]]/TwitterClean[[#This Row],[views]]</f>
        <v>4.1808350521210774E-3</v>
      </c>
      <c r="AC732" s="3">
        <f>DATEVALUE(MID(TwitterClean[[#This Row],[date_posted]],2,10))</f>
        <v>45641</v>
      </c>
      <c r="AD732">
        <f>TIMEVALUE(MID(TwitterClean[[#This Row],[date_posted]],13,8))</f>
        <v>0.91634259259259254</v>
      </c>
      <c r="AE732" s="3" t="str">
        <f>TEXT(TwitterClean[[#This Row],[Post_Date]],"dddd")</f>
        <v>Sunday</v>
      </c>
      <c r="AF732">
        <f>HOUR(TwitterClean[[#This Row],[Post_Time]])</f>
        <v>21</v>
      </c>
      <c r="AG732" t="str">
        <f>IF(TwitterClean[[#This Row],[videos]]="Null","No","Yes")</f>
        <v>No</v>
      </c>
      <c r="AH732" t="str">
        <f>IF(TwitterClean[[#This Row],[photos]]="null","No","Yes")</f>
        <v>Yes</v>
      </c>
      <c r="AI732" t="str">
        <f>IF(TwitterClean[[#This Row],[hashtags]]="null","No","Yes")</f>
        <v>No</v>
      </c>
      <c r="AJ732" t="str">
        <f>IF(TwitterClean[[#This Row],[external_url]]="null","Yes","No")</f>
        <v>No</v>
      </c>
      <c r="AK732">
        <f>LEN(TwitterClean[[#This Row],[description]])</f>
        <v>68</v>
      </c>
      <c r="AL732" t="str">
        <f>IF(TwitterClean[[#This Row],[followers]]&lt;100000,"&lt;100K",IF(TwitterClean[[#This Row],[followers]]&lt;1000000,"100K-1M",IF(TwitterClean[[#This Row],[followers]]&lt;10000000,"1M-10M","10M+")))</f>
        <v>1M-10M</v>
      </c>
    </row>
    <row r="733" spans="1:38">
      <c r="A733">
        <v>1.8683014886505841E+18</v>
      </c>
      <c r="B733" t="s">
        <v>3168</v>
      </c>
      <c r="C733" t="s">
        <v>3169</v>
      </c>
      <c r="D733" t="s">
        <v>5007</v>
      </c>
      <c r="E733" t="s">
        <v>5008</v>
      </c>
      <c r="F733" t="s">
        <v>5009</v>
      </c>
      <c r="G733" t="s">
        <v>5010</v>
      </c>
      <c r="H733" t="s">
        <v>4966</v>
      </c>
      <c r="I733">
        <v>11</v>
      </c>
      <c r="J733">
        <v>14</v>
      </c>
      <c r="K733">
        <v>168</v>
      </c>
      <c r="L733">
        <v>47098</v>
      </c>
      <c r="M733" t="s">
        <v>52</v>
      </c>
      <c r="N733" t="s">
        <v>5011</v>
      </c>
      <c r="O733">
        <v>294711</v>
      </c>
      <c r="P733" t="s">
        <v>3175</v>
      </c>
      <c r="Q733">
        <v>66342</v>
      </c>
      <c r="R733" t="s">
        <v>3176</v>
      </c>
      <c r="S733">
        <v>1449</v>
      </c>
      <c r="T733" t="b">
        <v>0</v>
      </c>
      <c r="U733">
        <v>2</v>
      </c>
      <c r="V733">
        <v>1</v>
      </c>
      <c r="W733" t="s">
        <v>35</v>
      </c>
      <c r="X733" t="s">
        <v>29</v>
      </c>
      <c r="Y733" t="s">
        <v>29</v>
      </c>
      <c r="Z733" t="s">
        <v>37</v>
      </c>
      <c r="AA733">
        <f>TwitterClean[[#This Row],[likes]]+TwitterClean[[#This Row],[replies]]+TwitterClean[[#This Row],[reposts]]+TwitterClean[[#This Row],[quotes]]+TwitterClean[[#This Row],[bookmarks]]</f>
        <v>196</v>
      </c>
      <c r="AB733" s="1">
        <f>TwitterClean[[#This Row],[Total_Engagements]]/TwitterClean[[#This Row],[views]]</f>
        <v>4.1615355216782033E-3</v>
      </c>
      <c r="AC733" s="3">
        <f>DATEVALUE(MID(TwitterClean[[#This Row],[date_posted]],2,10))</f>
        <v>45641</v>
      </c>
      <c r="AD733">
        <f>TIMEVALUE(MID(TwitterClean[[#This Row],[date_posted]],13,8))</f>
        <v>0.60138888888888886</v>
      </c>
      <c r="AE733" s="3" t="str">
        <f>TEXT(TwitterClean[[#This Row],[Post_Date]],"dddd")</f>
        <v>Sunday</v>
      </c>
      <c r="AF733">
        <f>HOUR(TwitterClean[[#This Row],[Post_Time]])</f>
        <v>14</v>
      </c>
      <c r="AG733" t="str">
        <f>IF(TwitterClean[[#This Row],[videos]]="Null","No","Yes")</f>
        <v>No</v>
      </c>
      <c r="AH733" t="str">
        <f>IF(TwitterClean[[#This Row],[photos]]="null","No","Yes")</f>
        <v>Yes</v>
      </c>
      <c r="AI733" t="str">
        <f>IF(TwitterClean[[#This Row],[hashtags]]="null","No","Yes")</f>
        <v>Yes</v>
      </c>
      <c r="AJ733" t="str">
        <f>IF(TwitterClean[[#This Row],[external_url]]="null","Yes","No")</f>
        <v>No</v>
      </c>
      <c r="AK733">
        <f>LEN(TwitterClean[[#This Row],[description]])</f>
        <v>76</v>
      </c>
      <c r="AL733" t="str">
        <f>IF(TwitterClean[[#This Row],[followers]]&lt;100000,"&lt;100K",IF(TwitterClean[[#This Row],[followers]]&lt;1000000,"100K-1M",IF(TwitterClean[[#This Row],[followers]]&lt;10000000,"1M-10M","10M+")))</f>
        <v>100K-1M</v>
      </c>
    </row>
    <row r="734" spans="1:38">
      <c r="A734">
        <v>1.8681148316827489E+18</v>
      </c>
      <c r="B734" t="s">
        <v>3034</v>
      </c>
      <c r="C734" t="s">
        <v>3035</v>
      </c>
      <c r="D734" t="s">
        <v>3450</v>
      </c>
      <c r="E734" t="s">
        <v>3451</v>
      </c>
      <c r="F734" t="s">
        <v>29</v>
      </c>
      <c r="G734" t="s">
        <v>3452</v>
      </c>
      <c r="H734" t="s">
        <v>3444</v>
      </c>
      <c r="I734">
        <v>51</v>
      </c>
      <c r="J734">
        <v>27</v>
      </c>
      <c r="K734">
        <v>282</v>
      </c>
      <c r="L734">
        <v>88482</v>
      </c>
      <c r="M734" t="s">
        <v>52</v>
      </c>
      <c r="N734" t="s">
        <v>3040</v>
      </c>
      <c r="O734">
        <v>12876593</v>
      </c>
      <c r="P734" t="s">
        <v>3041</v>
      </c>
      <c r="Q734">
        <v>141401</v>
      </c>
      <c r="R734" t="s">
        <v>3042</v>
      </c>
      <c r="S734">
        <v>717</v>
      </c>
      <c r="T734" t="b">
        <v>0</v>
      </c>
      <c r="U734">
        <v>3</v>
      </c>
      <c r="V734">
        <v>4</v>
      </c>
      <c r="W734" t="s">
        <v>35</v>
      </c>
      <c r="X734" t="s">
        <v>29</v>
      </c>
      <c r="Y734" t="s">
        <v>3453</v>
      </c>
      <c r="Z734" t="s">
        <v>37</v>
      </c>
      <c r="AA734">
        <f>TwitterClean[[#This Row],[likes]]+TwitterClean[[#This Row],[replies]]+TwitterClean[[#This Row],[reposts]]+TwitterClean[[#This Row],[quotes]]+TwitterClean[[#This Row],[bookmarks]]</f>
        <v>367</v>
      </c>
      <c r="AB734" s="1">
        <f>TwitterClean[[#This Row],[Total_Engagements]]/TwitterClean[[#This Row],[views]]</f>
        <v>4.1477362627427052E-3</v>
      </c>
      <c r="AC734" s="3">
        <f>DATEVALUE(MID(TwitterClean[[#This Row],[date_posted]],2,10))</f>
        <v>45641</v>
      </c>
      <c r="AD734">
        <f>TIMEVALUE(MID(TwitterClean[[#This Row],[date_posted]],13,8))</f>
        <v>8.6319444444444449E-2</v>
      </c>
      <c r="AE734" s="3" t="str">
        <f>TEXT(TwitterClean[[#This Row],[Post_Date]],"dddd")</f>
        <v>Sunday</v>
      </c>
      <c r="AF734">
        <f>HOUR(TwitterClean[[#This Row],[Post_Time]])</f>
        <v>2</v>
      </c>
      <c r="AG734" t="str">
        <f>IF(TwitterClean[[#This Row],[videos]]="Null","No","Yes")</f>
        <v>Yes</v>
      </c>
      <c r="AH734" t="str">
        <f>IF(TwitterClean[[#This Row],[photos]]="null","No","Yes")</f>
        <v>No</v>
      </c>
      <c r="AI734" t="str">
        <f>IF(TwitterClean[[#This Row],[hashtags]]="null","No","Yes")</f>
        <v>Yes</v>
      </c>
      <c r="AJ734" t="str">
        <f>IF(TwitterClean[[#This Row],[external_url]]="null","Yes","No")</f>
        <v>No</v>
      </c>
      <c r="AK734">
        <f>LEN(TwitterClean[[#This Row],[description]])</f>
        <v>112</v>
      </c>
      <c r="AL734" t="str">
        <f>IF(TwitterClean[[#This Row],[followers]]&lt;100000,"&lt;100K",IF(TwitterClean[[#This Row],[followers]]&lt;1000000,"100K-1M",IF(TwitterClean[[#This Row],[followers]]&lt;10000000,"1M-10M","10M+")))</f>
        <v>10M+</v>
      </c>
    </row>
    <row r="735" spans="1:38">
      <c r="A735">
        <v>1.8684148235345961E+18</v>
      </c>
      <c r="B735" t="s">
        <v>4694</v>
      </c>
      <c r="C735" t="s">
        <v>4695</v>
      </c>
      <c r="D735" t="s">
        <v>4790</v>
      </c>
      <c r="E735" t="s">
        <v>4791</v>
      </c>
      <c r="F735" t="s">
        <v>4792</v>
      </c>
      <c r="G735" t="s">
        <v>4793</v>
      </c>
      <c r="H735" t="s">
        <v>4794</v>
      </c>
      <c r="I735">
        <v>0</v>
      </c>
      <c r="J735">
        <v>6</v>
      </c>
      <c r="K735">
        <v>16</v>
      </c>
      <c r="L735">
        <v>5791</v>
      </c>
      <c r="M735" t="s">
        <v>52</v>
      </c>
      <c r="N735" t="s">
        <v>4701</v>
      </c>
      <c r="O735">
        <v>1123810</v>
      </c>
      <c r="P735" t="s">
        <v>4702</v>
      </c>
      <c r="Q735">
        <v>34290</v>
      </c>
      <c r="R735" t="s">
        <v>4703</v>
      </c>
      <c r="S735">
        <v>63</v>
      </c>
      <c r="T735" t="b">
        <v>0</v>
      </c>
      <c r="U735">
        <v>1</v>
      </c>
      <c r="V735">
        <v>1</v>
      </c>
      <c r="W735" t="s">
        <v>35</v>
      </c>
      <c r="X735" t="s">
        <v>29</v>
      </c>
      <c r="Y735" t="s">
        <v>29</v>
      </c>
      <c r="Z735" t="s">
        <v>37</v>
      </c>
      <c r="AA735">
        <f>TwitterClean[[#This Row],[likes]]+TwitterClean[[#This Row],[replies]]+TwitterClean[[#This Row],[reposts]]+TwitterClean[[#This Row],[quotes]]+TwitterClean[[#This Row],[bookmarks]]</f>
        <v>24</v>
      </c>
      <c r="AB735" s="1">
        <f>TwitterClean[[#This Row],[Total_Engagements]]/TwitterClean[[#This Row],[views]]</f>
        <v>4.1443619409428419E-3</v>
      </c>
      <c r="AC735" s="3">
        <f>DATEVALUE(MID(TwitterClean[[#This Row],[date_posted]],2,10))</f>
        <v>45641</v>
      </c>
      <c r="AD735">
        <f>TIMEVALUE(MID(TwitterClean[[#This Row],[date_posted]],13,8))</f>
        <v>0.91414351851851849</v>
      </c>
      <c r="AE735" s="3" t="str">
        <f>TEXT(TwitterClean[[#This Row],[Post_Date]],"dddd")</f>
        <v>Sunday</v>
      </c>
      <c r="AF735">
        <f>HOUR(TwitterClean[[#This Row],[Post_Time]])</f>
        <v>21</v>
      </c>
      <c r="AG735" t="str">
        <f>IF(TwitterClean[[#This Row],[videos]]="Null","No","Yes")</f>
        <v>No</v>
      </c>
      <c r="AH735" t="str">
        <f>IF(TwitterClean[[#This Row],[photos]]="null","No","Yes")</f>
        <v>Yes</v>
      </c>
      <c r="AI735" t="str">
        <f>IF(TwitterClean[[#This Row],[hashtags]]="null","No","Yes")</f>
        <v>Yes</v>
      </c>
      <c r="AJ735" t="str">
        <f>IF(TwitterClean[[#This Row],[external_url]]="null","Yes","No")</f>
        <v>No</v>
      </c>
      <c r="AK735">
        <f>LEN(TwitterClean[[#This Row],[description]])</f>
        <v>143</v>
      </c>
      <c r="AL735" t="str">
        <f>IF(TwitterClean[[#This Row],[followers]]&lt;100000,"&lt;100K",IF(TwitterClean[[#This Row],[followers]]&lt;1000000,"100K-1M",IF(TwitterClean[[#This Row],[followers]]&lt;10000000,"1M-10M","10M+")))</f>
        <v>1M-10M</v>
      </c>
    </row>
    <row r="736" spans="1:38">
      <c r="A736">
        <v>1.8683251449866324E+18</v>
      </c>
      <c r="B736" t="s">
        <v>3034</v>
      </c>
      <c r="C736" t="s">
        <v>3035</v>
      </c>
      <c r="D736" t="s">
        <v>3066</v>
      </c>
      <c r="E736" t="s">
        <v>3067</v>
      </c>
      <c r="F736" t="s">
        <v>3068</v>
      </c>
      <c r="G736" t="s">
        <v>3069</v>
      </c>
      <c r="H736" t="s">
        <v>3070</v>
      </c>
      <c r="I736">
        <v>31</v>
      </c>
      <c r="J736">
        <v>29</v>
      </c>
      <c r="K736">
        <v>319</v>
      </c>
      <c r="L736">
        <v>94853</v>
      </c>
      <c r="M736" t="s">
        <v>52</v>
      </c>
      <c r="N736" t="s">
        <v>3071</v>
      </c>
      <c r="O736">
        <v>12876593</v>
      </c>
      <c r="P736" t="s">
        <v>3041</v>
      </c>
      <c r="Q736">
        <v>141401</v>
      </c>
      <c r="R736" t="s">
        <v>3042</v>
      </c>
      <c r="S736">
        <v>717</v>
      </c>
      <c r="T736" t="b">
        <v>0</v>
      </c>
      <c r="U736">
        <v>3</v>
      </c>
      <c r="V736">
        <v>10</v>
      </c>
      <c r="W736" t="s">
        <v>35</v>
      </c>
      <c r="X736" t="s">
        <v>29</v>
      </c>
      <c r="Y736" t="s">
        <v>3072</v>
      </c>
      <c r="Z736" t="s">
        <v>37</v>
      </c>
      <c r="AA736">
        <f>TwitterClean[[#This Row],[likes]]+TwitterClean[[#This Row],[replies]]+TwitterClean[[#This Row],[reposts]]+TwitterClean[[#This Row],[quotes]]+TwitterClean[[#This Row],[bookmarks]]</f>
        <v>392</v>
      </c>
      <c r="AB736" s="1">
        <f>TwitterClean[[#This Row],[Total_Engagements]]/TwitterClean[[#This Row],[views]]</f>
        <v>4.1327106153732614E-3</v>
      </c>
      <c r="AC736" s="3">
        <f>DATEVALUE(MID(TwitterClean[[#This Row],[date_posted]],2,10))</f>
        <v>45641</v>
      </c>
      <c r="AD736">
        <f>TIMEVALUE(MID(TwitterClean[[#This Row],[date_posted]],13,8))</f>
        <v>0.66667824074074078</v>
      </c>
      <c r="AE736" s="3" t="str">
        <f>TEXT(TwitterClean[[#This Row],[Post_Date]],"dddd")</f>
        <v>Sunday</v>
      </c>
      <c r="AF736">
        <f>HOUR(TwitterClean[[#This Row],[Post_Time]])</f>
        <v>16</v>
      </c>
      <c r="AG736" t="str">
        <f>IF(TwitterClean[[#This Row],[videos]]="Null","No","Yes")</f>
        <v>Yes</v>
      </c>
      <c r="AH736" t="str">
        <f>IF(TwitterClean[[#This Row],[photos]]="null","No","Yes")</f>
        <v>Yes</v>
      </c>
      <c r="AI736" t="str">
        <f>IF(TwitterClean[[#This Row],[hashtags]]="null","No","Yes")</f>
        <v>Yes</v>
      </c>
      <c r="AJ736" t="str">
        <f>IF(TwitterClean[[#This Row],[external_url]]="null","Yes","No")</f>
        <v>No</v>
      </c>
      <c r="AK736">
        <f>LEN(TwitterClean[[#This Row],[description]])</f>
        <v>117</v>
      </c>
      <c r="AL736" t="str">
        <f>IF(TwitterClean[[#This Row],[followers]]&lt;100000,"&lt;100K",IF(TwitterClean[[#This Row],[followers]]&lt;1000000,"100K-1M",IF(TwitterClean[[#This Row],[followers]]&lt;10000000,"1M-10M","10M+")))</f>
        <v>10M+</v>
      </c>
    </row>
    <row r="737" spans="1:38">
      <c r="A737">
        <v>1.8684030404384036E+18</v>
      </c>
      <c r="B737" t="s">
        <v>2230</v>
      </c>
      <c r="C737" t="s">
        <v>2231</v>
      </c>
      <c r="D737" t="s">
        <v>2439</v>
      </c>
      <c r="E737" t="s">
        <v>2440</v>
      </c>
      <c r="F737" t="s">
        <v>2441</v>
      </c>
      <c r="G737" t="s">
        <v>2442</v>
      </c>
      <c r="H737" t="s">
        <v>29</v>
      </c>
      <c r="I737">
        <v>43</v>
      </c>
      <c r="J737">
        <v>17</v>
      </c>
      <c r="K737">
        <v>25</v>
      </c>
      <c r="L737">
        <v>25120</v>
      </c>
      <c r="M737" t="s">
        <v>2443</v>
      </c>
      <c r="N737" t="s">
        <v>29</v>
      </c>
      <c r="O737">
        <v>3313886</v>
      </c>
      <c r="P737" t="s">
        <v>2237</v>
      </c>
      <c r="Q737">
        <v>706459</v>
      </c>
      <c r="R737" t="s">
        <v>2238</v>
      </c>
      <c r="S737">
        <v>10308</v>
      </c>
      <c r="T737" t="b">
        <v>0</v>
      </c>
      <c r="U737">
        <v>14</v>
      </c>
      <c r="V737">
        <v>3</v>
      </c>
      <c r="W737" t="s">
        <v>35</v>
      </c>
      <c r="X737" t="s">
        <v>29</v>
      </c>
      <c r="Y737" t="s">
        <v>29</v>
      </c>
      <c r="Z737" t="s">
        <v>37</v>
      </c>
      <c r="AA737">
        <f>TwitterClean[[#This Row],[likes]]+TwitterClean[[#This Row],[replies]]+TwitterClean[[#This Row],[reposts]]+TwitterClean[[#This Row],[quotes]]+TwitterClean[[#This Row],[bookmarks]]</f>
        <v>102</v>
      </c>
      <c r="AB737" s="1">
        <f>TwitterClean[[#This Row],[Total_Engagements]]/TwitterClean[[#This Row],[views]]</f>
        <v>4.0605095541401274E-3</v>
      </c>
      <c r="AC737" s="3">
        <f>DATEVALUE(MID(TwitterClean[[#This Row],[date_posted]],2,10))</f>
        <v>45641</v>
      </c>
      <c r="AD737">
        <f>TIMEVALUE(MID(TwitterClean[[#This Row],[date_posted]],13,8))</f>
        <v>0.88162037037037033</v>
      </c>
      <c r="AE737" s="3" t="str">
        <f>TEXT(TwitterClean[[#This Row],[Post_Date]],"dddd")</f>
        <v>Sunday</v>
      </c>
      <c r="AF737">
        <f>HOUR(TwitterClean[[#This Row],[Post_Time]])</f>
        <v>21</v>
      </c>
      <c r="AG737" t="str">
        <f>IF(TwitterClean[[#This Row],[videos]]="Null","No","Yes")</f>
        <v>No</v>
      </c>
      <c r="AH737" t="str">
        <f>IF(TwitterClean[[#This Row],[photos]]="null","No","Yes")</f>
        <v>Yes</v>
      </c>
      <c r="AI737" t="str">
        <f>IF(TwitterClean[[#This Row],[hashtags]]="null","No","Yes")</f>
        <v>No</v>
      </c>
      <c r="AJ737" t="str">
        <f>IF(TwitterClean[[#This Row],[external_url]]="null","Yes","No")</f>
        <v>No</v>
      </c>
      <c r="AK737">
        <f>LEN(TwitterClean[[#This Row],[description]])</f>
        <v>113</v>
      </c>
      <c r="AL737" t="str">
        <f>IF(TwitterClean[[#This Row],[followers]]&lt;100000,"&lt;100K",IF(TwitterClean[[#This Row],[followers]]&lt;1000000,"100K-1M",IF(TwitterClean[[#This Row],[followers]]&lt;10000000,"1M-10M","10M+")))</f>
        <v>1M-10M</v>
      </c>
    </row>
    <row r="738" spans="1:38">
      <c r="A738">
        <v>1.8681221639134085E+18</v>
      </c>
      <c r="B738" t="s">
        <v>3083</v>
      </c>
      <c r="C738" t="s">
        <v>3083</v>
      </c>
      <c r="D738" t="s">
        <v>3956</v>
      </c>
      <c r="E738" t="s">
        <v>3957</v>
      </c>
      <c r="F738" t="s">
        <v>29</v>
      </c>
      <c r="G738" t="s">
        <v>3958</v>
      </c>
      <c r="H738" t="s">
        <v>29</v>
      </c>
      <c r="I738">
        <v>147</v>
      </c>
      <c r="J738">
        <v>527</v>
      </c>
      <c r="K738">
        <v>4564</v>
      </c>
      <c r="L738">
        <v>1368007</v>
      </c>
      <c r="M738" t="s">
        <v>52</v>
      </c>
      <c r="N738" t="s">
        <v>3087</v>
      </c>
      <c r="O738">
        <v>14375936</v>
      </c>
      <c r="P738" t="s">
        <v>3088</v>
      </c>
      <c r="Q738">
        <v>346973</v>
      </c>
      <c r="R738" t="s">
        <v>3089</v>
      </c>
      <c r="S738">
        <v>392</v>
      </c>
      <c r="T738" t="b">
        <v>0</v>
      </c>
      <c r="U738">
        <v>90</v>
      </c>
      <c r="V738">
        <v>169</v>
      </c>
      <c r="W738" t="s">
        <v>35</v>
      </c>
      <c r="X738" t="s">
        <v>29</v>
      </c>
      <c r="Y738" t="s">
        <v>3959</v>
      </c>
      <c r="Z738" t="s">
        <v>37</v>
      </c>
      <c r="AA738">
        <f>TwitterClean[[#This Row],[likes]]+TwitterClean[[#This Row],[replies]]+TwitterClean[[#This Row],[reposts]]+TwitterClean[[#This Row],[quotes]]+TwitterClean[[#This Row],[bookmarks]]</f>
        <v>5497</v>
      </c>
      <c r="AB738" s="1">
        <f>TwitterClean[[#This Row],[Total_Engagements]]/TwitterClean[[#This Row],[views]]</f>
        <v>4.0182542925584442E-3</v>
      </c>
      <c r="AC738" s="3">
        <f>DATEVALUE(MID(TwitterClean[[#This Row],[date_posted]],2,10))</f>
        <v>45641</v>
      </c>
      <c r="AD738">
        <f>TIMEVALUE(MID(TwitterClean[[#This Row],[date_posted]],13,8))</f>
        <v>0.10655092592592592</v>
      </c>
      <c r="AE738" s="3" t="str">
        <f>TEXT(TwitterClean[[#This Row],[Post_Date]],"dddd")</f>
        <v>Sunday</v>
      </c>
      <c r="AF738">
        <f>HOUR(TwitterClean[[#This Row],[Post_Time]])</f>
        <v>2</v>
      </c>
      <c r="AG738" t="str">
        <f>IF(TwitterClean[[#This Row],[videos]]="Null","No","Yes")</f>
        <v>Yes</v>
      </c>
      <c r="AH738" t="str">
        <f>IF(TwitterClean[[#This Row],[photos]]="null","No","Yes")</f>
        <v>No</v>
      </c>
      <c r="AI738" t="str">
        <f>IF(TwitterClean[[#This Row],[hashtags]]="null","No","Yes")</f>
        <v>Yes</v>
      </c>
      <c r="AJ738" t="str">
        <f>IF(TwitterClean[[#This Row],[external_url]]="null","Yes","No")</f>
        <v>No</v>
      </c>
      <c r="AK738">
        <f>LEN(TwitterClean[[#This Row],[description]])</f>
        <v>29</v>
      </c>
      <c r="AL738" t="str">
        <f>IF(TwitterClean[[#This Row],[followers]]&lt;100000,"&lt;100K",IF(TwitterClean[[#This Row],[followers]]&lt;1000000,"100K-1M",IF(TwitterClean[[#This Row],[followers]]&lt;10000000,"1M-10M","10M+")))</f>
        <v>10M+</v>
      </c>
    </row>
    <row r="739" spans="1:38">
      <c r="A739">
        <v>1.8682541112187415E+18</v>
      </c>
      <c r="B739" t="s">
        <v>4710</v>
      </c>
      <c r="C739" t="s">
        <v>4711</v>
      </c>
      <c r="D739" t="s">
        <v>4712</v>
      </c>
      <c r="E739" t="s">
        <v>4713</v>
      </c>
      <c r="F739" t="s">
        <v>4714</v>
      </c>
      <c r="G739" t="s">
        <v>4715</v>
      </c>
      <c r="H739" t="s">
        <v>29</v>
      </c>
      <c r="I739">
        <v>7</v>
      </c>
      <c r="J739">
        <v>8</v>
      </c>
      <c r="K739">
        <v>231</v>
      </c>
      <c r="L739">
        <v>64254</v>
      </c>
      <c r="M739" t="s">
        <v>52</v>
      </c>
      <c r="N739" t="s">
        <v>4716</v>
      </c>
      <c r="O739">
        <v>551401</v>
      </c>
      <c r="P739" t="s">
        <v>4717</v>
      </c>
      <c r="Q739">
        <v>40407</v>
      </c>
      <c r="R739" t="s">
        <v>4718</v>
      </c>
      <c r="S739">
        <v>282</v>
      </c>
      <c r="T739" t="b">
        <v>0</v>
      </c>
      <c r="U739">
        <v>10</v>
      </c>
      <c r="V739">
        <v>2</v>
      </c>
      <c r="W739" t="s">
        <v>35</v>
      </c>
      <c r="X739" t="s">
        <v>29</v>
      </c>
      <c r="Y739" t="s">
        <v>29</v>
      </c>
      <c r="Z739" t="s">
        <v>37</v>
      </c>
      <c r="AA739">
        <f>TwitterClean[[#This Row],[likes]]+TwitterClean[[#This Row],[replies]]+TwitterClean[[#This Row],[reposts]]+TwitterClean[[#This Row],[quotes]]+TwitterClean[[#This Row],[bookmarks]]</f>
        <v>258</v>
      </c>
      <c r="AB739" s="1">
        <f>TwitterClean[[#This Row],[Total_Engagements]]/TwitterClean[[#This Row],[views]]</f>
        <v>4.0153142216826964E-3</v>
      </c>
      <c r="AC739" s="3">
        <f>DATEVALUE(MID(TwitterClean[[#This Row],[date_posted]],2,10))</f>
        <v>45641</v>
      </c>
      <c r="AD739">
        <f>TIMEVALUE(MID(TwitterClean[[#This Row],[date_posted]],13,8))</f>
        <v>0.47065972222222224</v>
      </c>
      <c r="AE739" s="3" t="str">
        <f>TEXT(TwitterClean[[#This Row],[Post_Date]],"dddd")</f>
        <v>Sunday</v>
      </c>
      <c r="AF739">
        <f>HOUR(TwitterClean[[#This Row],[Post_Time]])</f>
        <v>11</v>
      </c>
      <c r="AG739" t="str">
        <f>IF(TwitterClean[[#This Row],[videos]]="Null","No","Yes")</f>
        <v>No</v>
      </c>
      <c r="AH739" t="str">
        <f>IF(TwitterClean[[#This Row],[photos]]="null","No","Yes")</f>
        <v>Yes</v>
      </c>
      <c r="AI739" t="str">
        <f>IF(TwitterClean[[#This Row],[hashtags]]="null","No","Yes")</f>
        <v>Yes</v>
      </c>
      <c r="AJ739" t="str">
        <f>IF(TwitterClean[[#This Row],[external_url]]="null","Yes","No")</f>
        <v>No</v>
      </c>
      <c r="AK739">
        <f>LEN(TwitterClean[[#This Row],[description]])</f>
        <v>141</v>
      </c>
      <c r="AL739" t="str">
        <f>IF(TwitterClean[[#This Row],[followers]]&lt;100000,"&lt;100K",IF(TwitterClean[[#This Row],[followers]]&lt;1000000,"100K-1M",IF(TwitterClean[[#This Row],[followers]]&lt;10000000,"1M-10M","10M+")))</f>
        <v>100K-1M</v>
      </c>
    </row>
    <row r="740" spans="1:38">
      <c r="A740">
        <v>1.8683789271500475E+18</v>
      </c>
      <c r="B740" t="s">
        <v>735</v>
      </c>
      <c r="C740" t="s">
        <v>736</v>
      </c>
      <c r="D740" t="s">
        <v>894</v>
      </c>
      <c r="E740" t="s">
        <v>895</v>
      </c>
      <c r="F740" t="s">
        <v>29</v>
      </c>
      <c r="G740" t="s">
        <v>896</v>
      </c>
      <c r="H740" t="s">
        <v>897</v>
      </c>
      <c r="I740">
        <v>10</v>
      </c>
      <c r="J740">
        <v>5</v>
      </c>
      <c r="K740">
        <v>148</v>
      </c>
      <c r="L740">
        <v>41139</v>
      </c>
      <c r="M740" t="s">
        <v>898</v>
      </c>
      <c r="N740" t="s">
        <v>899</v>
      </c>
      <c r="O740">
        <v>2354200</v>
      </c>
      <c r="P740" t="s">
        <v>743</v>
      </c>
      <c r="Q740">
        <v>72197</v>
      </c>
      <c r="R740" t="s">
        <v>744</v>
      </c>
      <c r="S740">
        <v>789</v>
      </c>
      <c r="T740" t="b">
        <v>0</v>
      </c>
      <c r="U740">
        <v>0</v>
      </c>
      <c r="V740">
        <v>1</v>
      </c>
      <c r="W740" t="s">
        <v>35</v>
      </c>
      <c r="X740" t="s">
        <v>29</v>
      </c>
      <c r="Y740" t="s">
        <v>29</v>
      </c>
      <c r="Z740" t="s">
        <v>37</v>
      </c>
      <c r="AA740">
        <f>TwitterClean[[#This Row],[likes]]+TwitterClean[[#This Row],[replies]]+TwitterClean[[#This Row],[reposts]]+TwitterClean[[#This Row],[quotes]]+TwitterClean[[#This Row],[bookmarks]]</f>
        <v>164</v>
      </c>
      <c r="AB740" s="1">
        <f>TwitterClean[[#This Row],[Total_Engagements]]/TwitterClean[[#This Row],[views]]</f>
        <v>3.9864848440652424E-3</v>
      </c>
      <c r="AC740" s="3">
        <f>DATEVALUE(MID(TwitterClean[[#This Row],[date_posted]],2,10))</f>
        <v>45641</v>
      </c>
      <c r="AD740">
        <f>TIMEVALUE(MID(TwitterClean[[#This Row],[date_posted]],13,8))</f>
        <v>0.81508101851851855</v>
      </c>
      <c r="AE740" s="3" t="str">
        <f>TEXT(TwitterClean[[#This Row],[Post_Date]],"dddd")</f>
        <v>Sunday</v>
      </c>
      <c r="AF740">
        <f>HOUR(TwitterClean[[#This Row],[Post_Time]])</f>
        <v>19</v>
      </c>
      <c r="AG740" t="str">
        <f>IF(TwitterClean[[#This Row],[videos]]="Null","No","Yes")</f>
        <v>No</v>
      </c>
      <c r="AH740" t="str">
        <f>IF(TwitterClean[[#This Row],[photos]]="null","No","Yes")</f>
        <v>No</v>
      </c>
      <c r="AI740" t="str">
        <f>IF(TwitterClean[[#This Row],[hashtags]]="null","No","Yes")</f>
        <v>Yes</v>
      </c>
      <c r="AJ740" t="str">
        <f>IF(TwitterClean[[#This Row],[external_url]]="null","Yes","No")</f>
        <v>No</v>
      </c>
      <c r="AK740">
        <f>LEN(TwitterClean[[#This Row],[description]])</f>
        <v>178</v>
      </c>
      <c r="AL740" t="str">
        <f>IF(TwitterClean[[#This Row],[followers]]&lt;100000,"&lt;100K",IF(TwitterClean[[#This Row],[followers]]&lt;1000000,"100K-1M",IF(TwitterClean[[#This Row],[followers]]&lt;10000000,"1M-10M","10M+")))</f>
        <v>1M-10M</v>
      </c>
    </row>
    <row r="741" spans="1:38">
      <c r="A741">
        <v>1.8682528204719557E+18</v>
      </c>
      <c r="B741" t="s">
        <v>4280</v>
      </c>
      <c r="C741" t="s">
        <v>4280</v>
      </c>
      <c r="D741" t="s">
        <v>4491</v>
      </c>
      <c r="E741" t="s">
        <v>4492</v>
      </c>
      <c r="F741" t="s">
        <v>29</v>
      </c>
      <c r="G741" t="s">
        <v>4493</v>
      </c>
      <c r="H741" t="s">
        <v>29</v>
      </c>
      <c r="I741">
        <v>57</v>
      </c>
      <c r="J741">
        <v>29</v>
      </c>
      <c r="K741">
        <v>237</v>
      </c>
      <c r="L741">
        <v>88365</v>
      </c>
      <c r="M741" t="s">
        <v>4494</v>
      </c>
      <c r="N741" t="s">
        <v>29</v>
      </c>
      <c r="O741">
        <v>2356528</v>
      </c>
      <c r="P741" t="s">
        <v>4285</v>
      </c>
      <c r="Q741">
        <v>338240</v>
      </c>
      <c r="R741" t="s">
        <v>4286</v>
      </c>
      <c r="S741">
        <v>1981</v>
      </c>
      <c r="T741" t="b">
        <v>0</v>
      </c>
      <c r="U741">
        <v>24</v>
      </c>
      <c r="V741">
        <v>5</v>
      </c>
      <c r="W741" t="s">
        <v>35</v>
      </c>
      <c r="X741" t="s">
        <v>4495</v>
      </c>
      <c r="Y741" t="s">
        <v>29</v>
      </c>
      <c r="Z741" t="s">
        <v>37</v>
      </c>
      <c r="AA741">
        <f>TwitterClean[[#This Row],[likes]]+TwitterClean[[#This Row],[replies]]+TwitterClean[[#This Row],[reposts]]+TwitterClean[[#This Row],[quotes]]+TwitterClean[[#This Row],[bookmarks]]</f>
        <v>352</v>
      </c>
      <c r="AB741" s="1">
        <f>TwitterClean[[#This Row],[Total_Engagements]]/TwitterClean[[#This Row],[views]]</f>
        <v>3.9834776212301247E-3</v>
      </c>
      <c r="AC741" s="3">
        <f>DATEVALUE(MID(TwitterClean[[#This Row],[date_posted]],2,10))</f>
        <v>45641</v>
      </c>
      <c r="AD741">
        <f>TIMEVALUE(MID(TwitterClean[[#This Row],[date_posted]],13,8))</f>
        <v>0.46709490740740739</v>
      </c>
      <c r="AE741" s="3" t="str">
        <f>TEXT(TwitterClean[[#This Row],[Post_Date]],"dddd")</f>
        <v>Sunday</v>
      </c>
      <c r="AF741">
        <f>HOUR(TwitterClean[[#This Row],[Post_Time]])</f>
        <v>11</v>
      </c>
      <c r="AG741" t="str">
        <f>IF(TwitterClean[[#This Row],[videos]]="Null","No","Yes")</f>
        <v>No</v>
      </c>
      <c r="AH741" t="str">
        <f>IF(TwitterClean[[#This Row],[photos]]="null","No","Yes")</f>
        <v>No</v>
      </c>
      <c r="AI741" t="str">
        <f>IF(TwitterClean[[#This Row],[hashtags]]="null","No","Yes")</f>
        <v>No</v>
      </c>
      <c r="AJ741" t="str">
        <f>IF(TwitterClean[[#This Row],[external_url]]="null","Yes","No")</f>
        <v>No</v>
      </c>
      <c r="AK741">
        <f>LEN(TwitterClean[[#This Row],[description]])</f>
        <v>64</v>
      </c>
      <c r="AL741" t="str">
        <f>IF(TwitterClean[[#This Row],[followers]]&lt;100000,"&lt;100K",IF(TwitterClean[[#This Row],[followers]]&lt;1000000,"100K-1M",IF(TwitterClean[[#This Row],[followers]]&lt;10000000,"1M-10M","10M+")))</f>
        <v>1M-10M</v>
      </c>
    </row>
    <row r="742" spans="1:38">
      <c r="A742">
        <v>1.8659817585183135E+18</v>
      </c>
      <c r="B742" t="s">
        <v>266</v>
      </c>
      <c r="C742" t="s">
        <v>266</v>
      </c>
      <c r="D742" t="s">
        <v>567</v>
      </c>
      <c r="E742" t="s">
        <v>568</v>
      </c>
      <c r="F742" t="s">
        <v>569</v>
      </c>
      <c r="G742" t="s">
        <v>570</v>
      </c>
      <c r="H742" t="s">
        <v>571</v>
      </c>
      <c r="I742">
        <v>32</v>
      </c>
      <c r="J742">
        <v>56</v>
      </c>
      <c r="K742">
        <v>344</v>
      </c>
      <c r="L742">
        <v>112351</v>
      </c>
      <c r="M742" t="s">
        <v>52</v>
      </c>
      <c r="N742" t="s">
        <v>29</v>
      </c>
      <c r="O742">
        <v>47706586</v>
      </c>
      <c r="P742" t="s">
        <v>272</v>
      </c>
      <c r="Q742">
        <v>367146</v>
      </c>
      <c r="R742" t="s">
        <v>273</v>
      </c>
      <c r="S742">
        <v>2012</v>
      </c>
      <c r="T742" t="b">
        <v>0</v>
      </c>
      <c r="U742">
        <v>10</v>
      </c>
      <c r="V742">
        <v>5</v>
      </c>
      <c r="W742" t="s">
        <v>572</v>
      </c>
      <c r="X742" t="s">
        <v>29</v>
      </c>
      <c r="Y742" t="s">
        <v>29</v>
      </c>
      <c r="Z742" t="s">
        <v>37</v>
      </c>
      <c r="AA742">
        <f>TwitterClean[[#This Row],[likes]]+TwitterClean[[#This Row],[replies]]+TwitterClean[[#This Row],[reposts]]+TwitterClean[[#This Row],[quotes]]+TwitterClean[[#This Row],[bookmarks]]</f>
        <v>447</v>
      </c>
      <c r="AB742" s="1">
        <f>TwitterClean[[#This Row],[Total_Engagements]]/TwitterClean[[#This Row],[views]]</f>
        <v>3.9786027716709246E-3</v>
      </c>
      <c r="AC742" s="3">
        <f>DATEVALUE(MID(TwitterClean[[#This Row],[date_posted]],2,10))</f>
        <v>45635</v>
      </c>
      <c r="AD742">
        <f>TIMEVALUE(MID(TwitterClean[[#This Row],[date_posted]],13,8))</f>
        <v>0.20016203703703703</v>
      </c>
      <c r="AE742" s="3" t="str">
        <f>TEXT(TwitterClean[[#This Row],[Post_Date]],"dddd")</f>
        <v>Monday</v>
      </c>
      <c r="AF742">
        <f>HOUR(TwitterClean[[#This Row],[Post_Time]])</f>
        <v>4</v>
      </c>
      <c r="AG742" t="str">
        <f>IF(TwitterClean[[#This Row],[videos]]="Null","No","Yes")</f>
        <v>No</v>
      </c>
      <c r="AH742" t="str">
        <f>IF(TwitterClean[[#This Row],[photos]]="null","No","Yes")</f>
        <v>Yes</v>
      </c>
      <c r="AI742" t="str">
        <f>IF(TwitterClean[[#This Row],[hashtags]]="null","No","Yes")</f>
        <v>No</v>
      </c>
      <c r="AJ742" t="str">
        <f>IF(TwitterClean[[#This Row],[external_url]]="null","Yes","No")</f>
        <v>No</v>
      </c>
      <c r="AK742">
        <f>LEN(TwitterClean[[#This Row],[description]])</f>
        <v>241</v>
      </c>
      <c r="AL742" t="str">
        <f>IF(TwitterClean[[#This Row],[followers]]&lt;100000,"&lt;100K",IF(TwitterClean[[#This Row],[followers]]&lt;1000000,"100K-1M",IF(TwitterClean[[#This Row],[followers]]&lt;10000000,"1M-10M","10M+")))</f>
        <v>10M+</v>
      </c>
    </row>
    <row r="743" spans="1:38">
      <c r="A743">
        <v>1.868308353559958E+18</v>
      </c>
      <c r="B743" t="s">
        <v>2935</v>
      </c>
      <c r="C743" t="s">
        <v>2936</v>
      </c>
      <c r="D743" t="s">
        <v>3810</v>
      </c>
      <c r="E743" t="s">
        <v>3811</v>
      </c>
      <c r="F743" t="s">
        <v>29</v>
      </c>
      <c r="G743" t="s">
        <v>3812</v>
      </c>
      <c r="H743" t="s">
        <v>29</v>
      </c>
      <c r="I743">
        <v>43</v>
      </c>
      <c r="J743">
        <v>37</v>
      </c>
      <c r="K743">
        <v>153</v>
      </c>
      <c r="L743">
        <v>62387</v>
      </c>
      <c r="M743" t="s">
        <v>3813</v>
      </c>
      <c r="N743" t="s">
        <v>29</v>
      </c>
      <c r="O743">
        <v>9564155</v>
      </c>
      <c r="P743" t="s">
        <v>2941</v>
      </c>
      <c r="Q743">
        <v>1125277</v>
      </c>
      <c r="R743" t="s">
        <v>2942</v>
      </c>
      <c r="S743">
        <v>93</v>
      </c>
      <c r="T743" t="b">
        <v>0</v>
      </c>
      <c r="U743">
        <v>5</v>
      </c>
      <c r="V743">
        <v>8</v>
      </c>
      <c r="W743" t="s">
        <v>35</v>
      </c>
      <c r="X743" t="s">
        <v>3814</v>
      </c>
      <c r="Y743" t="s">
        <v>29</v>
      </c>
      <c r="Z743" t="s">
        <v>37</v>
      </c>
      <c r="AA743">
        <f>TwitterClean[[#This Row],[likes]]+TwitterClean[[#This Row],[replies]]+TwitterClean[[#This Row],[reposts]]+TwitterClean[[#This Row],[quotes]]+TwitterClean[[#This Row],[bookmarks]]</f>
        <v>246</v>
      </c>
      <c r="AB743" s="1">
        <f>TwitterClean[[#This Row],[Total_Engagements]]/TwitterClean[[#This Row],[views]]</f>
        <v>3.9431291775530158E-3</v>
      </c>
      <c r="AC743" s="3">
        <f>DATEVALUE(MID(TwitterClean[[#This Row],[date_posted]],2,10))</f>
        <v>45641</v>
      </c>
      <c r="AD743">
        <f>TIMEVALUE(MID(TwitterClean[[#This Row],[date_posted]],13,8))</f>
        <v>0.62033564814814812</v>
      </c>
      <c r="AE743" s="3" t="str">
        <f>TEXT(TwitterClean[[#This Row],[Post_Date]],"dddd")</f>
        <v>Sunday</v>
      </c>
      <c r="AF743">
        <f>HOUR(TwitterClean[[#This Row],[Post_Time]])</f>
        <v>14</v>
      </c>
      <c r="AG743" t="str">
        <f>IF(TwitterClean[[#This Row],[videos]]="Null","No","Yes")</f>
        <v>No</v>
      </c>
      <c r="AH743" t="str">
        <f>IF(TwitterClean[[#This Row],[photos]]="null","No","Yes")</f>
        <v>No</v>
      </c>
      <c r="AI743" t="str">
        <f>IF(TwitterClean[[#This Row],[hashtags]]="null","No","Yes")</f>
        <v>No</v>
      </c>
      <c r="AJ743" t="str">
        <f>IF(TwitterClean[[#This Row],[external_url]]="null","Yes","No")</f>
        <v>No</v>
      </c>
      <c r="AK743">
        <f>LEN(TwitterClean[[#This Row],[description]])</f>
        <v>146</v>
      </c>
      <c r="AL743" t="str">
        <f>IF(TwitterClean[[#This Row],[followers]]&lt;100000,"&lt;100K",IF(TwitterClean[[#This Row],[followers]]&lt;1000000,"100K-1M",IF(TwitterClean[[#This Row],[followers]]&lt;10000000,"1M-10M","10M+")))</f>
        <v>1M-10M</v>
      </c>
    </row>
    <row r="744" spans="1:38">
      <c r="A744">
        <v>1.8681276027931855E+18</v>
      </c>
      <c r="B744" t="s">
        <v>2935</v>
      </c>
      <c r="C744" t="s">
        <v>2936</v>
      </c>
      <c r="D744" t="s">
        <v>2960</v>
      </c>
      <c r="E744" t="s">
        <v>3920</v>
      </c>
      <c r="F744" t="s">
        <v>29</v>
      </c>
      <c r="G744" t="s">
        <v>3921</v>
      </c>
      <c r="H744" t="s">
        <v>29</v>
      </c>
      <c r="I744">
        <v>27</v>
      </c>
      <c r="J744">
        <v>22</v>
      </c>
      <c r="K744">
        <v>103</v>
      </c>
      <c r="L744">
        <v>40057</v>
      </c>
      <c r="M744" t="s">
        <v>3922</v>
      </c>
      <c r="N744" t="s">
        <v>29</v>
      </c>
      <c r="O744">
        <v>9564155</v>
      </c>
      <c r="P744" t="s">
        <v>2941</v>
      </c>
      <c r="Q744">
        <v>1125277</v>
      </c>
      <c r="R744" t="s">
        <v>2942</v>
      </c>
      <c r="S744">
        <v>93</v>
      </c>
      <c r="T744" t="b">
        <v>0</v>
      </c>
      <c r="U744">
        <v>1</v>
      </c>
      <c r="V744">
        <v>4</v>
      </c>
      <c r="W744" t="s">
        <v>35</v>
      </c>
      <c r="X744" t="s">
        <v>2964</v>
      </c>
      <c r="Y744" t="s">
        <v>29</v>
      </c>
      <c r="Z744" t="s">
        <v>37</v>
      </c>
      <c r="AA744">
        <f>TwitterClean[[#This Row],[likes]]+TwitterClean[[#This Row],[replies]]+TwitterClean[[#This Row],[reposts]]+TwitterClean[[#This Row],[quotes]]+TwitterClean[[#This Row],[bookmarks]]</f>
        <v>157</v>
      </c>
      <c r="AB744" s="1">
        <f>TwitterClean[[#This Row],[Total_Engagements]]/TwitterClean[[#This Row],[views]]</f>
        <v>3.9194148338617474E-3</v>
      </c>
      <c r="AC744" s="3">
        <f>DATEVALUE(MID(TwitterClean[[#This Row],[date_posted]],2,10))</f>
        <v>45641</v>
      </c>
      <c r="AD744">
        <f>TIMEVALUE(MID(TwitterClean[[#This Row],[date_posted]],13,8))</f>
        <v>0.1215625</v>
      </c>
      <c r="AE744" s="3" t="str">
        <f>TEXT(TwitterClean[[#This Row],[Post_Date]],"dddd")</f>
        <v>Sunday</v>
      </c>
      <c r="AF744">
        <f>HOUR(TwitterClean[[#This Row],[Post_Time]])</f>
        <v>2</v>
      </c>
      <c r="AG744" t="str">
        <f>IF(TwitterClean[[#This Row],[videos]]="Null","No","Yes")</f>
        <v>No</v>
      </c>
      <c r="AH744" t="str">
        <f>IF(TwitterClean[[#This Row],[photos]]="null","No","Yes")</f>
        <v>No</v>
      </c>
      <c r="AI744" t="str">
        <f>IF(TwitterClean[[#This Row],[hashtags]]="null","No","Yes")</f>
        <v>No</v>
      </c>
      <c r="AJ744" t="str">
        <f>IF(TwitterClean[[#This Row],[external_url]]="null","Yes","No")</f>
        <v>No</v>
      </c>
      <c r="AK744">
        <f>LEN(TwitterClean[[#This Row],[description]])</f>
        <v>212</v>
      </c>
      <c r="AL744" t="str">
        <f>IF(TwitterClean[[#This Row],[followers]]&lt;100000,"&lt;100K",IF(TwitterClean[[#This Row],[followers]]&lt;1000000,"100K-1M",IF(TwitterClean[[#This Row],[followers]]&lt;10000000,"1M-10M","10M+")))</f>
        <v>1M-10M</v>
      </c>
    </row>
    <row r="745" spans="1:38">
      <c r="A745">
        <v>1.8684412755880837E+18</v>
      </c>
      <c r="B745" t="s">
        <v>1646</v>
      </c>
      <c r="C745" t="s">
        <v>1647</v>
      </c>
      <c r="D745" t="s">
        <v>1720</v>
      </c>
      <c r="E745" t="s">
        <v>1721</v>
      </c>
      <c r="F745" t="s">
        <v>29</v>
      </c>
      <c r="G745" t="s">
        <v>1722</v>
      </c>
      <c r="H745" t="s">
        <v>29</v>
      </c>
      <c r="I745">
        <v>4</v>
      </c>
      <c r="J745">
        <v>4</v>
      </c>
      <c r="K745">
        <v>60</v>
      </c>
      <c r="L745">
        <v>19434</v>
      </c>
      <c r="M745" t="s">
        <v>1723</v>
      </c>
      <c r="N745" t="s">
        <v>1652</v>
      </c>
      <c r="O745">
        <v>3768943</v>
      </c>
      <c r="P745" t="s">
        <v>1653</v>
      </c>
      <c r="Q745">
        <v>897934</v>
      </c>
      <c r="R745" t="s">
        <v>1654</v>
      </c>
      <c r="S745">
        <v>28</v>
      </c>
      <c r="T745" t="b">
        <v>0</v>
      </c>
      <c r="U745">
        <v>5</v>
      </c>
      <c r="V745">
        <v>2</v>
      </c>
      <c r="W745" t="s">
        <v>35</v>
      </c>
      <c r="X745" t="s">
        <v>1724</v>
      </c>
      <c r="Y745" t="s">
        <v>29</v>
      </c>
      <c r="Z745" t="s">
        <v>37</v>
      </c>
      <c r="AA745">
        <f>TwitterClean[[#This Row],[likes]]+TwitterClean[[#This Row],[replies]]+TwitterClean[[#This Row],[reposts]]+TwitterClean[[#This Row],[quotes]]+TwitterClean[[#This Row],[bookmarks]]</f>
        <v>75</v>
      </c>
      <c r="AB745" s="1">
        <f>TwitterClean[[#This Row],[Total_Engagements]]/TwitterClean[[#This Row],[views]]</f>
        <v>3.8592158073479468E-3</v>
      </c>
      <c r="AC745" s="3">
        <f>DATEVALUE(MID(TwitterClean[[#This Row],[date_posted]],2,10))</f>
        <v>45641</v>
      </c>
      <c r="AD745">
        <f>TIMEVALUE(MID(TwitterClean[[#This Row],[date_posted]],13,8))</f>
        <v>0.98712962962962958</v>
      </c>
      <c r="AE745" s="3" t="str">
        <f>TEXT(TwitterClean[[#This Row],[Post_Date]],"dddd")</f>
        <v>Sunday</v>
      </c>
      <c r="AF745">
        <f>HOUR(TwitterClean[[#This Row],[Post_Time]])</f>
        <v>23</v>
      </c>
      <c r="AG745" t="str">
        <f>IF(TwitterClean[[#This Row],[videos]]="Null","No","Yes")</f>
        <v>No</v>
      </c>
      <c r="AH745" t="str">
        <f>IF(TwitterClean[[#This Row],[photos]]="null","No","Yes")</f>
        <v>No</v>
      </c>
      <c r="AI745" t="str">
        <f>IF(TwitterClean[[#This Row],[hashtags]]="null","No","Yes")</f>
        <v>Yes</v>
      </c>
      <c r="AJ745" t="str">
        <f>IF(TwitterClean[[#This Row],[external_url]]="null","Yes","No")</f>
        <v>No</v>
      </c>
      <c r="AK745">
        <f>LEN(TwitterClean[[#This Row],[description]])</f>
        <v>112</v>
      </c>
      <c r="AL745" t="str">
        <f>IF(TwitterClean[[#This Row],[followers]]&lt;100000,"&lt;100K",IF(TwitterClean[[#This Row],[followers]]&lt;1000000,"100K-1M",IF(TwitterClean[[#This Row],[followers]]&lt;10000000,"1M-10M","10M+")))</f>
        <v>1M-10M</v>
      </c>
    </row>
    <row r="746" spans="1:38">
      <c r="A746">
        <v>1.8682534193095025E+18</v>
      </c>
      <c r="B746" t="s">
        <v>2994</v>
      </c>
      <c r="C746" t="s">
        <v>2995</v>
      </c>
      <c r="D746" t="s">
        <v>5243</v>
      </c>
      <c r="E746" t="s">
        <v>1316</v>
      </c>
      <c r="F746" t="s">
        <v>5244</v>
      </c>
      <c r="G746" t="s">
        <v>5245</v>
      </c>
      <c r="H746" t="s">
        <v>4966</v>
      </c>
      <c r="I746">
        <v>9</v>
      </c>
      <c r="J746">
        <v>22</v>
      </c>
      <c r="K746">
        <v>288</v>
      </c>
      <c r="L746">
        <v>84157</v>
      </c>
      <c r="M746" t="s">
        <v>5246</v>
      </c>
      <c r="N746" t="s">
        <v>29</v>
      </c>
      <c r="O746">
        <v>812163</v>
      </c>
      <c r="P746" t="s">
        <v>3000</v>
      </c>
      <c r="Q746">
        <v>110924</v>
      </c>
      <c r="R746" t="s">
        <v>3001</v>
      </c>
      <c r="S746">
        <v>322</v>
      </c>
      <c r="T746" t="b">
        <v>0</v>
      </c>
      <c r="U746">
        <v>2</v>
      </c>
      <c r="V746">
        <v>3</v>
      </c>
      <c r="W746" t="s">
        <v>35</v>
      </c>
      <c r="X746" t="s">
        <v>29</v>
      </c>
      <c r="Y746" t="s">
        <v>29</v>
      </c>
      <c r="Z746" t="s">
        <v>37</v>
      </c>
      <c r="AA746">
        <f>TwitterClean[[#This Row],[likes]]+TwitterClean[[#This Row],[replies]]+TwitterClean[[#This Row],[reposts]]+TwitterClean[[#This Row],[quotes]]+TwitterClean[[#This Row],[bookmarks]]</f>
        <v>324</v>
      </c>
      <c r="AB746" s="1">
        <f>TwitterClean[[#This Row],[Total_Engagements]]/TwitterClean[[#This Row],[views]]</f>
        <v>3.8499471226398278E-3</v>
      </c>
      <c r="AC746" s="3">
        <f>DATEVALUE(MID(TwitterClean[[#This Row],[date_posted]],2,10))</f>
        <v>45641</v>
      </c>
      <c r="AD746">
        <f>TIMEVALUE(MID(TwitterClean[[#This Row],[date_posted]],13,8))</f>
        <v>0.46875</v>
      </c>
      <c r="AE746" s="3" t="str">
        <f>TEXT(TwitterClean[[#This Row],[Post_Date]],"dddd")</f>
        <v>Sunday</v>
      </c>
      <c r="AF746">
        <f>HOUR(TwitterClean[[#This Row],[Post_Time]])</f>
        <v>11</v>
      </c>
      <c r="AG746" t="str">
        <f>IF(TwitterClean[[#This Row],[videos]]="Null","No","Yes")</f>
        <v>No</v>
      </c>
      <c r="AH746" t="str">
        <f>IF(TwitterClean[[#This Row],[photos]]="null","No","Yes")</f>
        <v>Yes</v>
      </c>
      <c r="AI746" t="str">
        <f>IF(TwitterClean[[#This Row],[hashtags]]="null","No","Yes")</f>
        <v>No</v>
      </c>
      <c r="AJ746" t="str">
        <f>IF(TwitterClean[[#This Row],[external_url]]="null","Yes","No")</f>
        <v>No</v>
      </c>
      <c r="AK746">
        <f>LEN(TwitterClean[[#This Row],[description]])</f>
        <v>114</v>
      </c>
      <c r="AL746" t="str">
        <f>IF(TwitterClean[[#This Row],[followers]]&lt;100000,"&lt;100K",IF(TwitterClean[[#This Row],[followers]]&lt;1000000,"100K-1M",IF(TwitterClean[[#This Row],[followers]]&lt;10000000,"1M-10M","10M+")))</f>
        <v>100K-1M</v>
      </c>
    </row>
    <row r="747" spans="1:38">
      <c r="A747">
        <v>1.8658173677182856E+18</v>
      </c>
      <c r="B747" t="s">
        <v>2714</v>
      </c>
      <c r="C747" t="s">
        <v>2715</v>
      </c>
      <c r="D747" t="s">
        <v>2852</v>
      </c>
      <c r="E747" t="s">
        <v>2853</v>
      </c>
      <c r="F747" t="s">
        <v>29</v>
      </c>
      <c r="G747" t="s">
        <v>2854</v>
      </c>
      <c r="H747" t="s">
        <v>2855</v>
      </c>
      <c r="I747">
        <v>2</v>
      </c>
      <c r="J747">
        <v>3</v>
      </c>
      <c r="K747">
        <v>12</v>
      </c>
      <c r="L747">
        <v>5392</v>
      </c>
      <c r="M747" t="s">
        <v>52</v>
      </c>
      <c r="N747" t="s">
        <v>29</v>
      </c>
      <c r="O747">
        <v>182895</v>
      </c>
      <c r="P747" t="s">
        <v>2720</v>
      </c>
      <c r="Q747">
        <v>30781</v>
      </c>
      <c r="R747" t="s">
        <v>2721</v>
      </c>
      <c r="S747">
        <v>559</v>
      </c>
      <c r="T747" t="b">
        <v>0</v>
      </c>
      <c r="U747">
        <v>1</v>
      </c>
      <c r="V747">
        <v>2</v>
      </c>
      <c r="W747" t="s">
        <v>35</v>
      </c>
      <c r="X747" t="s">
        <v>29</v>
      </c>
      <c r="Y747" t="s">
        <v>2856</v>
      </c>
      <c r="Z747" t="s">
        <v>37</v>
      </c>
      <c r="AA747">
        <f>TwitterClean[[#This Row],[likes]]+TwitterClean[[#This Row],[replies]]+TwitterClean[[#This Row],[reposts]]+TwitterClean[[#This Row],[quotes]]+TwitterClean[[#This Row],[bookmarks]]</f>
        <v>20</v>
      </c>
      <c r="AB747" s="1">
        <f>TwitterClean[[#This Row],[Total_Engagements]]/TwitterClean[[#This Row],[views]]</f>
        <v>3.70919881305638E-3</v>
      </c>
      <c r="AC747" s="3">
        <f>DATEVALUE(MID(TwitterClean[[#This Row],[date_posted]],2,10))</f>
        <v>45634</v>
      </c>
      <c r="AD747">
        <f>TIMEVALUE(MID(TwitterClean[[#This Row],[date_posted]],13,8))</f>
        <v>0.74652777777777779</v>
      </c>
      <c r="AE747" s="3" t="str">
        <f>TEXT(TwitterClean[[#This Row],[Post_Date]],"dddd")</f>
        <v>Sunday</v>
      </c>
      <c r="AF747">
        <f>HOUR(TwitterClean[[#This Row],[Post_Time]])</f>
        <v>17</v>
      </c>
      <c r="AG747" t="str">
        <f>IF(TwitterClean[[#This Row],[videos]]="Null","No","Yes")</f>
        <v>Yes</v>
      </c>
      <c r="AH747" t="str">
        <f>IF(TwitterClean[[#This Row],[photos]]="null","No","Yes")</f>
        <v>No</v>
      </c>
      <c r="AI747" t="str">
        <f>IF(TwitterClean[[#This Row],[hashtags]]="null","No","Yes")</f>
        <v>No</v>
      </c>
      <c r="AJ747" t="str">
        <f>IF(TwitterClean[[#This Row],[external_url]]="null","Yes","No")</f>
        <v>No</v>
      </c>
      <c r="AK747">
        <f>LEN(TwitterClean[[#This Row],[description]])</f>
        <v>158</v>
      </c>
      <c r="AL747" t="str">
        <f>IF(TwitterClean[[#This Row],[followers]]&lt;100000,"&lt;100K",IF(TwitterClean[[#This Row],[followers]]&lt;1000000,"100K-1M",IF(TwitterClean[[#This Row],[followers]]&lt;10000000,"1M-10M","10M+")))</f>
        <v>100K-1M</v>
      </c>
    </row>
    <row r="748" spans="1:38">
      <c r="A748">
        <v>1.868160649911841E+18</v>
      </c>
      <c r="B748" t="s">
        <v>3034</v>
      </c>
      <c r="C748" t="s">
        <v>3035</v>
      </c>
      <c r="D748" t="s">
        <v>3767</v>
      </c>
      <c r="E748" t="s">
        <v>3768</v>
      </c>
      <c r="F748" t="s">
        <v>29</v>
      </c>
      <c r="G748" t="s">
        <v>3769</v>
      </c>
      <c r="H748" t="s">
        <v>3770</v>
      </c>
      <c r="I748">
        <v>54</v>
      </c>
      <c r="J748">
        <v>16</v>
      </c>
      <c r="K748">
        <v>231</v>
      </c>
      <c r="L748">
        <v>82596</v>
      </c>
      <c r="M748" t="s">
        <v>52</v>
      </c>
      <c r="N748" t="s">
        <v>3040</v>
      </c>
      <c r="O748">
        <v>12876593</v>
      </c>
      <c r="P748" t="s">
        <v>3041</v>
      </c>
      <c r="Q748">
        <v>141401</v>
      </c>
      <c r="R748" t="s">
        <v>3042</v>
      </c>
      <c r="S748">
        <v>717</v>
      </c>
      <c r="T748" t="b">
        <v>0</v>
      </c>
      <c r="U748">
        <v>2</v>
      </c>
      <c r="V748">
        <v>2</v>
      </c>
      <c r="W748" t="s">
        <v>35</v>
      </c>
      <c r="X748" t="s">
        <v>29</v>
      </c>
      <c r="Y748" t="s">
        <v>3771</v>
      </c>
      <c r="Z748" t="s">
        <v>37</v>
      </c>
      <c r="AA748">
        <f>TwitterClean[[#This Row],[likes]]+TwitterClean[[#This Row],[replies]]+TwitterClean[[#This Row],[reposts]]+TwitterClean[[#This Row],[quotes]]+TwitterClean[[#This Row],[bookmarks]]</f>
        <v>305</v>
      </c>
      <c r="AB748" s="1">
        <f>TwitterClean[[#This Row],[Total_Engagements]]/TwitterClean[[#This Row],[views]]</f>
        <v>3.6926727686570778E-3</v>
      </c>
      <c r="AC748" s="3">
        <f>DATEVALUE(MID(TwitterClean[[#This Row],[date_posted]],2,10))</f>
        <v>45641</v>
      </c>
      <c r="AD748">
        <f>TIMEVALUE(MID(TwitterClean[[#This Row],[date_posted]],13,8))</f>
        <v>0.21275462962962963</v>
      </c>
      <c r="AE748" s="3" t="str">
        <f>TEXT(TwitterClean[[#This Row],[Post_Date]],"dddd")</f>
        <v>Sunday</v>
      </c>
      <c r="AF748">
        <f>HOUR(TwitterClean[[#This Row],[Post_Time]])</f>
        <v>5</v>
      </c>
      <c r="AG748" t="str">
        <f>IF(TwitterClean[[#This Row],[videos]]="Null","No","Yes")</f>
        <v>Yes</v>
      </c>
      <c r="AH748" t="str">
        <f>IF(TwitterClean[[#This Row],[photos]]="null","No","Yes")</f>
        <v>No</v>
      </c>
      <c r="AI748" t="str">
        <f>IF(TwitterClean[[#This Row],[hashtags]]="null","No","Yes")</f>
        <v>Yes</v>
      </c>
      <c r="AJ748" t="str">
        <f>IF(TwitterClean[[#This Row],[external_url]]="null","Yes","No")</f>
        <v>No</v>
      </c>
      <c r="AK748">
        <f>LEN(TwitterClean[[#This Row],[description]])</f>
        <v>112</v>
      </c>
      <c r="AL748" t="str">
        <f>IF(TwitterClean[[#This Row],[followers]]&lt;100000,"&lt;100K",IF(TwitterClean[[#This Row],[followers]]&lt;1000000,"100K-1M",IF(TwitterClean[[#This Row],[followers]]&lt;10000000,"1M-10M","10M+")))</f>
        <v>10M+</v>
      </c>
    </row>
    <row r="749" spans="1:38">
      <c r="A749">
        <v>1.8683638475573663E+18</v>
      </c>
      <c r="B749" t="s">
        <v>1656</v>
      </c>
      <c r="C749" t="s">
        <v>1657</v>
      </c>
      <c r="D749" t="s">
        <v>1789</v>
      </c>
      <c r="E749" t="s">
        <v>1790</v>
      </c>
      <c r="F749" t="s">
        <v>29</v>
      </c>
      <c r="G749" t="s">
        <v>1791</v>
      </c>
      <c r="H749" t="s">
        <v>29</v>
      </c>
      <c r="I749">
        <v>2</v>
      </c>
      <c r="J749">
        <v>1</v>
      </c>
      <c r="K749">
        <v>23</v>
      </c>
      <c r="L749">
        <v>7604</v>
      </c>
      <c r="M749" t="s">
        <v>1792</v>
      </c>
      <c r="N749" t="s">
        <v>29</v>
      </c>
      <c r="O749">
        <v>2819406</v>
      </c>
      <c r="P749" t="s">
        <v>1662</v>
      </c>
      <c r="Q749">
        <v>286269</v>
      </c>
      <c r="R749" t="s">
        <v>1663</v>
      </c>
      <c r="S749">
        <v>4</v>
      </c>
      <c r="T749" t="b">
        <v>0</v>
      </c>
      <c r="U749">
        <v>1</v>
      </c>
      <c r="V749">
        <v>1</v>
      </c>
      <c r="W749" t="s">
        <v>35</v>
      </c>
      <c r="X749" t="s">
        <v>1793</v>
      </c>
      <c r="Y749" t="s">
        <v>29</v>
      </c>
      <c r="Z749" t="s">
        <v>37</v>
      </c>
      <c r="AA749">
        <f>TwitterClean[[#This Row],[likes]]+TwitterClean[[#This Row],[replies]]+TwitterClean[[#This Row],[reposts]]+TwitterClean[[#This Row],[quotes]]+TwitterClean[[#This Row],[bookmarks]]</f>
        <v>28</v>
      </c>
      <c r="AB749" s="1">
        <f>TwitterClean[[#This Row],[Total_Engagements]]/TwitterClean[[#This Row],[views]]</f>
        <v>3.682272488164124E-3</v>
      </c>
      <c r="AC749" s="3">
        <f>DATEVALUE(MID(TwitterClean[[#This Row],[date_posted]],2,10))</f>
        <v>45641</v>
      </c>
      <c r="AD749">
        <f>TIMEVALUE(MID(TwitterClean[[#This Row],[date_posted]],13,8))</f>
        <v>0.77347222222222223</v>
      </c>
      <c r="AE749" s="3" t="str">
        <f>TEXT(TwitterClean[[#This Row],[Post_Date]],"dddd")</f>
        <v>Sunday</v>
      </c>
      <c r="AF749">
        <f>HOUR(TwitterClean[[#This Row],[Post_Time]])</f>
        <v>18</v>
      </c>
      <c r="AG749" t="str">
        <f>IF(TwitterClean[[#This Row],[videos]]="Null","No","Yes")</f>
        <v>No</v>
      </c>
      <c r="AH749" t="str">
        <f>IF(TwitterClean[[#This Row],[photos]]="null","No","Yes")</f>
        <v>No</v>
      </c>
      <c r="AI749" t="str">
        <f>IF(TwitterClean[[#This Row],[hashtags]]="null","No","Yes")</f>
        <v>No</v>
      </c>
      <c r="AJ749" t="str">
        <f>IF(TwitterClean[[#This Row],[external_url]]="null","Yes","No")</f>
        <v>No</v>
      </c>
      <c r="AK749">
        <f>LEN(TwitterClean[[#This Row],[description]])</f>
        <v>75</v>
      </c>
      <c r="AL749" t="str">
        <f>IF(TwitterClean[[#This Row],[followers]]&lt;100000,"&lt;100K",IF(TwitterClean[[#This Row],[followers]]&lt;1000000,"100K-1M",IF(TwitterClean[[#This Row],[followers]]&lt;10000000,"1M-10M","10M+")))</f>
        <v>1M-10M</v>
      </c>
    </row>
    <row r="750" spans="1:38">
      <c r="A750">
        <v>1.8683809329624187E+18</v>
      </c>
      <c r="B750" t="s">
        <v>26</v>
      </c>
      <c r="C750" t="s">
        <v>26</v>
      </c>
      <c r="D750" t="s">
        <v>68</v>
      </c>
      <c r="E750" t="s">
        <v>69</v>
      </c>
      <c r="F750" t="s">
        <v>29</v>
      </c>
      <c r="G750" t="s">
        <v>70</v>
      </c>
      <c r="H750" t="s">
        <v>29</v>
      </c>
      <c r="I750">
        <v>1</v>
      </c>
      <c r="J750">
        <v>1</v>
      </c>
      <c r="K750">
        <v>27</v>
      </c>
      <c r="L750">
        <v>8158</v>
      </c>
      <c r="M750" t="s">
        <v>31</v>
      </c>
      <c r="N750" t="s">
        <v>71</v>
      </c>
      <c r="O750">
        <v>5771760</v>
      </c>
      <c r="P750" t="s">
        <v>33</v>
      </c>
      <c r="Q750">
        <v>222223</v>
      </c>
      <c r="R750" t="s">
        <v>34</v>
      </c>
      <c r="S750">
        <v>122</v>
      </c>
      <c r="T750" t="b">
        <v>0</v>
      </c>
      <c r="U750">
        <v>0</v>
      </c>
      <c r="V750">
        <v>1</v>
      </c>
      <c r="W750" t="s">
        <v>35</v>
      </c>
      <c r="X750" t="s">
        <v>29</v>
      </c>
      <c r="Y750" t="s">
        <v>72</v>
      </c>
      <c r="Z750" t="s">
        <v>37</v>
      </c>
      <c r="AA750">
        <f>TwitterClean[[#This Row],[likes]]+TwitterClean[[#This Row],[replies]]+TwitterClean[[#This Row],[reposts]]+TwitterClean[[#This Row],[quotes]]+TwitterClean[[#This Row],[bookmarks]]</f>
        <v>30</v>
      </c>
      <c r="AB750" s="1">
        <f>TwitterClean[[#This Row],[Total_Engagements]]/TwitterClean[[#This Row],[views]]</f>
        <v>3.6773719048786469E-3</v>
      </c>
      <c r="AC750" s="3">
        <f>DATEVALUE(MID(TwitterClean[[#This Row],[date_posted]],2,10))</f>
        <v>45641</v>
      </c>
      <c r="AD750">
        <f>TIMEVALUE(MID(TwitterClean[[#This Row],[date_posted]],13,8))</f>
        <v>0.8206134259259259</v>
      </c>
      <c r="AE750" s="3" t="str">
        <f>TEXT(TwitterClean[[#This Row],[Post_Date]],"dddd")</f>
        <v>Sunday</v>
      </c>
      <c r="AF750">
        <f>HOUR(TwitterClean[[#This Row],[Post_Time]])</f>
        <v>19</v>
      </c>
      <c r="AG750" t="str">
        <f>IF(TwitterClean[[#This Row],[videos]]="Null","No","Yes")</f>
        <v>Yes</v>
      </c>
      <c r="AH750" t="str">
        <f>IF(TwitterClean[[#This Row],[photos]]="null","No","Yes")</f>
        <v>No</v>
      </c>
      <c r="AI750" t="str">
        <f>IF(TwitterClean[[#This Row],[hashtags]]="null","No","Yes")</f>
        <v>Yes</v>
      </c>
      <c r="AJ750" t="str">
        <f>IF(TwitterClean[[#This Row],[external_url]]="null","Yes","No")</f>
        <v>No</v>
      </c>
      <c r="AK750">
        <f>LEN(TwitterClean[[#This Row],[description]])</f>
        <v>130</v>
      </c>
      <c r="AL750" t="str">
        <f>IF(TwitterClean[[#This Row],[followers]]&lt;100000,"&lt;100K",IF(TwitterClean[[#This Row],[followers]]&lt;1000000,"100K-1M",IF(TwitterClean[[#This Row],[followers]]&lt;10000000,"1M-10M","10M+")))</f>
        <v>1M-10M</v>
      </c>
    </row>
    <row r="751" spans="1:38">
      <c r="A751">
        <v>1.8683349047962173E+18</v>
      </c>
      <c r="B751" t="s">
        <v>2994</v>
      </c>
      <c r="C751" t="s">
        <v>2995</v>
      </c>
      <c r="D751" t="s">
        <v>5190</v>
      </c>
      <c r="E751" t="s">
        <v>5191</v>
      </c>
      <c r="F751" t="s">
        <v>5192</v>
      </c>
      <c r="G751" t="s">
        <v>5193</v>
      </c>
      <c r="H751" t="s">
        <v>29</v>
      </c>
      <c r="I751">
        <v>15</v>
      </c>
      <c r="J751">
        <v>18</v>
      </c>
      <c r="K751">
        <v>163</v>
      </c>
      <c r="L751">
        <v>53862</v>
      </c>
      <c r="M751" t="s">
        <v>4643</v>
      </c>
      <c r="N751" t="s">
        <v>3376</v>
      </c>
      <c r="O751">
        <v>812163</v>
      </c>
      <c r="P751" t="s">
        <v>3000</v>
      </c>
      <c r="Q751">
        <v>110924</v>
      </c>
      <c r="R751" t="s">
        <v>3001</v>
      </c>
      <c r="S751">
        <v>322</v>
      </c>
      <c r="T751" t="b">
        <v>0</v>
      </c>
      <c r="U751">
        <v>1</v>
      </c>
      <c r="V751">
        <v>1</v>
      </c>
      <c r="W751" t="s">
        <v>35</v>
      </c>
      <c r="X751" t="s">
        <v>29</v>
      </c>
      <c r="Y751" t="s">
        <v>29</v>
      </c>
      <c r="Z751" t="s">
        <v>37</v>
      </c>
      <c r="AA751">
        <f>TwitterClean[[#This Row],[likes]]+TwitterClean[[#This Row],[replies]]+TwitterClean[[#This Row],[reposts]]+TwitterClean[[#This Row],[quotes]]+TwitterClean[[#This Row],[bookmarks]]</f>
        <v>198</v>
      </c>
      <c r="AB751" s="1">
        <f>TwitterClean[[#This Row],[Total_Engagements]]/TwitterClean[[#This Row],[views]]</f>
        <v>3.6760610448925029E-3</v>
      </c>
      <c r="AC751" s="3">
        <f>DATEVALUE(MID(TwitterClean[[#This Row],[date_posted]],2,10))</f>
        <v>45641</v>
      </c>
      <c r="AD751">
        <f>TIMEVALUE(MID(TwitterClean[[#This Row],[date_posted]],13,8))</f>
        <v>0.69359953703703703</v>
      </c>
      <c r="AE751" s="3" t="str">
        <f>TEXT(TwitterClean[[#This Row],[Post_Date]],"dddd")</f>
        <v>Sunday</v>
      </c>
      <c r="AF751">
        <f>HOUR(TwitterClean[[#This Row],[Post_Time]])</f>
        <v>16</v>
      </c>
      <c r="AG751" t="str">
        <f>IF(TwitterClean[[#This Row],[videos]]="Null","No","Yes")</f>
        <v>No</v>
      </c>
      <c r="AH751" t="str">
        <f>IF(TwitterClean[[#This Row],[photos]]="null","No","Yes")</f>
        <v>Yes</v>
      </c>
      <c r="AI751" t="str">
        <f>IF(TwitterClean[[#This Row],[hashtags]]="null","No","Yes")</f>
        <v>Yes</v>
      </c>
      <c r="AJ751" t="str">
        <f>IF(TwitterClean[[#This Row],[external_url]]="null","Yes","No")</f>
        <v>No</v>
      </c>
      <c r="AK751">
        <f>LEN(TwitterClean[[#This Row],[description]])</f>
        <v>110</v>
      </c>
      <c r="AL751" t="str">
        <f>IF(TwitterClean[[#This Row],[followers]]&lt;100000,"&lt;100K",IF(TwitterClean[[#This Row],[followers]]&lt;1000000,"100K-1M",IF(TwitterClean[[#This Row],[followers]]&lt;10000000,"1M-10M","10M+")))</f>
        <v>100K-1M</v>
      </c>
    </row>
    <row r="752" spans="1:38">
      <c r="A752">
        <v>1.8683251472303107E+18</v>
      </c>
      <c r="B752" t="s">
        <v>3638</v>
      </c>
      <c r="C752" t="s">
        <v>3639</v>
      </c>
      <c r="D752" t="s">
        <v>4572</v>
      </c>
      <c r="E752" t="s">
        <v>3067</v>
      </c>
      <c r="F752" t="s">
        <v>29</v>
      </c>
      <c r="G752" t="s">
        <v>4573</v>
      </c>
      <c r="H752" t="s">
        <v>4574</v>
      </c>
      <c r="I752">
        <v>70</v>
      </c>
      <c r="J752">
        <v>19</v>
      </c>
      <c r="K752">
        <v>421</v>
      </c>
      <c r="L752">
        <v>141653</v>
      </c>
      <c r="M752" t="s">
        <v>4575</v>
      </c>
      <c r="N752" t="s">
        <v>4447</v>
      </c>
      <c r="O752">
        <v>8885747</v>
      </c>
      <c r="P752" t="s">
        <v>3643</v>
      </c>
      <c r="Q752">
        <v>115852</v>
      </c>
      <c r="R752" t="s">
        <v>3644</v>
      </c>
      <c r="S752">
        <v>469</v>
      </c>
      <c r="T752" t="b">
        <v>0</v>
      </c>
      <c r="U752">
        <v>6</v>
      </c>
      <c r="V752">
        <v>2</v>
      </c>
      <c r="W752" t="s">
        <v>35</v>
      </c>
      <c r="X752" t="s">
        <v>29</v>
      </c>
      <c r="Y752" t="s">
        <v>29</v>
      </c>
      <c r="Z752" t="s">
        <v>37</v>
      </c>
      <c r="AA752">
        <f>TwitterClean[[#This Row],[likes]]+TwitterClean[[#This Row],[replies]]+TwitterClean[[#This Row],[reposts]]+TwitterClean[[#This Row],[quotes]]+TwitterClean[[#This Row],[bookmarks]]</f>
        <v>518</v>
      </c>
      <c r="AB752" s="1">
        <f>TwitterClean[[#This Row],[Total_Engagements]]/TwitterClean[[#This Row],[views]]</f>
        <v>3.6568233641363049E-3</v>
      </c>
      <c r="AC752" s="3">
        <f>DATEVALUE(MID(TwitterClean[[#This Row],[date_posted]],2,10))</f>
        <v>45641</v>
      </c>
      <c r="AD752">
        <f>TIMEVALUE(MID(TwitterClean[[#This Row],[date_posted]],13,8))</f>
        <v>0.66667824074074078</v>
      </c>
      <c r="AE752" s="3" t="str">
        <f>TEXT(TwitterClean[[#This Row],[Post_Date]],"dddd")</f>
        <v>Sunday</v>
      </c>
      <c r="AF752">
        <f>HOUR(TwitterClean[[#This Row],[Post_Time]])</f>
        <v>16</v>
      </c>
      <c r="AG752" t="str">
        <f>IF(TwitterClean[[#This Row],[videos]]="Null","No","Yes")</f>
        <v>No</v>
      </c>
      <c r="AH752" t="str">
        <f>IF(TwitterClean[[#This Row],[photos]]="null","No","Yes")</f>
        <v>No</v>
      </c>
      <c r="AI752" t="str">
        <f>IF(TwitterClean[[#This Row],[hashtags]]="null","No","Yes")</f>
        <v>Yes</v>
      </c>
      <c r="AJ752" t="str">
        <f>IF(TwitterClean[[#This Row],[external_url]]="null","Yes","No")</f>
        <v>No</v>
      </c>
      <c r="AK752">
        <f>LEN(TwitterClean[[#This Row],[description]])</f>
        <v>62</v>
      </c>
      <c r="AL752" t="str">
        <f>IF(TwitterClean[[#This Row],[followers]]&lt;100000,"&lt;100K",IF(TwitterClean[[#This Row],[followers]]&lt;1000000,"100K-1M",IF(TwitterClean[[#This Row],[followers]]&lt;10000000,"1M-10M","10M+")))</f>
        <v>1M-10M</v>
      </c>
    </row>
    <row r="753" spans="1:38">
      <c r="A753">
        <v>1.8680848073744507E+18</v>
      </c>
      <c r="B753" t="s">
        <v>3034</v>
      </c>
      <c r="C753" t="s">
        <v>3035</v>
      </c>
      <c r="D753" t="s">
        <v>3446</v>
      </c>
      <c r="E753" t="s">
        <v>3447</v>
      </c>
      <c r="F753" t="s">
        <v>29</v>
      </c>
      <c r="G753" t="s">
        <v>3448</v>
      </c>
      <c r="H753" t="s">
        <v>3262</v>
      </c>
      <c r="I753">
        <v>29</v>
      </c>
      <c r="J753">
        <v>21</v>
      </c>
      <c r="K753">
        <v>208</v>
      </c>
      <c r="L753">
        <v>72033</v>
      </c>
      <c r="M753" t="s">
        <v>52</v>
      </c>
      <c r="N753" t="s">
        <v>3040</v>
      </c>
      <c r="O753">
        <v>12876593</v>
      </c>
      <c r="P753" t="s">
        <v>3041</v>
      </c>
      <c r="Q753">
        <v>141401</v>
      </c>
      <c r="R753" t="s">
        <v>3042</v>
      </c>
      <c r="S753">
        <v>717</v>
      </c>
      <c r="T753" t="b">
        <v>0</v>
      </c>
      <c r="U753">
        <v>1</v>
      </c>
      <c r="V753">
        <v>4</v>
      </c>
      <c r="W753" t="s">
        <v>35</v>
      </c>
      <c r="X753" t="s">
        <v>29</v>
      </c>
      <c r="Y753" t="s">
        <v>3449</v>
      </c>
      <c r="Z753" t="s">
        <v>37</v>
      </c>
      <c r="AA753">
        <f>TwitterClean[[#This Row],[likes]]+TwitterClean[[#This Row],[replies]]+TwitterClean[[#This Row],[reposts]]+TwitterClean[[#This Row],[quotes]]+TwitterClean[[#This Row],[bookmarks]]</f>
        <v>263</v>
      </c>
      <c r="AB753" s="1">
        <f>TwitterClean[[#This Row],[Total_Engagements]]/TwitterClean[[#This Row],[views]]</f>
        <v>3.6511043549484266E-3</v>
      </c>
      <c r="AC753" s="3">
        <f>DATEVALUE(MID(TwitterClean[[#This Row],[date_posted]],2,10))</f>
        <v>45641</v>
      </c>
      <c r="AD753">
        <f>TIMEVALUE(MID(TwitterClean[[#This Row],[date_posted]],13,8))</f>
        <v>3.472222222222222E-3</v>
      </c>
      <c r="AE753" s="3" t="str">
        <f>TEXT(TwitterClean[[#This Row],[Post_Date]],"dddd")</f>
        <v>Sunday</v>
      </c>
      <c r="AF753">
        <f>HOUR(TwitterClean[[#This Row],[Post_Time]])</f>
        <v>0</v>
      </c>
      <c r="AG753" t="str">
        <f>IF(TwitterClean[[#This Row],[videos]]="Null","No","Yes")</f>
        <v>Yes</v>
      </c>
      <c r="AH753" t="str">
        <f>IF(TwitterClean[[#This Row],[photos]]="null","No","Yes")</f>
        <v>No</v>
      </c>
      <c r="AI753" t="str">
        <f>IF(TwitterClean[[#This Row],[hashtags]]="null","No","Yes")</f>
        <v>Yes</v>
      </c>
      <c r="AJ753" t="str">
        <f>IF(TwitterClean[[#This Row],[external_url]]="null","Yes","No")</f>
        <v>No</v>
      </c>
      <c r="AK753">
        <f>LEN(TwitterClean[[#This Row],[description]])</f>
        <v>72</v>
      </c>
      <c r="AL753" t="str">
        <f>IF(TwitterClean[[#This Row],[followers]]&lt;100000,"&lt;100K",IF(TwitterClean[[#This Row],[followers]]&lt;1000000,"100K-1M",IF(TwitterClean[[#This Row],[followers]]&lt;10000000,"1M-10M","10M+")))</f>
        <v>10M+</v>
      </c>
    </row>
    <row r="754" spans="1:38">
      <c r="A754">
        <v>1.8681661644065306E+18</v>
      </c>
      <c r="B754" t="s">
        <v>3034</v>
      </c>
      <c r="C754" t="s">
        <v>3035</v>
      </c>
      <c r="D754" t="s">
        <v>3036</v>
      </c>
      <c r="E754" t="s">
        <v>3037</v>
      </c>
      <c r="F754" t="s">
        <v>29</v>
      </c>
      <c r="G754" t="s">
        <v>3038</v>
      </c>
      <c r="H754" t="s">
        <v>3039</v>
      </c>
      <c r="I754">
        <v>35</v>
      </c>
      <c r="J754">
        <v>26</v>
      </c>
      <c r="K754">
        <v>228</v>
      </c>
      <c r="L754">
        <v>81301</v>
      </c>
      <c r="M754" t="s">
        <v>52</v>
      </c>
      <c r="N754" t="s">
        <v>3040</v>
      </c>
      <c r="O754">
        <v>12876592</v>
      </c>
      <c r="P754" t="s">
        <v>3041</v>
      </c>
      <c r="Q754">
        <v>141401</v>
      </c>
      <c r="R754" t="s">
        <v>3042</v>
      </c>
      <c r="S754">
        <v>717</v>
      </c>
      <c r="T754" t="b">
        <v>0</v>
      </c>
      <c r="U754">
        <v>2</v>
      </c>
      <c r="V754">
        <v>5</v>
      </c>
      <c r="W754" t="s">
        <v>35</v>
      </c>
      <c r="X754" t="s">
        <v>29</v>
      </c>
      <c r="Y754" t="s">
        <v>3043</v>
      </c>
      <c r="Z754" t="s">
        <v>37</v>
      </c>
      <c r="AA754">
        <f>TwitterClean[[#This Row],[likes]]+TwitterClean[[#This Row],[replies]]+TwitterClean[[#This Row],[reposts]]+TwitterClean[[#This Row],[quotes]]+TwitterClean[[#This Row],[bookmarks]]</f>
        <v>296</v>
      </c>
      <c r="AB754" s="1">
        <f>TwitterClean[[#This Row],[Total_Engagements]]/TwitterClean[[#This Row],[views]]</f>
        <v>3.6407916261792599E-3</v>
      </c>
      <c r="AC754" s="3">
        <f>DATEVALUE(MID(TwitterClean[[#This Row],[date_posted]],2,10))</f>
        <v>45641</v>
      </c>
      <c r="AD754">
        <f>TIMEVALUE(MID(TwitterClean[[#This Row],[date_posted]],13,8))</f>
        <v>0.22797453703703704</v>
      </c>
      <c r="AE754" s="3" t="str">
        <f>TEXT(TwitterClean[[#This Row],[Post_Date]],"dddd")</f>
        <v>Sunday</v>
      </c>
      <c r="AF754">
        <f>HOUR(TwitterClean[[#This Row],[Post_Time]])</f>
        <v>5</v>
      </c>
      <c r="AG754" t="str">
        <f>IF(TwitterClean[[#This Row],[videos]]="Null","No","Yes")</f>
        <v>Yes</v>
      </c>
      <c r="AH754" t="str">
        <f>IF(TwitterClean[[#This Row],[photos]]="null","No","Yes")</f>
        <v>No</v>
      </c>
      <c r="AI754" t="str">
        <f>IF(TwitterClean[[#This Row],[hashtags]]="null","No","Yes")</f>
        <v>Yes</v>
      </c>
      <c r="AJ754" t="str">
        <f>IF(TwitterClean[[#This Row],[external_url]]="null","Yes","No")</f>
        <v>No</v>
      </c>
      <c r="AK754">
        <f>LEN(TwitterClean[[#This Row],[description]])</f>
        <v>123</v>
      </c>
      <c r="AL754" t="str">
        <f>IF(TwitterClean[[#This Row],[followers]]&lt;100000,"&lt;100K",IF(TwitterClean[[#This Row],[followers]]&lt;1000000,"100K-1M",IF(TwitterClean[[#This Row],[followers]]&lt;10000000,"1M-10M","10M+")))</f>
        <v>10M+</v>
      </c>
    </row>
    <row r="755" spans="1:38">
      <c r="A755">
        <v>1.8682647513501245E+18</v>
      </c>
      <c r="B755" t="s">
        <v>3837</v>
      </c>
      <c r="C755" t="s">
        <v>3838</v>
      </c>
      <c r="D755" t="s">
        <v>5104</v>
      </c>
      <c r="E755" t="s">
        <v>4603</v>
      </c>
      <c r="F755" t="s">
        <v>29</v>
      </c>
      <c r="G755" t="s">
        <v>5105</v>
      </c>
      <c r="H755" t="s">
        <v>3842</v>
      </c>
      <c r="I755">
        <v>3</v>
      </c>
      <c r="J755">
        <v>15</v>
      </c>
      <c r="K755">
        <v>157</v>
      </c>
      <c r="L755">
        <v>48664</v>
      </c>
      <c r="M755" t="s">
        <v>5106</v>
      </c>
      <c r="N755" t="s">
        <v>4254</v>
      </c>
      <c r="O755">
        <v>984256</v>
      </c>
      <c r="P755" t="s">
        <v>3844</v>
      </c>
      <c r="Q755">
        <v>136135</v>
      </c>
      <c r="R755" t="s">
        <v>3845</v>
      </c>
      <c r="S755">
        <v>438</v>
      </c>
      <c r="T755" t="b">
        <v>0</v>
      </c>
      <c r="U755">
        <v>1</v>
      </c>
      <c r="V755">
        <v>1</v>
      </c>
      <c r="W755" t="s">
        <v>35</v>
      </c>
      <c r="X755" t="s">
        <v>29</v>
      </c>
      <c r="Y755" t="s">
        <v>29</v>
      </c>
      <c r="Z755" t="s">
        <v>37</v>
      </c>
      <c r="AA755">
        <f>TwitterClean[[#This Row],[likes]]+TwitterClean[[#This Row],[replies]]+TwitterClean[[#This Row],[reposts]]+TwitterClean[[#This Row],[quotes]]+TwitterClean[[#This Row],[bookmarks]]</f>
        <v>177</v>
      </c>
      <c r="AB755" s="1">
        <f>TwitterClean[[#This Row],[Total_Engagements]]/TwitterClean[[#This Row],[views]]</f>
        <v>3.6371855992109155E-3</v>
      </c>
      <c r="AC755" s="3">
        <f>DATEVALUE(MID(TwitterClean[[#This Row],[date_posted]],2,10))</f>
        <v>45641</v>
      </c>
      <c r="AD755">
        <f>TIMEVALUE(MID(TwitterClean[[#This Row],[date_posted]],13,8))</f>
        <v>0.50002314814814819</v>
      </c>
      <c r="AE755" s="3" t="str">
        <f>TEXT(TwitterClean[[#This Row],[Post_Date]],"dddd")</f>
        <v>Sunday</v>
      </c>
      <c r="AF755">
        <f>HOUR(TwitterClean[[#This Row],[Post_Time]])</f>
        <v>12</v>
      </c>
      <c r="AG755" t="str">
        <f>IF(TwitterClean[[#This Row],[videos]]="Null","No","Yes")</f>
        <v>No</v>
      </c>
      <c r="AH755" t="str">
        <f>IF(TwitterClean[[#This Row],[photos]]="null","No","Yes")</f>
        <v>No</v>
      </c>
      <c r="AI755" t="str">
        <f>IF(TwitterClean[[#This Row],[hashtags]]="null","No","Yes")</f>
        <v>Yes</v>
      </c>
      <c r="AJ755" t="str">
        <f>IF(TwitterClean[[#This Row],[external_url]]="null","Yes","No")</f>
        <v>No</v>
      </c>
      <c r="AK755">
        <f>LEN(TwitterClean[[#This Row],[description]])</f>
        <v>137</v>
      </c>
      <c r="AL755" t="str">
        <f>IF(TwitterClean[[#This Row],[followers]]&lt;100000,"&lt;100K",IF(TwitterClean[[#This Row],[followers]]&lt;1000000,"100K-1M",IF(TwitterClean[[#This Row],[followers]]&lt;10000000,"1M-10M","10M+")))</f>
        <v>100K-1M</v>
      </c>
    </row>
    <row r="756" spans="1:38">
      <c r="A756">
        <v>1.8680835570313462E+18</v>
      </c>
      <c r="B756" t="s">
        <v>1646</v>
      </c>
      <c r="C756" t="s">
        <v>1647</v>
      </c>
      <c r="D756" t="s">
        <v>1783</v>
      </c>
      <c r="E756" t="s">
        <v>1784</v>
      </c>
      <c r="F756" t="s">
        <v>29</v>
      </c>
      <c r="G756" t="s">
        <v>1785</v>
      </c>
      <c r="H756" t="s">
        <v>29</v>
      </c>
      <c r="I756">
        <v>3</v>
      </c>
      <c r="J756">
        <v>2</v>
      </c>
      <c r="K756">
        <v>28</v>
      </c>
      <c r="L756">
        <v>9948</v>
      </c>
      <c r="M756" t="s">
        <v>1786</v>
      </c>
      <c r="N756" t="s">
        <v>1787</v>
      </c>
      <c r="O756">
        <v>3768944</v>
      </c>
      <c r="P756" t="s">
        <v>1653</v>
      </c>
      <c r="Q756">
        <v>897934</v>
      </c>
      <c r="R756" t="s">
        <v>1654</v>
      </c>
      <c r="S756">
        <v>28</v>
      </c>
      <c r="T756" t="b">
        <v>0</v>
      </c>
      <c r="U756">
        <v>0</v>
      </c>
      <c r="V756">
        <v>3</v>
      </c>
      <c r="W756" t="s">
        <v>35</v>
      </c>
      <c r="X756" t="s">
        <v>29</v>
      </c>
      <c r="Y756" t="s">
        <v>1788</v>
      </c>
      <c r="Z756" t="s">
        <v>37</v>
      </c>
      <c r="AA756">
        <f>TwitterClean[[#This Row],[likes]]+TwitterClean[[#This Row],[replies]]+TwitterClean[[#This Row],[reposts]]+TwitterClean[[#This Row],[quotes]]+TwitterClean[[#This Row],[bookmarks]]</f>
        <v>36</v>
      </c>
      <c r="AB756" s="1">
        <f>TwitterClean[[#This Row],[Total_Engagements]]/TwitterClean[[#This Row],[views]]</f>
        <v>3.6188178528347406E-3</v>
      </c>
      <c r="AC756" s="3">
        <f>DATEVALUE(MID(TwitterClean[[#This Row],[date_posted]],2,10))</f>
        <v>45641</v>
      </c>
      <c r="AD756">
        <f>TIMEVALUE(MID(TwitterClean[[#This Row],[date_posted]],13,8))</f>
        <v>1.1574074074074073E-5</v>
      </c>
      <c r="AE756" s="3" t="str">
        <f>TEXT(TwitterClean[[#This Row],[Post_Date]],"dddd")</f>
        <v>Sunday</v>
      </c>
      <c r="AF756">
        <f>HOUR(TwitterClean[[#This Row],[Post_Time]])</f>
        <v>0</v>
      </c>
      <c r="AG756" t="str">
        <f>IF(TwitterClean[[#This Row],[videos]]="Null","No","Yes")</f>
        <v>Yes</v>
      </c>
      <c r="AH756" t="str">
        <f>IF(TwitterClean[[#This Row],[photos]]="null","No","Yes")</f>
        <v>No</v>
      </c>
      <c r="AI756" t="str">
        <f>IF(TwitterClean[[#This Row],[hashtags]]="null","No","Yes")</f>
        <v>Yes</v>
      </c>
      <c r="AJ756" t="str">
        <f>IF(TwitterClean[[#This Row],[external_url]]="null","Yes","No")</f>
        <v>No</v>
      </c>
      <c r="AK756">
        <f>LEN(TwitterClean[[#This Row],[description]])</f>
        <v>189</v>
      </c>
      <c r="AL756" t="str">
        <f>IF(TwitterClean[[#This Row],[followers]]&lt;100000,"&lt;100K",IF(TwitterClean[[#This Row],[followers]]&lt;1000000,"100K-1M",IF(TwitterClean[[#This Row],[followers]]&lt;10000000,"1M-10M","10M+")))</f>
        <v>1M-10M</v>
      </c>
    </row>
    <row r="757" spans="1:38">
      <c r="A757">
        <v>1.8683139688858301E+18</v>
      </c>
      <c r="B757" t="s">
        <v>1646</v>
      </c>
      <c r="C757" t="s">
        <v>1647</v>
      </c>
      <c r="D757" t="s">
        <v>1824</v>
      </c>
      <c r="E757" t="s">
        <v>1825</v>
      </c>
      <c r="F757" t="s">
        <v>29</v>
      </c>
      <c r="G757" t="s">
        <v>1826</v>
      </c>
      <c r="H757" t="s">
        <v>29</v>
      </c>
      <c r="I757">
        <v>4</v>
      </c>
      <c r="J757">
        <v>1</v>
      </c>
      <c r="K757">
        <v>21</v>
      </c>
      <c r="L757">
        <v>7480</v>
      </c>
      <c r="M757" t="s">
        <v>1827</v>
      </c>
      <c r="N757" t="s">
        <v>1652</v>
      </c>
      <c r="O757">
        <v>3768943</v>
      </c>
      <c r="P757" t="s">
        <v>1653</v>
      </c>
      <c r="Q757">
        <v>897934</v>
      </c>
      <c r="R757" t="s">
        <v>1654</v>
      </c>
      <c r="S757">
        <v>28</v>
      </c>
      <c r="T757" t="b">
        <v>0</v>
      </c>
      <c r="U757">
        <v>0</v>
      </c>
      <c r="V757">
        <v>1</v>
      </c>
      <c r="W757" t="s">
        <v>35</v>
      </c>
      <c r="X757" t="s">
        <v>1828</v>
      </c>
      <c r="Y757" t="s">
        <v>29</v>
      </c>
      <c r="Z757" t="s">
        <v>37</v>
      </c>
      <c r="AA757">
        <f>TwitterClean[[#This Row],[likes]]+TwitterClean[[#This Row],[replies]]+TwitterClean[[#This Row],[reposts]]+TwitterClean[[#This Row],[quotes]]+TwitterClean[[#This Row],[bookmarks]]</f>
        <v>27</v>
      </c>
      <c r="AB757" s="1">
        <f>TwitterClean[[#This Row],[Total_Engagements]]/TwitterClean[[#This Row],[views]]</f>
        <v>3.6096256684491979E-3</v>
      </c>
      <c r="AC757" s="3">
        <f>DATEVALUE(MID(TwitterClean[[#This Row],[date_posted]],2,10))</f>
        <v>45641</v>
      </c>
      <c r="AD757">
        <f>TIMEVALUE(MID(TwitterClean[[#This Row],[date_posted]],13,8))</f>
        <v>0.63583333333333336</v>
      </c>
      <c r="AE757" s="3" t="str">
        <f>TEXT(TwitterClean[[#This Row],[Post_Date]],"dddd")</f>
        <v>Sunday</v>
      </c>
      <c r="AF757">
        <f>HOUR(TwitterClean[[#This Row],[Post_Time]])</f>
        <v>15</v>
      </c>
      <c r="AG757" t="str">
        <f>IF(TwitterClean[[#This Row],[videos]]="Null","No","Yes")</f>
        <v>No</v>
      </c>
      <c r="AH757" t="str">
        <f>IF(TwitterClean[[#This Row],[photos]]="null","No","Yes")</f>
        <v>No</v>
      </c>
      <c r="AI757" t="str">
        <f>IF(TwitterClean[[#This Row],[hashtags]]="null","No","Yes")</f>
        <v>Yes</v>
      </c>
      <c r="AJ757" t="str">
        <f>IF(TwitterClean[[#This Row],[external_url]]="null","Yes","No")</f>
        <v>No</v>
      </c>
      <c r="AK757">
        <f>LEN(TwitterClean[[#This Row],[description]])</f>
        <v>118</v>
      </c>
      <c r="AL757" t="str">
        <f>IF(TwitterClean[[#This Row],[followers]]&lt;100000,"&lt;100K",IF(TwitterClean[[#This Row],[followers]]&lt;1000000,"100K-1M",IF(TwitterClean[[#This Row],[followers]]&lt;10000000,"1M-10M","10M+")))</f>
        <v>1M-10M</v>
      </c>
    </row>
    <row r="758" spans="1:38">
      <c r="A758">
        <v>1.8681208386223311E+18</v>
      </c>
      <c r="B758" t="s">
        <v>3034</v>
      </c>
      <c r="C758" t="s">
        <v>3035</v>
      </c>
      <c r="D758" t="s">
        <v>3264</v>
      </c>
      <c r="E758" t="s">
        <v>3265</v>
      </c>
      <c r="F758" t="s">
        <v>29</v>
      </c>
      <c r="G758" t="s">
        <v>3266</v>
      </c>
      <c r="H758" t="s">
        <v>3267</v>
      </c>
      <c r="I758">
        <v>41</v>
      </c>
      <c r="J758">
        <v>27</v>
      </c>
      <c r="K758">
        <v>238</v>
      </c>
      <c r="L758">
        <v>86240</v>
      </c>
      <c r="M758" t="s">
        <v>52</v>
      </c>
      <c r="N758" t="s">
        <v>3040</v>
      </c>
      <c r="O758">
        <v>12876593</v>
      </c>
      <c r="P758" t="s">
        <v>3041</v>
      </c>
      <c r="Q758">
        <v>141401</v>
      </c>
      <c r="R758" t="s">
        <v>3042</v>
      </c>
      <c r="S758">
        <v>717</v>
      </c>
      <c r="T758" t="b">
        <v>0</v>
      </c>
      <c r="U758">
        <v>3</v>
      </c>
      <c r="V758">
        <v>2</v>
      </c>
      <c r="W758" t="s">
        <v>35</v>
      </c>
      <c r="X758" t="s">
        <v>29</v>
      </c>
      <c r="Y758" t="s">
        <v>3268</v>
      </c>
      <c r="Z758" t="s">
        <v>37</v>
      </c>
      <c r="AA758">
        <f>TwitterClean[[#This Row],[likes]]+TwitterClean[[#This Row],[replies]]+TwitterClean[[#This Row],[reposts]]+TwitterClean[[#This Row],[quotes]]+TwitterClean[[#This Row],[bookmarks]]</f>
        <v>311</v>
      </c>
      <c r="AB758" s="1">
        <f>TwitterClean[[#This Row],[Total_Engagements]]/TwitterClean[[#This Row],[views]]</f>
        <v>3.6062152133580706E-3</v>
      </c>
      <c r="AC758" s="3">
        <f>DATEVALUE(MID(TwitterClean[[#This Row],[date_posted]],2,10))</f>
        <v>45641</v>
      </c>
      <c r="AD758">
        <f>TIMEVALUE(MID(TwitterClean[[#This Row],[date_posted]],13,8))</f>
        <v>0.10289351851851852</v>
      </c>
      <c r="AE758" s="3" t="str">
        <f>TEXT(TwitterClean[[#This Row],[Post_Date]],"dddd")</f>
        <v>Sunday</v>
      </c>
      <c r="AF758">
        <f>HOUR(TwitterClean[[#This Row],[Post_Time]])</f>
        <v>2</v>
      </c>
      <c r="AG758" t="str">
        <f>IF(TwitterClean[[#This Row],[videos]]="Null","No","Yes")</f>
        <v>Yes</v>
      </c>
      <c r="AH758" t="str">
        <f>IF(TwitterClean[[#This Row],[photos]]="null","No","Yes")</f>
        <v>No</v>
      </c>
      <c r="AI758" t="str">
        <f>IF(TwitterClean[[#This Row],[hashtags]]="null","No","Yes")</f>
        <v>Yes</v>
      </c>
      <c r="AJ758" t="str">
        <f>IF(TwitterClean[[#This Row],[external_url]]="null","Yes","No")</f>
        <v>No</v>
      </c>
      <c r="AK758">
        <f>LEN(TwitterClean[[#This Row],[description]])</f>
        <v>106</v>
      </c>
      <c r="AL758" t="str">
        <f>IF(TwitterClean[[#This Row],[followers]]&lt;100000,"&lt;100K",IF(TwitterClean[[#This Row],[followers]]&lt;1000000,"100K-1M",IF(TwitterClean[[#This Row],[followers]]&lt;10000000,"1M-10M","10M+")))</f>
        <v>10M+</v>
      </c>
    </row>
    <row r="759" spans="1:38">
      <c r="A759">
        <v>1.868250241608098E+18</v>
      </c>
      <c r="B759" t="s">
        <v>2230</v>
      </c>
      <c r="C759" t="s">
        <v>2231</v>
      </c>
      <c r="D759" t="s">
        <v>2279</v>
      </c>
      <c r="E759" t="s">
        <v>2280</v>
      </c>
      <c r="F759" t="s">
        <v>2281</v>
      </c>
      <c r="G759" t="s">
        <v>2282</v>
      </c>
      <c r="H759" t="s">
        <v>29</v>
      </c>
      <c r="I759">
        <v>27</v>
      </c>
      <c r="J759">
        <v>19</v>
      </c>
      <c r="K759">
        <v>64</v>
      </c>
      <c r="L759">
        <v>32797</v>
      </c>
      <c r="M759" t="s">
        <v>2283</v>
      </c>
      <c r="N759" t="s">
        <v>29</v>
      </c>
      <c r="O759">
        <v>3313890</v>
      </c>
      <c r="P759" t="s">
        <v>2237</v>
      </c>
      <c r="Q759">
        <v>706459</v>
      </c>
      <c r="R759" t="s">
        <v>2238</v>
      </c>
      <c r="S759">
        <v>10308</v>
      </c>
      <c r="T759" t="b">
        <v>0</v>
      </c>
      <c r="U759">
        <v>6</v>
      </c>
      <c r="V759">
        <v>2</v>
      </c>
      <c r="W759" t="s">
        <v>35</v>
      </c>
      <c r="X759" t="s">
        <v>29</v>
      </c>
      <c r="Y759" t="s">
        <v>29</v>
      </c>
      <c r="Z759" t="s">
        <v>37</v>
      </c>
      <c r="AA759">
        <f>TwitterClean[[#This Row],[likes]]+TwitterClean[[#This Row],[replies]]+TwitterClean[[#This Row],[reposts]]+TwitterClean[[#This Row],[quotes]]+TwitterClean[[#This Row],[bookmarks]]</f>
        <v>118</v>
      </c>
      <c r="AB759" s="1">
        <f>TwitterClean[[#This Row],[Total_Engagements]]/TwitterClean[[#This Row],[views]]</f>
        <v>3.5978900509192912E-3</v>
      </c>
      <c r="AC759" s="3">
        <f>DATEVALUE(MID(TwitterClean[[#This Row],[date_posted]],2,10))</f>
        <v>45641</v>
      </c>
      <c r="AD759">
        <f>TIMEVALUE(MID(TwitterClean[[#This Row],[date_posted]],13,8))</f>
        <v>0.45997685185185183</v>
      </c>
      <c r="AE759" s="3" t="str">
        <f>TEXT(TwitterClean[[#This Row],[Post_Date]],"dddd")</f>
        <v>Sunday</v>
      </c>
      <c r="AF759">
        <f>HOUR(TwitterClean[[#This Row],[Post_Time]])</f>
        <v>11</v>
      </c>
      <c r="AG759" t="str">
        <f>IF(TwitterClean[[#This Row],[videos]]="Null","No","Yes")</f>
        <v>No</v>
      </c>
      <c r="AH759" t="str">
        <f>IF(TwitterClean[[#This Row],[photos]]="null","No","Yes")</f>
        <v>Yes</v>
      </c>
      <c r="AI759" t="str">
        <f>IF(TwitterClean[[#This Row],[hashtags]]="null","No","Yes")</f>
        <v>No</v>
      </c>
      <c r="AJ759" t="str">
        <f>IF(TwitterClean[[#This Row],[external_url]]="null","Yes","No")</f>
        <v>No</v>
      </c>
      <c r="AK759">
        <f>LEN(TwitterClean[[#This Row],[description]])</f>
        <v>105</v>
      </c>
      <c r="AL759" t="str">
        <f>IF(TwitterClean[[#This Row],[followers]]&lt;100000,"&lt;100K",IF(TwitterClean[[#This Row],[followers]]&lt;1000000,"100K-1M",IF(TwitterClean[[#This Row],[followers]]&lt;10000000,"1M-10M","10M+")))</f>
        <v>1M-10M</v>
      </c>
    </row>
    <row r="760" spans="1:38">
      <c r="A760">
        <v>1.8676667160311278E+18</v>
      </c>
      <c r="B760" t="s">
        <v>3973</v>
      </c>
      <c r="C760" t="s">
        <v>3974</v>
      </c>
      <c r="D760" t="s">
        <v>4085</v>
      </c>
      <c r="E760" t="s">
        <v>4086</v>
      </c>
      <c r="F760" t="s">
        <v>29</v>
      </c>
      <c r="G760" t="s">
        <v>4087</v>
      </c>
      <c r="H760" t="s">
        <v>4088</v>
      </c>
      <c r="I760">
        <v>5</v>
      </c>
      <c r="J760">
        <v>30</v>
      </c>
      <c r="K760">
        <v>179</v>
      </c>
      <c r="L760">
        <v>68628</v>
      </c>
      <c r="M760" t="s">
        <v>4089</v>
      </c>
      <c r="N760" t="s">
        <v>29</v>
      </c>
      <c r="O760">
        <v>2035100</v>
      </c>
      <c r="P760" t="s">
        <v>3979</v>
      </c>
      <c r="Q760">
        <v>106867</v>
      </c>
      <c r="R760" t="s">
        <v>3980</v>
      </c>
      <c r="S760">
        <v>411</v>
      </c>
      <c r="T760" t="b">
        <v>0</v>
      </c>
      <c r="U760">
        <v>14</v>
      </c>
      <c r="V760">
        <v>17</v>
      </c>
      <c r="W760" t="s">
        <v>35</v>
      </c>
      <c r="X760" t="s">
        <v>29</v>
      </c>
      <c r="Y760" t="s">
        <v>4090</v>
      </c>
      <c r="Z760" t="s">
        <v>37</v>
      </c>
      <c r="AA760">
        <f>TwitterClean[[#This Row],[likes]]+TwitterClean[[#This Row],[replies]]+TwitterClean[[#This Row],[reposts]]+TwitterClean[[#This Row],[quotes]]+TwitterClean[[#This Row],[bookmarks]]</f>
        <v>245</v>
      </c>
      <c r="AB760" s="1">
        <f>TwitterClean[[#This Row],[Total_Engagements]]/TwitterClean[[#This Row],[views]]</f>
        <v>3.5699714402284781E-3</v>
      </c>
      <c r="AC760" s="3">
        <f>DATEVALUE(MID(TwitterClean[[#This Row],[date_posted]],2,10))</f>
        <v>45639</v>
      </c>
      <c r="AD760">
        <f>TIMEVALUE(MID(TwitterClean[[#This Row],[date_posted]],13,8))</f>
        <v>0.8497569444444445</v>
      </c>
      <c r="AE760" s="3" t="str">
        <f>TEXT(TwitterClean[[#This Row],[Post_Date]],"dddd")</f>
        <v>Friday</v>
      </c>
      <c r="AF760">
        <f>HOUR(TwitterClean[[#This Row],[Post_Time]])</f>
        <v>20</v>
      </c>
      <c r="AG760" t="str">
        <f>IF(TwitterClean[[#This Row],[videos]]="Null","No","Yes")</f>
        <v>Yes</v>
      </c>
      <c r="AH760" t="str">
        <f>IF(TwitterClean[[#This Row],[photos]]="null","No","Yes")</f>
        <v>No</v>
      </c>
      <c r="AI760" t="str">
        <f>IF(TwitterClean[[#This Row],[hashtags]]="null","No","Yes")</f>
        <v>No</v>
      </c>
      <c r="AJ760" t="str">
        <f>IF(TwitterClean[[#This Row],[external_url]]="null","Yes","No")</f>
        <v>No</v>
      </c>
      <c r="AK760">
        <f>LEN(TwitterClean[[#This Row],[description]])</f>
        <v>133</v>
      </c>
      <c r="AL760" t="str">
        <f>IF(TwitterClean[[#This Row],[followers]]&lt;100000,"&lt;100K",IF(TwitterClean[[#This Row],[followers]]&lt;1000000,"100K-1M",IF(TwitterClean[[#This Row],[followers]]&lt;10000000,"1M-10M","10M+")))</f>
        <v>1M-10M</v>
      </c>
    </row>
    <row r="761" spans="1:38">
      <c r="A761">
        <v>1.8681489842056809E+18</v>
      </c>
      <c r="B761" t="s">
        <v>3034</v>
      </c>
      <c r="C761" t="s">
        <v>3035</v>
      </c>
      <c r="D761" t="s">
        <v>3428</v>
      </c>
      <c r="E761" t="s">
        <v>3429</v>
      </c>
      <c r="F761" t="s">
        <v>29</v>
      </c>
      <c r="G761" t="s">
        <v>3430</v>
      </c>
      <c r="H761" t="s">
        <v>29</v>
      </c>
      <c r="I761">
        <v>45</v>
      </c>
      <c r="J761">
        <v>15</v>
      </c>
      <c r="K761">
        <v>321</v>
      </c>
      <c r="L761">
        <v>110134</v>
      </c>
      <c r="M761" t="s">
        <v>52</v>
      </c>
      <c r="N761" t="s">
        <v>3040</v>
      </c>
      <c r="O761">
        <v>12876593</v>
      </c>
      <c r="P761" t="s">
        <v>3041</v>
      </c>
      <c r="Q761">
        <v>141401</v>
      </c>
      <c r="R761" t="s">
        <v>3042</v>
      </c>
      <c r="S761">
        <v>717</v>
      </c>
      <c r="T761" t="b">
        <v>0</v>
      </c>
      <c r="U761">
        <v>6</v>
      </c>
      <c r="V761">
        <v>5</v>
      </c>
      <c r="W761" t="s">
        <v>35</v>
      </c>
      <c r="X761" t="s">
        <v>29</v>
      </c>
      <c r="Y761" t="s">
        <v>3431</v>
      </c>
      <c r="Z761" t="s">
        <v>37</v>
      </c>
      <c r="AA761">
        <f>TwitterClean[[#This Row],[likes]]+TwitterClean[[#This Row],[replies]]+TwitterClean[[#This Row],[reposts]]+TwitterClean[[#This Row],[quotes]]+TwitterClean[[#This Row],[bookmarks]]</f>
        <v>392</v>
      </c>
      <c r="AB761" s="1">
        <f>TwitterClean[[#This Row],[Total_Engagements]]/TwitterClean[[#This Row],[views]]</f>
        <v>3.5593004884958324E-3</v>
      </c>
      <c r="AC761" s="3">
        <f>DATEVALUE(MID(TwitterClean[[#This Row],[date_posted]],2,10))</f>
        <v>45641</v>
      </c>
      <c r="AD761">
        <f>TIMEVALUE(MID(TwitterClean[[#This Row],[date_posted]],13,8))</f>
        <v>0.18056712962962962</v>
      </c>
      <c r="AE761" s="3" t="str">
        <f>TEXT(TwitterClean[[#This Row],[Post_Date]],"dddd")</f>
        <v>Sunday</v>
      </c>
      <c r="AF761">
        <f>HOUR(TwitterClean[[#This Row],[Post_Time]])</f>
        <v>4</v>
      </c>
      <c r="AG761" t="str">
        <f>IF(TwitterClean[[#This Row],[videos]]="Null","No","Yes")</f>
        <v>Yes</v>
      </c>
      <c r="AH761" t="str">
        <f>IF(TwitterClean[[#This Row],[photos]]="null","No","Yes")</f>
        <v>No</v>
      </c>
      <c r="AI761" t="str">
        <f>IF(TwitterClean[[#This Row],[hashtags]]="null","No","Yes")</f>
        <v>Yes</v>
      </c>
      <c r="AJ761" t="str">
        <f>IF(TwitterClean[[#This Row],[external_url]]="null","Yes","No")</f>
        <v>No</v>
      </c>
      <c r="AK761">
        <f>LEN(TwitterClean[[#This Row],[description]])</f>
        <v>78</v>
      </c>
      <c r="AL761" t="str">
        <f>IF(TwitterClean[[#This Row],[followers]]&lt;100000,"&lt;100K",IF(TwitterClean[[#This Row],[followers]]&lt;1000000,"100K-1M",IF(TwitterClean[[#This Row],[followers]]&lt;10000000,"1M-10M","10M+")))</f>
        <v>10M+</v>
      </c>
    </row>
    <row r="762" spans="1:38">
      <c r="A762">
        <v>1.8681345469753754E+18</v>
      </c>
      <c r="B762" t="s">
        <v>3034</v>
      </c>
      <c r="C762" t="s">
        <v>3035</v>
      </c>
      <c r="D762" t="s">
        <v>3865</v>
      </c>
      <c r="E762" t="s">
        <v>3866</v>
      </c>
      <c r="F762" t="s">
        <v>29</v>
      </c>
      <c r="G762" t="s">
        <v>3867</v>
      </c>
      <c r="H762" t="s">
        <v>3256</v>
      </c>
      <c r="I762">
        <v>12</v>
      </c>
      <c r="J762">
        <v>31</v>
      </c>
      <c r="K762">
        <v>201</v>
      </c>
      <c r="L762">
        <v>71911</v>
      </c>
      <c r="M762" t="s">
        <v>3257</v>
      </c>
      <c r="N762" t="s">
        <v>29</v>
      </c>
      <c r="O762">
        <v>12876593</v>
      </c>
      <c r="P762" t="s">
        <v>3041</v>
      </c>
      <c r="Q762">
        <v>141401</v>
      </c>
      <c r="R762" t="s">
        <v>3042</v>
      </c>
      <c r="S762">
        <v>717</v>
      </c>
      <c r="T762" t="b">
        <v>0</v>
      </c>
      <c r="U762">
        <v>3</v>
      </c>
      <c r="V762">
        <v>7</v>
      </c>
      <c r="W762" t="s">
        <v>35</v>
      </c>
      <c r="X762" t="s">
        <v>29</v>
      </c>
      <c r="Y762" t="s">
        <v>3868</v>
      </c>
      <c r="Z762" t="s">
        <v>37</v>
      </c>
      <c r="AA762">
        <f>TwitterClean[[#This Row],[likes]]+TwitterClean[[#This Row],[replies]]+TwitterClean[[#This Row],[reposts]]+TwitterClean[[#This Row],[quotes]]+TwitterClean[[#This Row],[bookmarks]]</f>
        <v>254</v>
      </c>
      <c r="AB762" s="1">
        <f>TwitterClean[[#This Row],[Total_Engagements]]/TwitterClean[[#This Row],[views]]</f>
        <v>3.5321439000987331E-3</v>
      </c>
      <c r="AC762" s="3">
        <f>DATEVALUE(MID(TwitterClean[[#This Row],[date_posted]],2,10))</f>
        <v>45641</v>
      </c>
      <c r="AD762">
        <f>TIMEVALUE(MID(TwitterClean[[#This Row],[date_posted]],13,8))</f>
        <v>0.14071759259259259</v>
      </c>
      <c r="AE762" s="3" t="str">
        <f>TEXT(TwitterClean[[#This Row],[Post_Date]],"dddd")</f>
        <v>Sunday</v>
      </c>
      <c r="AF762">
        <f>HOUR(TwitterClean[[#This Row],[Post_Time]])</f>
        <v>3</v>
      </c>
      <c r="AG762" t="str">
        <f>IF(TwitterClean[[#This Row],[videos]]="Null","No","Yes")</f>
        <v>Yes</v>
      </c>
      <c r="AH762" t="str">
        <f>IF(TwitterClean[[#This Row],[photos]]="null","No","Yes")</f>
        <v>No</v>
      </c>
      <c r="AI762" t="str">
        <f>IF(TwitterClean[[#This Row],[hashtags]]="null","No","Yes")</f>
        <v>No</v>
      </c>
      <c r="AJ762" t="str">
        <f>IF(TwitterClean[[#This Row],[external_url]]="null","Yes","No")</f>
        <v>No</v>
      </c>
      <c r="AK762">
        <f>LEN(TwitterClean[[#This Row],[description]])</f>
        <v>98</v>
      </c>
      <c r="AL762" t="str">
        <f>IF(TwitterClean[[#This Row],[followers]]&lt;100000,"&lt;100K",IF(TwitterClean[[#This Row],[followers]]&lt;1000000,"100K-1M",IF(TwitterClean[[#This Row],[followers]]&lt;10000000,"1M-10M","10M+")))</f>
        <v>10M+</v>
      </c>
    </row>
    <row r="763" spans="1:38">
      <c r="A763">
        <v>1.868375476198359E+18</v>
      </c>
      <c r="B763" t="s">
        <v>3205</v>
      </c>
      <c r="C763" t="s">
        <v>3206</v>
      </c>
      <c r="D763" t="s">
        <v>4691</v>
      </c>
      <c r="E763" t="s">
        <v>4692</v>
      </c>
      <c r="F763" t="s">
        <v>29</v>
      </c>
      <c r="G763" t="s">
        <v>4693</v>
      </c>
      <c r="H763" t="s">
        <v>29</v>
      </c>
      <c r="I763">
        <v>4</v>
      </c>
      <c r="J763">
        <v>7</v>
      </c>
      <c r="K763">
        <v>30</v>
      </c>
      <c r="L763">
        <v>12773</v>
      </c>
      <c r="M763" t="s">
        <v>3211</v>
      </c>
      <c r="N763" t="s">
        <v>3212</v>
      </c>
      <c r="O763">
        <v>156681</v>
      </c>
      <c r="P763" t="s">
        <v>3213</v>
      </c>
      <c r="Q763">
        <v>35682</v>
      </c>
      <c r="R763" t="s">
        <v>3214</v>
      </c>
      <c r="S763">
        <v>1430</v>
      </c>
      <c r="T763" t="b">
        <v>0</v>
      </c>
      <c r="U763">
        <v>3</v>
      </c>
      <c r="V763">
        <v>1</v>
      </c>
      <c r="W763" t="s">
        <v>35</v>
      </c>
      <c r="X763" t="s">
        <v>29</v>
      </c>
      <c r="Y763" t="s">
        <v>29</v>
      </c>
      <c r="Z763" t="s">
        <v>37</v>
      </c>
      <c r="AA763">
        <f>TwitterClean[[#This Row],[likes]]+TwitterClean[[#This Row],[replies]]+TwitterClean[[#This Row],[reposts]]+TwitterClean[[#This Row],[quotes]]+TwitterClean[[#This Row],[bookmarks]]</f>
        <v>45</v>
      </c>
      <c r="AB763" s="1">
        <f>TwitterClean[[#This Row],[Total_Engagements]]/TwitterClean[[#This Row],[views]]</f>
        <v>3.5230564471932986E-3</v>
      </c>
      <c r="AC763" s="3">
        <f>DATEVALUE(MID(TwitterClean[[#This Row],[date_posted]],2,10))</f>
        <v>45641</v>
      </c>
      <c r="AD763">
        <f>TIMEVALUE(MID(TwitterClean[[#This Row],[date_posted]],13,8))</f>
        <v>0.80555555555555558</v>
      </c>
      <c r="AE763" s="3" t="str">
        <f>TEXT(TwitterClean[[#This Row],[Post_Date]],"dddd")</f>
        <v>Sunday</v>
      </c>
      <c r="AF763">
        <f>HOUR(TwitterClean[[#This Row],[Post_Time]])</f>
        <v>19</v>
      </c>
      <c r="AG763" t="str">
        <f>IF(TwitterClean[[#This Row],[videos]]="Null","No","Yes")</f>
        <v>No</v>
      </c>
      <c r="AH763" t="str">
        <f>IF(TwitterClean[[#This Row],[photos]]="null","No","Yes")</f>
        <v>No</v>
      </c>
      <c r="AI763" t="str">
        <f>IF(TwitterClean[[#This Row],[hashtags]]="null","No","Yes")</f>
        <v>Yes</v>
      </c>
      <c r="AJ763" t="str">
        <f>IF(TwitterClean[[#This Row],[external_url]]="null","Yes","No")</f>
        <v>No</v>
      </c>
      <c r="AK763">
        <f>LEN(TwitterClean[[#This Row],[description]])</f>
        <v>108</v>
      </c>
      <c r="AL763" t="str">
        <f>IF(TwitterClean[[#This Row],[followers]]&lt;100000,"&lt;100K",IF(TwitterClean[[#This Row],[followers]]&lt;1000000,"100K-1M",IF(TwitterClean[[#This Row],[followers]]&lt;10000000,"1M-10M","10M+")))</f>
        <v>100K-1M</v>
      </c>
    </row>
    <row r="764" spans="1:38">
      <c r="A764">
        <v>1.8681492036016909E+18</v>
      </c>
      <c r="B764" t="s">
        <v>3034</v>
      </c>
      <c r="C764" t="s">
        <v>3035</v>
      </c>
      <c r="D764" t="s">
        <v>3044</v>
      </c>
      <c r="E764" t="s">
        <v>3045</v>
      </c>
      <c r="F764" t="s">
        <v>29</v>
      </c>
      <c r="G764" t="s">
        <v>3046</v>
      </c>
      <c r="H764" t="s">
        <v>3047</v>
      </c>
      <c r="I764">
        <v>72</v>
      </c>
      <c r="J764">
        <v>20</v>
      </c>
      <c r="K764">
        <v>222</v>
      </c>
      <c r="L764">
        <v>91850</v>
      </c>
      <c r="M764" t="s">
        <v>52</v>
      </c>
      <c r="N764" t="s">
        <v>3040</v>
      </c>
      <c r="O764">
        <v>12876593</v>
      </c>
      <c r="P764" t="s">
        <v>3041</v>
      </c>
      <c r="Q764">
        <v>141401</v>
      </c>
      <c r="R764" t="s">
        <v>3042</v>
      </c>
      <c r="S764">
        <v>717</v>
      </c>
      <c r="T764" t="b">
        <v>0</v>
      </c>
      <c r="U764">
        <v>4</v>
      </c>
      <c r="V764">
        <v>4</v>
      </c>
      <c r="W764" t="s">
        <v>35</v>
      </c>
      <c r="X764" t="s">
        <v>29</v>
      </c>
      <c r="Y764" t="s">
        <v>3048</v>
      </c>
      <c r="Z764" t="s">
        <v>37</v>
      </c>
      <c r="AA764">
        <f>TwitterClean[[#This Row],[likes]]+TwitterClean[[#This Row],[replies]]+TwitterClean[[#This Row],[reposts]]+TwitterClean[[#This Row],[quotes]]+TwitterClean[[#This Row],[bookmarks]]</f>
        <v>322</v>
      </c>
      <c r="AB764" s="1">
        <f>TwitterClean[[#This Row],[Total_Engagements]]/TwitterClean[[#This Row],[views]]</f>
        <v>3.5057158410451822E-3</v>
      </c>
      <c r="AC764" s="3">
        <f>DATEVALUE(MID(TwitterClean[[#This Row],[date_posted]],2,10))</f>
        <v>45641</v>
      </c>
      <c r="AD764">
        <f>TIMEVALUE(MID(TwitterClean[[#This Row],[date_posted]],13,8))</f>
        <v>0.18116898148148147</v>
      </c>
      <c r="AE764" s="3" t="str">
        <f>TEXT(TwitterClean[[#This Row],[Post_Date]],"dddd")</f>
        <v>Sunday</v>
      </c>
      <c r="AF764">
        <f>HOUR(TwitterClean[[#This Row],[Post_Time]])</f>
        <v>4</v>
      </c>
      <c r="AG764" t="str">
        <f>IF(TwitterClean[[#This Row],[videos]]="Null","No","Yes")</f>
        <v>Yes</v>
      </c>
      <c r="AH764" t="str">
        <f>IF(TwitterClean[[#This Row],[photos]]="null","No","Yes")</f>
        <v>No</v>
      </c>
      <c r="AI764" t="str">
        <f>IF(TwitterClean[[#This Row],[hashtags]]="null","No","Yes")</f>
        <v>Yes</v>
      </c>
      <c r="AJ764" t="str">
        <f>IF(TwitterClean[[#This Row],[external_url]]="null","Yes","No")</f>
        <v>No</v>
      </c>
      <c r="AK764">
        <f>LEN(TwitterClean[[#This Row],[description]])</f>
        <v>112</v>
      </c>
      <c r="AL764" t="str">
        <f>IF(TwitterClean[[#This Row],[followers]]&lt;100000,"&lt;100K",IF(TwitterClean[[#This Row],[followers]]&lt;1000000,"100K-1M",IF(TwitterClean[[#This Row],[followers]]&lt;10000000,"1M-10M","10M+")))</f>
        <v>10M+</v>
      </c>
    </row>
    <row r="765" spans="1:38">
      <c r="A765">
        <v>1.8683485433389673E+18</v>
      </c>
      <c r="B765" t="s">
        <v>1646</v>
      </c>
      <c r="C765" t="s">
        <v>1647</v>
      </c>
      <c r="D765" t="s">
        <v>1751</v>
      </c>
      <c r="E765" t="s">
        <v>1752</v>
      </c>
      <c r="F765" t="s">
        <v>29</v>
      </c>
      <c r="G765" t="s">
        <v>1753</v>
      </c>
      <c r="H765" t="s">
        <v>29</v>
      </c>
      <c r="I765">
        <v>10</v>
      </c>
      <c r="J765">
        <v>1</v>
      </c>
      <c r="K765">
        <v>30</v>
      </c>
      <c r="L765">
        <v>12019</v>
      </c>
      <c r="M765" t="s">
        <v>1754</v>
      </c>
      <c r="N765" t="s">
        <v>1675</v>
      </c>
      <c r="O765">
        <v>3768924</v>
      </c>
      <c r="P765" t="s">
        <v>1653</v>
      </c>
      <c r="Q765">
        <v>897934</v>
      </c>
      <c r="R765" t="s">
        <v>1654</v>
      </c>
      <c r="S765">
        <v>28</v>
      </c>
      <c r="T765" t="b">
        <v>0</v>
      </c>
      <c r="U765">
        <v>1</v>
      </c>
      <c r="V765">
        <v>0</v>
      </c>
      <c r="W765" t="s">
        <v>35</v>
      </c>
      <c r="X765" t="s">
        <v>1755</v>
      </c>
      <c r="Y765" t="s">
        <v>29</v>
      </c>
      <c r="Z765" t="s">
        <v>37</v>
      </c>
      <c r="AA765">
        <f>TwitterClean[[#This Row],[likes]]+TwitterClean[[#This Row],[replies]]+TwitterClean[[#This Row],[reposts]]+TwitterClean[[#This Row],[quotes]]+TwitterClean[[#This Row],[bookmarks]]</f>
        <v>42</v>
      </c>
      <c r="AB765" s="1">
        <f>TwitterClean[[#This Row],[Total_Engagements]]/TwitterClean[[#This Row],[views]]</f>
        <v>3.4944670937682005E-3</v>
      </c>
      <c r="AC765" s="3">
        <f>DATEVALUE(MID(TwitterClean[[#This Row],[date_posted]],2,10))</f>
        <v>45641</v>
      </c>
      <c r="AD765">
        <f>TIMEVALUE(MID(TwitterClean[[#This Row],[date_posted]],13,8))</f>
        <v>0.73123842592592592</v>
      </c>
      <c r="AE765" s="3" t="str">
        <f>TEXT(TwitterClean[[#This Row],[Post_Date]],"dddd")</f>
        <v>Sunday</v>
      </c>
      <c r="AF765">
        <f>HOUR(TwitterClean[[#This Row],[Post_Time]])</f>
        <v>17</v>
      </c>
      <c r="AG765" t="str">
        <f>IF(TwitterClean[[#This Row],[videos]]="Null","No","Yes")</f>
        <v>No</v>
      </c>
      <c r="AH765" t="str">
        <f>IF(TwitterClean[[#This Row],[photos]]="null","No","Yes")</f>
        <v>No</v>
      </c>
      <c r="AI765" t="str">
        <f>IF(TwitterClean[[#This Row],[hashtags]]="null","No","Yes")</f>
        <v>Yes</v>
      </c>
      <c r="AJ765" t="str">
        <f>IF(TwitterClean[[#This Row],[external_url]]="null","Yes","No")</f>
        <v>No</v>
      </c>
      <c r="AK765">
        <f>LEN(TwitterClean[[#This Row],[description]])</f>
        <v>95</v>
      </c>
      <c r="AL765" t="str">
        <f>IF(TwitterClean[[#This Row],[followers]]&lt;100000,"&lt;100K",IF(TwitterClean[[#This Row],[followers]]&lt;1000000,"100K-1M",IF(TwitterClean[[#This Row],[followers]]&lt;10000000,"1M-10M","10M+")))</f>
        <v>1M-10M</v>
      </c>
    </row>
    <row r="766" spans="1:38">
      <c r="A766">
        <v>1.868285248804393E+18</v>
      </c>
      <c r="B766" t="s">
        <v>183</v>
      </c>
      <c r="C766" t="s">
        <v>184</v>
      </c>
      <c r="D766" t="s">
        <v>658</v>
      </c>
      <c r="E766" t="s">
        <v>659</v>
      </c>
      <c r="F766" t="s">
        <v>29</v>
      </c>
      <c r="G766" t="s">
        <v>660</v>
      </c>
      <c r="H766" t="s">
        <v>29</v>
      </c>
      <c r="I766">
        <v>14</v>
      </c>
      <c r="J766">
        <v>51</v>
      </c>
      <c r="K766">
        <v>155</v>
      </c>
      <c r="L766">
        <v>68078</v>
      </c>
      <c r="M766" t="s">
        <v>661</v>
      </c>
      <c r="N766" t="s">
        <v>29</v>
      </c>
      <c r="O766">
        <v>27122998</v>
      </c>
      <c r="P766" t="s">
        <v>190</v>
      </c>
      <c r="Q766">
        <v>402760</v>
      </c>
      <c r="R766" t="s">
        <v>191</v>
      </c>
      <c r="S766">
        <v>155</v>
      </c>
      <c r="T766" t="b">
        <v>0</v>
      </c>
      <c r="U766">
        <v>9</v>
      </c>
      <c r="V766">
        <v>8</v>
      </c>
      <c r="W766" t="s">
        <v>35</v>
      </c>
      <c r="X766" t="s">
        <v>662</v>
      </c>
      <c r="Y766" t="s">
        <v>29</v>
      </c>
      <c r="Z766" t="s">
        <v>37</v>
      </c>
      <c r="AA766">
        <f>TwitterClean[[#This Row],[likes]]+TwitterClean[[#This Row],[replies]]+TwitterClean[[#This Row],[reposts]]+TwitterClean[[#This Row],[quotes]]+TwitterClean[[#This Row],[bookmarks]]</f>
        <v>237</v>
      </c>
      <c r="AB766" s="1">
        <f>TwitterClean[[#This Row],[Total_Engagements]]/TwitterClean[[#This Row],[views]]</f>
        <v>3.4813008607773436E-3</v>
      </c>
      <c r="AC766" s="3">
        <f>DATEVALUE(MID(TwitterClean[[#This Row],[date_posted]],2,10))</f>
        <v>45641</v>
      </c>
      <c r="AD766">
        <f>TIMEVALUE(MID(TwitterClean[[#This Row],[date_posted]],13,8))</f>
        <v>0.55658564814814815</v>
      </c>
      <c r="AE766" s="3" t="str">
        <f>TEXT(TwitterClean[[#This Row],[Post_Date]],"dddd")</f>
        <v>Sunday</v>
      </c>
      <c r="AF766">
        <f>HOUR(TwitterClean[[#This Row],[Post_Time]])</f>
        <v>13</v>
      </c>
      <c r="AG766" t="str">
        <f>IF(TwitterClean[[#This Row],[videos]]="Null","No","Yes")</f>
        <v>No</v>
      </c>
      <c r="AH766" t="str">
        <f>IF(TwitterClean[[#This Row],[photos]]="null","No","Yes")</f>
        <v>No</v>
      </c>
      <c r="AI766" t="str">
        <f>IF(TwitterClean[[#This Row],[hashtags]]="null","No","Yes")</f>
        <v>No</v>
      </c>
      <c r="AJ766" t="str">
        <f>IF(TwitterClean[[#This Row],[external_url]]="null","Yes","No")</f>
        <v>No</v>
      </c>
      <c r="AK766">
        <f>LEN(TwitterClean[[#This Row],[description]])</f>
        <v>216</v>
      </c>
      <c r="AL766" t="str">
        <f>IF(TwitterClean[[#This Row],[followers]]&lt;100000,"&lt;100K",IF(TwitterClean[[#This Row],[followers]]&lt;1000000,"100K-1M",IF(TwitterClean[[#This Row],[followers]]&lt;10000000,"1M-10M","10M+")))</f>
        <v>10M+</v>
      </c>
    </row>
    <row r="767" spans="1:38">
      <c r="A767">
        <v>1.8681249508985531E+18</v>
      </c>
      <c r="B767" t="s">
        <v>3034</v>
      </c>
      <c r="C767" t="s">
        <v>3035</v>
      </c>
      <c r="D767" t="s">
        <v>3238</v>
      </c>
      <c r="E767" t="s">
        <v>3239</v>
      </c>
      <c r="F767" t="s">
        <v>29</v>
      </c>
      <c r="G767" t="s">
        <v>3240</v>
      </c>
      <c r="H767" t="s">
        <v>3241</v>
      </c>
      <c r="I767">
        <v>41</v>
      </c>
      <c r="J767">
        <v>26</v>
      </c>
      <c r="K767">
        <v>245</v>
      </c>
      <c r="L767">
        <v>93839</v>
      </c>
      <c r="M767" t="s">
        <v>52</v>
      </c>
      <c r="N767" t="s">
        <v>3040</v>
      </c>
      <c r="O767">
        <v>12876592</v>
      </c>
      <c r="P767" t="s">
        <v>3041</v>
      </c>
      <c r="Q767">
        <v>141401</v>
      </c>
      <c r="R767" t="s">
        <v>3042</v>
      </c>
      <c r="S767">
        <v>717</v>
      </c>
      <c r="T767" t="b">
        <v>0</v>
      </c>
      <c r="U767">
        <v>7</v>
      </c>
      <c r="V767">
        <v>5</v>
      </c>
      <c r="W767" t="s">
        <v>35</v>
      </c>
      <c r="X767" t="s">
        <v>29</v>
      </c>
      <c r="Y767" t="s">
        <v>3242</v>
      </c>
      <c r="Z767" t="s">
        <v>37</v>
      </c>
      <c r="AA767">
        <f>TwitterClean[[#This Row],[likes]]+TwitterClean[[#This Row],[replies]]+TwitterClean[[#This Row],[reposts]]+TwitterClean[[#This Row],[quotes]]+TwitterClean[[#This Row],[bookmarks]]</f>
        <v>324</v>
      </c>
      <c r="AB767" s="1">
        <f>TwitterClean[[#This Row],[Total_Engagements]]/TwitterClean[[#This Row],[views]]</f>
        <v>3.4527222157098862E-3</v>
      </c>
      <c r="AC767" s="3">
        <f>DATEVALUE(MID(TwitterClean[[#This Row],[date_posted]],2,10))</f>
        <v>45641</v>
      </c>
      <c r="AD767">
        <f>TIMEVALUE(MID(TwitterClean[[#This Row],[date_posted]],13,8))</f>
        <v>0.11424768518518519</v>
      </c>
      <c r="AE767" s="3" t="str">
        <f>TEXT(TwitterClean[[#This Row],[Post_Date]],"dddd")</f>
        <v>Sunday</v>
      </c>
      <c r="AF767">
        <f>HOUR(TwitterClean[[#This Row],[Post_Time]])</f>
        <v>2</v>
      </c>
      <c r="AG767" t="str">
        <f>IF(TwitterClean[[#This Row],[videos]]="Null","No","Yes")</f>
        <v>Yes</v>
      </c>
      <c r="AH767" t="str">
        <f>IF(TwitterClean[[#This Row],[photos]]="null","No","Yes")</f>
        <v>No</v>
      </c>
      <c r="AI767" t="str">
        <f>IF(TwitterClean[[#This Row],[hashtags]]="null","No","Yes")</f>
        <v>Yes</v>
      </c>
      <c r="AJ767" t="str">
        <f>IF(TwitterClean[[#This Row],[external_url]]="null","Yes","No")</f>
        <v>No</v>
      </c>
      <c r="AK767">
        <f>LEN(TwitterClean[[#This Row],[description]])</f>
        <v>99</v>
      </c>
      <c r="AL767" t="str">
        <f>IF(TwitterClean[[#This Row],[followers]]&lt;100000,"&lt;100K",IF(TwitterClean[[#This Row],[followers]]&lt;1000000,"100K-1M",IF(TwitterClean[[#This Row],[followers]]&lt;10000000,"1M-10M","10M+")))</f>
        <v>10M+</v>
      </c>
    </row>
    <row r="768" spans="1:38">
      <c r="A768">
        <v>1.8659771401785713E+18</v>
      </c>
      <c r="B768" t="s">
        <v>266</v>
      </c>
      <c r="C768" t="s">
        <v>266</v>
      </c>
      <c r="D768" t="s">
        <v>2795</v>
      </c>
      <c r="E768" t="s">
        <v>2796</v>
      </c>
      <c r="F768" t="s">
        <v>2797</v>
      </c>
      <c r="G768" t="s">
        <v>2798</v>
      </c>
      <c r="H768" t="s">
        <v>2799</v>
      </c>
      <c r="I768">
        <v>25</v>
      </c>
      <c r="J768">
        <v>63</v>
      </c>
      <c r="K768">
        <v>414</v>
      </c>
      <c r="L768">
        <v>151662</v>
      </c>
      <c r="M768" t="s">
        <v>52</v>
      </c>
      <c r="N768" t="s">
        <v>29</v>
      </c>
      <c r="O768">
        <v>47706412</v>
      </c>
      <c r="P768" t="s">
        <v>272</v>
      </c>
      <c r="Q768">
        <v>367139</v>
      </c>
      <c r="R768" t="s">
        <v>273</v>
      </c>
      <c r="S768">
        <v>2012</v>
      </c>
      <c r="T768" t="b">
        <v>0</v>
      </c>
      <c r="U768">
        <v>9</v>
      </c>
      <c r="V768">
        <v>9</v>
      </c>
      <c r="W768" t="s">
        <v>2800</v>
      </c>
      <c r="X768" t="s">
        <v>29</v>
      </c>
      <c r="Y768" t="s">
        <v>29</v>
      </c>
      <c r="Z768" t="s">
        <v>37</v>
      </c>
      <c r="AA768">
        <f>TwitterClean[[#This Row],[likes]]+TwitterClean[[#This Row],[replies]]+TwitterClean[[#This Row],[reposts]]+TwitterClean[[#This Row],[quotes]]+TwitterClean[[#This Row],[bookmarks]]</f>
        <v>520</v>
      </c>
      <c r="AB768" s="1">
        <f>TwitterClean[[#This Row],[Total_Engagements]]/TwitterClean[[#This Row],[views]]</f>
        <v>3.4286769263230077E-3</v>
      </c>
      <c r="AC768" s="3">
        <f>DATEVALUE(MID(TwitterClean[[#This Row],[date_posted]],2,10))</f>
        <v>45635</v>
      </c>
      <c r="AD768">
        <f>TIMEVALUE(MID(TwitterClean[[#This Row],[date_posted]],13,8))</f>
        <v>0.18741898148148148</v>
      </c>
      <c r="AE768" s="3" t="str">
        <f>TEXT(TwitterClean[[#This Row],[Post_Date]],"dddd")</f>
        <v>Monday</v>
      </c>
      <c r="AF768">
        <f>HOUR(TwitterClean[[#This Row],[Post_Time]])</f>
        <v>4</v>
      </c>
      <c r="AG768" t="str">
        <f>IF(TwitterClean[[#This Row],[videos]]="Null","No","Yes")</f>
        <v>No</v>
      </c>
      <c r="AH768" t="str">
        <f>IF(TwitterClean[[#This Row],[photos]]="null","No","Yes")</f>
        <v>Yes</v>
      </c>
      <c r="AI768" t="str">
        <f>IF(TwitterClean[[#This Row],[hashtags]]="null","No","Yes")</f>
        <v>No</v>
      </c>
      <c r="AJ768" t="str">
        <f>IF(TwitterClean[[#This Row],[external_url]]="null","Yes","No")</f>
        <v>No</v>
      </c>
      <c r="AK768">
        <f>LEN(TwitterClean[[#This Row],[description]])</f>
        <v>196</v>
      </c>
      <c r="AL768" t="str">
        <f>IF(TwitterClean[[#This Row],[followers]]&lt;100000,"&lt;100K",IF(TwitterClean[[#This Row],[followers]]&lt;1000000,"100K-1M",IF(TwitterClean[[#This Row],[followers]]&lt;10000000,"1M-10M","10M+")))</f>
        <v>10M+</v>
      </c>
    </row>
    <row r="769" spans="1:38">
      <c r="A769">
        <v>1.868086191414825E+18</v>
      </c>
      <c r="B769" t="s">
        <v>3034</v>
      </c>
      <c r="C769" t="s">
        <v>3035</v>
      </c>
      <c r="D769" t="s">
        <v>3253</v>
      </c>
      <c r="E769" t="s">
        <v>3254</v>
      </c>
      <c r="F769" t="s">
        <v>29</v>
      </c>
      <c r="G769" t="s">
        <v>3255</v>
      </c>
      <c r="H769" t="s">
        <v>3256</v>
      </c>
      <c r="I769">
        <v>14</v>
      </c>
      <c r="J769">
        <v>31</v>
      </c>
      <c r="K769">
        <v>210</v>
      </c>
      <c r="L769">
        <v>78439</v>
      </c>
      <c r="M769" t="s">
        <v>3257</v>
      </c>
      <c r="N769" t="s">
        <v>29</v>
      </c>
      <c r="O769">
        <v>12876593</v>
      </c>
      <c r="P769" t="s">
        <v>3041</v>
      </c>
      <c r="Q769">
        <v>141401</v>
      </c>
      <c r="R769" t="s">
        <v>3042</v>
      </c>
      <c r="S769">
        <v>717</v>
      </c>
      <c r="T769" t="b">
        <v>0</v>
      </c>
      <c r="U769">
        <v>2</v>
      </c>
      <c r="V769">
        <v>8</v>
      </c>
      <c r="W769" t="s">
        <v>35</v>
      </c>
      <c r="X769" t="s">
        <v>29</v>
      </c>
      <c r="Y769" t="s">
        <v>3258</v>
      </c>
      <c r="Z769" t="s">
        <v>37</v>
      </c>
      <c r="AA769">
        <f>TwitterClean[[#This Row],[likes]]+TwitterClean[[#This Row],[replies]]+TwitterClean[[#This Row],[reposts]]+TwitterClean[[#This Row],[quotes]]+TwitterClean[[#This Row],[bookmarks]]</f>
        <v>265</v>
      </c>
      <c r="AB769" s="1">
        <f>TwitterClean[[#This Row],[Total_Engagements]]/TwitterClean[[#This Row],[views]]</f>
        <v>3.378421448514132E-3</v>
      </c>
      <c r="AC769" s="3">
        <f>DATEVALUE(MID(TwitterClean[[#This Row],[date_posted]],2,10))</f>
        <v>45641</v>
      </c>
      <c r="AD769">
        <f>TIMEVALUE(MID(TwitterClean[[#This Row],[date_posted]],13,8))</f>
        <v>7.2916666666666668E-3</v>
      </c>
      <c r="AE769" s="3" t="str">
        <f>TEXT(TwitterClean[[#This Row],[Post_Date]],"dddd")</f>
        <v>Sunday</v>
      </c>
      <c r="AF769">
        <f>HOUR(TwitterClean[[#This Row],[Post_Time]])</f>
        <v>0</v>
      </c>
      <c r="AG769" t="str">
        <f>IF(TwitterClean[[#This Row],[videos]]="Null","No","Yes")</f>
        <v>Yes</v>
      </c>
      <c r="AH769" t="str">
        <f>IF(TwitterClean[[#This Row],[photos]]="null","No","Yes")</f>
        <v>No</v>
      </c>
      <c r="AI769" t="str">
        <f>IF(TwitterClean[[#This Row],[hashtags]]="null","No","Yes")</f>
        <v>No</v>
      </c>
      <c r="AJ769" t="str">
        <f>IF(TwitterClean[[#This Row],[external_url]]="null","Yes","No")</f>
        <v>No</v>
      </c>
      <c r="AK769">
        <f>LEN(TwitterClean[[#This Row],[description]])</f>
        <v>60</v>
      </c>
      <c r="AL769" t="str">
        <f>IF(TwitterClean[[#This Row],[followers]]&lt;100000,"&lt;100K",IF(TwitterClean[[#This Row],[followers]]&lt;1000000,"100K-1M",IF(TwitterClean[[#This Row],[followers]]&lt;10000000,"1M-10M","10M+")))</f>
        <v>10M+</v>
      </c>
    </row>
    <row r="770" spans="1:38">
      <c r="A770">
        <v>1.8684059198450977E+18</v>
      </c>
      <c r="B770" t="s">
        <v>3224</v>
      </c>
      <c r="C770" t="s">
        <v>3225</v>
      </c>
      <c r="D770" t="s">
        <v>5176</v>
      </c>
      <c r="E770" t="s">
        <v>5177</v>
      </c>
      <c r="F770" t="s">
        <v>5178</v>
      </c>
      <c r="G770" t="s">
        <v>5179</v>
      </c>
      <c r="H770" t="s">
        <v>5180</v>
      </c>
      <c r="I770">
        <v>22</v>
      </c>
      <c r="J770">
        <v>34</v>
      </c>
      <c r="K770">
        <v>328</v>
      </c>
      <c r="L770">
        <v>117362</v>
      </c>
      <c r="M770" t="s">
        <v>52</v>
      </c>
      <c r="N770" t="s">
        <v>29</v>
      </c>
      <c r="O770">
        <v>2999631</v>
      </c>
      <c r="P770" t="s">
        <v>3230</v>
      </c>
      <c r="Q770">
        <v>183050</v>
      </c>
      <c r="R770" t="s">
        <v>3231</v>
      </c>
      <c r="S770">
        <v>920</v>
      </c>
      <c r="T770" t="b">
        <v>0</v>
      </c>
      <c r="U770">
        <v>1</v>
      </c>
      <c r="V770">
        <v>6</v>
      </c>
      <c r="W770" t="s">
        <v>35</v>
      </c>
      <c r="X770" t="s">
        <v>29</v>
      </c>
      <c r="Y770" t="s">
        <v>29</v>
      </c>
      <c r="Z770" t="s">
        <v>37</v>
      </c>
      <c r="AA770">
        <f>TwitterClean[[#This Row],[likes]]+TwitterClean[[#This Row],[replies]]+TwitterClean[[#This Row],[reposts]]+TwitterClean[[#This Row],[quotes]]+TwitterClean[[#This Row],[bookmarks]]</f>
        <v>391</v>
      </c>
      <c r="AB770" s="1">
        <f>TwitterClean[[#This Row],[Total_Engagements]]/TwitterClean[[#This Row],[views]]</f>
        <v>3.3315723999250181E-3</v>
      </c>
      <c r="AC770" s="3">
        <f>DATEVALUE(MID(TwitterClean[[#This Row],[date_posted]],2,10))</f>
        <v>45641</v>
      </c>
      <c r="AD770">
        <f>TIMEVALUE(MID(TwitterClean[[#This Row],[date_posted]],13,8))</f>
        <v>0.88957175925925924</v>
      </c>
      <c r="AE770" s="3" t="str">
        <f>TEXT(TwitterClean[[#This Row],[Post_Date]],"dddd")</f>
        <v>Sunday</v>
      </c>
      <c r="AF770">
        <f>HOUR(TwitterClean[[#This Row],[Post_Time]])</f>
        <v>21</v>
      </c>
      <c r="AG770" t="str">
        <f>IF(TwitterClean[[#This Row],[videos]]="Null","No","Yes")</f>
        <v>No</v>
      </c>
      <c r="AH770" t="str">
        <f>IF(TwitterClean[[#This Row],[photos]]="null","No","Yes")</f>
        <v>Yes</v>
      </c>
      <c r="AI770" t="str">
        <f>IF(TwitterClean[[#This Row],[hashtags]]="null","No","Yes")</f>
        <v>No</v>
      </c>
      <c r="AJ770" t="str">
        <f>IF(TwitterClean[[#This Row],[external_url]]="null","Yes","No")</f>
        <v>No</v>
      </c>
      <c r="AK770">
        <f>LEN(TwitterClean[[#This Row],[description]])</f>
        <v>58</v>
      </c>
      <c r="AL770" t="str">
        <f>IF(TwitterClean[[#This Row],[followers]]&lt;100000,"&lt;100K",IF(TwitterClean[[#This Row],[followers]]&lt;1000000,"100K-1M",IF(TwitterClean[[#This Row],[followers]]&lt;10000000,"1M-10M","10M+")))</f>
        <v>1M-10M</v>
      </c>
    </row>
    <row r="771" spans="1:38">
      <c r="A771">
        <v>1.8683906723376374E+18</v>
      </c>
      <c r="B771" t="s">
        <v>3407</v>
      </c>
      <c r="C771" t="s">
        <v>3407</v>
      </c>
      <c r="D771" t="s">
        <v>3408</v>
      </c>
      <c r="E771" t="s">
        <v>3409</v>
      </c>
      <c r="F771" t="s">
        <v>29</v>
      </c>
      <c r="G771" t="s">
        <v>3410</v>
      </c>
      <c r="H771" t="s">
        <v>3411</v>
      </c>
      <c r="I771">
        <v>4</v>
      </c>
      <c r="J771">
        <v>9</v>
      </c>
      <c r="K771">
        <v>66</v>
      </c>
      <c r="L771">
        <v>25265</v>
      </c>
      <c r="M771" t="s">
        <v>52</v>
      </c>
      <c r="N771" t="s">
        <v>29</v>
      </c>
      <c r="O771">
        <v>341169</v>
      </c>
      <c r="P771" t="s">
        <v>3412</v>
      </c>
      <c r="Q771">
        <v>82161</v>
      </c>
      <c r="R771" t="s">
        <v>3413</v>
      </c>
      <c r="S771">
        <v>1186</v>
      </c>
      <c r="T771" t="b">
        <v>0</v>
      </c>
      <c r="U771">
        <v>3</v>
      </c>
      <c r="V771">
        <v>2</v>
      </c>
      <c r="W771" t="s">
        <v>35</v>
      </c>
      <c r="X771" t="s">
        <v>29</v>
      </c>
      <c r="Y771" t="s">
        <v>3414</v>
      </c>
      <c r="Z771" t="s">
        <v>37</v>
      </c>
      <c r="AA771">
        <f>TwitterClean[[#This Row],[likes]]+TwitterClean[[#This Row],[replies]]+TwitterClean[[#This Row],[reposts]]+TwitterClean[[#This Row],[quotes]]+TwitterClean[[#This Row],[bookmarks]]</f>
        <v>84</v>
      </c>
      <c r="AB771" s="1">
        <f>TwitterClean[[#This Row],[Total_Engagements]]/TwitterClean[[#This Row],[views]]</f>
        <v>3.3247575697605385E-3</v>
      </c>
      <c r="AC771" s="3">
        <f>DATEVALUE(MID(TwitterClean[[#This Row],[date_posted]],2,10))</f>
        <v>45641</v>
      </c>
      <c r="AD771">
        <f>TIMEVALUE(MID(TwitterClean[[#This Row],[date_posted]],13,8))</f>
        <v>0.84748842592592588</v>
      </c>
      <c r="AE771" s="3" t="str">
        <f>TEXT(TwitterClean[[#This Row],[Post_Date]],"dddd")</f>
        <v>Sunday</v>
      </c>
      <c r="AF771">
        <f>HOUR(TwitterClean[[#This Row],[Post_Time]])</f>
        <v>20</v>
      </c>
      <c r="AG771" t="str">
        <f>IF(TwitterClean[[#This Row],[videos]]="Null","No","Yes")</f>
        <v>Yes</v>
      </c>
      <c r="AH771" t="str">
        <f>IF(TwitterClean[[#This Row],[photos]]="null","No","Yes")</f>
        <v>No</v>
      </c>
      <c r="AI771" t="str">
        <f>IF(TwitterClean[[#This Row],[hashtags]]="null","No","Yes")</f>
        <v>No</v>
      </c>
      <c r="AJ771" t="str">
        <f>IF(TwitterClean[[#This Row],[external_url]]="null","Yes","No")</f>
        <v>No</v>
      </c>
      <c r="AK771">
        <f>LEN(TwitterClean[[#This Row],[description]])</f>
        <v>76</v>
      </c>
      <c r="AL771" t="str">
        <f>IF(TwitterClean[[#This Row],[followers]]&lt;100000,"&lt;100K",IF(TwitterClean[[#This Row],[followers]]&lt;1000000,"100K-1M",IF(TwitterClean[[#This Row],[followers]]&lt;10000000,"1M-10M","10M+")))</f>
        <v>100K-1M</v>
      </c>
    </row>
    <row r="772" spans="1:38">
      <c r="A772">
        <v>1.8682778473216248E+18</v>
      </c>
      <c r="B772" t="s">
        <v>2935</v>
      </c>
      <c r="C772" t="s">
        <v>2936</v>
      </c>
      <c r="D772" t="s">
        <v>2989</v>
      </c>
      <c r="E772" t="s">
        <v>3695</v>
      </c>
      <c r="F772" t="s">
        <v>29</v>
      </c>
      <c r="G772" t="s">
        <v>3696</v>
      </c>
      <c r="H772" t="s">
        <v>29</v>
      </c>
      <c r="I772">
        <v>16</v>
      </c>
      <c r="J772">
        <v>21</v>
      </c>
      <c r="K772">
        <v>82</v>
      </c>
      <c r="L772">
        <v>38687</v>
      </c>
      <c r="M772" t="s">
        <v>3697</v>
      </c>
      <c r="N772" t="s">
        <v>29</v>
      </c>
      <c r="O772">
        <v>9564155</v>
      </c>
      <c r="P772" t="s">
        <v>2941</v>
      </c>
      <c r="Q772">
        <v>1125277</v>
      </c>
      <c r="R772" t="s">
        <v>2942</v>
      </c>
      <c r="S772">
        <v>93</v>
      </c>
      <c r="T772" t="b">
        <v>0</v>
      </c>
      <c r="U772">
        <v>6</v>
      </c>
      <c r="V772">
        <v>3</v>
      </c>
      <c r="W772" t="s">
        <v>35</v>
      </c>
      <c r="X772" t="s">
        <v>2993</v>
      </c>
      <c r="Y772" t="s">
        <v>29</v>
      </c>
      <c r="Z772" t="s">
        <v>37</v>
      </c>
      <c r="AA772">
        <f>TwitterClean[[#This Row],[likes]]+TwitterClean[[#This Row],[replies]]+TwitterClean[[#This Row],[reposts]]+TwitterClean[[#This Row],[quotes]]+TwitterClean[[#This Row],[bookmarks]]</f>
        <v>128</v>
      </c>
      <c r="AB772" s="1">
        <f>TwitterClean[[#This Row],[Total_Engagements]]/TwitterClean[[#This Row],[views]]</f>
        <v>3.3086049577377413E-3</v>
      </c>
      <c r="AC772" s="3">
        <f>DATEVALUE(MID(TwitterClean[[#This Row],[date_posted]],2,10))</f>
        <v>45641</v>
      </c>
      <c r="AD772">
        <f>TIMEVALUE(MID(TwitterClean[[#This Row],[date_posted]],13,8))</f>
        <v>0.53615740740740736</v>
      </c>
      <c r="AE772" s="3" t="str">
        <f>TEXT(TwitterClean[[#This Row],[Post_Date]],"dddd")</f>
        <v>Sunday</v>
      </c>
      <c r="AF772">
        <f>HOUR(TwitterClean[[#This Row],[Post_Time]])</f>
        <v>12</v>
      </c>
      <c r="AG772" t="str">
        <f>IF(TwitterClean[[#This Row],[videos]]="Null","No","Yes")</f>
        <v>No</v>
      </c>
      <c r="AH772" t="str">
        <f>IF(TwitterClean[[#This Row],[photos]]="null","No","Yes")</f>
        <v>No</v>
      </c>
      <c r="AI772" t="str">
        <f>IF(TwitterClean[[#This Row],[hashtags]]="null","No","Yes")</f>
        <v>No</v>
      </c>
      <c r="AJ772" t="str">
        <f>IF(TwitterClean[[#This Row],[external_url]]="null","Yes","No")</f>
        <v>No</v>
      </c>
      <c r="AK772">
        <f>LEN(TwitterClean[[#This Row],[description]])</f>
        <v>248</v>
      </c>
      <c r="AL772" t="str">
        <f>IF(TwitterClean[[#This Row],[followers]]&lt;100000,"&lt;100K",IF(TwitterClean[[#This Row],[followers]]&lt;1000000,"100K-1M",IF(TwitterClean[[#This Row],[followers]]&lt;10000000,"1M-10M","10M+")))</f>
        <v>1M-10M</v>
      </c>
    </row>
    <row r="773" spans="1:38">
      <c r="A773">
        <v>1.868363612173058E+18</v>
      </c>
      <c r="B773" t="s">
        <v>1646</v>
      </c>
      <c r="C773" t="s">
        <v>1647</v>
      </c>
      <c r="D773" t="s">
        <v>1677</v>
      </c>
      <c r="E773" t="s">
        <v>1678</v>
      </c>
      <c r="F773" t="s">
        <v>29</v>
      </c>
      <c r="G773" t="s">
        <v>1679</v>
      </c>
      <c r="H773" t="s">
        <v>29</v>
      </c>
      <c r="I773">
        <v>0</v>
      </c>
      <c r="J773">
        <v>1</v>
      </c>
      <c r="K773">
        <v>25</v>
      </c>
      <c r="L773">
        <v>8583</v>
      </c>
      <c r="M773" t="s">
        <v>1680</v>
      </c>
      <c r="N773" t="s">
        <v>1652</v>
      </c>
      <c r="O773">
        <v>3768943</v>
      </c>
      <c r="P773" t="s">
        <v>1653</v>
      </c>
      <c r="Q773">
        <v>897934</v>
      </c>
      <c r="R773" t="s">
        <v>1654</v>
      </c>
      <c r="S773">
        <v>28</v>
      </c>
      <c r="T773" t="b">
        <v>0</v>
      </c>
      <c r="U773">
        <v>1</v>
      </c>
      <c r="V773">
        <v>1</v>
      </c>
      <c r="W773" t="s">
        <v>35</v>
      </c>
      <c r="X773" t="s">
        <v>1681</v>
      </c>
      <c r="Y773" t="s">
        <v>29</v>
      </c>
      <c r="Z773" t="s">
        <v>37</v>
      </c>
      <c r="AA773">
        <f>TwitterClean[[#This Row],[likes]]+TwitterClean[[#This Row],[replies]]+TwitterClean[[#This Row],[reposts]]+TwitterClean[[#This Row],[quotes]]+TwitterClean[[#This Row],[bookmarks]]</f>
        <v>28</v>
      </c>
      <c r="AB773" s="1">
        <f>TwitterClean[[#This Row],[Total_Engagements]]/TwitterClean[[#This Row],[views]]</f>
        <v>3.2622626121402774E-3</v>
      </c>
      <c r="AC773" s="3">
        <f>DATEVALUE(MID(TwitterClean[[#This Row],[date_posted]],2,10))</f>
        <v>45641</v>
      </c>
      <c r="AD773">
        <f>TIMEVALUE(MID(TwitterClean[[#This Row],[date_posted]],13,8))</f>
        <v>0.77282407407407405</v>
      </c>
      <c r="AE773" s="3" t="str">
        <f>TEXT(TwitterClean[[#This Row],[Post_Date]],"dddd")</f>
        <v>Sunday</v>
      </c>
      <c r="AF773">
        <f>HOUR(TwitterClean[[#This Row],[Post_Time]])</f>
        <v>18</v>
      </c>
      <c r="AG773" t="str">
        <f>IF(TwitterClean[[#This Row],[videos]]="Null","No","Yes")</f>
        <v>No</v>
      </c>
      <c r="AH773" t="str">
        <f>IF(TwitterClean[[#This Row],[photos]]="null","No","Yes")</f>
        <v>No</v>
      </c>
      <c r="AI773" t="str">
        <f>IF(TwitterClean[[#This Row],[hashtags]]="null","No","Yes")</f>
        <v>Yes</v>
      </c>
      <c r="AJ773" t="str">
        <f>IF(TwitterClean[[#This Row],[external_url]]="null","Yes","No")</f>
        <v>No</v>
      </c>
      <c r="AK773">
        <f>LEN(TwitterClean[[#This Row],[description]])</f>
        <v>127</v>
      </c>
      <c r="AL773" t="str">
        <f>IF(TwitterClean[[#This Row],[followers]]&lt;100000,"&lt;100K",IF(TwitterClean[[#This Row],[followers]]&lt;1000000,"100K-1M",IF(TwitterClean[[#This Row],[followers]]&lt;10000000,"1M-10M","10M+")))</f>
        <v>1M-10M</v>
      </c>
    </row>
    <row r="774" spans="1:38">
      <c r="A774">
        <v>1.8146777683506547E+18</v>
      </c>
      <c r="B774" t="s">
        <v>4105</v>
      </c>
      <c r="C774" t="s">
        <v>4106</v>
      </c>
      <c r="D774" t="s">
        <v>4196</v>
      </c>
      <c r="E774" t="s">
        <v>4197</v>
      </c>
      <c r="F774" t="s">
        <v>4198</v>
      </c>
      <c r="G774" t="s">
        <v>4199</v>
      </c>
      <c r="H774" t="s">
        <v>29</v>
      </c>
      <c r="I774">
        <v>852</v>
      </c>
      <c r="J774">
        <v>531</v>
      </c>
      <c r="K774">
        <v>2609</v>
      </c>
      <c r="L774">
        <v>1404447</v>
      </c>
      <c r="M774" t="s">
        <v>52</v>
      </c>
      <c r="N774" t="s">
        <v>29</v>
      </c>
      <c r="O774">
        <v>303040</v>
      </c>
      <c r="P774" t="s">
        <v>4111</v>
      </c>
      <c r="Q774">
        <v>24240</v>
      </c>
      <c r="R774" t="s">
        <v>4112</v>
      </c>
      <c r="S774">
        <v>8053</v>
      </c>
      <c r="T774" t="b">
        <v>0</v>
      </c>
      <c r="U774">
        <v>67</v>
      </c>
      <c r="V774">
        <v>505</v>
      </c>
      <c r="W774" t="s">
        <v>35</v>
      </c>
      <c r="X774" t="s">
        <v>29</v>
      </c>
      <c r="Y774" t="s">
        <v>4200</v>
      </c>
      <c r="Z774" t="s">
        <v>37</v>
      </c>
      <c r="AA774">
        <f>TwitterClean[[#This Row],[likes]]+TwitterClean[[#This Row],[replies]]+TwitterClean[[#This Row],[reposts]]+TwitterClean[[#This Row],[quotes]]+TwitterClean[[#This Row],[bookmarks]]</f>
        <v>4564</v>
      </c>
      <c r="AB774" s="1">
        <f>TwitterClean[[#This Row],[Total_Engagements]]/TwitterClean[[#This Row],[views]]</f>
        <v>3.2496776311245635E-3</v>
      </c>
      <c r="AC774" s="3">
        <f>DATEVALUE(MID(TwitterClean[[#This Row],[date_posted]],2,10))</f>
        <v>45493</v>
      </c>
      <c r="AD774">
        <f>TIMEVALUE(MID(TwitterClean[[#This Row],[date_posted]],13,8))</f>
        <v>0.62811342592592589</v>
      </c>
      <c r="AE774" s="3" t="str">
        <f>TEXT(TwitterClean[[#This Row],[Post_Date]],"dddd")</f>
        <v>Saturday</v>
      </c>
      <c r="AF774">
        <f>HOUR(TwitterClean[[#This Row],[Post_Time]])</f>
        <v>15</v>
      </c>
      <c r="AG774" t="str">
        <f>IF(TwitterClean[[#This Row],[videos]]="Null","No","Yes")</f>
        <v>Yes</v>
      </c>
      <c r="AH774" t="str">
        <f>IF(TwitterClean[[#This Row],[photos]]="null","No","Yes")</f>
        <v>Yes</v>
      </c>
      <c r="AI774" t="str">
        <f>IF(TwitterClean[[#This Row],[hashtags]]="null","No","Yes")</f>
        <v>No</v>
      </c>
      <c r="AJ774" t="str">
        <f>IF(TwitterClean[[#This Row],[external_url]]="null","Yes","No")</f>
        <v>No</v>
      </c>
      <c r="AK774">
        <f>LEN(TwitterClean[[#This Row],[description]])</f>
        <v>71</v>
      </c>
      <c r="AL774" t="str">
        <f>IF(TwitterClean[[#This Row],[followers]]&lt;100000,"&lt;100K",IF(TwitterClean[[#This Row],[followers]]&lt;1000000,"100K-1M",IF(TwitterClean[[#This Row],[followers]]&lt;10000000,"1M-10M","10M+")))</f>
        <v>100K-1M</v>
      </c>
    </row>
    <row r="775" spans="1:38">
      <c r="A775">
        <v>1.868093359518028E+18</v>
      </c>
      <c r="B775" t="s">
        <v>3034</v>
      </c>
      <c r="C775" t="s">
        <v>3035</v>
      </c>
      <c r="D775" t="s">
        <v>3269</v>
      </c>
      <c r="E775" t="s">
        <v>3270</v>
      </c>
      <c r="F775" t="s">
        <v>29</v>
      </c>
      <c r="G775" t="s">
        <v>3271</v>
      </c>
      <c r="H775" t="s">
        <v>3272</v>
      </c>
      <c r="I775">
        <v>54</v>
      </c>
      <c r="J775">
        <v>26</v>
      </c>
      <c r="K775">
        <v>181</v>
      </c>
      <c r="L775">
        <v>81990</v>
      </c>
      <c r="M775" t="s">
        <v>52</v>
      </c>
      <c r="N775" t="s">
        <v>3040</v>
      </c>
      <c r="O775">
        <v>12876593</v>
      </c>
      <c r="P775" t="s">
        <v>3041</v>
      </c>
      <c r="Q775">
        <v>141401</v>
      </c>
      <c r="R775" t="s">
        <v>3042</v>
      </c>
      <c r="S775">
        <v>717</v>
      </c>
      <c r="T775" t="b">
        <v>0</v>
      </c>
      <c r="U775">
        <v>3</v>
      </c>
      <c r="V775">
        <v>2</v>
      </c>
      <c r="W775" t="s">
        <v>35</v>
      </c>
      <c r="X775" t="s">
        <v>29</v>
      </c>
      <c r="Y775" t="s">
        <v>3273</v>
      </c>
      <c r="Z775" t="s">
        <v>37</v>
      </c>
      <c r="AA775">
        <f>TwitterClean[[#This Row],[likes]]+TwitterClean[[#This Row],[replies]]+TwitterClean[[#This Row],[reposts]]+TwitterClean[[#This Row],[quotes]]+TwitterClean[[#This Row],[bookmarks]]</f>
        <v>266</v>
      </c>
      <c r="AB775" s="1">
        <f>TwitterClean[[#This Row],[Total_Engagements]]/TwitterClean[[#This Row],[views]]</f>
        <v>3.2442980851323331E-3</v>
      </c>
      <c r="AC775" s="3">
        <f>DATEVALUE(MID(TwitterClean[[#This Row],[date_posted]],2,10))</f>
        <v>45641</v>
      </c>
      <c r="AD775">
        <f>TIMEVALUE(MID(TwitterClean[[#This Row],[date_posted]],13,8))</f>
        <v>2.7071759259259261E-2</v>
      </c>
      <c r="AE775" s="3" t="str">
        <f>TEXT(TwitterClean[[#This Row],[Post_Date]],"dddd")</f>
        <v>Sunday</v>
      </c>
      <c r="AF775">
        <f>HOUR(TwitterClean[[#This Row],[Post_Time]])</f>
        <v>0</v>
      </c>
      <c r="AG775" t="str">
        <f>IF(TwitterClean[[#This Row],[videos]]="Null","No","Yes")</f>
        <v>Yes</v>
      </c>
      <c r="AH775" t="str">
        <f>IF(TwitterClean[[#This Row],[photos]]="null","No","Yes")</f>
        <v>No</v>
      </c>
      <c r="AI775" t="str">
        <f>IF(TwitterClean[[#This Row],[hashtags]]="null","No","Yes")</f>
        <v>Yes</v>
      </c>
      <c r="AJ775" t="str">
        <f>IF(TwitterClean[[#This Row],[external_url]]="null","Yes","No")</f>
        <v>No</v>
      </c>
      <c r="AK775">
        <f>LEN(TwitterClean[[#This Row],[description]])</f>
        <v>113</v>
      </c>
      <c r="AL775" t="str">
        <f>IF(TwitterClean[[#This Row],[followers]]&lt;100000,"&lt;100K",IF(TwitterClean[[#This Row],[followers]]&lt;1000000,"100K-1M",IF(TwitterClean[[#This Row],[followers]]&lt;10000000,"1M-10M","10M+")))</f>
        <v>10M+</v>
      </c>
    </row>
    <row r="776" spans="1:38">
      <c r="A776">
        <v>1.8684769528745372E+18</v>
      </c>
      <c r="B776" t="s">
        <v>2230</v>
      </c>
      <c r="C776" t="s">
        <v>2231</v>
      </c>
      <c r="D776" t="s">
        <v>2232</v>
      </c>
      <c r="E776" t="s">
        <v>2233</v>
      </c>
      <c r="F776" t="s">
        <v>2234</v>
      </c>
      <c r="G776" t="s">
        <v>2235</v>
      </c>
      <c r="H776" t="s">
        <v>29</v>
      </c>
      <c r="I776">
        <v>35</v>
      </c>
      <c r="J776">
        <v>2</v>
      </c>
      <c r="K776">
        <v>46</v>
      </c>
      <c r="L776">
        <v>28282</v>
      </c>
      <c r="M776" t="s">
        <v>2236</v>
      </c>
      <c r="N776" t="s">
        <v>29</v>
      </c>
      <c r="O776">
        <v>3313886</v>
      </c>
      <c r="P776" t="s">
        <v>2237</v>
      </c>
      <c r="Q776">
        <v>706459</v>
      </c>
      <c r="R776" t="s">
        <v>2238</v>
      </c>
      <c r="S776">
        <v>10308</v>
      </c>
      <c r="T776" t="b">
        <v>0</v>
      </c>
      <c r="U776">
        <v>5</v>
      </c>
      <c r="V776">
        <v>3</v>
      </c>
      <c r="W776" t="s">
        <v>35</v>
      </c>
      <c r="X776" t="s">
        <v>29</v>
      </c>
      <c r="Y776" t="s">
        <v>29</v>
      </c>
      <c r="Z776" t="s">
        <v>37</v>
      </c>
      <c r="AA776">
        <f>TwitterClean[[#This Row],[likes]]+TwitterClean[[#This Row],[replies]]+TwitterClean[[#This Row],[reposts]]+TwitterClean[[#This Row],[quotes]]+TwitterClean[[#This Row],[bookmarks]]</f>
        <v>91</v>
      </c>
      <c r="AB776" s="1">
        <f>TwitterClean[[#This Row],[Total_Engagements]]/TwitterClean[[#This Row],[views]]</f>
        <v>3.2175942295452936E-3</v>
      </c>
      <c r="AC776" s="3">
        <f>DATEVALUE(MID(TwitterClean[[#This Row],[date_posted]],2,10))</f>
        <v>45642</v>
      </c>
      <c r="AD776">
        <f>TIMEVALUE(MID(TwitterClean[[#This Row],[date_posted]],13,8))</f>
        <v>8.5578703703703699E-2</v>
      </c>
      <c r="AE776" s="3" t="str">
        <f>TEXT(TwitterClean[[#This Row],[Post_Date]],"dddd")</f>
        <v>Monday</v>
      </c>
      <c r="AF776">
        <f>HOUR(TwitterClean[[#This Row],[Post_Time]])</f>
        <v>2</v>
      </c>
      <c r="AG776" t="str">
        <f>IF(TwitterClean[[#This Row],[videos]]="Null","No","Yes")</f>
        <v>No</v>
      </c>
      <c r="AH776" t="str">
        <f>IF(TwitterClean[[#This Row],[photos]]="null","No","Yes")</f>
        <v>Yes</v>
      </c>
      <c r="AI776" t="str">
        <f>IF(TwitterClean[[#This Row],[hashtags]]="null","No","Yes")</f>
        <v>No</v>
      </c>
      <c r="AJ776" t="str">
        <f>IF(TwitterClean[[#This Row],[external_url]]="null","Yes","No")</f>
        <v>No</v>
      </c>
      <c r="AK776">
        <f>LEN(TwitterClean[[#This Row],[description]])</f>
        <v>87</v>
      </c>
      <c r="AL776" t="str">
        <f>IF(TwitterClean[[#This Row],[followers]]&lt;100000,"&lt;100K",IF(TwitterClean[[#This Row],[followers]]&lt;1000000,"100K-1M",IF(TwitterClean[[#This Row],[followers]]&lt;10000000,"1M-10M","10M+")))</f>
        <v>1M-10M</v>
      </c>
    </row>
    <row r="777" spans="1:38">
      <c r="A777">
        <v>1.8685166651822612E+18</v>
      </c>
      <c r="B777" t="s">
        <v>2935</v>
      </c>
      <c r="C777" t="s">
        <v>2936</v>
      </c>
      <c r="D777" t="s">
        <v>3102</v>
      </c>
      <c r="E777" t="s">
        <v>3103</v>
      </c>
      <c r="F777" t="s">
        <v>29</v>
      </c>
      <c r="G777" t="s">
        <v>3104</v>
      </c>
      <c r="H777" t="s">
        <v>29</v>
      </c>
      <c r="I777">
        <v>20</v>
      </c>
      <c r="J777">
        <v>7</v>
      </c>
      <c r="K777">
        <v>26</v>
      </c>
      <c r="L777">
        <v>17774</v>
      </c>
      <c r="M777" t="s">
        <v>3105</v>
      </c>
      <c r="N777" t="s">
        <v>29</v>
      </c>
      <c r="O777">
        <v>9564156</v>
      </c>
      <c r="P777" t="s">
        <v>2941</v>
      </c>
      <c r="Q777">
        <v>1125277</v>
      </c>
      <c r="R777" t="s">
        <v>2942</v>
      </c>
      <c r="S777">
        <v>93</v>
      </c>
      <c r="T777" t="b">
        <v>0</v>
      </c>
      <c r="U777">
        <v>3</v>
      </c>
      <c r="V777">
        <v>1</v>
      </c>
      <c r="W777" t="s">
        <v>35</v>
      </c>
      <c r="X777" t="s">
        <v>3106</v>
      </c>
      <c r="Y777" t="s">
        <v>29</v>
      </c>
      <c r="Z777" t="s">
        <v>37</v>
      </c>
      <c r="AA777">
        <f>TwitterClean[[#This Row],[likes]]+TwitterClean[[#This Row],[replies]]+TwitterClean[[#This Row],[reposts]]+TwitterClean[[#This Row],[quotes]]+TwitterClean[[#This Row],[bookmarks]]</f>
        <v>57</v>
      </c>
      <c r="AB777" s="1">
        <f>TwitterClean[[#This Row],[Total_Engagements]]/TwitterClean[[#This Row],[views]]</f>
        <v>3.2069314729379992E-3</v>
      </c>
      <c r="AC777" s="3">
        <f>DATEVALUE(MID(TwitterClean[[#This Row],[date_posted]],2,10))</f>
        <v>45642</v>
      </c>
      <c r="AD777">
        <f>TIMEVALUE(MID(TwitterClean[[#This Row],[date_posted]],13,8))</f>
        <v>0.19516203703703705</v>
      </c>
      <c r="AE777" s="3" t="str">
        <f>TEXT(TwitterClean[[#This Row],[Post_Date]],"dddd")</f>
        <v>Monday</v>
      </c>
      <c r="AF777">
        <f>HOUR(TwitterClean[[#This Row],[Post_Time]])</f>
        <v>4</v>
      </c>
      <c r="AG777" t="str">
        <f>IF(TwitterClean[[#This Row],[videos]]="Null","No","Yes")</f>
        <v>No</v>
      </c>
      <c r="AH777" t="str">
        <f>IF(TwitterClean[[#This Row],[photos]]="null","No","Yes")</f>
        <v>No</v>
      </c>
      <c r="AI777" t="str">
        <f>IF(TwitterClean[[#This Row],[hashtags]]="null","No","Yes")</f>
        <v>No</v>
      </c>
      <c r="AJ777" t="str">
        <f>IF(TwitterClean[[#This Row],[external_url]]="null","Yes","No")</f>
        <v>No</v>
      </c>
      <c r="AK777">
        <f>LEN(TwitterClean[[#This Row],[description]])</f>
        <v>139</v>
      </c>
      <c r="AL777" t="str">
        <f>IF(TwitterClean[[#This Row],[followers]]&lt;100000,"&lt;100K",IF(TwitterClean[[#This Row],[followers]]&lt;1000000,"100K-1M",IF(TwitterClean[[#This Row],[followers]]&lt;10000000,"1M-10M","10M+")))</f>
        <v>1M-10M</v>
      </c>
    </row>
    <row r="778" spans="1:38">
      <c r="A778">
        <v>1.8680973084594097E+18</v>
      </c>
      <c r="B778" t="s">
        <v>1646</v>
      </c>
      <c r="C778" t="s">
        <v>1647</v>
      </c>
      <c r="D778" t="s">
        <v>1834</v>
      </c>
      <c r="E778" t="s">
        <v>1835</v>
      </c>
      <c r="F778" t="s">
        <v>29</v>
      </c>
      <c r="G778" t="s">
        <v>1836</v>
      </c>
      <c r="H778" t="s">
        <v>29</v>
      </c>
      <c r="I778">
        <v>3</v>
      </c>
      <c r="J778">
        <v>2</v>
      </c>
      <c r="K778">
        <v>30</v>
      </c>
      <c r="L778">
        <v>11560</v>
      </c>
      <c r="M778" t="s">
        <v>1837</v>
      </c>
      <c r="N778" t="s">
        <v>1652</v>
      </c>
      <c r="O778">
        <v>3768944</v>
      </c>
      <c r="P778" t="s">
        <v>1653</v>
      </c>
      <c r="Q778">
        <v>897934</v>
      </c>
      <c r="R778" t="s">
        <v>1654</v>
      </c>
      <c r="S778">
        <v>28</v>
      </c>
      <c r="T778" t="b">
        <v>0</v>
      </c>
      <c r="U778">
        <v>0</v>
      </c>
      <c r="V778">
        <v>2</v>
      </c>
      <c r="W778" t="s">
        <v>35</v>
      </c>
      <c r="X778" t="s">
        <v>1838</v>
      </c>
      <c r="Y778" t="s">
        <v>29</v>
      </c>
      <c r="Z778" t="s">
        <v>37</v>
      </c>
      <c r="AA778">
        <f>TwitterClean[[#This Row],[likes]]+TwitterClean[[#This Row],[replies]]+TwitterClean[[#This Row],[reposts]]+TwitterClean[[#This Row],[quotes]]+TwitterClean[[#This Row],[bookmarks]]</f>
        <v>37</v>
      </c>
      <c r="AB778" s="1">
        <f>TwitterClean[[#This Row],[Total_Engagements]]/TwitterClean[[#This Row],[views]]</f>
        <v>3.2006920415224914E-3</v>
      </c>
      <c r="AC778" s="3">
        <f>DATEVALUE(MID(TwitterClean[[#This Row],[date_posted]],2,10))</f>
        <v>45641</v>
      </c>
      <c r="AD778">
        <f>TIMEVALUE(MID(TwitterClean[[#This Row],[date_posted]],13,8))</f>
        <v>3.7962962962962962E-2</v>
      </c>
      <c r="AE778" s="3" t="str">
        <f>TEXT(TwitterClean[[#This Row],[Post_Date]],"dddd")</f>
        <v>Sunday</v>
      </c>
      <c r="AF778">
        <f>HOUR(TwitterClean[[#This Row],[Post_Time]])</f>
        <v>0</v>
      </c>
      <c r="AG778" t="str">
        <f>IF(TwitterClean[[#This Row],[videos]]="Null","No","Yes")</f>
        <v>No</v>
      </c>
      <c r="AH778" t="str">
        <f>IF(TwitterClean[[#This Row],[photos]]="null","No","Yes")</f>
        <v>No</v>
      </c>
      <c r="AI778" t="str">
        <f>IF(TwitterClean[[#This Row],[hashtags]]="null","No","Yes")</f>
        <v>Yes</v>
      </c>
      <c r="AJ778" t="str">
        <f>IF(TwitterClean[[#This Row],[external_url]]="null","Yes","No")</f>
        <v>No</v>
      </c>
      <c r="AK778">
        <f>LEN(TwitterClean[[#This Row],[description]])</f>
        <v>58</v>
      </c>
      <c r="AL778" t="str">
        <f>IF(TwitterClean[[#This Row],[followers]]&lt;100000,"&lt;100K",IF(TwitterClean[[#This Row],[followers]]&lt;1000000,"100K-1M",IF(TwitterClean[[#This Row],[followers]]&lt;10000000,"1M-10M","10M+")))</f>
        <v>1M-10M</v>
      </c>
    </row>
    <row r="779" spans="1:38">
      <c r="A779">
        <v>1.8682904304226432E+18</v>
      </c>
      <c r="B779" t="s">
        <v>4292</v>
      </c>
      <c r="C779" t="s">
        <v>4293</v>
      </c>
      <c r="D779" t="s">
        <v>4294</v>
      </c>
      <c r="E779" t="s">
        <v>4295</v>
      </c>
      <c r="F779" t="s">
        <v>29</v>
      </c>
      <c r="G779" t="s">
        <v>4296</v>
      </c>
      <c r="H779" t="s">
        <v>4297</v>
      </c>
      <c r="I779">
        <v>3</v>
      </c>
      <c r="J779">
        <v>4</v>
      </c>
      <c r="K779">
        <v>107</v>
      </c>
      <c r="L779">
        <v>35936</v>
      </c>
      <c r="M779" t="s">
        <v>52</v>
      </c>
      <c r="N779" t="s">
        <v>3212</v>
      </c>
      <c r="O779">
        <v>290454</v>
      </c>
      <c r="P779" t="s">
        <v>4298</v>
      </c>
      <c r="Q779">
        <v>128147</v>
      </c>
      <c r="R779" t="s">
        <v>4299</v>
      </c>
      <c r="S779">
        <v>1290</v>
      </c>
      <c r="T779" t="b">
        <v>0</v>
      </c>
      <c r="U779">
        <v>0</v>
      </c>
      <c r="V779">
        <v>1</v>
      </c>
      <c r="W779" t="s">
        <v>35</v>
      </c>
      <c r="X779" t="s">
        <v>29</v>
      </c>
      <c r="Y779" t="s">
        <v>4300</v>
      </c>
      <c r="Z779" t="s">
        <v>37</v>
      </c>
      <c r="AA779">
        <f>TwitterClean[[#This Row],[likes]]+TwitterClean[[#This Row],[replies]]+TwitterClean[[#This Row],[reposts]]+TwitterClean[[#This Row],[quotes]]+TwitterClean[[#This Row],[bookmarks]]</f>
        <v>115</v>
      </c>
      <c r="AB779" s="1">
        <f>TwitterClean[[#This Row],[Total_Engagements]]/TwitterClean[[#This Row],[views]]</f>
        <v>3.20013357079252E-3</v>
      </c>
      <c r="AC779" s="3">
        <f>DATEVALUE(MID(TwitterClean[[#This Row],[date_posted]],2,10))</f>
        <v>45641</v>
      </c>
      <c r="AD779">
        <f>TIMEVALUE(MID(TwitterClean[[#This Row],[date_posted]],13,8))</f>
        <v>0.57087962962962968</v>
      </c>
      <c r="AE779" s="3" t="str">
        <f>TEXT(TwitterClean[[#This Row],[Post_Date]],"dddd")</f>
        <v>Sunday</v>
      </c>
      <c r="AF779">
        <f>HOUR(TwitterClean[[#This Row],[Post_Time]])</f>
        <v>13</v>
      </c>
      <c r="AG779" t="str">
        <f>IF(TwitterClean[[#This Row],[videos]]="Null","No","Yes")</f>
        <v>Yes</v>
      </c>
      <c r="AH779" t="str">
        <f>IF(TwitterClean[[#This Row],[photos]]="null","No","Yes")</f>
        <v>No</v>
      </c>
      <c r="AI779" t="str">
        <f>IF(TwitterClean[[#This Row],[hashtags]]="null","No","Yes")</f>
        <v>Yes</v>
      </c>
      <c r="AJ779" t="str">
        <f>IF(TwitterClean[[#This Row],[external_url]]="null","Yes","No")</f>
        <v>No</v>
      </c>
      <c r="AK779">
        <f>LEN(TwitterClean[[#This Row],[description]])</f>
        <v>116</v>
      </c>
      <c r="AL779" t="str">
        <f>IF(TwitterClean[[#This Row],[followers]]&lt;100000,"&lt;100K",IF(TwitterClean[[#This Row],[followers]]&lt;1000000,"100K-1M",IF(TwitterClean[[#This Row],[followers]]&lt;10000000,"1M-10M","10M+")))</f>
        <v>100K-1M</v>
      </c>
    </row>
    <row r="780" spans="1:38">
      <c r="A780">
        <v>1.8682812461339241E+18</v>
      </c>
      <c r="B780" t="s">
        <v>3205</v>
      </c>
      <c r="C780" t="s">
        <v>3206</v>
      </c>
      <c r="D780" t="s">
        <v>3535</v>
      </c>
      <c r="E780" t="s">
        <v>3536</v>
      </c>
      <c r="F780" t="s">
        <v>29</v>
      </c>
      <c r="G780" t="s">
        <v>3537</v>
      </c>
      <c r="H780" t="s">
        <v>3538</v>
      </c>
      <c r="I780">
        <v>1</v>
      </c>
      <c r="J780">
        <v>1</v>
      </c>
      <c r="K780">
        <v>11</v>
      </c>
      <c r="L780">
        <v>4112</v>
      </c>
      <c r="M780" t="s">
        <v>3539</v>
      </c>
      <c r="N780" t="s">
        <v>3212</v>
      </c>
      <c r="O780">
        <v>156681</v>
      </c>
      <c r="P780" t="s">
        <v>3213</v>
      </c>
      <c r="Q780">
        <v>35682</v>
      </c>
      <c r="R780" t="s">
        <v>3214</v>
      </c>
      <c r="S780">
        <v>1430</v>
      </c>
      <c r="T780" t="b">
        <v>0</v>
      </c>
      <c r="U780">
        <v>0</v>
      </c>
      <c r="V780">
        <v>0</v>
      </c>
      <c r="W780" t="s">
        <v>35</v>
      </c>
      <c r="X780" t="s">
        <v>29</v>
      </c>
      <c r="Y780" t="s">
        <v>3540</v>
      </c>
      <c r="Z780" t="s">
        <v>37</v>
      </c>
      <c r="AA780">
        <f>TwitterClean[[#This Row],[likes]]+TwitterClean[[#This Row],[replies]]+TwitterClean[[#This Row],[reposts]]+TwitterClean[[#This Row],[quotes]]+TwitterClean[[#This Row],[bookmarks]]</f>
        <v>13</v>
      </c>
      <c r="AB780" s="1">
        <f>TwitterClean[[#This Row],[Total_Engagements]]/TwitterClean[[#This Row],[views]]</f>
        <v>3.1614785992217899E-3</v>
      </c>
      <c r="AC780" s="3">
        <f>DATEVALUE(MID(TwitterClean[[#This Row],[date_posted]],2,10))</f>
        <v>45641</v>
      </c>
      <c r="AD780">
        <f>TIMEVALUE(MID(TwitterClean[[#This Row],[date_posted]],13,8))</f>
        <v>0.54553240740740738</v>
      </c>
      <c r="AE780" s="3" t="str">
        <f>TEXT(TwitterClean[[#This Row],[Post_Date]],"dddd")</f>
        <v>Sunday</v>
      </c>
      <c r="AF780">
        <f>HOUR(TwitterClean[[#This Row],[Post_Time]])</f>
        <v>13</v>
      </c>
      <c r="AG780" t="str">
        <f>IF(TwitterClean[[#This Row],[videos]]="Null","No","Yes")</f>
        <v>Yes</v>
      </c>
      <c r="AH780" t="str">
        <f>IF(TwitterClean[[#This Row],[photos]]="null","No","Yes")</f>
        <v>No</v>
      </c>
      <c r="AI780" t="str">
        <f>IF(TwitterClean[[#This Row],[hashtags]]="null","No","Yes")</f>
        <v>Yes</v>
      </c>
      <c r="AJ780" t="str">
        <f>IF(TwitterClean[[#This Row],[external_url]]="null","Yes","No")</f>
        <v>No</v>
      </c>
      <c r="AK780">
        <f>LEN(TwitterClean[[#This Row],[description]])</f>
        <v>75</v>
      </c>
      <c r="AL780" t="str">
        <f>IF(TwitterClean[[#This Row],[followers]]&lt;100000,"&lt;100K",IF(TwitterClean[[#This Row],[followers]]&lt;1000000,"100K-1M",IF(TwitterClean[[#This Row],[followers]]&lt;10000000,"1M-10M","10M+")))</f>
        <v>100K-1M</v>
      </c>
    </row>
    <row r="781" spans="1:38">
      <c r="A781">
        <v>1.8684299671779574E+18</v>
      </c>
      <c r="B781" t="s">
        <v>26</v>
      </c>
      <c r="C781" t="s">
        <v>26</v>
      </c>
      <c r="D781" t="s">
        <v>130</v>
      </c>
      <c r="E781" t="s">
        <v>131</v>
      </c>
      <c r="F781" t="s">
        <v>29</v>
      </c>
      <c r="G781" t="s">
        <v>132</v>
      </c>
      <c r="H781" t="s">
        <v>29</v>
      </c>
      <c r="I781">
        <v>1</v>
      </c>
      <c r="J781">
        <v>1</v>
      </c>
      <c r="K781">
        <v>21</v>
      </c>
      <c r="L781">
        <v>8306</v>
      </c>
      <c r="M781" t="s">
        <v>31</v>
      </c>
      <c r="N781" t="s">
        <v>32</v>
      </c>
      <c r="O781">
        <v>5771758</v>
      </c>
      <c r="P781" t="s">
        <v>33</v>
      </c>
      <c r="Q781">
        <v>222223</v>
      </c>
      <c r="R781" t="s">
        <v>34</v>
      </c>
      <c r="S781">
        <v>122</v>
      </c>
      <c r="T781" t="b">
        <v>0</v>
      </c>
      <c r="U781">
        <v>1</v>
      </c>
      <c r="V781">
        <v>2</v>
      </c>
      <c r="W781" t="s">
        <v>35</v>
      </c>
      <c r="X781" t="s">
        <v>29</v>
      </c>
      <c r="Y781" t="s">
        <v>133</v>
      </c>
      <c r="Z781" t="s">
        <v>37</v>
      </c>
      <c r="AA781">
        <f>TwitterClean[[#This Row],[likes]]+TwitterClean[[#This Row],[replies]]+TwitterClean[[#This Row],[reposts]]+TwitterClean[[#This Row],[quotes]]+TwitterClean[[#This Row],[bookmarks]]</f>
        <v>26</v>
      </c>
      <c r="AB781" s="1">
        <f>TwitterClean[[#This Row],[Total_Engagements]]/TwitterClean[[#This Row],[views]]</f>
        <v>3.1302672766674693E-3</v>
      </c>
      <c r="AC781" s="3">
        <f>DATEVALUE(MID(TwitterClean[[#This Row],[date_posted]],2,10))</f>
        <v>45641</v>
      </c>
      <c r="AD781">
        <f>TIMEVALUE(MID(TwitterClean[[#This Row],[date_posted]],13,8))</f>
        <v>0.95592592592592596</v>
      </c>
      <c r="AE781" s="3" t="str">
        <f>TEXT(TwitterClean[[#This Row],[Post_Date]],"dddd")</f>
        <v>Sunday</v>
      </c>
      <c r="AF781">
        <f>HOUR(TwitterClean[[#This Row],[Post_Time]])</f>
        <v>22</v>
      </c>
      <c r="AG781" t="str">
        <f>IF(TwitterClean[[#This Row],[videos]]="Null","No","Yes")</f>
        <v>Yes</v>
      </c>
      <c r="AH781" t="str">
        <f>IF(TwitterClean[[#This Row],[photos]]="null","No","Yes")</f>
        <v>No</v>
      </c>
      <c r="AI781" t="str">
        <f>IF(TwitterClean[[#This Row],[hashtags]]="null","No","Yes")</f>
        <v>Yes</v>
      </c>
      <c r="AJ781" t="str">
        <f>IF(TwitterClean[[#This Row],[external_url]]="null","Yes","No")</f>
        <v>No</v>
      </c>
      <c r="AK781">
        <f>LEN(TwitterClean[[#This Row],[description]])</f>
        <v>228</v>
      </c>
      <c r="AL781" t="str">
        <f>IF(TwitterClean[[#This Row],[followers]]&lt;100000,"&lt;100K",IF(TwitterClean[[#This Row],[followers]]&lt;1000000,"100K-1M",IF(TwitterClean[[#This Row],[followers]]&lt;10000000,"1M-10M","10M+")))</f>
        <v>1M-10M</v>
      </c>
    </row>
    <row r="782" spans="1:38">
      <c r="A782">
        <v>1.8681070090040407E+18</v>
      </c>
      <c r="B782" t="s">
        <v>3034</v>
      </c>
      <c r="C782" t="s">
        <v>3035</v>
      </c>
      <c r="D782" t="s">
        <v>3795</v>
      </c>
      <c r="E782" t="s">
        <v>3796</v>
      </c>
      <c r="F782" t="s">
        <v>29</v>
      </c>
      <c r="G782" t="s">
        <v>3797</v>
      </c>
      <c r="H782" t="s">
        <v>3798</v>
      </c>
      <c r="I782">
        <v>40</v>
      </c>
      <c r="J782">
        <v>27</v>
      </c>
      <c r="K782">
        <v>176</v>
      </c>
      <c r="L782">
        <v>80642</v>
      </c>
      <c r="M782" t="s">
        <v>52</v>
      </c>
      <c r="N782" t="s">
        <v>3040</v>
      </c>
      <c r="O782">
        <v>12876593</v>
      </c>
      <c r="P782" t="s">
        <v>3041</v>
      </c>
      <c r="Q782">
        <v>141401</v>
      </c>
      <c r="R782" t="s">
        <v>3042</v>
      </c>
      <c r="S782">
        <v>717</v>
      </c>
      <c r="T782" t="b">
        <v>0</v>
      </c>
      <c r="U782">
        <v>4</v>
      </c>
      <c r="V782">
        <v>2</v>
      </c>
      <c r="W782" t="s">
        <v>35</v>
      </c>
      <c r="X782" t="s">
        <v>29</v>
      </c>
      <c r="Y782" t="s">
        <v>3799</v>
      </c>
      <c r="Z782" t="s">
        <v>37</v>
      </c>
      <c r="AA782">
        <f>TwitterClean[[#This Row],[likes]]+TwitterClean[[#This Row],[replies]]+TwitterClean[[#This Row],[reposts]]+TwitterClean[[#This Row],[quotes]]+TwitterClean[[#This Row],[bookmarks]]</f>
        <v>249</v>
      </c>
      <c r="AB782" s="1">
        <f>TwitterClean[[#This Row],[Total_Engagements]]/TwitterClean[[#This Row],[views]]</f>
        <v>3.0877210386647158E-3</v>
      </c>
      <c r="AC782" s="3">
        <f>DATEVALUE(MID(TwitterClean[[#This Row],[date_posted]],2,10))</f>
        <v>45641</v>
      </c>
      <c r="AD782">
        <f>TIMEVALUE(MID(TwitterClean[[#This Row],[date_posted]],13,8))</f>
        <v>6.4733796296296303E-2</v>
      </c>
      <c r="AE782" s="3" t="str">
        <f>TEXT(TwitterClean[[#This Row],[Post_Date]],"dddd")</f>
        <v>Sunday</v>
      </c>
      <c r="AF782">
        <f>HOUR(TwitterClean[[#This Row],[Post_Time]])</f>
        <v>1</v>
      </c>
      <c r="AG782" t="str">
        <f>IF(TwitterClean[[#This Row],[videos]]="Null","No","Yes")</f>
        <v>Yes</v>
      </c>
      <c r="AH782" t="str">
        <f>IF(TwitterClean[[#This Row],[photos]]="null","No","Yes")</f>
        <v>No</v>
      </c>
      <c r="AI782" t="str">
        <f>IF(TwitterClean[[#This Row],[hashtags]]="null","No","Yes")</f>
        <v>Yes</v>
      </c>
      <c r="AJ782" t="str">
        <f>IF(TwitterClean[[#This Row],[external_url]]="null","Yes","No")</f>
        <v>No</v>
      </c>
      <c r="AK782">
        <f>LEN(TwitterClean[[#This Row],[description]])</f>
        <v>96</v>
      </c>
      <c r="AL782" t="str">
        <f>IF(TwitterClean[[#This Row],[followers]]&lt;100000,"&lt;100K",IF(TwitterClean[[#This Row],[followers]]&lt;1000000,"100K-1M",IF(TwitterClean[[#This Row],[followers]]&lt;10000000,"1M-10M","10M+")))</f>
        <v>10M+</v>
      </c>
    </row>
    <row r="783" spans="1:38">
      <c r="A783">
        <v>1.8683233966367788E+18</v>
      </c>
      <c r="B783" t="s">
        <v>183</v>
      </c>
      <c r="C783" t="s">
        <v>184</v>
      </c>
      <c r="D783" t="s">
        <v>919</v>
      </c>
      <c r="E783" t="s">
        <v>920</v>
      </c>
      <c r="F783" t="s">
        <v>29</v>
      </c>
      <c r="G783" t="s">
        <v>921</v>
      </c>
      <c r="H783" t="s">
        <v>29</v>
      </c>
      <c r="I783">
        <v>32</v>
      </c>
      <c r="J783">
        <v>32</v>
      </c>
      <c r="K783">
        <v>74</v>
      </c>
      <c r="L783">
        <v>52813</v>
      </c>
      <c r="M783" t="s">
        <v>922</v>
      </c>
      <c r="N783" t="s">
        <v>29</v>
      </c>
      <c r="O783">
        <v>27122998</v>
      </c>
      <c r="P783" t="s">
        <v>190</v>
      </c>
      <c r="Q783">
        <v>402760</v>
      </c>
      <c r="R783" t="s">
        <v>191</v>
      </c>
      <c r="S783">
        <v>155</v>
      </c>
      <c r="T783" t="b">
        <v>0</v>
      </c>
      <c r="U783">
        <v>8</v>
      </c>
      <c r="V783">
        <v>17</v>
      </c>
      <c r="W783" t="s">
        <v>35</v>
      </c>
      <c r="X783" t="s">
        <v>923</v>
      </c>
      <c r="Y783" t="s">
        <v>29</v>
      </c>
      <c r="Z783" t="s">
        <v>37</v>
      </c>
      <c r="AA783">
        <f>TwitterClean[[#This Row],[likes]]+TwitterClean[[#This Row],[replies]]+TwitterClean[[#This Row],[reposts]]+TwitterClean[[#This Row],[quotes]]+TwitterClean[[#This Row],[bookmarks]]</f>
        <v>163</v>
      </c>
      <c r="AB783" s="1">
        <f>TwitterClean[[#This Row],[Total_Engagements]]/TwitterClean[[#This Row],[views]]</f>
        <v>3.0863613125556208E-3</v>
      </c>
      <c r="AC783" s="3">
        <f>DATEVALUE(MID(TwitterClean[[#This Row],[date_posted]],2,10))</f>
        <v>45641</v>
      </c>
      <c r="AD783">
        <f>TIMEVALUE(MID(TwitterClean[[#This Row],[date_posted]],13,8))</f>
        <v>0.6618518518518518</v>
      </c>
      <c r="AE783" s="3" t="str">
        <f>TEXT(TwitterClean[[#This Row],[Post_Date]],"dddd")</f>
        <v>Sunday</v>
      </c>
      <c r="AF783">
        <f>HOUR(TwitterClean[[#This Row],[Post_Time]])</f>
        <v>15</v>
      </c>
      <c r="AG783" t="str">
        <f>IF(TwitterClean[[#This Row],[videos]]="Null","No","Yes")</f>
        <v>No</v>
      </c>
      <c r="AH783" t="str">
        <f>IF(TwitterClean[[#This Row],[photos]]="null","No","Yes")</f>
        <v>No</v>
      </c>
      <c r="AI783" t="str">
        <f>IF(TwitterClean[[#This Row],[hashtags]]="null","No","Yes")</f>
        <v>No</v>
      </c>
      <c r="AJ783" t="str">
        <f>IF(TwitterClean[[#This Row],[external_url]]="null","Yes","No")</f>
        <v>No</v>
      </c>
      <c r="AK783">
        <f>LEN(TwitterClean[[#This Row],[description]])</f>
        <v>85</v>
      </c>
      <c r="AL783" t="str">
        <f>IF(TwitterClean[[#This Row],[followers]]&lt;100000,"&lt;100K",IF(TwitterClean[[#This Row],[followers]]&lt;1000000,"100K-1M",IF(TwitterClean[[#This Row],[followers]]&lt;10000000,"1M-10M","10M+")))</f>
        <v>10M+</v>
      </c>
    </row>
    <row r="784" spans="1:38">
      <c r="A784">
        <v>1.8618592371038254E+18</v>
      </c>
      <c r="B784" t="s">
        <v>4150</v>
      </c>
      <c r="C784" t="s">
        <v>4151</v>
      </c>
      <c r="D784" t="s">
        <v>4152</v>
      </c>
      <c r="E784" t="s">
        <v>4153</v>
      </c>
      <c r="F784" t="s">
        <v>4154</v>
      </c>
      <c r="G784" t="s">
        <v>4155</v>
      </c>
      <c r="H784" t="s">
        <v>29</v>
      </c>
      <c r="I784">
        <v>459</v>
      </c>
      <c r="J784">
        <v>569</v>
      </c>
      <c r="K784">
        <v>3761</v>
      </c>
      <c r="L784">
        <v>1947234</v>
      </c>
      <c r="M784" t="s">
        <v>52</v>
      </c>
      <c r="N784" t="s">
        <v>29</v>
      </c>
      <c r="O784">
        <v>226145</v>
      </c>
      <c r="P784" t="s">
        <v>4156</v>
      </c>
      <c r="Q784">
        <v>30244</v>
      </c>
      <c r="R784" t="s">
        <v>4157</v>
      </c>
      <c r="S784">
        <v>1844</v>
      </c>
      <c r="T784" t="b">
        <v>0</v>
      </c>
      <c r="U784">
        <v>85</v>
      </c>
      <c r="V784">
        <v>1128</v>
      </c>
      <c r="W784" t="s">
        <v>35</v>
      </c>
      <c r="X784" t="s">
        <v>29</v>
      </c>
      <c r="Y784" t="s">
        <v>4158</v>
      </c>
      <c r="Z784" t="s">
        <v>37</v>
      </c>
      <c r="AA784">
        <f>TwitterClean[[#This Row],[likes]]+TwitterClean[[#This Row],[replies]]+TwitterClean[[#This Row],[reposts]]+TwitterClean[[#This Row],[quotes]]+TwitterClean[[#This Row],[bookmarks]]</f>
        <v>6002</v>
      </c>
      <c r="AB784" s="1">
        <f>TwitterClean[[#This Row],[Total_Engagements]]/TwitterClean[[#This Row],[views]]</f>
        <v>3.082320871554215E-3</v>
      </c>
      <c r="AC784" s="3">
        <f>DATEVALUE(MID(TwitterClean[[#This Row],[date_posted]],2,10))</f>
        <v>45623</v>
      </c>
      <c r="AD784">
        <f>TIMEVALUE(MID(TwitterClean[[#This Row],[date_posted]],13,8))</f>
        <v>0.82416666666666671</v>
      </c>
      <c r="AE784" s="3" t="str">
        <f>TEXT(TwitterClean[[#This Row],[Post_Date]],"dddd")</f>
        <v>Wednesday</v>
      </c>
      <c r="AF784">
        <f>HOUR(TwitterClean[[#This Row],[Post_Time]])</f>
        <v>19</v>
      </c>
      <c r="AG784" t="str">
        <f>IF(TwitterClean[[#This Row],[videos]]="Null","No","Yes")</f>
        <v>Yes</v>
      </c>
      <c r="AH784" t="str">
        <f>IF(TwitterClean[[#This Row],[photos]]="null","No","Yes")</f>
        <v>Yes</v>
      </c>
      <c r="AI784" t="str">
        <f>IF(TwitterClean[[#This Row],[hashtags]]="null","No","Yes")</f>
        <v>No</v>
      </c>
      <c r="AJ784" t="str">
        <f>IF(TwitterClean[[#This Row],[external_url]]="null","Yes","No")</f>
        <v>No</v>
      </c>
      <c r="AK784">
        <f>LEN(TwitterClean[[#This Row],[description]])</f>
        <v>10</v>
      </c>
      <c r="AL784" t="str">
        <f>IF(TwitterClean[[#This Row],[followers]]&lt;100000,"&lt;100K",IF(TwitterClean[[#This Row],[followers]]&lt;1000000,"100K-1M",IF(TwitterClean[[#This Row],[followers]]&lt;10000000,"1M-10M","10M+")))</f>
        <v>100K-1M</v>
      </c>
    </row>
    <row r="785" spans="1:38">
      <c r="A785">
        <v>1.8684014412174298E+18</v>
      </c>
      <c r="B785" t="s">
        <v>1646</v>
      </c>
      <c r="C785" t="s">
        <v>1647</v>
      </c>
      <c r="D785" t="s">
        <v>1746</v>
      </c>
      <c r="E785" t="s">
        <v>1747</v>
      </c>
      <c r="F785" t="s">
        <v>29</v>
      </c>
      <c r="G785" t="s">
        <v>1748</v>
      </c>
      <c r="H785" t="s">
        <v>29</v>
      </c>
      <c r="I785">
        <v>3</v>
      </c>
      <c r="J785">
        <v>1</v>
      </c>
      <c r="K785">
        <v>19</v>
      </c>
      <c r="L785">
        <v>7790</v>
      </c>
      <c r="M785" t="s">
        <v>1749</v>
      </c>
      <c r="N785" t="s">
        <v>1675</v>
      </c>
      <c r="O785">
        <v>3768943</v>
      </c>
      <c r="P785" t="s">
        <v>1653</v>
      </c>
      <c r="Q785">
        <v>897934</v>
      </c>
      <c r="R785" t="s">
        <v>1654</v>
      </c>
      <c r="S785">
        <v>28</v>
      </c>
      <c r="T785" t="b">
        <v>0</v>
      </c>
      <c r="U785">
        <v>0</v>
      </c>
      <c r="V785">
        <v>1</v>
      </c>
      <c r="W785" t="s">
        <v>35</v>
      </c>
      <c r="X785" t="s">
        <v>1750</v>
      </c>
      <c r="Y785" t="s">
        <v>29</v>
      </c>
      <c r="Z785" t="s">
        <v>37</v>
      </c>
      <c r="AA785">
        <f>TwitterClean[[#This Row],[likes]]+TwitterClean[[#This Row],[replies]]+TwitterClean[[#This Row],[reposts]]+TwitterClean[[#This Row],[quotes]]+TwitterClean[[#This Row],[bookmarks]]</f>
        <v>24</v>
      </c>
      <c r="AB785" s="1">
        <f>TwitterClean[[#This Row],[Total_Engagements]]/TwitterClean[[#This Row],[views]]</f>
        <v>3.0808729139922978E-3</v>
      </c>
      <c r="AC785" s="3">
        <f>DATEVALUE(MID(TwitterClean[[#This Row],[date_posted]],2,10))</f>
        <v>45641</v>
      </c>
      <c r="AD785">
        <f>TIMEVALUE(MID(TwitterClean[[#This Row],[date_posted]],13,8))</f>
        <v>0.8772106481481482</v>
      </c>
      <c r="AE785" s="3" t="str">
        <f>TEXT(TwitterClean[[#This Row],[Post_Date]],"dddd")</f>
        <v>Sunday</v>
      </c>
      <c r="AF785">
        <f>HOUR(TwitterClean[[#This Row],[Post_Time]])</f>
        <v>21</v>
      </c>
      <c r="AG785" t="str">
        <f>IF(TwitterClean[[#This Row],[videos]]="Null","No","Yes")</f>
        <v>No</v>
      </c>
      <c r="AH785" t="str">
        <f>IF(TwitterClean[[#This Row],[photos]]="null","No","Yes")</f>
        <v>No</v>
      </c>
      <c r="AI785" t="str">
        <f>IF(TwitterClean[[#This Row],[hashtags]]="null","No","Yes")</f>
        <v>Yes</v>
      </c>
      <c r="AJ785" t="str">
        <f>IF(TwitterClean[[#This Row],[external_url]]="null","Yes","No")</f>
        <v>No</v>
      </c>
      <c r="AK785">
        <f>LEN(TwitterClean[[#This Row],[description]])</f>
        <v>109</v>
      </c>
      <c r="AL785" t="str">
        <f>IF(TwitterClean[[#This Row],[followers]]&lt;100000,"&lt;100K",IF(TwitterClean[[#This Row],[followers]]&lt;1000000,"100K-1M",IF(TwitterClean[[#This Row],[followers]]&lt;10000000,"1M-10M","10M+")))</f>
        <v>1M-10M</v>
      </c>
    </row>
    <row r="786" spans="1:38">
      <c r="A786">
        <v>1.8684922437969428E+18</v>
      </c>
      <c r="B786" t="s">
        <v>2230</v>
      </c>
      <c r="C786" t="s">
        <v>2231</v>
      </c>
      <c r="D786" t="s">
        <v>2559</v>
      </c>
      <c r="E786" t="s">
        <v>2560</v>
      </c>
      <c r="F786" t="s">
        <v>2561</v>
      </c>
      <c r="G786" t="s">
        <v>2562</v>
      </c>
      <c r="H786" t="s">
        <v>29</v>
      </c>
      <c r="I786">
        <v>9</v>
      </c>
      <c r="J786">
        <v>6</v>
      </c>
      <c r="K786">
        <v>27</v>
      </c>
      <c r="L786">
        <v>14975</v>
      </c>
      <c r="M786" t="s">
        <v>2563</v>
      </c>
      <c r="N786" t="s">
        <v>29</v>
      </c>
      <c r="O786">
        <v>3313886</v>
      </c>
      <c r="P786" t="s">
        <v>2237</v>
      </c>
      <c r="Q786">
        <v>706459</v>
      </c>
      <c r="R786" t="s">
        <v>2238</v>
      </c>
      <c r="S786">
        <v>10308</v>
      </c>
      <c r="T786" t="b">
        <v>0</v>
      </c>
      <c r="U786">
        <v>1</v>
      </c>
      <c r="V786">
        <v>3</v>
      </c>
      <c r="W786" t="s">
        <v>35</v>
      </c>
      <c r="X786" t="s">
        <v>29</v>
      </c>
      <c r="Y786" t="s">
        <v>29</v>
      </c>
      <c r="Z786" t="s">
        <v>37</v>
      </c>
      <c r="AA786">
        <f>TwitterClean[[#This Row],[likes]]+TwitterClean[[#This Row],[replies]]+TwitterClean[[#This Row],[reposts]]+TwitterClean[[#This Row],[quotes]]+TwitterClean[[#This Row],[bookmarks]]</f>
        <v>46</v>
      </c>
      <c r="AB786" s="1">
        <f>TwitterClean[[#This Row],[Total_Engagements]]/TwitterClean[[#This Row],[views]]</f>
        <v>3.0717863105175292E-3</v>
      </c>
      <c r="AC786" s="3">
        <f>DATEVALUE(MID(TwitterClean[[#This Row],[date_posted]],2,10))</f>
        <v>45642</v>
      </c>
      <c r="AD786">
        <f>TIMEVALUE(MID(TwitterClean[[#This Row],[date_posted]],13,8))</f>
        <v>0.12777777777777777</v>
      </c>
      <c r="AE786" s="3" t="str">
        <f>TEXT(TwitterClean[[#This Row],[Post_Date]],"dddd")</f>
        <v>Monday</v>
      </c>
      <c r="AF786">
        <f>HOUR(TwitterClean[[#This Row],[Post_Time]])</f>
        <v>3</v>
      </c>
      <c r="AG786" t="str">
        <f>IF(TwitterClean[[#This Row],[videos]]="Null","No","Yes")</f>
        <v>No</v>
      </c>
      <c r="AH786" t="str">
        <f>IF(TwitterClean[[#This Row],[photos]]="null","No","Yes")</f>
        <v>Yes</v>
      </c>
      <c r="AI786" t="str">
        <f>IF(TwitterClean[[#This Row],[hashtags]]="null","No","Yes")</f>
        <v>No</v>
      </c>
      <c r="AJ786" t="str">
        <f>IF(TwitterClean[[#This Row],[external_url]]="null","Yes","No")</f>
        <v>No</v>
      </c>
      <c r="AK786">
        <f>LEN(TwitterClean[[#This Row],[description]])</f>
        <v>94</v>
      </c>
      <c r="AL786" t="str">
        <f>IF(TwitterClean[[#This Row],[followers]]&lt;100000,"&lt;100K",IF(TwitterClean[[#This Row],[followers]]&lt;1000000,"100K-1M",IF(TwitterClean[[#This Row],[followers]]&lt;10000000,"1M-10M","10M+")))</f>
        <v>1M-10M</v>
      </c>
    </row>
    <row r="787" spans="1:38">
      <c r="A787">
        <v>1.8683447066035738E+18</v>
      </c>
      <c r="B787" t="s">
        <v>3973</v>
      </c>
      <c r="C787" t="s">
        <v>3974</v>
      </c>
      <c r="D787" t="s">
        <v>4062</v>
      </c>
      <c r="E787" t="s">
        <v>4063</v>
      </c>
      <c r="F787" t="s">
        <v>29</v>
      </c>
      <c r="G787" t="s">
        <v>4064</v>
      </c>
      <c r="H787" t="s">
        <v>4065</v>
      </c>
      <c r="I787">
        <v>44</v>
      </c>
      <c r="J787">
        <v>220</v>
      </c>
      <c r="K787">
        <v>2682</v>
      </c>
      <c r="L787">
        <v>1004854</v>
      </c>
      <c r="M787" t="s">
        <v>52</v>
      </c>
      <c r="N787" t="s">
        <v>29</v>
      </c>
      <c r="O787">
        <v>2035100</v>
      </c>
      <c r="P787" t="s">
        <v>3979</v>
      </c>
      <c r="Q787">
        <v>106867</v>
      </c>
      <c r="R787" t="s">
        <v>3980</v>
      </c>
      <c r="S787">
        <v>411</v>
      </c>
      <c r="T787" t="b">
        <v>0</v>
      </c>
      <c r="U787">
        <v>49</v>
      </c>
      <c r="V787">
        <v>81</v>
      </c>
      <c r="W787" t="s">
        <v>35</v>
      </c>
      <c r="X787" t="s">
        <v>29</v>
      </c>
      <c r="Y787" t="s">
        <v>4066</v>
      </c>
      <c r="Z787" t="s">
        <v>37</v>
      </c>
      <c r="AA787">
        <f>TwitterClean[[#This Row],[likes]]+TwitterClean[[#This Row],[replies]]+TwitterClean[[#This Row],[reposts]]+TwitterClean[[#This Row],[quotes]]+TwitterClean[[#This Row],[bookmarks]]</f>
        <v>3076</v>
      </c>
      <c r="AB787" s="1">
        <f>TwitterClean[[#This Row],[Total_Engagements]]/TwitterClean[[#This Row],[views]]</f>
        <v>3.0611412205156173E-3</v>
      </c>
      <c r="AC787" s="3">
        <f>DATEVALUE(MID(TwitterClean[[#This Row],[date_posted]],2,10))</f>
        <v>45641</v>
      </c>
      <c r="AD787">
        <f>TIMEVALUE(MID(TwitterClean[[#This Row],[date_posted]],13,8))</f>
        <v>0.72064814814814815</v>
      </c>
      <c r="AE787" s="3" t="str">
        <f>TEXT(TwitterClean[[#This Row],[Post_Date]],"dddd")</f>
        <v>Sunday</v>
      </c>
      <c r="AF787">
        <f>HOUR(TwitterClean[[#This Row],[Post_Time]])</f>
        <v>17</v>
      </c>
      <c r="AG787" t="str">
        <f>IF(TwitterClean[[#This Row],[videos]]="Null","No","Yes")</f>
        <v>Yes</v>
      </c>
      <c r="AH787" t="str">
        <f>IF(TwitterClean[[#This Row],[photos]]="null","No","Yes")</f>
        <v>No</v>
      </c>
      <c r="AI787" t="str">
        <f>IF(TwitterClean[[#This Row],[hashtags]]="null","No","Yes")</f>
        <v>No</v>
      </c>
      <c r="AJ787" t="str">
        <f>IF(TwitterClean[[#This Row],[external_url]]="null","Yes","No")</f>
        <v>No</v>
      </c>
      <c r="AK787">
        <f>LEN(TwitterClean[[#This Row],[description]])</f>
        <v>85</v>
      </c>
      <c r="AL787" t="str">
        <f>IF(TwitterClean[[#This Row],[followers]]&lt;100000,"&lt;100K",IF(TwitterClean[[#This Row],[followers]]&lt;1000000,"100K-1M",IF(TwitterClean[[#This Row],[followers]]&lt;10000000,"1M-10M","10M+")))</f>
        <v>1M-10M</v>
      </c>
    </row>
    <row r="788" spans="1:38">
      <c r="A788">
        <v>1.8680865829279334E+18</v>
      </c>
      <c r="B788" t="s">
        <v>3034</v>
      </c>
      <c r="C788" t="s">
        <v>3035</v>
      </c>
      <c r="D788" t="s">
        <v>3280</v>
      </c>
      <c r="E788" t="s">
        <v>3281</v>
      </c>
      <c r="F788" t="s">
        <v>29</v>
      </c>
      <c r="G788" t="s">
        <v>3282</v>
      </c>
      <c r="H788" t="s">
        <v>3283</v>
      </c>
      <c r="I788">
        <v>28</v>
      </c>
      <c r="J788">
        <v>26</v>
      </c>
      <c r="K788">
        <v>183</v>
      </c>
      <c r="L788">
        <v>82355</v>
      </c>
      <c r="M788" t="s">
        <v>52</v>
      </c>
      <c r="N788" t="s">
        <v>3040</v>
      </c>
      <c r="O788">
        <v>12876594</v>
      </c>
      <c r="P788" t="s">
        <v>3041</v>
      </c>
      <c r="Q788">
        <v>141401</v>
      </c>
      <c r="R788" t="s">
        <v>3042</v>
      </c>
      <c r="S788">
        <v>717</v>
      </c>
      <c r="T788" t="b">
        <v>0</v>
      </c>
      <c r="U788">
        <v>3</v>
      </c>
      <c r="V788">
        <v>7</v>
      </c>
      <c r="W788" t="s">
        <v>35</v>
      </c>
      <c r="X788" t="s">
        <v>29</v>
      </c>
      <c r="Y788" t="s">
        <v>3284</v>
      </c>
      <c r="Z788" t="s">
        <v>37</v>
      </c>
      <c r="AA788">
        <f>TwitterClean[[#This Row],[likes]]+TwitterClean[[#This Row],[replies]]+TwitterClean[[#This Row],[reposts]]+TwitterClean[[#This Row],[quotes]]+TwitterClean[[#This Row],[bookmarks]]</f>
        <v>247</v>
      </c>
      <c r="AB788" s="1">
        <f>TwitterClean[[#This Row],[Total_Engagements]]/TwitterClean[[#This Row],[views]]</f>
        <v>2.9992107340173638E-3</v>
      </c>
      <c r="AC788" s="3">
        <f>DATEVALUE(MID(TwitterClean[[#This Row],[date_posted]],2,10))</f>
        <v>45641</v>
      </c>
      <c r="AD788">
        <f>TIMEVALUE(MID(TwitterClean[[#This Row],[date_posted]],13,8))</f>
        <v>8.3680555555555557E-3</v>
      </c>
      <c r="AE788" s="3" t="str">
        <f>TEXT(TwitterClean[[#This Row],[Post_Date]],"dddd")</f>
        <v>Sunday</v>
      </c>
      <c r="AF788">
        <f>HOUR(TwitterClean[[#This Row],[Post_Time]])</f>
        <v>0</v>
      </c>
      <c r="AG788" t="str">
        <f>IF(TwitterClean[[#This Row],[videos]]="Null","No","Yes")</f>
        <v>Yes</v>
      </c>
      <c r="AH788" t="str">
        <f>IF(TwitterClean[[#This Row],[photos]]="null","No","Yes")</f>
        <v>No</v>
      </c>
      <c r="AI788" t="str">
        <f>IF(TwitterClean[[#This Row],[hashtags]]="null","No","Yes")</f>
        <v>Yes</v>
      </c>
      <c r="AJ788" t="str">
        <f>IF(TwitterClean[[#This Row],[external_url]]="null","Yes","No")</f>
        <v>No</v>
      </c>
      <c r="AK788">
        <f>LEN(TwitterClean[[#This Row],[description]])</f>
        <v>120</v>
      </c>
      <c r="AL788" t="str">
        <f>IF(TwitterClean[[#This Row],[followers]]&lt;100000,"&lt;100K",IF(TwitterClean[[#This Row],[followers]]&lt;1000000,"100K-1M",IF(TwitterClean[[#This Row],[followers]]&lt;10000000,"1M-10M","10M+")))</f>
        <v>10M+</v>
      </c>
    </row>
    <row r="789" spans="1:38">
      <c r="A789">
        <v>1.8682049595917315E+18</v>
      </c>
      <c r="B789" t="s">
        <v>2230</v>
      </c>
      <c r="C789" t="s">
        <v>2231</v>
      </c>
      <c r="D789" t="s">
        <v>2613</v>
      </c>
      <c r="E789" t="s">
        <v>2614</v>
      </c>
      <c r="F789" t="s">
        <v>2615</v>
      </c>
      <c r="G789" t="s">
        <v>2616</v>
      </c>
      <c r="H789" t="s">
        <v>29</v>
      </c>
      <c r="I789">
        <v>28</v>
      </c>
      <c r="J789">
        <v>4</v>
      </c>
      <c r="K789">
        <v>28</v>
      </c>
      <c r="L789">
        <v>22700</v>
      </c>
      <c r="M789" t="s">
        <v>2617</v>
      </c>
      <c r="N789" t="s">
        <v>29</v>
      </c>
      <c r="O789">
        <v>3314172</v>
      </c>
      <c r="P789" t="s">
        <v>2237</v>
      </c>
      <c r="Q789">
        <v>706459</v>
      </c>
      <c r="R789" t="s">
        <v>2238</v>
      </c>
      <c r="S789">
        <v>10308</v>
      </c>
      <c r="T789" t="b">
        <v>0</v>
      </c>
      <c r="U789">
        <v>3</v>
      </c>
      <c r="V789">
        <v>4</v>
      </c>
      <c r="W789" t="s">
        <v>35</v>
      </c>
      <c r="X789" t="s">
        <v>29</v>
      </c>
      <c r="Y789" t="s">
        <v>29</v>
      </c>
      <c r="Z789" t="s">
        <v>37</v>
      </c>
      <c r="AA789">
        <f>TwitterClean[[#This Row],[likes]]+TwitterClean[[#This Row],[replies]]+TwitterClean[[#This Row],[reposts]]+TwitterClean[[#This Row],[quotes]]+TwitterClean[[#This Row],[bookmarks]]</f>
        <v>67</v>
      </c>
      <c r="AB789" s="1">
        <f>TwitterClean[[#This Row],[Total_Engagements]]/TwitterClean[[#This Row],[views]]</f>
        <v>2.9515418502202642E-3</v>
      </c>
      <c r="AC789" s="3">
        <f>DATEVALUE(MID(TwitterClean[[#This Row],[date_posted]],2,10))</f>
        <v>45641</v>
      </c>
      <c r="AD789">
        <f>TIMEVALUE(MID(TwitterClean[[#This Row],[date_posted]],13,8))</f>
        <v>0.33502314814814815</v>
      </c>
      <c r="AE789" s="3" t="str">
        <f>TEXT(TwitterClean[[#This Row],[Post_Date]],"dddd")</f>
        <v>Sunday</v>
      </c>
      <c r="AF789">
        <f>HOUR(TwitterClean[[#This Row],[Post_Time]])</f>
        <v>8</v>
      </c>
      <c r="AG789" t="str">
        <f>IF(TwitterClean[[#This Row],[videos]]="Null","No","Yes")</f>
        <v>No</v>
      </c>
      <c r="AH789" t="str">
        <f>IF(TwitterClean[[#This Row],[photos]]="null","No","Yes")</f>
        <v>Yes</v>
      </c>
      <c r="AI789" t="str">
        <f>IF(TwitterClean[[#This Row],[hashtags]]="null","No","Yes")</f>
        <v>No</v>
      </c>
      <c r="AJ789" t="str">
        <f>IF(TwitterClean[[#This Row],[external_url]]="null","Yes","No")</f>
        <v>No</v>
      </c>
      <c r="AK789">
        <f>LEN(TwitterClean[[#This Row],[description]])</f>
        <v>96</v>
      </c>
      <c r="AL789" t="str">
        <f>IF(TwitterClean[[#This Row],[followers]]&lt;100000,"&lt;100K",IF(TwitterClean[[#This Row],[followers]]&lt;1000000,"100K-1M",IF(TwitterClean[[#This Row],[followers]]&lt;10000000,"1M-10M","10M+")))</f>
        <v>1M-10M</v>
      </c>
    </row>
    <row r="790" spans="1:38">
      <c r="A790">
        <v>1.86846314285618E+18</v>
      </c>
      <c r="B790" t="s">
        <v>46</v>
      </c>
      <c r="C790" t="s">
        <v>47</v>
      </c>
      <c r="D790" t="s">
        <v>119</v>
      </c>
      <c r="E790" t="s">
        <v>120</v>
      </c>
      <c r="F790" t="s">
        <v>29</v>
      </c>
      <c r="G790" t="s">
        <v>121</v>
      </c>
      <c r="H790" t="s">
        <v>122</v>
      </c>
      <c r="I790">
        <v>2</v>
      </c>
      <c r="J790">
        <v>2</v>
      </c>
      <c r="K790">
        <v>40</v>
      </c>
      <c r="L790">
        <v>15594</v>
      </c>
      <c r="M790" t="s">
        <v>52</v>
      </c>
      <c r="N790" t="s">
        <v>123</v>
      </c>
      <c r="O790">
        <v>8293187</v>
      </c>
      <c r="P790" t="s">
        <v>54</v>
      </c>
      <c r="Q790">
        <v>456734</v>
      </c>
      <c r="R790" t="s">
        <v>55</v>
      </c>
      <c r="S790">
        <v>859</v>
      </c>
      <c r="T790" t="b">
        <v>0</v>
      </c>
      <c r="U790">
        <v>0</v>
      </c>
      <c r="V790">
        <v>2</v>
      </c>
      <c r="W790" t="s">
        <v>35</v>
      </c>
      <c r="X790" t="s">
        <v>29</v>
      </c>
      <c r="Y790" t="s">
        <v>124</v>
      </c>
      <c r="Z790" t="s">
        <v>37</v>
      </c>
      <c r="AA790">
        <f>TwitterClean[[#This Row],[likes]]+TwitterClean[[#This Row],[replies]]+TwitterClean[[#This Row],[reposts]]+TwitterClean[[#This Row],[quotes]]+TwitterClean[[#This Row],[bookmarks]]</f>
        <v>46</v>
      </c>
      <c r="AB790" s="1">
        <f>TwitterClean[[#This Row],[Total_Engagements]]/TwitterClean[[#This Row],[views]]</f>
        <v>2.9498525073746312E-3</v>
      </c>
      <c r="AC790" s="3">
        <f>DATEVALUE(MID(TwitterClean[[#This Row],[date_posted]],2,10))</f>
        <v>45642</v>
      </c>
      <c r="AD790">
        <f>TIMEVALUE(MID(TwitterClean[[#This Row],[date_posted]],13,8))</f>
        <v>4.7476851851851853E-2</v>
      </c>
      <c r="AE790" s="3" t="str">
        <f>TEXT(TwitterClean[[#This Row],[Post_Date]],"dddd")</f>
        <v>Monday</v>
      </c>
      <c r="AF790">
        <f>HOUR(TwitterClean[[#This Row],[Post_Time]])</f>
        <v>1</v>
      </c>
      <c r="AG790" t="str">
        <f>IF(TwitterClean[[#This Row],[videos]]="Null","No","Yes")</f>
        <v>Yes</v>
      </c>
      <c r="AH790" t="str">
        <f>IF(TwitterClean[[#This Row],[photos]]="null","No","Yes")</f>
        <v>No</v>
      </c>
      <c r="AI790" t="str">
        <f>IF(TwitterClean[[#This Row],[hashtags]]="null","No","Yes")</f>
        <v>Yes</v>
      </c>
      <c r="AJ790" t="str">
        <f>IF(TwitterClean[[#This Row],[external_url]]="null","Yes","No")</f>
        <v>No</v>
      </c>
      <c r="AK790">
        <f>LEN(TwitterClean[[#This Row],[description]])</f>
        <v>259</v>
      </c>
      <c r="AL790" t="str">
        <f>IF(TwitterClean[[#This Row],[followers]]&lt;100000,"&lt;100K",IF(TwitterClean[[#This Row],[followers]]&lt;1000000,"100K-1M",IF(TwitterClean[[#This Row],[followers]]&lt;10000000,"1M-10M","10M+")))</f>
        <v>1M-10M</v>
      </c>
    </row>
    <row r="791" spans="1:38">
      <c r="A791">
        <v>1.8588324667415101E+18</v>
      </c>
      <c r="B791" t="s">
        <v>4105</v>
      </c>
      <c r="C791" t="s">
        <v>4106</v>
      </c>
      <c r="D791" t="s">
        <v>4133</v>
      </c>
      <c r="E791" t="s">
        <v>4134</v>
      </c>
      <c r="F791" t="s">
        <v>4135</v>
      </c>
      <c r="G791" t="s">
        <v>4136</v>
      </c>
      <c r="H791" t="s">
        <v>29</v>
      </c>
      <c r="I791">
        <v>349</v>
      </c>
      <c r="J791">
        <v>563</v>
      </c>
      <c r="K791">
        <v>2745</v>
      </c>
      <c r="L791">
        <v>1498601</v>
      </c>
      <c r="M791" t="s">
        <v>52</v>
      </c>
      <c r="N791" t="s">
        <v>29</v>
      </c>
      <c r="O791">
        <v>303040</v>
      </c>
      <c r="P791" t="s">
        <v>4111</v>
      </c>
      <c r="Q791">
        <v>24240</v>
      </c>
      <c r="R791" t="s">
        <v>4112</v>
      </c>
      <c r="S791">
        <v>8053</v>
      </c>
      <c r="T791" t="b">
        <v>0</v>
      </c>
      <c r="U791">
        <v>54</v>
      </c>
      <c r="V791">
        <v>706</v>
      </c>
      <c r="W791" t="s">
        <v>35</v>
      </c>
      <c r="X791" t="s">
        <v>29</v>
      </c>
      <c r="Y791" t="s">
        <v>4137</v>
      </c>
      <c r="Z791" t="s">
        <v>37</v>
      </c>
      <c r="AA791">
        <f>TwitterClean[[#This Row],[likes]]+TwitterClean[[#This Row],[replies]]+TwitterClean[[#This Row],[reposts]]+TwitterClean[[#This Row],[quotes]]+TwitterClean[[#This Row],[bookmarks]]</f>
        <v>4417</v>
      </c>
      <c r="AB791" s="1">
        <f>TwitterClean[[#This Row],[Total_Engagements]]/TwitterClean[[#This Row],[views]]</f>
        <v>2.9474156229710243E-3</v>
      </c>
      <c r="AC791" s="3">
        <f>DATEVALUE(MID(TwitterClean[[#This Row],[date_posted]],2,10))</f>
        <v>45615</v>
      </c>
      <c r="AD791">
        <f>TIMEVALUE(MID(TwitterClean[[#This Row],[date_posted]],13,8))</f>
        <v>0.47187499999999999</v>
      </c>
      <c r="AE791" s="3" t="str">
        <f>TEXT(TwitterClean[[#This Row],[Post_Date]],"dddd")</f>
        <v>Tuesday</v>
      </c>
      <c r="AF791">
        <f>HOUR(TwitterClean[[#This Row],[Post_Time]])</f>
        <v>11</v>
      </c>
      <c r="AG791" t="str">
        <f>IF(TwitterClean[[#This Row],[videos]]="Null","No","Yes")</f>
        <v>Yes</v>
      </c>
      <c r="AH791" t="str">
        <f>IF(TwitterClean[[#This Row],[photos]]="null","No","Yes")</f>
        <v>Yes</v>
      </c>
      <c r="AI791" t="str">
        <f>IF(TwitterClean[[#This Row],[hashtags]]="null","No","Yes")</f>
        <v>No</v>
      </c>
      <c r="AJ791" t="str">
        <f>IF(TwitterClean[[#This Row],[external_url]]="null","Yes","No")</f>
        <v>No</v>
      </c>
      <c r="AK791">
        <f>LEN(TwitterClean[[#This Row],[description]])</f>
        <v>62</v>
      </c>
      <c r="AL791" t="str">
        <f>IF(TwitterClean[[#This Row],[followers]]&lt;100000,"&lt;100K",IF(TwitterClean[[#This Row],[followers]]&lt;1000000,"100K-1M",IF(TwitterClean[[#This Row],[followers]]&lt;10000000,"1M-10M","10M+")))</f>
        <v>100K-1M</v>
      </c>
    </row>
    <row r="792" spans="1:38">
      <c r="A792">
        <v>1.8681004737413123E+18</v>
      </c>
      <c r="B792" t="s">
        <v>183</v>
      </c>
      <c r="C792" t="s">
        <v>184</v>
      </c>
      <c r="D792" t="s">
        <v>831</v>
      </c>
      <c r="E792" t="s">
        <v>832</v>
      </c>
      <c r="F792" t="s">
        <v>833</v>
      </c>
      <c r="G792" t="s">
        <v>834</v>
      </c>
      <c r="H792" t="s">
        <v>29</v>
      </c>
      <c r="I792">
        <v>15</v>
      </c>
      <c r="J792">
        <v>38</v>
      </c>
      <c r="K792">
        <v>137</v>
      </c>
      <c r="L792">
        <v>74321</v>
      </c>
      <c r="M792" t="s">
        <v>835</v>
      </c>
      <c r="N792" t="s">
        <v>29</v>
      </c>
      <c r="O792">
        <v>27123001</v>
      </c>
      <c r="P792" t="s">
        <v>190</v>
      </c>
      <c r="Q792">
        <v>402760</v>
      </c>
      <c r="R792" t="s">
        <v>191</v>
      </c>
      <c r="S792">
        <v>155</v>
      </c>
      <c r="T792" t="b">
        <v>0</v>
      </c>
      <c r="U792">
        <v>9</v>
      </c>
      <c r="V792">
        <v>19</v>
      </c>
      <c r="W792" t="s">
        <v>35</v>
      </c>
      <c r="X792" t="s">
        <v>29</v>
      </c>
      <c r="Y792" t="s">
        <v>29</v>
      </c>
      <c r="Z792" t="s">
        <v>37</v>
      </c>
      <c r="AA792">
        <f>TwitterClean[[#This Row],[likes]]+TwitterClean[[#This Row],[replies]]+TwitterClean[[#This Row],[reposts]]+TwitterClean[[#This Row],[quotes]]+TwitterClean[[#This Row],[bookmarks]]</f>
        <v>218</v>
      </c>
      <c r="AB792" s="1">
        <f>TwitterClean[[#This Row],[Total_Engagements]]/TwitterClean[[#This Row],[views]]</f>
        <v>2.9332221041159295E-3</v>
      </c>
      <c r="AC792" s="3">
        <f>DATEVALUE(MID(TwitterClean[[#This Row],[date_posted]],2,10))</f>
        <v>45641</v>
      </c>
      <c r="AD792">
        <f>TIMEVALUE(MID(TwitterClean[[#This Row],[date_posted]],13,8))</f>
        <v>4.670138888888889E-2</v>
      </c>
      <c r="AE792" s="3" t="str">
        <f>TEXT(TwitterClean[[#This Row],[Post_Date]],"dddd")</f>
        <v>Sunday</v>
      </c>
      <c r="AF792">
        <f>HOUR(TwitterClean[[#This Row],[Post_Time]])</f>
        <v>1</v>
      </c>
      <c r="AG792" t="str">
        <f>IF(TwitterClean[[#This Row],[videos]]="Null","No","Yes")</f>
        <v>No</v>
      </c>
      <c r="AH792" t="str">
        <f>IF(TwitterClean[[#This Row],[photos]]="null","No","Yes")</f>
        <v>Yes</v>
      </c>
      <c r="AI792" t="str">
        <f>IF(TwitterClean[[#This Row],[hashtags]]="null","No","Yes")</f>
        <v>No</v>
      </c>
      <c r="AJ792" t="str">
        <f>IF(TwitterClean[[#This Row],[external_url]]="null","Yes","No")</f>
        <v>No</v>
      </c>
      <c r="AK792">
        <f>LEN(TwitterClean[[#This Row],[description]])</f>
        <v>155</v>
      </c>
      <c r="AL792" t="str">
        <f>IF(TwitterClean[[#This Row],[followers]]&lt;100000,"&lt;100K",IF(TwitterClean[[#This Row],[followers]]&lt;1000000,"100K-1M",IF(TwitterClean[[#This Row],[followers]]&lt;10000000,"1M-10M","10M+")))</f>
        <v>10M+</v>
      </c>
    </row>
    <row r="793" spans="1:38">
      <c r="A793">
        <v>1.8682571955795561E+18</v>
      </c>
      <c r="B793" t="s">
        <v>2994</v>
      </c>
      <c r="C793" t="s">
        <v>2995</v>
      </c>
      <c r="D793" t="s">
        <v>4743</v>
      </c>
      <c r="E793" t="s">
        <v>1627</v>
      </c>
      <c r="F793" t="s">
        <v>29</v>
      </c>
      <c r="G793" t="s">
        <v>4744</v>
      </c>
      <c r="H793" t="s">
        <v>4745</v>
      </c>
      <c r="I793">
        <v>42</v>
      </c>
      <c r="J793">
        <v>16</v>
      </c>
      <c r="K793">
        <v>138</v>
      </c>
      <c r="L793">
        <v>67948</v>
      </c>
      <c r="M793" t="s">
        <v>4746</v>
      </c>
      <c r="N793" t="s">
        <v>29</v>
      </c>
      <c r="O793">
        <v>812163</v>
      </c>
      <c r="P793" t="s">
        <v>3000</v>
      </c>
      <c r="Q793">
        <v>110924</v>
      </c>
      <c r="R793" t="s">
        <v>3001</v>
      </c>
      <c r="S793">
        <v>322</v>
      </c>
      <c r="T793" t="b">
        <v>0</v>
      </c>
      <c r="U793">
        <v>2</v>
      </c>
      <c r="V793">
        <v>1</v>
      </c>
      <c r="W793" t="s">
        <v>35</v>
      </c>
      <c r="X793" t="s">
        <v>29</v>
      </c>
      <c r="Y793" t="s">
        <v>29</v>
      </c>
      <c r="Z793" t="s">
        <v>37</v>
      </c>
      <c r="AA793">
        <f>TwitterClean[[#This Row],[likes]]+TwitterClean[[#This Row],[replies]]+TwitterClean[[#This Row],[reposts]]+TwitterClean[[#This Row],[quotes]]+TwitterClean[[#This Row],[bookmarks]]</f>
        <v>199</v>
      </c>
      <c r="AB793" s="1">
        <f>TwitterClean[[#This Row],[Total_Engagements]]/TwitterClean[[#This Row],[views]]</f>
        <v>2.9287101901454052E-3</v>
      </c>
      <c r="AC793" s="3">
        <f>DATEVALUE(MID(TwitterClean[[#This Row],[date_posted]],2,10))</f>
        <v>45641</v>
      </c>
      <c r="AD793">
        <f>TIMEVALUE(MID(TwitterClean[[#This Row],[date_posted]],13,8))</f>
        <v>0.47916666666666669</v>
      </c>
      <c r="AE793" s="3" t="str">
        <f>TEXT(TwitterClean[[#This Row],[Post_Date]],"dddd")</f>
        <v>Sunday</v>
      </c>
      <c r="AF793">
        <f>HOUR(TwitterClean[[#This Row],[Post_Time]])</f>
        <v>11</v>
      </c>
      <c r="AG793" t="str">
        <f>IF(TwitterClean[[#This Row],[videos]]="Null","No","Yes")</f>
        <v>No</v>
      </c>
      <c r="AH793" t="str">
        <f>IF(TwitterClean[[#This Row],[photos]]="null","No","Yes")</f>
        <v>No</v>
      </c>
      <c r="AI793" t="str">
        <f>IF(TwitterClean[[#This Row],[hashtags]]="null","No","Yes")</f>
        <v>No</v>
      </c>
      <c r="AJ793" t="str">
        <f>IF(TwitterClean[[#This Row],[external_url]]="null","Yes","No")</f>
        <v>No</v>
      </c>
      <c r="AK793">
        <f>LEN(TwitterClean[[#This Row],[description]])</f>
        <v>158</v>
      </c>
      <c r="AL793" t="str">
        <f>IF(TwitterClean[[#This Row],[followers]]&lt;100000,"&lt;100K",IF(TwitterClean[[#This Row],[followers]]&lt;1000000,"100K-1M",IF(TwitterClean[[#This Row],[followers]]&lt;10000000,"1M-10M","10M+")))</f>
        <v>100K-1M</v>
      </c>
    </row>
    <row r="794" spans="1:38">
      <c r="A794">
        <v>1.8683966131414267E+18</v>
      </c>
      <c r="B794" t="s">
        <v>2230</v>
      </c>
      <c r="C794" t="s">
        <v>2231</v>
      </c>
      <c r="D794" t="s">
        <v>2309</v>
      </c>
      <c r="E794" t="s">
        <v>2310</v>
      </c>
      <c r="F794" t="s">
        <v>2311</v>
      </c>
      <c r="G794" t="s">
        <v>2312</v>
      </c>
      <c r="H794" t="s">
        <v>29</v>
      </c>
      <c r="I794">
        <v>40</v>
      </c>
      <c r="J794">
        <v>8</v>
      </c>
      <c r="K794">
        <v>36</v>
      </c>
      <c r="L794">
        <v>33808</v>
      </c>
      <c r="M794" t="s">
        <v>2313</v>
      </c>
      <c r="N794" t="s">
        <v>29</v>
      </c>
      <c r="O794">
        <v>3314167</v>
      </c>
      <c r="P794" t="s">
        <v>2237</v>
      </c>
      <c r="Q794">
        <v>706459</v>
      </c>
      <c r="R794" t="s">
        <v>2238</v>
      </c>
      <c r="S794">
        <v>10308</v>
      </c>
      <c r="T794" t="b">
        <v>0</v>
      </c>
      <c r="U794">
        <v>6</v>
      </c>
      <c r="V794">
        <v>9</v>
      </c>
      <c r="W794" t="s">
        <v>35</v>
      </c>
      <c r="X794" t="s">
        <v>29</v>
      </c>
      <c r="Y794" t="s">
        <v>29</v>
      </c>
      <c r="Z794" t="s">
        <v>37</v>
      </c>
      <c r="AA794">
        <f>TwitterClean[[#This Row],[likes]]+TwitterClean[[#This Row],[replies]]+TwitterClean[[#This Row],[reposts]]+TwitterClean[[#This Row],[quotes]]+TwitterClean[[#This Row],[bookmarks]]</f>
        <v>99</v>
      </c>
      <c r="AB794" s="1">
        <f>TwitterClean[[#This Row],[Total_Engagements]]/TwitterClean[[#This Row],[views]]</f>
        <v>2.9283009938476101E-3</v>
      </c>
      <c r="AC794" s="3">
        <f>DATEVALUE(MID(TwitterClean[[#This Row],[date_posted]],2,10))</f>
        <v>45641</v>
      </c>
      <c r="AD794">
        <f>TIMEVALUE(MID(TwitterClean[[#This Row],[date_posted]],13,8))</f>
        <v>0.86388888888888893</v>
      </c>
      <c r="AE794" s="3" t="str">
        <f>TEXT(TwitterClean[[#This Row],[Post_Date]],"dddd")</f>
        <v>Sunday</v>
      </c>
      <c r="AF794">
        <f>HOUR(TwitterClean[[#This Row],[Post_Time]])</f>
        <v>20</v>
      </c>
      <c r="AG794" t="str">
        <f>IF(TwitterClean[[#This Row],[videos]]="Null","No","Yes")</f>
        <v>No</v>
      </c>
      <c r="AH794" t="str">
        <f>IF(TwitterClean[[#This Row],[photos]]="null","No","Yes")</f>
        <v>Yes</v>
      </c>
      <c r="AI794" t="str">
        <f>IF(TwitterClean[[#This Row],[hashtags]]="null","No","Yes")</f>
        <v>No</v>
      </c>
      <c r="AJ794" t="str">
        <f>IF(TwitterClean[[#This Row],[external_url]]="null","Yes","No")</f>
        <v>No</v>
      </c>
      <c r="AK794">
        <f>LEN(TwitterClean[[#This Row],[description]])</f>
        <v>80</v>
      </c>
      <c r="AL794" t="str">
        <f>IF(TwitterClean[[#This Row],[followers]]&lt;100000,"&lt;100K",IF(TwitterClean[[#This Row],[followers]]&lt;1000000,"100K-1M",IF(TwitterClean[[#This Row],[followers]]&lt;10000000,"1M-10M","10M+")))</f>
        <v>1M-10M</v>
      </c>
    </row>
    <row r="795" spans="1:38">
      <c r="A795">
        <v>1.8032529444664855E+18</v>
      </c>
      <c r="B795" t="s">
        <v>4173</v>
      </c>
      <c r="C795" t="s">
        <v>4174</v>
      </c>
      <c r="D795" t="s">
        <v>4206</v>
      </c>
      <c r="E795" t="s">
        <v>4207</v>
      </c>
      <c r="F795" t="s">
        <v>4208</v>
      </c>
      <c r="G795" t="s">
        <v>4209</v>
      </c>
      <c r="H795" t="s">
        <v>29</v>
      </c>
      <c r="I795">
        <v>566</v>
      </c>
      <c r="J795">
        <v>1013</v>
      </c>
      <c r="K795">
        <v>5456</v>
      </c>
      <c r="L795">
        <v>2862398</v>
      </c>
      <c r="M795" t="s">
        <v>52</v>
      </c>
      <c r="N795" t="s">
        <v>29</v>
      </c>
      <c r="O795">
        <v>549779</v>
      </c>
      <c r="P795" t="s">
        <v>4179</v>
      </c>
      <c r="Q795">
        <v>47749</v>
      </c>
      <c r="R795" t="s">
        <v>4180</v>
      </c>
      <c r="S795">
        <v>62</v>
      </c>
      <c r="T795" t="b">
        <v>0</v>
      </c>
      <c r="U795">
        <v>156</v>
      </c>
      <c r="V795">
        <v>1170</v>
      </c>
      <c r="W795" t="s">
        <v>35</v>
      </c>
      <c r="X795" t="s">
        <v>29</v>
      </c>
      <c r="Y795" t="s">
        <v>4210</v>
      </c>
      <c r="Z795" t="s">
        <v>37</v>
      </c>
      <c r="AA795">
        <f>TwitterClean[[#This Row],[likes]]+TwitterClean[[#This Row],[replies]]+TwitterClean[[#This Row],[reposts]]+TwitterClean[[#This Row],[quotes]]+TwitterClean[[#This Row],[bookmarks]]</f>
        <v>8361</v>
      </c>
      <c r="AB795" s="1">
        <f>TwitterClean[[#This Row],[Total_Engagements]]/TwitterClean[[#This Row],[views]]</f>
        <v>2.9209774461832353E-3</v>
      </c>
      <c r="AC795" s="3">
        <f>DATEVALUE(MID(TwitterClean[[#This Row],[date_posted]],2,10))</f>
        <v>45462</v>
      </c>
      <c r="AD795">
        <f>TIMEVALUE(MID(TwitterClean[[#This Row],[date_posted]],13,8))</f>
        <v>0.10160879629629629</v>
      </c>
      <c r="AE795" s="3" t="str">
        <f>TEXT(TwitterClean[[#This Row],[Post_Date]],"dddd")</f>
        <v>Wednesday</v>
      </c>
      <c r="AF795">
        <f>HOUR(TwitterClean[[#This Row],[Post_Time]])</f>
        <v>2</v>
      </c>
      <c r="AG795" t="str">
        <f>IF(TwitterClean[[#This Row],[videos]]="Null","No","Yes")</f>
        <v>Yes</v>
      </c>
      <c r="AH795" t="str">
        <f>IF(TwitterClean[[#This Row],[photos]]="null","No","Yes")</f>
        <v>Yes</v>
      </c>
      <c r="AI795" t="str">
        <f>IF(TwitterClean[[#This Row],[hashtags]]="null","No","Yes")</f>
        <v>No</v>
      </c>
      <c r="AJ795" t="str">
        <f>IF(TwitterClean[[#This Row],[external_url]]="null","Yes","No")</f>
        <v>No</v>
      </c>
      <c r="AK795">
        <f>LEN(TwitterClean[[#This Row],[description]])</f>
        <v>21</v>
      </c>
      <c r="AL795" t="str">
        <f>IF(TwitterClean[[#This Row],[followers]]&lt;100000,"&lt;100K",IF(TwitterClean[[#This Row],[followers]]&lt;1000000,"100K-1M",IF(TwitterClean[[#This Row],[followers]]&lt;10000000,"1M-10M","10M+")))</f>
        <v>100K-1M</v>
      </c>
    </row>
    <row r="796" spans="1:38">
      <c r="A796">
        <v>1.8682227645464622E+18</v>
      </c>
      <c r="B796" t="s">
        <v>183</v>
      </c>
      <c r="C796" t="s">
        <v>184</v>
      </c>
      <c r="D796" t="s">
        <v>668</v>
      </c>
      <c r="E796" t="s">
        <v>669</v>
      </c>
      <c r="F796" t="s">
        <v>29</v>
      </c>
      <c r="G796" t="s">
        <v>670</v>
      </c>
      <c r="H796" t="s">
        <v>29</v>
      </c>
      <c r="I796">
        <v>9</v>
      </c>
      <c r="J796">
        <v>35</v>
      </c>
      <c r="K796">
        <v>83</v>
      </c>
      <c r="L796">
        <v>49402</v>
      </c>
      <c r="M796" t="s">
        <v>671</v>
      </c>
      <c r="N796" t="s">
        <v>29</v>
      </c>
      <c r="O796">
        <v>27122999</v>
      </c>
      <c r="P796" t="s">
        <v>190</v>
      </c>
      <c r="Q796">
        <v>402760</v>
      </c>
      <c r="R796" t="s">
        <v>191</v>
      </c>
      <c r="S796">
        <v>155</v>
      </c>
      <c r="T796" t="b">
        <v>0</v>
      </c>
      <c r="U796">
        <v>3</v>
      </c>
      <c r="V796">
        <v>14</v>
      </c>
      <c r="W796" t="s">
        <v>35</v>
      </c>
      <c r="X796" t="s">
        <v>672</v>
      </c>
      <c r="Y796" t="s">
        <v>29</v>
      </c>
      <c r="Z796" t="s">
        <v>37</v>
      </c>
      <c r="AA796">
        <f>TwitterClean[[#This Row],[likes]]+TwitterClean[[#This Row],[replies]]+TwitterClean[[#This Row],[reposts]]+TwitterClean[[#This Row],[quotes]]+TwitterClean[[#This Row],[bookmarks]]</f>
        <v>144</v>
      </c>
      <c r="AB796" s="1">
        <f>TwitterClean[[#This Row],[Total_Engagements]]/TwitterClean[[#This Row],[views]]</f>
        <v>2.9148617464879963E-3</v>
      </c>
      <c r="AC796" s="3">
        <f>DATEVALUE(MID(TwitterClean[[#This Row],[date_posted]],2,10))</f>
        <v>45641</v>
      </c>
      <c r="AD796">
        <f>TIMEVALUE(MID(TwitterClean[[#This Row],[date_posted]],13,8))</f>
        <v>0.38415509259259262</v>
      </c>
      <c r="AE796" s="3" t="str">
        <f>TEXT(TwitterClean[[#This Row],[Post_Date]],"dddd")</f>
        <v>Sunday</v>
      </c>
      <c r="AF796">
        <f>HOUR(TwitterClean[[#This Row],[Post_Time]])</f>
        <v>9</v>
      </c>
      <c r="AG796" t="str">
        <f>IF(TwitterClean[[#This Row],[videos]]="Null","No","Yes")</f>
        <v>No</v>
      </c>
      <c r="AH796" t="str">
        <f>IF(TwitterClean[[#This Row],[photos]]="null","No","Yes")</f>
        <v>No</v>
      </c>
      <c r="AI796" t="str">
        <f>IF(TwitterClean[[#This Row],[hashtags]]="null","No","Yes")</f>
        <v>No</v>
      </c>
      <c r="AJ796" t="str">
        <f>IF(TwitterClean[[#This Row],[external_url]]="null","Yes","No")</f>
        <v>No</v>
      </c>
      <c r="AK796">
        <f>LEN(TwitterClean[[#This Row],[description]])</f>
        <v>239</v>
      </c>
      <c r="AL796" t="str">
        <f>IF(TwitterClean[[#This Row],[followers]]&lt;100000,"&lt;100K",IF(TwitterClean[[#This Row],[followers]]&lt;1000000,"100K-1M",IF(TwitterClean[[#This Row],[followers]]&lt;10000000,"1M-10M","10M+")))</f>
        <v>10M+</v>
      </c>
    </row>
    <row r="797" spans="1:38">
      <c r="A797">
        <v>1.8681880027714726E+18</v>
      </c>
      <c r="B797" t="s">
        <v>2935</v>
      </c>
      <c r="C797" t="s">
        <v>2936</v>
      </c>
      <c r="D797" t="s">
        <v>2960</v>
      </c>
      <c r="E797" t="s">
        <v>2986</v>
      </c>
      <c r="F797" t="s">
        <v>29</v>
      </c>
      <c r="G797" t="s">
        <v>2987</v>
      </c>
      <c r="H797" t="s">
        <v>29</v>
      </c>
      <c r="I797">
        <v>11</v>
      </c>
      <c r="J797">
        <v>15</v>
      </c>
      <c r="K797">
        <v>50</v>
      </c>
      <c r="L797">
        <v>28666</v>
      </c>
      <c r="M797" t="s">
        <v>2988</v>
      </c>
      <c r="N797" t="s">
        <v>29</v>
      </c>
      <c r="O797">
        <v>9564155</v>
      </c>
      <c r="P797" t="s">
        <v>2941</v>
      </c>
      <c r="Q797">
        <v>1125277</v>
      </c>
      <c r="R797" t="s">
        <v>2942</v>
      </c>
      <c r="S797">
        <v>93</v>
      </c>
      <c r="T797" t="b">
        <v>0</v>
      </c>
      <c r="U797">
        <v>4</v>
      </c>
      <c r="V797">
        <v>3</v>
      </c>
      <c r="W797" t="s">
        <v>35</v>
      </c>
      <c r="X797" t="s">
        <v>2964</v>
      </c>
      <c r="Y797" t="s">
        <v>29</v>
      </c>
      <c r="Z797" t="s">
        <v>37</v>
      </c>
      <c r="AA797">
        <f>TwitterClean[[#This Row],[likes]]+TwitterClean[[#This Row],[replies]]+TwitterClean[[#This Row],[reposts]]+TwitterClean[[#This Row],[quotes]]+TwitterClean[[#This Row],[bookmarks]]</f>
        <v>83</v>
      </c>
      <c r="AB797" s="1">
        <f>TwitterClean[[#This Row],[Total_Engagements]]/TwitterClean[[#This Row],[views]]</f>
        <v>2.8954161724691271E-3</v>
      </c>
      <c r="AC797" s="3">
        <f>DATEVALUE(MID(TwitterClean[[#This Row],[date_posted]],2,10))</f>
        <v>45641</v>
      </c>
      <c r="AD797">
        <f>TIMEVALUE(MID(TwitterClean[[#This Row],[date_posted]],13,8))</f>
        <v>0.28822916666666665</v>
      </c>
      <c r="AE797" s="3" t="str">
        <f>TEXT(TwitterClean[[#This Row],[Post_Date]],"dddd")</f>
        <v>Sunday</v>
      </c>
      <c r="AF797">
        <f>HOUR(TwitterClean[[#This Row],[Post_Time]])</f>
        <v>6</v>
      </c>
      <c r="AG797" t="str">
        <f>IF(TwitterClean[[#This Row],[videos]]="Null","No","Yes")</f>
        <v>No</v>
      </c>
      <c r="AH797" t="str">
        <f>IF(TwitterClean[[#This Row],[photos]]="null","No","Yes")</f>
        <v>No</v>
      </c>
      <c r="AI797" t="str">
        <f>IF(TwitterClean[[#This Row],[hashtags]]="null","No","Yes")</f>
        <v>No</v>
      </c>
      <c r="AJ797" t="str">
        <f>IF(TwitterClean[[#This Row],[external_url]]="null","Yes","No")</f>
        <v>No</v>
      </c>
      <c r="AK797">
        <f>LEN(TwitterClean[[#This Row],[description]])</f>
        <v>212</v>
      </c>
      <c r="AL797" t="str">
        <f>IF(TwitterClean[[#This Row],[followers]]&lt;100000,"&lt;100K",IF(TwitterClean[[#This Row],[followers]]&lt;1000000,"100K-1M",IF(TwitterClean[[#This Row],[followers]]&lt;10000000,"1M-10M","10M+")))</f>
        <v>1M-10M</v>
      </c>
    </row>
    <row r="798" spans="1:38">
      <c r="A798">
        <v>1.8681345974202573E+18</v>
      </c>
      <c r="B798" t="s">
        <v>3034</v>
      </c>
      <c r="C798" t="s">
        <v>3035</v>
      </c>
      <c r="D798" t="s">
        <v>3243</v>
      </c>
      <c r="E798" t="s">
        <v>3244</v>
      </c>
      <c r="F798" t="s">
        <v>29</v>
      </c>
      <c r="G798" t="s">
        <v>3245</v>
      </c>
      <c r="H798" t="s">
        <v>3246</v>
      </c>
      <c r="I798">
        <v>53</v>
      </c>
      <c r="J798">
        <v>20</v>
      </c>
      <c r="K798">
        <v>179</v>
      </c>
      <c r="L798">
        <v>89364</v>
      </c>
      <c r="M798" t="s">
        <v>52</v>
      </c>
      <c r="N798" t="s">
        <v>3040</v>
      </c>
      <c r="O798">
        <v>12876593</v>
      </c>
      <c r="P798" t="s">
        <v>3041</v>
      </c>
      <c r="Q798">
        <v>141401</v>
      </c>
      <c r="R798" t="s">
        <v>3042</v>
      </c>
      <c r="S798">
        <v>717</v>
      </c>
      <c r="T798" t="b">
        <v>0</v>
      </c>
      <c r="U798">
        <v>5</v>
      </c>
      <c r="V798">
        <v>1</v>
      </c>
      <c r="W798" t="s">
        <v>35</v>
      </c>
      <c r="X798" t="s">
        <v>29</v>
      </c>
      <c r="Y798" t="s">
        <v>3247</v>
      </c>
      <c r="Z798" t="s">
        <v>37</v>
      </c>
      <c r="AA798">
        <f>TwitterClean[[#This Row],[likes]]+TwitterClean[[#This Row],[replies]]+TwitterClean[[#This Row],[reposts]]+TwitterClean[[#This Row],[quotes]]+TwitterClean[[#This Row],[bookmarks]]</f>
        <v>258</v>
      </c>
      <c r="AB798" s="1">
        <f>TwitterClean[[#This Row],[Total_Engagements]]/TwitterClean[[#This Row],[views]]</f>
        <v>2.8870686182355309E-3</v>
      </c>
      <c r="AC798" s="3">
        <f>DATEVALUE(MID(TwitterClean[[#This Row],[date_posted]],2,10))</f>
        <v>45641</v>
      </c>
      <c r="AD798">
        <f>TIMEVALUE(MID(TwitterClean[[#This Row],[date_posted]],13,8))</f>
        <v>0.14085648148148147</v>
      </c>
      <c r="AE798" s="3" t="str">
        <f>TEXT(TwitterClean[[#This Row],[Post_Date]],"dddd")</f>
        <v>Sunday</v>
      </c>
      <c r="AF798">
        <f>HOUR(TwitterClean[[#This Row],[Post_Time]])</f>
        <v>3</v>
      </c>
      <c r="AG798" t="str">
        <f>IF(TwitterClean[[#This Row],[videos]]="Null","No","Yes")</f>
        <v>Yes</v>
      </c>
      <c r="AH798" t="str">
        <f>IF(TwitterClean[[#This Row],[photos]]="null","No","Yes")</f>
        <v>No</v>
      </c>
      <c r="AI798" t="str">
        <f>IF(TwitterClean[[#This Row],[hashtags]]="null","No","Yes")</f>
        <v>Yes</v>
      </c>
      <c r="AJ798" t="str">
        <f>IF(TwitterClean[[#This Row],[external_url]]="null","Yes","No")</f>
        <v>No</v>
      </c>
      <c r="AK798">
        <f>LEN(TwitterClean[[#This Row],[description]])</f>
        <v>103</v>
      </c>
      <c r="AL798" t="str">
        <f>IF(TwitterClean[[#This Row],[followers]]&lt;100000,"&lt;100K",IF(TwitterClean[[#This Row],[followers]]&lt;1000000,"100K-1M",IF(TwitterClean[[#This Row],[followers]]&lt;10000000,"1M-10M","10M+")))</f>
        <v>10M+</v>
      </c>
    </row>
    <row r="799" spans="1:38">
      <c r="A799">
        <v>1.8660229253435392E+18</v>
      </c>
      <c r="B799" t="s">
        <v>1008</v>
      </c>
      <c r="C799" t="s">
        <v>1009</v>
      </c>
      <c r="D799" t="s">
        <v>4616</v>
      </c>
      <c r="E799" t="s">
        <v>4617</v>
      </c>
      <c r="F799" t="s">
        <v>4618</v>
      </c>
      <c r="G799" t="s">
        <v>4619</v>
      </c>
      <c r="H799" t="s">
        <v>29</v>
      </c>
      <c r="I799">
        <v>178</v>
      </c>
      <c r="J799">
        <v>433</v>
      </c>
      <c r="K799">
        <v>1546</v>
      </c>
      <c r="L799">
        <v>862027</v>
      </c>
      <c r="M799" t="s">
        <v>52</v>
      </c>
      <c r="N799" t="s">
        <v>1014</v>
      </c>
      <c r="O799">
        <v>290295</v>
      </c>
      <c r="P799" t="s">
        <v>1015</v>
      </c>
      <c r="Q799">
        <v>28025</v>
      </c>
      <c r="R799" t="s">
        <v>1016</v>
      </c>
      <c r="S799">
        <v>102</v>
      </c>
      <c r="T799" t="b">
        <v>0</v>
      </c>
      <c r="U799">
        <v>215</v>
      </c>
      <c r="V799">
        <v>76</v>
      </c>
      <c r="W799" t="s">
        <v>35</v>
      </c>
      <c r="X799" t="s">
        <v>29</v>
      </c>
      <c r="Y799" t="s">
        <v>29</v>
      </c>
      <c r="Z799" t="s">
        <v>37</v>
      </c>
      <c r="AA799">
        <f>TwitterClean[[#This Row],[likes]]+TwitterClean[[#This Row],[replies]]+TwitterClean[[#This Row],[reposts]]+TwitterClean[[#This Row],[quotes]]+TwitterClean[[#This Row],[bookmarks]]</f>
        <v>2448</v>
      </c>
      <c r="AB799" s="1">
        <f>TwitterClean[[#This Row],[Total_Engagements]]/TwitterClean[[#This Row],[views]]</f>
        <v>2.8398182423520378E-3</v>
      </c>
      <c r="AC799" s="3">
        <f>DATEVALUE(MID(TwitterClean[[#This Row],[date_posted]],2,10))</f>
        <v>45635</v>
      </c>
      <c r="AD799">
        <f>TIMEVALUE(MID(TwitterClean[[#This Row],[date_posted]],13,8))</f>
        <v>0.31376157407407407</v>
      </c>
      <c r="AE799" s="3" t="str">
        <f>TEXT(TwitterClean[[#This Row],[Post_Date]],"dddd")</f>
        <v>Monday</v>
      </c>
      <c r="AF799">
        <f>HOUR(TwitterClean[[#This Row],[Post_Time]])</f>
        <v>7</v>
      </c>
      <c r="AG799" t="str">
        <f>IF(TwitterClean[[#This Row],[videos]]="Null","No","Yes")</f>
        <v>No</v>
      </c>
      <c r="AH799" t="str">
        <f>IF(TwitterClean[[#This Row],[photos]]="null","No","Yes")</f>
        <v>Yes</v>
      </c>
      <c r="AI799" t="str">
        <f>IF(TwitterClean[[#This Row],[hashtags]]="null","No","Yes")</f>
        <v>Yes</v>
      </c>
      <c r="AJ799" t="str">
        <f>IF(TwitterClean[[#This Row],[external_url]]="null","Yes","No")</f>
        <v>No</v>
      </c>
      <c r="AK799">
        <f>LEN(TwitterClean[[#This Row],[description]])</f>
        <v>129</v>
      </c>
      <c r="AL799" t="str">
        <f>IF(TwitterClean[[#This Row],[followers]]&lt;100000,"&lt;100K",IF(TwitterClean[[#This Row],[followers]]&lt;1000000,"100K-1M",IF(TwitterClean[[#This Row],[followers]]&lt;10000000,"1M-10M","10M+")))</f>
        <v>100K-1M</v>
      </c>
    </row>
    <row r="800" spans="1:38">
      <c r="A800">
        <v>1.868417381015458E+18</v>
      </c>
      <c r="B800" t="s">
        <v>2230</v>
      </c>
      <c r="C800" t="s">
        <v>2231</v>
      </c>
      <c r="D800" t="s">
        <v>2374</v>
      </c>
      <c r="E800" t="s">
        <v>2375</v>
      </c>
      <c r="F800" t="s">
        <v>2376</v>
      </c>
      <c r="G800" t="s">
        <v>2377</v>
      </c>
      <c r="H800" t="s">
        <v>29</v>
      </c>
      <c r="I800">
        <v>27</v>
      </c>
      <c r="J800">
        <v>6</v>
      </c>
      <c r="K800">
        <v>54</v>
      </c>
      <c r="L800">
        <v>33455</v>
      </c>
      <c r="M800" t="s">
        <v>2378</v>
      </c>
      <c r="N800" t="s">
        <v>29</v>
      </c>
      <c r="O800">
        <v>3313886</v>
      </c>
      <c r="P800" t="s">
        <v>2237</v>
      </c>
      <c r="Q800">
        <v>706459</v>
      </c>
      <c r="R800" t="s">
        <v>2238</v>
      </c>
      <c r="S800">
        <v>10308</v>
      </c>
      <c r="T800" t="b">
        <v>0</v>
      </c>
      <c r="U800">
        <v>1</v>
      </c>
      <c r="V800">
        <v>7</v>
      </c>
      <c r="W800" t="s">
        <v>35</v>
      </c>
      <c r="X800" t="s">
        <v>29</v>
      </c>
      <c r="Y800" t="s">
        <v>29</v>
      </c>
      <c r="Z800" t="s">
        <v>37</v>
      </c>
      <c r="AA800">
        <f>TwitterClean[[#This Row],[likes]]+TwitterClean[[#This Row],[replies]]+TwitterClean[[#This Row],[reposts]]+TwitterClean[[#This Row],[quotes]]+TwitterClean[[#This Row],[bookmarks]]</f>
        <v>95</v>
      </c>
      <c r="AB800" s="1">
        <f>TwitterClean[[#This Row],[Total_Engagements]]/TwitterClean[[#This Row],[views]]</f>
        <v>2.8396353310416976E-3</v>
      </c>
      <c r="AC800" s="3">
        <f>DATEVALUE(MID(TwitterClean[[#This Row],[date_posted]],2,10))</f>
        <v>45641</v>
      </c>
      <c r="AD800">
        <f>TIMEVALUE(MID(TwitterClean[[#This Row],[date_posted]],13,8))</f>
        <v>0.9211921296296296</v>
      </c>
      <c r="AE800" s="3" t="str">
        <f>TEXT(TwitterClean[[#This Row],[Post_Date]],"dddd")</f>
        <v>Sunday</v>
      </c>
      <c r="AF800">
        <f>HOUR(TwitterClean[[#This Row],[Post_Time]])</f>
        <v>22</v>
      </c>
      <c r="AG800" t="str">
        <f>IF(TwitterClean[[#This Row],[videos]]="Null","No","Yes")</f>
        <v>No</v>
      </c>
      <c r="AH800" t="str">
        <f>IF(TwitterClean[[#This Row],[photos]]="null","No","Yes")</f>
        <v>Yes</v>
      </c>
      <c r="AI800" t="str">
        <f>IF(TwitterClean[[#This Row],[hashtags]]="null","No","Yes")</f>
        <v>No</v>
      </c>
      <c r="AJ800" t="str">
        <f>IF(TwitterClean[[#This Row],[external_url]]="null","Yes","No")</f>
        <v>No</v>
      </c>
      <c r="AK800">
        <f>LEN(TwitterClean[[#This Row],[description]])</f>
        <v>96</v>
      </c>
      <c r="AL800" t="str">
        <f>IF(TwitterClean[[#This Row],[followers]]&lt;100000,"&lt;100K",IF(TwitterClean[[#This Row],[followers]]&lt;1000000,"100K-1M",IF(TwitterClean[[#This Row],[followers]]&lt;10000000,"1M-10M","10M+")))</f>
        <v>1M-10M</v>
      </c>
    </row>
    <row r="801" spans="1:38">
      <c r="A801">
        <v>1.7466866551495311E+18</v>
      </c>
      <c r="B801" t="s">
        <v>4114</v>
      </c>
      <c r="C801" t="s">
        <v>4115</v>
      </c>
      <c r="D801" t="s">
        <v>4201</v>
      </c>
      <c r="E801" t="s">
        <v>4202</v>
      </c>
      <c r="F801" t="s">
        <v>4203</v>
      </c>
      <c r="G801" t="s">
        <v>4204</v>
      </c>
      <c r="H801" t="s">
        <v>29</v>
      </c>
      <c r="I801">
        <v>411</v>
      </c>
      <c r="J801">
        <v>141</v>
      </c>
      <c r="K801">
        <v>1454</v>
      </c>
      <c r="L801">
        <v>735316</v>
      </c>
      <c r="M801" t="s">
        <v>52</v>
      </c>
      <c r="N801" t="s">
        <v>4205</v>
      </c>
      <c r="O801">
        <v>234568</v>
      </c>
      <c r="P801" t="s">
        <v>4121</v>
      </c>
      <c r="Q801">
        <v>102643</v>
      </c>
      <c r="R801" t="s">
        <v>4122</v>
      </c>
      <c r="S801">
        <v>5173</v>
      </c>
      <c r="T801" t="b">
        <v>0</v>
      </c>
      <c r="U801">
        <v>24</v>
      </c>
      <c r="V801">
        <v>57</v>
      </c>
      <c r="W801" t="s">
        <v>35</v>
      </c>
      <c r="X801" t="s">
        <v>29</v>
      </c>
      <c r="Y801" t="s">
        <v>29</v>
      </c>
      <c r="Z801" t="s">
        <v>37</v>
      </c>
      <c r="AA801">
        <f>TwitterClean[[#This Row],[likes]]+TwitterClean[[#This Row],[replies]]+TwitterClean[[#This Row],[reposts]]+TwitterClean[[#This Row],[quotes]]+TwitterClean[[#This Row],[bookmarks]]</f>
        <v>2087</v>
      </c>
      <c r="AB801" s="1">
        <f>TwitterClean[[#This Row],[Total_Engagements]]/TwitterClean[[#This Row],[views]]</f>
        <v>2.8382355341105047E-3</v>
      </c>
      <c r="AC801" s="3">
        <f>DATEVALUE(MID(TwitterClean[[#This Row],[date_posted]],2,10))</f>
        <v>45306</v>
      </c>
      <c r="AD801">
        <f>TIMEVALUE(MID(TwitterClean[[#This Row],[date_posted]],13,8))</f>
        <v>8.3912037037037045E-3</v>
      </c>
      <c r="AE801" s="3" t="str">
        <f>TEXT(TwitterClean[[#This Row],[Post_Date]],"dddd")</f>
        <v>Monday</v>
      </c>
      <c r="AF801">
        <f>HOUR(TwitterClean[[#This Row],[Post_Time]])</f>
        <v>0</v>
      </c>
      <c r="AG801" t="str">
        <f>IF(TwitterClean[[#This Row],[videos]]="Null","No","Yes")</f>
        <v>No</v>
      </c>
      <c r="AH801" t="str">
        <f>IF(TwitterClean[[#This Row],[photos]]="null","No","Yes")</f>
        <v>Yes</v>
      </c>
      <c r="AI801" t="str">
        <f>IF(TwitterClean[[#This Row],[hashtags]]="null","No","Yes")</f>
        <v>Yes</v>
      </c>
      <c r="AJ801" t="str">
        <f>IF(TwitterClean[[#This Row],[external_url]]="null","Yes","No")</f>
        <v>No</v>
      </c>
      <c r="AK801">
        <f>LEN(TwitterClean[[#This Row],[description]])</f>
        <v>13</v>
      </c>
      <c r="AL801" t="str">
        <f>IF(TwitterClean[[#This Row],[followers]]&lt;100000,"&lt;100K",IF(TwitterClean[[#This Row],[followers]]&lt;1000000,"100K-1M",IF(TwitterClean[[#This Row],[followers]]&lt;10000000,"1M-10M","10M+")))</f>
        <v>100K-1M</v>
      </c>
    </row>
    <row r="802" spans="1:38">
      <c r="A802">
        <v>1.8659977393030638E+18</v>
      </c>
      <c r="B802" t="s">
        <v>266</v>
      </c>
      <c r="C802" t="s">
        <v>266</v>
      </c>
      <c r="D802" t="s">
        <v>3676</v>
      </c>
      <c r="E802" t="s">
        <v>3677</v>
      </c>
      <c r="F802" t="s">
        <v>3678</v>
      </c>
      <c r="G802" t="s">
        <v>3679</v>
      </c>
      <c r="H802" t="s">
        <v>3680</v>
      </c>
      <c r="I802">
        <v>25</v>
      </c>
      <c r="J802">
        <v>60</v>
      </c>
      <c r="K802">
        <v>362</v>
      </c>
      <c r="L802">
        <v>163050</v>
      </c>
      <c r="M802" t="s">
        <v>52</v>
      </c>
      <c r="N802" t="s">
        <v>29</v>
      </c>
      <c r="O802">
        <v>47707452</v>
      </c>
      <c r="P802" t="s">
        <v>272</v>
      </c>
      <c r="Q802">
        <v>367156</v>
      </c>
      <c r="R802" t="s">
        <v>273</v>
      </c>
      <c r="S802">
        <v>2012</v>
      </c>
      <c r="T802" t="b">
        <v>0</v>
      </c>
      <c r="U802">
        <v>6</v>
      </c>
      <c r="V802">
        <v>9</v>
      </c>
      <c r="W802" t="s">
        <v>3681</v>
      </c>
      <c r="X802" t="s">
        <v>29</v>
      </c>
      <c r="Y802" t="s">
        <v>29</v>
      </c>
      <c r="Z802" t="s">
        <v>37</v>
      </c>
      <c r="AA802">
        <f>TwitterClean[[#This Row],[likes]]+TwitterClean[[#This Row],[replies]]+TwitterClean[[#This Row],[reposts]]+TwitterClean[[#This Row],[quotes]]+TwitterClean[[#This Row],[bookmarks]]</f>
        <v>462</v>
      </c>
      <c r="AB802" s="1">
        <f>TwitterClean[[#This Row],[Total_Engagements]]/TwitterClean[[#This Row],[views]]</f>
        <v>2.8334866605335789E-3</v>
      </c>
      <c r="AC802" s="3">
        <f>DATEVALUE(MID(TwitterClean[[#This Row],[date_posted]],2,10))</f>
        <v>45635</v>
      </c>
      <c r="AD802">
        <f>TIMEVALUE(MID(TwitterClean[[#This Row],[date_posted]],13,8))</f>
        <v>0.24425925925925926</v>
      </c>
      <c r="AE802" s="3" t="str">
        <f>TEXT(TwitterClean[[#This Row],[Post_Date]],"dddd")</f>
        <v>Monday</v>
      </c>
      <c r="AF802">
        <f>HOUR(TwitterClean[[#This Row],[Post_Time]])</f>
        <v>5</v>
      </c>
      <c r="AG802" t="str">
        <f>IF(TwitterClean[[#This Row],[videos]]="Null","No","Yes")</f>
        <v>No</v>
      </c>
      <c r="AH802" t="str">
        <f>IF(TwitterClean[[#This Row],[photos]]="null","No","Yes")</f>
        <v>Yes</v>
      </c>
      <c r="AI802" t="str">
        <f>IF(TwitterClean[[#This Row],[hashtags]]="null","No","Yes")</f>
        <v>No</v>
      </c>
      <c r="AJ802" t="str">
        <f>IF(TwitterClean[[#This Row],[external_url]]="null","Yes","No")</f>
        <v>No</v>
      </c>
      <c r="AK802">
        <f>LEN(TwitterClean[[#This Row],[description]])</f>
        <v>308</v>
      </c>
      <c r="AL802" t="str">
        <f>IF(TwitterClean[[#This Row],[followers]]&lt;100000,"&lt;100K",IF(TwitterClean[[#This Row],[followers]]&lt;1000000,"100K-1M",IF(TwitterClean[[#This Row],[followers]]&lt;10000000,"1M-10M","10M+")))</f>
        <v>10M+</v>
      </c>
    </row>
    <row r="803" spans="1:38">
      <c r="A803">
        <v>1.8683134771120868E+18</v>
      </c>
      <c r="B803" t="s">
        <v>2935</v>
      </c>
      <c r="C803" t="s">
        <v>2936</v>
      </c>
      <c r="D803" t="s">
        <v>3484</v>
      </c>
      <c r="E803" t="s">
        <v>3485</v>
      </c>
      <c r="F803" t="s">
        <v>29</v>
      </c>
      <c r="G803" t="s">
        <v>3486</v>
      </c>
      <c r="H803" t="s">
        <v>29</v>
      </c>
      <c r="I803">
        <v>33</v>
      </c>
      <c r="J803">
        <v>12</v>
      </c>
      <c r="K803">
        <v>39</v>
      </c>
      <c r="L803">
        <v>33253</v>
      </c>
      <c r="M803" t="s">
        <v>3487</v>
      </c>
      <c r="N803" t="s">
        <v>29</v>
      </c>
      <c r="O803">
        <v>9564155</v>
      </c>
      <c r="P803" t="s">
        <v>2941</v>
      </c>
      <c r="Q803">
        <v>1125277</v>
      </c>
      <c r="R803" t="s">
        <v>2942</v>
      </c>
      <c r="S803">
        <v>93</v>
      </c>
      <c r="T803" t="b">
        <v>0</v>
      </c>
      <c r="U803">
        <v>3</v>
      </c>
      <c r="V803">
        <v>5</v>
      </c>
      <c r="W803" t="s">
        <v>35</v>
      </c>
      <c r="X803" t="s">
        <v>3106</v>
      </c>
      <c r="Y803" t="s">
        <v>29</v>
      </c>
      <c r="Z803" t="s">
        <v>37</v>
      </c>
      <c r="AA803">
        <f>TwitterClean[[#This Row],[likes]]+TwitterClean[[#This Row],[replies]]+TwitterClean[[#This Row],[reposts]]+TwitterClean[[#This Row],[quotes]]+TwitterClean[[#This Row],[bookmarks]]</f>
        <v>92</v>
      </c>
      <c r="AB803" s="1">
        <f>TwitterClean[[#This Row],[Total_Engagements]]/TwitterClean[[#This Row],[views]]</f>
        <v>2.7666676690824886E-3</v>
      </c>
      <c r="AC803" s="3">
        <f>DATEVALUE(MID(TwitterClean[[#This Row],[date_posted]],2,10))</f>
        <v>45641</v>
      </c>
      <c r="AD803">
        <f>TIMEVALUE(MID(TwitterClean[[#This Row],[date_posted]],13,8))</f>
        <v>0.63447916666666671</v>
      </c>
      <c r="AE803" s="3" t="str">
        <f>TEXT(TwitterClean[[#This Row],[Post_Date]],"dddd")</f>
        <v>Sunday</v>
      </c>
      <c r="AF803">
        <f>HOUR(TwitterClean[[#This Row],[Post_Time]])</f>
        <v>15</v>
      </c>
      <c r="AG803" t="str">
        <f>IF(TwitterClean[[#This Row],[videos]]="Null","No","Yes")</f>
        <v>No</v>
      </c>
      <c r="AH803" t="str">
        <f>IF(TwitterClean[[#This Row],[photos]]="null","No","Yes")</f>
        <v>No</v>
      </c>
      <c r="AI803" t="str">
        <f>IF(TwitterClean[[#This Row],[hashtags]]="null","No","Yes")</f>
        <v>No</v>
      </c>
      <c r="AJ803" t="str">
        <f>IF(TwitterClean[[#This Row],[external_url]]="null","Yes","No")</f>
        <v>No</v>
      </c>
      <c r="AK803">
        <f>LEN(TwitterClean[[#This Row],[description]])</f>
        <v>191</v>
      </c>
      <c r="AL803" t="str">
        <f>IF(TwitterClean[[#This Row],[followers]]&lt;100000,"&lt;100K",IF(TwitterClean[[#This Row],[followers]]&lt;1000000,"100K-1M",IF(TwitterClean[[#This Row],[followers]]&lt;10000000,"1M-10M","10M+")))</f>
        <v>1M-10M</v>
      </c>
    </row>
    <row r="804" spans="1:38">
      <c r="A804">
        <v>1.8658520418743547E+18</v>
      </c>
      <c r="B804" t="s">
        <v>3973</v>
      </c>
      <c r="C804" t="s">
        <v>3974</v>
      </c>
      <c r="D804" t="s">
        <v>4071</v>
      </c>
      <c r="E804" t="s">
        <v>4072</v>
      </c>
      <c r="F804" t="s">
        <v>4073</v>
      </c>
      <c r="G804" t="s">
        <v>4074</v>
      </c>
      <c r="H804" t="s">
        <v>4027</v>
      </c>
      <c r="I804">
        <v>3</v>
      </c>
      <c r="J804">
        <v>7</v>
      </c>
      <c r="K804">
        <v>57</v>
      </c>
      <c r="L804">
        <v>24962</v>
      </c>
      <c r="M804" t="s">
        <v>52</v>
      </c>
      <c r="N804" t="s">
        <v>29</v>
      </c>
      <c r="O804">
        <v>2035100</v>
      </c>
      <c r="P804" t="s">
        <v>3979</v>
      </c>
      <c r="Q804">
        <v>106867</v>
      </c>
      <c r="R804" t="s">
        <v>3980</v>
      </c>
      <c r="S804">
        <v>411</v>
      </c>
      <c r="T804" t="b">
        <v>0</v>
      </c>
      <c r="U804">
        <v>2</v>
      </c>
      <c r="V804">
        <v>0</v>
      </c>
      <c r="W804" t="s">
        <v>35</v>
      </c>
      <c r="X804" t="s">
        <v>29</v>
      </c>
      <c r="Y804" t="s">
        <v>4075</v>
      </c>
      <c r="Z804" t="s">
        <v>37</v>
      </c>
      <c r="AA804">
        <f>TwitterClean[[#This Row],[likes]]+TwitterClean[[#This Row],[replies]]+TwitterClean[[#This Row],[reposts]]+TwitterClean[[#This Row],[quotes]]+TwitterClean[[#This Row],[bookmarks]]</f>
        <v>69</v>
      </c>
      <c r="AB804" s="1">
        <f>TwitterClean[[#This Row],[Total_Engagements]]/TwitterClean[[#This Row],[views]]</f>
        <v>2.7642015864113452E-3</v>
      </c>
      <c r="AC804" s="3">
        <f>DATEVALUE(MID(TwitterClean[[#This Row],[date_posted]],2,10))</f>
        <v>45634</v>
      </c>
      <c r="AD804">
        <f>TIMEVALUE(MID(TwitterClean[[#This Row],[date_posted]],13,8))</f>
        <v>0.84221064814814817</v>
      </c>
      <c r="AE804" s="3" t="str">
        <f>TEXT(TwitterClean[[#This Row],[Post_Date]],"dddd")</f>
        <v>Sunday</v>
      </c>
      <c r="AF804">
        <f>HOUR(TwitterClean[[#This Row],[Post_Time]])</f>
        <v>20</v>
      </c>
      <c r="AG804" t="str">
        <f>IF(TwitterClean[[#This Row],[videos]]="Null","No","Yes")</f>
        <v>Yes</v>
      </c>
      <c r="AH804" t="str">
        <f>IF(TwitterClean[[#This Row],[photos]]="null","No","Yes")</f>
        <v>Yes</v>
      </c>
      <c r="AI804" t="str">
        <f>IF(TwitterClean[[#This Row],[hashtags]]="null","No","Yes")</f>
        <v>No</v>
      </c>
      <c r="AJ804" t="str">
        <f>IF(TwitterClean[[#This Row],[external_url]]="null","Yes","No")</f>
        <v>No</v>
      </c>
      <c r="AK804">
        <f>LEN(TwitterClean[[#This Row],[description]])</f>
        <v>33</v>
      </c>
      <c r="AL804" t="str">
        <f>IF(TwitterClean[[#This Row],[followers]]&lt;100000,"&lt;100K",IF(TwitterClean[[#This Row],[followers]]&lt;1000000,"100K-1M",IF(TwitterClean[[#This Row],[followers]]&lt;10000000,"1M-10M","10M+")))</f>
        <v>1M-10M</v>
      </c>
    </row>
    <row r="805" spans="1:38">
      <c r="A805">
        <v>1.8681356512724956E+18</v>
      </c>
      <c r="B805" t="s">
        <v>1646</v>
      </c>
      <c r="C805" t="s">
        <v>1647</v>
      </c>
      <c r="D805" t="s">
        <v>1688</v>
      </c>
      <c r="E805" t="s">
        <v>1689</v>
      </c>
      <c r="F805" t="s">
        <v>29</v>
      </c>
      <c r="G805" t="s">
        <v>1690</v>
      </c>
      <c r="H805" t="s">
        <v>1691</v>
      </c>
      <c r="I805">
        <v>3</v>
      </c>
      <c r="J805">
        <v>2</v>
      </c>
      <c r="K805">
        <v>24</v>
      </c>
      <c r="L805">
        <v>11961</v>
      </c>
      <c r="M805" t="s">
        <v>52</v>
      </c>
      <c r="N805" t="s">
        <v>1692</v>
      </c>
      <c r="O805">
        <v>3768943</v>
      </c>
      <c r="P805" t="s">
        <v>1653</v>
      </c>
      <c r="Q805">
        <v>897934</v>
      </c>
      <c r="R805" t="s">
        <v>1654</v>
      </c>
      <c r="S805">
        <v>28</v>
      </c>
      <c r="T805" t="b">
        <v>0</v>
      </c>
      <c r="U805">
        <v>0</v>
      </c>
      <c r="V805">
        <v>4</v>
      </c>
      <c r="W805" t="s">
        <v>35</v>
      </c>
      <c r="X805" t="s">
        <v>29</v>
      </c>
      <c r="Y805" t="s">
        <v>1693</v>
      </c>
      <c r="Z805" t="s">
        <v>37</v>
      </c>
      <c r="AA805">
        <f>TwitterClean[[#This Row],[likes]]+TwitterClean[[#This Row],[replies]]+TwitterClean[[#This Row],[reposts]]+TwitterClean[[#This Row],[quotes]]+TwitterClean[[#This Row],[bookmarks]]</f>
        <v>33</v>
      </c>
      <c r="AB805" s="1">
        <f>TwitterClean[[#This Row],[Total_Engagements]]/TwitterClean[[#This Row],[views]]</f>
        <v>2.7589666415851516E-3</v>
      </c>
      <c r="AC805" s="3">
        <f>DATEVALUE(MID(TwitterClean[[#This Row],[date_posted]],2,10))</f>
        <v>45641</v>
      </c>
      <c r="AD805">
        <f>TIMEVALUE(MID(TwitterClean[[#This Row],[date_posted]],13,8))</f>
        <v>0.14377314814814815</v>
      </c>
      <c r="AE805" s="3" t="str">
        <f>TEXT(TwitterClean[[#This Row],[Post_Date]],"dddd")</f>
        <v>Sunday</v>
      </c>
      <c r="AF805">
        <f>HOUR(TwitterClean[[#This Row],[Post_Time]])</f>
        <v>3</v>
      </c>
      <c r="AG805" t="str">
        <f>IF(TwitterClean[[#This Row],[videos]]="Null","No","Yes")</f>
        <v>Yes</v>
      </c>
      <c r="AH805" t="str">
        <f>IF(TwitterClean[[#This Row],[photos]]="null","No","Yes")</f>
        <v>No</v>
      </c>
      <c r="AI805" t="str">
        <f>IF(TwitterClean[[#This Row],[hashtags]]="null","No","Yes")</f>
        <v>Yes</v>
      </c>
      <c r="AJ805" t="str">
        <f>IF(TwitterClean[[#This Row],[external_url]]="null","Yes","No")</f>
        <v>No</v>
      </c>
      <c r="AK805">
        <f>LEN(TwitterClean[[#This Row],[description]])</f>
        <v>185</v>
      </c>
      <c r="AL805" t="str">
        <f>IF(TwitterClean[[#This Row],[followers]]&lt;100000,"&lt;100K",IF(TwitterClean[[#This Row],[followers]]&lt;1000000,"100K-1M",IF(TwitterClean[[#This Row],[followers]]&lt;10000000,"1M-10M","10M+")))</f>
        <v>1M-10M</v>
      </c>
    </row>
    <row r="806" spans="1:38">
      <c r="A806">
        <v>1.8683567896804275E+18</v>
      </c>
      <c r="B806" t="s">
        <v>1646</v>
      </c>
      <c r="C806" t="s">
        <v>1647</v>
      </c>
      <c r="D806" t="s">
        <v>1705</v>
      </c>
      <c r="E806" t="s">
        <v>1706</v>
      </c>
      <c r="F806" t="s">
        <v>29</v>
      </c>
      <c r="G806" t="s">
        <v>1707</v>
      </c>
      <c r="H806" t="s">
        <v>29</v>
      </c>
      <c r="I806">
        <v>2</v>
      </c>
      <c r="J806">
        <v>1</v>
      </c>
      <c r="K806">
        <v>18</v>
      </c>
      <c r="L806">
        <v>8072</v>
      </c>
      <c r="M806" t="s">
        <v>1708</v>
      </c>
      <c r="N806" t="s">
        <v>1652</v>
      </c>
      <c r="O806">
        <v>3768943</v>
      </c>
      <c r="P806" t="s">
        <v>1653</v>
      </c>
      <c r="Q806">
        <v>897934</v>
      </c>
      <c r="R806" t="s">
        <v>1654</v>
      </c>
      <c r="S806">
        <v>28</v>
      </c>
      <c r="T806" t="b">
        <v>0</v>
      </c>
      <c r="U806">
        <v>0</v>
      </c>
      <c r="V806">
        <v>1</v>
      </c>
      <c r="W806" t="s">
        <v>35</v>
      </c>
      <c r="X806" t="s">
        <v>1709</v>
      </c>
      <c r="Y806" t="s">
        <v>29</v>
      </c>
      <c r="Z806" t="s">
        <v>37</v>
      </c>
      <c r="AA806">
        <f>TwitterClean[[#This Row],[likes]]+TwitterClean[[#This Row],[replies]]+TwitterClean[[#This Row],[reposts]]+TwitterClean[[#This Row],[quotes]]+TwitterClean[[#This Row],[bookmarks]]</f>
        <v>22</v>
      </c>
      <c r="AB806" s="1">
        <f>TwitterClean[[#This Row],[Total_Engagements]]/TwitterClean[[#This Row],[views]]</f>
        <v>2.7254707631318136E-3</v>
      </c>
      <c r="AC806" s="3">
        <f>DATEVALUE(MID(TwitterClean[[#This Row],[date_posted]],2,10))</f>
        <v>45641</v>
      </c>
      <c r="AD806">
        <f>TIMEVALUE(MID(TwitterClean[[#This Row],[date_posted]],13,8))</f>
        <v>0.75399305555555551</v>
      </c>
      <c r="AE806" s="3" t="str">
        <f>TEXT(TwitterClean[[#This Row],[Post_Date]],"dddd")</f>
        <v>Sunday</v>
      </c>
      <c r="AF806">
        <f>HOUR(TwitterClean[[#This Row],[Post_Time]])</f>
        <v>18</v>
      </c>
      <c r="AG806" t="str">
        <f>IF(TwitterClean[[#This Row],[videos]]="Null","No","Yes")</f>
        <v>No</v>
      </c>
      <c r="AH806" t="str">
        <f>IF(TwitterClean[[#This Row],[photos]]="null","No","Yes")</f>
        <v>No</v>
      </c>
      <c r="AI806" t="str">
        <f>IF(TwitterClean[[#This Row],[hashtags]]="null","No","Yes")</f>
        <v>Yes</v>
      </c>
      <c r="AJ806" t="str">
        <f>IF(TwitterClean[[#This Row],[external_url]]="null","Yes","No")</f>
        <v>No</v>
      </c>
      <c r="AK806">
        <f>LEN(TwitterClean[[#This Row],[description]])</f>
        <v>82</v>
      </c>
      <c r="AL806" t="str">
        <f>IF(TwitterClean[[#This Row],[followers]]&lt;100000,"&lt;100K",IF(TwitterClean[[#This Row],[followers]]&lt;1000000,"100K-1M",IF(TwitterClean[[#This Row],[followers]]&lt;10000000,"1M-10M","10M+")))</f>
        <v>1M-10M</v>
      </c>
    </row>
    <row r="807" spans="1:38">
      <c r="A807">
        <v>1.8684787657240453E+18</v>
      </c>
      <c r="B807" t="s">
        <v>2935</v>
      </c>
      <c r="C807" t="s">
        <v>2936</v>
      </c>
      <c r="D807" t="s">
        <v>3303</v>
      </c>
      <c r="E807" t="s">
        <v>3304</v>
      </c>
      <c r="F807" t="s">
        <v>29</v>
      </c>
      <c r="G807" t="s">
        <v>3305</v>
      </c>
      <c r="H807" t="s">
        <v>29</v>
      </c>
      <c r="I807">
        <v>30</v>
      </c>
      <c r="J807">
        <v>19</v>
      </c>
      <c r="K807">
        <v>103</v>
      </c>
      <c r="L807">
        <v>64867</v>
      </c>
      <c r="M807" t="s">
        <v>3306</v>
      </c>
      <c r="N807" t="s">
        <v>29</v>
      </c>
      <c r="O807">
        <v>9564154</v>
      </c>
      <c r="P807" t="s">
        <v>2941</v>
      </c>
      <c r="Q807">
        <v>1125277</v>
      </c>
      <c r="R807" t="s">
        <v>2942</v>
      </c>
      <c r="S807">
        <v>93</v>
      </c>
      <c r="T807" t="b">
        <v>0</v>
      </c>
      <c r="U807">
        <v>13</v>
      </c>
      <c r="V807">
        <v>11</v>
      </c>
      <c r="W807" t="s">
        <v>35</v>
      </c>
      <c r="X807" t="s">
        <v>3307</v>
      </c>
      <c r="Y807" t="s">
        <v>29</v>
      </c>
      <c r="Z807" t="s">
        <v>37</v>
      </c>
      <c r="AA807">
        <f>TwitterClean[[#This Row],[likes]]+TwitterClean[[#This Row],[replies]]+TwitterClean[[#This Row],[reposts]]+TwitterClean[[#This Row],[quotes]]+TwitterClean[[#This Row],[bookmarks]]</f>
        <v>176</v>
      </c>
      <c r="AB807" s="1">
        <f>TwitterClean[[#This Row],[Total_Engagements]]/TwitterClean[[#This Row],[views]]</f>
        <v>2.7132440223842634E-3</v>
      </c>
      <c r="AC807" s="3">
        <f>DATEVALUE(MID(TwitterClean[[#This Row],[date_posted]],2,10))</f>
        <v>45642</v>
      </c>
      <c r="AD807">
        <f>TIMEVALUE(MID(TwitterClean[[#This Row],[date_posted]],13,8))</f>
        <v>9.0590277777777783E-2</v>
      </c>
      <c r="AE807" s="3" t="str">
        <f>TEXT(TwitterClean[[#This Row],[Post_Date]],"dddd")</f>
        <v>Monday</v>
      </c>
      <c r="AF807">
        <f>HOUR(TwitterClean[[#This Row],[Post_Time]])</f>
        <v>2</v>
      </c>
      <c r="AG807" t="str">
        <f>IF(TwitterClean[[#This Row],[videos]]="Null","No","Yes")</f>
        <v>No</v>
      </c>
      <c r="AH807" t="str">
        <f>IF(TwitterClean[[#This Row],[photos]]="null","No","Yes")</f>
        <v>No</v>
      </c>
      <c r="AI807" t="str">
        <f>IF(TwitterClean[[#This Row],[hashtags]]="null","No","Yes")</f>
        <v>No</v>
      </c>
      <c r="AJ807" t="str">
        <f>IF(TwitterClean[[#This Row],[external_url]]="null","Yes","No")</f>
        <v>No</v>
      </c>
      <c r="AK807">
        <f>LEN(TwitterClean[[#This Row],[description]])</f>
        <v>218</v>
      </c>
      <c r="AL807" t="str">
        <f>IF(TwitterClean[[#This Row],[followers]]&lt;100000,"&lt;100K",IF(TwitterClean[[#This Row],[followers]]&lt;1000000,"100K-1M",IF(TwitterClean[[#This Row],[followers]]&lt;10000000,"1M-10M","10M+")))</f>
        <v>1M-10M</v>
      </c>
    </row>
    <row r="808" spans="1:38">
      <c r="A808">
        <v>1.8683569507793966E+18</v>
      </c>
      <c r="B808" t="s">
        <v>2230</v>
      </c>
      <c r="C808" t="s">
        <v>2231</v>
      </c>
      <c r="D808" t="s">
        <v>2579</v>
      </c>
      <c r="E808" t="s">
        <v>2530</v>
      </c>
      <c r="F808" t="s">
        <v>2580</v>
      </c>
      <c r="G808" t="s">
        <v>2581</v>
      </c>
      <c r="H808" t="s">
        <v>29</v>
      </c>
      <c r="I808">
        <v>11</v>
      </c>
      <c r="J808">
        <v>4</v>
      </c>
      <c r="K808">
        <v>39</v>
      </c>
      <c r="L808">
        <v>21037</v>
      </c>
      <c r="M808" t="s">
        <v>2582</v>
      </c>
      <c r="N808" t="s">
        <v>29</v>
      </c>
      <c r="O808">
        <v>3313887</v>
      </c>
      <c r="P808" t="s">
        <v>2237</v>
      </c>
      <c r="Q808">
        <v>706459</v>
      </c>
      <c r="R808" t="s">
        <v>2238</v>
      </c>
      <c r="S808">
        <v>10308</v>
      </c>
      <c r="T808" t="b">
        <v>0</v>
      </c>
      <c r="U808">
        <v>1</v>
      </c>
      <c r="V808">
        <v>2</v>
      </c>
      <c r="W808" t="s">
        <v>35</v>
      </c>
      <c r="X808" t="s">
        <v>29</v>
      </c>
      <c r="Y808" t="s">
        <v>29</v>
      </c>
      <c r="Z808" t="s">
        <v>37</v>
      </c>
      <c r="AA808">
        <f>TwitterClean[[#This Row],[likes]]+TwitterClean[[#This Row],[replies]]+TwitterClean[[#This Row],[reposts]]+TwitterClean[[#This Row],[quotes]]+TwitterClean[[#This Row],[bookmarks]]</f>
        <v>57</v>
      </c>
      <c r="AB808" s="1">
        <f>TwitterClean[[#This Row],[Total_Engagements]]/TwitterClean[[#This Row],[views]]</f>
        <v>2.7095118125207967E-3</v>
      </c>
      <c r="AC808" s="3">
        <f>DATEVALUE(MID(TwitterClean[[#This Row],[date_posted]],2,10))</f>
        <v>45641</v>
      </c>
      <c r="AD808">
        <f>TIMEVALUE(MID(TwitterClean[[#This Row],[date_posted]],13,8))</f>
        <v>0.75444444444444447</v>
      </c>
      <c r="AE808" s="3" t="str">
        <f>TEXT(TwitterClean[[#This Row],[Post_Date]],"dddd")</f>
        <v>Sunday</v>
      </c>
      <c r="AF808">
        <f>HOUR(TwitterClean[[#This Row],[Post_Time]])</f>
        <v>18</v>
      </c>
      <c r="AG808" t="str">
        <f>IF(TwitterClean[[#This Row],[videos]]="Null","No","Yes")</f>
        <v>No</v>
      </c>
      <c r="AH808" t="str">
        <f>IF(TwitterClean[[#This Row],[photos]]="null","No","Yes")</f>
        <v>Yes</v>
      </c>
      <c r="AI808" t="str">
        <f>IF(TwitterClean[[#This Row],[hashtags]]="null","No","Yes")</f>
        <v>No</v>
      </c>
      <c r="AJ808" t="str">
        <f>IF(TwitterClean[[#This Row],[external_url]]="null","Yes","No")</f>
        <v>No</v>
      </c>
      <c r="AK808">
        <f>LEN(TwitterClean[[#This Row],[description]])</f>
        <v>96</v>
      </c>
      <c r="AL808" t="str">
        <f>IF(TwitterClean[[#This Row],[followers]]&lt;100000,"&lt;100K",IF(TwitterClean[[#This Row],[followers]]&lt;1000000,"100K-1M",IF(TwitterClean[[#This Row],[followers]]&lt;10000000,"1M-10M","10M+")))</f>
        <v>1M-10M</v>
      </c>
    </row>
    <row r="809" spans="1:38">
      <c r="A809">
        <v>1.8681409639753119E+18</v>
      </c>
      <c r="B809" t="s">
        <v>3034</v>
      </c>
      <c r="C809" t="s">
        <v>3035</v>
      </c>
      <c r="D809" t="s">
        <v>3248</v>
      </c>
      <c r="E809" t="s">
        <v>3249</v>
      </c>
      <c r="F809" t="s">
        <v>29</v>
      </c>
      <c r="G809" t="s">
        <v>3250</v>
      </c>
      <c r="H809" t="s">
        <v>3251</v>
      </c>
      <c r="I809">
        <v>29</v>
      </c>
      <c r="J809">
        <v>19</v>
      </c>
      <c r="K809">
        <v>186</v>
      </c>
      <c r="L809">
        <v>87724</v>
      </c>
      <c r="M809" t="s">
        <v>52</v>
      </c>
      <c r="N809" t="s">
        <v>3040</v>
      </c>
      <c r="O809">
        <v>12876593</v>
      </c>
      <c r="P809" t="s">
        <v>3041</v>
      </c>
      <c r="Q809">
        <v>141401</v>
      </c>
      <c r="R809" t="s">
        <v>3042</v>
      </c>
      <c r="S809">
        <v>717</v>
      </c>
      <c r="T809" t="b">
        <v>0</v>
      </c>
      <c r="U809">
        <v>3</v>
      </c>
      <c r="V809">
        <v>0</v>
      </c>
      <c r="W809" t="s">
        <v>35</v>
      </c>
      <c r="X809" t="s">
        <v>29</v>
      </c>
      <c r="Y809" t="s">
        <v>3252</v>
      </c>
      <c r="Z809" t="s">
        <v>37</v>
      </c>
      <c r="AA809">
        <f>TwitterClean[[#This Row],[likes]]+TwitterClean[[#This Row],[replies]]+TwitterClean[[#This Row],[reposts]]+TwitterClean[[#This Row],[quotes]]+TwitterClean[[#This Row],[bookmarks]]</f>
        <v>237</v>
      </c>
      <c r="AB809" s="1">
        <f>TwitterClean[[#This Row],[Total_Engagements]]/TwitterClean[[#This Row],[views]]</f>
        <v>2.7016551912817472E-3</v>
      </c>
      <c r="AC809" s="3">
        <f>DATEVALUE(MID(TwitterClean[[#This Row],[date_posted]],2,10))</f>
        <v>45641</v>
      </c>
      <c r="AD809">
        <f>TIMEVALUE(MID(TwitterClean[[#This Row],[date_posted]],13,8))</f>
        <v>0.15842592592592591</v>
      </c>
      <c r="AE809" s="3" t="str">
        <f>TEXT(TwitterClean[[#This Row],[Post_Date]],"dddd")</f>
        <v>Sunday</v>
      </c>
      <c r="AF809">
        <f>HOUR(TwitterClean[[#This Row],[Post_Time]])</f>
        <v>3</v>
      </c>
      <c r="AG809" t="str">
        <f>IF(TwitterClean[[#This Row],[videos]]="Null","No","Yes")</f>
        <v>Yes</v>
      </c>
      <c r="AH809" t="str">
        <f>IF(TwitterClean[[#This Row],[photos]]="null","No","Yes")</f>
        <v>No</v>
      </c>
      <c r="AI809" t="str">
        <f>IF(TwitterClean[[#This Row],[hashtags]]="null","No","Yes")</f>
        <v>Yes</v>
      </c>
      <c r="AJ809" t="str">
        <f>IF(TwitterClean[[#This Row],[external_url]]="null","Yes","No")</f>
        <v>No</v>
      </c>
      <c r="AK809">
        <f>LEN(TwitterClean[[#This Row],[description]])</f>
        <v>106</v>
      </c>
      <c r="AL809" t="str">
        <f>IF(TwitterClean[[#This Row],[followers]]&lt;100000,"&lt;100K",IF(TwitterClean[[#This Row],[followers]]&lt;1000000,"100K-1M",IF(TwitterClean[[#This Row],[followers]]&lt;10000000,"1M-10M","10M+")))</f>
        <v>10M+</v>
      </c>
    </row>
    <row r="810" spans="1:38">
      <c r="A810">
        <v>1.8659837940687956E+18</v>
      </c>
      <c r="B810" t="s">
        <v>266</v>
      </c>
      <c r="C810" t="s">
        <v>266</v>
      </c>
      <c r="D810" t="s">
        <v>573</v>
      </c>
      <c r="E810" t="s">
        <v>574</v>
      </c>
      <c r="F810" t="s">
        <v>575</v>
      </c>
      <c r="G810" t="s">
        <v>576</v>
      </c>
      <c r="H810" t="s">
        <v>577</v>
      </c>
      <c r="I810">
        <v>30</v>
      </c>
      <c r="J810">
        <v>89</v>
      </c>
      <c r="K810">
        <v>690</v>
      </c>
      <c r="L810">
        <v>316095</v>
      </c>
      <c r="M810" t="s">
        <v>52</v>
      </c>
      <c r="N810" t="s">
        <v>29</v>
      </c>
      <c r="O810">
        <v>47706817</v>
      </c>
      <c r="P810" t="s">
        <v>272</v>
      </c>
      <c r="Q810">
        <v>367152</v>
      </c>
      <c r="R810" t="s">
        <v>273</v>
      </c>
      <c r="S810">
        <v>2012</v>
      </c>
      <c r="T810" t="b">
        <v>0</v>
      </c>
      <c r="U810">
        <v>21</v>
      </c>
      <c r="V810">
        <v>13</v>
      </c>
      <c r="W810" t="s">
        <v>578</v>
      </c>
      <c r="X810" t="s">
        <v>29</v>
      </c>
      <c r="Y810" t="s">
        <v>29</v>
      </c>
      <c r="Z810" t="s">
        <v>37</v>
      </c>
      <c r="AA810">
        <f>TwitterClean[[#This Row],[likes]]+TwitterClean[[#This Row],[replies]]+TwitterClean[[#This Row],[reposts]]+TwitterClean[[#This Row],[quotes]]+TwitterClean[[#This Row],[bookmarks]]</f>
        <v>843</v>
      </c>
      <c r="AB810" s="1">
        <f>TwitterClean[[#This Row],[Total_Engagements]]/TwitterClean[[#This Row],[views]]</f>
        <v>2.6669197551369051E-3</v>
      </c>
      <c r="AC810" s="3">
        <f>DATEVALUE(MID(TwitterClean[[#This Row],[date_posted]],2,10))</f>
        <v>45635</v>
      </c>
      <c r="AD810">
        <f>TIMEVALUE(MID(TwitterClean[[#This Row],[date_posted]],13,8))</f>
        <v>0.20577546296296295</v>
      </c>
      <c r="AE810" s="3" t="str">
        <f>TEXT(TwitterClean[[#This Row],[Post_Date]],"dddd")</f>
        <v>Monday</v>
      </c>
      <c r="AF810">
        <f>HOUR(TwitterClean[[#This Row],[Post_Time]])</f>
        <v>4</v>
      </c>
      <c r="AG810" t="str">
        <f>IF(TwitterClean[[#This Row],[videos]]="Null","No","Yes")</f>
        <v>No</v>
      </c>
      <c r="AH810" t="str">
        <f>IF(TwitterClean[[#This Row],[photos]]="null","No","Yes")</f>
        <v>Yes</v>
      </c>
      <c r="AI810" t="str">
        <f>IF(TwitterClean[[#This Row],[hashtags]]="null","No","Yes")</f>
        <v>No</v>
      </c>
      <c r="AJ810" t="str">
        <f>IF(TwitterClean[[#This Row],[external_url]]="null","Yes","No")</f>
        <v>No</v>
      </c>
      <c r="AK810">
        <f>LEN(TwitterClean[[#This Row],[description]])</f>
        <v>183</v>
      </c>
      <c r="AL810" t="str">
        <f>IF(TwitterClean[[#This Row],[followers]]&lt;100000,"&lt;100K",IF(TwitterClean[[#This Row],[followers]]&lt;1000000,"100K-1M",IF(TwitterClean[[#This Row],[followers]]&lt;10000000,"1M-10M","10M+")))</f>
        <v>10M+</v>
      </c>
    </row>
    <row r="811" spans="1:38">
      <c r="A811">
        <v>1.8680848180863555E+18</v>
      </c>
      <c r="B811" t="s">
        <v>2935</v>
      </c>
      <c r="C811" t="s">
        <v>2936</v>
      </c>
      <c r="D811" t="s">
        <v>3474</v>
      </c>
      <c r="E811" t="s">
        <v>3718</v>
      </c>
      <c r="F811" t="s">
        <v>29</v>
      </c>
      <c r="G811" t="s">
        <v>3719</v>
      </c>
      <c r="H811" t="s">
        <v>29</v>
      </c>
      <c r="I811">
        <v>17</v>
      </c>
      <c r="J811">
        <v>16</v>
      </c>
      <c r="K811">
        <v>50</v>
      </c>
      <c r="L811">
        <v>35313</v>
      </c>
      <c r="M811" t="s">
        <v>3720</v>
      </c>
      <c r="N811" t="s">
        <v>29</v>
      </c>
      <c r="O811">
        <v>9564157</v>
      </c>
      <c r="P811" t="s">
        <v>2941</v>
      </c>
      <c r="Q811">
        <v>1125277</v>
      </c>
      <c r="R811" t="s">
        <v>2942</v>
      </c>
      <c r="S811">
        <v>93</v>
      </c>
      <c r="T811" t="b">
        <v>0</v>
      </c>
      <c r="U811">
        <v>2</v>
      </c>
      <c r="V811">
        <v>6</v>
      </c>
      <c r="W811" t="s">
        <v>35</v>
      </c>
      <c r="X811" t="s">
        <v>3478</v>
      </c>
      <c r="Y811" t="s">
        <v>29</v>
      </c>
      <c r="Z811" t="s">
        <v>37</v>
      </c>
      <c r="AA811">
        <f>TwitterClean[[#This Row],[likes]]+TwitterClean[[#This Row],[replies]]+TwitterClean[[#This Row],[reposts]]+TwitterClean[[#This Row],[quotes]]+TwitterClean[[#This Row],[bookmarks]]</f>
        <v>91</v>
      </c>
      <c r="AB811" s="1">
        <f>TwitterClean[[#This Row],[Total_Engagements]]/TwitterClean[[#This Row],[views]]</f>
        <v>2.5769546625888482E-3</v>
      </c>
      <c r="AC811" s="3">
        <f>DATEVALUE(MID(TwitterClean[[#This Row],[date_posted]],2,10))</f>
        <v>45641</v>
      </c>
      <c r="AD811">
        <f>TIMEVALUE(MID(TwitterClean[[#This Row],[date_posted]],13,8))</f>
        <v>3.4953703703703705E-3</v>
      </c>
      <c r="AE811" s="3" t="str">
        <f>TEXT(TwitterClean[[#This Row],[Post_Date]],"dddd")</f>
        <v>Sunday</v>
      </c>
      <c r="AF811">
        <f>HOUR(TwitterClean[[#This Row],[Post_Time]])</f>
        <v>0</v>
      </c>
      <c r="AG811" t="str">
        <f>IF(TwitterClean[[#This Row],[videos]]="Null","No","Yes")</f>
        <v>No</v>
      </c>
      <c r="AH811" t="str">
        <f>IF(TwitterClean[[#This Row],[photos]]="null","No","Yes")</f>
        <v>No</v>
      </c>
      <c r="AI811" t="str">
        <f>IF(TwitterClean[[#This Row],[hashtags]]="null","No","Yes")</f>
        <v>No</v>
      </c>
      <c r="AJ811" t="str">
        <f>IF(TwitterClean[[#This Row],[external_url]]="null","Yes","No")</f>
        <v>No</v>
      </c>
      <c r="AK811">
        <f>LEN(TwitterClean[[#This Row],[description]])</f>
        <v>119</v>
      </c>
      <c r="AL811" t="str">
        <f>IF(TwitterClean[[#This Row],[followers]]&lt;100000,"&lt;100K",IF(TwitterClean[[#This Row],[followers]]&lt;1000000,"100K-1M",IF(TwitterClean[[#This Row],[followers]]&lt;10000000,"1M-10M","10M+")))</f>
        <v>1M-10M</v>
      </c>
    </row>
    <row r="812" spans="1:38">
      <c r="A812">
        <v>1.8683274586150385E+18</v>
      </c>
      <c r="B812" t="s">
        <v>3743</v>
      </c>
      <c r="C812" t="s">
        <v>3744</v>
      </c>
      <c r="D812" t="s">
        <v>3940</v>
      </c>
      <c r="E812" t="s">
        <v>3941</v>
      </c>
      <c r="F812" t="s">
        <v>29</v>
      </c>
      <c r="G812" t="s">
        <v>3942</v>
      </c>
      <c r="H812" t="s">
        <v>29</v>
      </c>
      <c r="I812">
        <v>2</v>
      </c>
      <c r="J812">
        <v>1</v>
      </c>
      <c r="K812">
        <v>25</v>
      </c>
      <c r="L812">
        <v>11386</v>
      </c>
      <c r="M812" t="s">
        <v>3749</v>
      </c>
      <c r="N812" t="s">
        <v>3750</v>
      </c>
      <c r="O812">
        <v>668750</v>
      </c>
      <c r="P812" t="s">
        <v>3751</v>
      </c>
      <c r="Q812">
        <v>76510</v>
      </c>
      <c r="R812" t="s">
        <v>3752</v>
      </c>
      <c r="S812">
        <v>860</v>
      </c>
      <c r="T812" t="b">
        <v>0</v>
      </c>
      <c r="U812">
        <v>1</v>
      </c>
      <c r="V812">
        <v>0</v>
      </c>
      <c r="W812" t="s">
        <v>35</v>
      </c>
      <c r="X812" t="s">
        <v>29</v>
      </c>
      <c r="Y812" t="s">
        <v>3943</v>
      </c>
      <c r="Z812" t="s">
        <v>37</v>
      </c>
      <c r="AA812">
        <f>TwitterClean[[#This Row],[likes]]+TwitterClean[[#This Row],[replies]]+TwitterClean[[#This Row],[reposts]]+TwitterClean[[#This Row],[quotes]]+TwitterClean[[#This Row],[bookmarks]]</f>
        <v>29</v>
      </c>
      <c r="AB812" s="1">
        <f>TwitterClean[[#This Row],[Total_Engagements]]/TwitterClean[[#This Row],[views]]</f>
        <v>2.5469875285438256E-3</v>
      </c>
      <c r="AC812" s="3">
        <f>DATEVALUE(MID(TwitterClean[[#This Row],[date_posted]],2,10))</f>
        <v>45641</v>
      </c>
      <c r="AD812">
        <f>TIMEVALUE(MID(TwitterClean[[#This Row],[date_posted]],13,8))</f>
        <v>0.67305555555555552</v>
      </c>
      <c r="AE812" s="3" t="str">
        <f>TEXT(TwitterClean[[#This Row],[Post_Date]],"dddd")</f>
        <v>Sunday</v>
      </c>
      <c r="AF812">
        <f>HOUR(TwitterClean[[#This Row],[Post_Time]])</f>
        <v>16</v>
      </c>
      <c r="AG812" t="str">
        <f>IF(TwitterClean[[#This Row],[videos]]="Null","No","Yes")</f>
        <v>Yes</v>
      </c>
      <c r="AH812" t="str">
        <f>IF(TwitterClean[[#This Row],[photos]]="null","No","Yes")</f>
        <v>No</v>
      </c>
      <c r="AI812" t="str">
        <f>IF(TwitterClean[[#This Row],[hashtags]]="null","No","Yes")</f>
        <v>Yes</v>
      </c>
      <c r="AJ812" t="str">
        <f>IF(TwitterClean[[#This Row],[external_url]]="null","Yes","No")</f>
        <v>No</v>
      </c>
      <c r="AK812">
        <f>LEN(TwitterClean[[#This Row],[description]])</f>
        <v>91</v>
      </c>
      <c r="AL812" t="str">
        <f>IF(TwitterClean[[#This Row],[followers]]&lt;100000,"&lt;100K",IF(TwitterClean[[#This Row],[followers]]&lt;1000000,"100K-1M",IF(TwitterClean[[#This Row],[followers]]&lt;10000000,"1M-10M","10M+")))</f>
        <v>100K-1M</v>
      </c>
    </row>
    <row r="813" spans="1:38">
      <c r="A813">
        <v>1.8684263801462459E+18</v>
      </c>
      <c r="B813" t="s">
        <v>2230</v>
      </c>
      <c r="C813" t="s">
        <v>2231</v>
      </c>
      <c r="D813" t="s">
        <v>2414</v>
      </c>
      <c r="E813" t="s">
        <v>2415</v>
      </c>
      <c r="F813" t="s">
        <v>2416</v>
      </c>
      <c r="G813" t="s">
        <v>2417</v>
      </c>
      <c r="H813" t="s">
        <v>29</v>
      </c>
      <c r="I813">
        <v>25</v>
      </c>
      <c r="J813">
        <v>9</v>
      </c>
      <c r="K813">
        <v>33</v>
      </c>
      <c r="L813">
        <v>30426</v>
      </c>
      <c r="M813" t="s">
        <v>2418</v>
      </c>
      <c r="N813" t="s">
        <v>29</v>
      </c>
      <c r="O813">
        <v>3313886</v>
      </c>
      <c r="P813" t="s">
        <v>2237</v>
      </c>
      <c r="Q813">
        <v>706459</v>
      </c>
      <c r="R813" t="s">
        <v>2238</v>
      </c>
      <c r="S813">
        <v>10308</v>
      </c>
      <c r="T813" t="b">
        <v>0</v>
      </c>
      <c r="U813">
        <v>8</v>
      </c>
      <c r="V813">
        <v>2</v>
      </c>
      <c r="W813" t="s">
        <v>35</v>
      </c>
      <c r="X813" t="s">
        <v>29</v>
      </c>
      <c r="Y813" t="s">
        <v>29</v>
      </c>
      <c r="Z813" t="s">
        <v>37</v>
      </c>
      <c r="AA813">
        <f>TwitterClean[[#This Row],[likes]]+TwitterClean[[#This Row],[replies]]+TwitterClean[[#This Row],[reposts]]+TwitterClean[[#This Row],[quotes]]+TwitterClean[[#This Row],[bookmarks]]</f>
        <v>77</v>
      </c>
      <c r="AB813" s="1">
        <f>TwitterClean[[#This Row],[Total_Engagements]]/TwitterClean[[#This Row],[views]]</f>
        <v>2.5307302964569776E-3</v>
      </c>
      <c r="AC813" s="3">
        <f>DATEVALUE(MID(TwitterClean[[#This Row],[date_posted]],2,10))</f>
        <v>45641</v>
      </c>
      <c r="AD813">
        <f>TIMEVALUE(MID(TwitterClean[[#This Row],[date_posted]],13,8))</f>
        <v>0.94603009259259263</v>
      </c>
      <c r="AE813" s="3" t="str">
        <f>TEXT(TwitterClean[[#This Row],[Post_Date]],"dddd")</f>
        <v>Sunday</v>
      </c>
      <c r="AF813">
        <f>HOUR(TwitterClean[[#This Row],[Post_Time]])</f>
        <v>22</v>
      </c>
      <c r="AG813" t="str">
        <f>IF(TwitterClean[[#This Row],[videos]]="Null","No","Yes")</f>
        <v>No</v>
      </c>
      <c r="AH813" t="str">
        <f>IF(TwitterClean[[#This Row],[photos]]="null","No","Yes")</f>
        <v>Yes</v>
      </c>
      <c r="AI813" t="str">
        <f>IF(TwitterClean[[#This Row],[hashtags]]="null","No","Yes")</f>
        <v>No</v>
      </c>
      <c r="AJ813" t="str">
        <f>IF(TwitterClean[[#This Row],[external_url]]="null","Yes","No")</f>
        <v>No</v>
      </c>
      <c r="AK813">
        <f>LEN(TwitterClean[[#This Row],[description]])</f>
        <v>64</v>
      </c>
      <c r="AL813" t="str">
        <f>IF(TwitterClean[[#This Row],[followers]]&lt;100000,"&lt;100K",IF(TwitterClean[[#This Row],[followers]]&lt;1000000,"100K-1M",IF(TwitterClean[[#This Row],[followers]]&lt;10000000,"1M-10M","10M+")))</f>
        <v>1M-10M</v>
      </c>
    </row>
    <row r="814" spans="1:38">
      <c r="A814">
        <v>1.8685133923082158E+18</v>
      </c>
      <c r="B814" t="s">
        <v>2935</v>
      </c>
      <c r="C814" t="s">
        <v>2936</v>
      </c>
      <c r="D814" t="s">
        <v>3562</v>
      </c>
      <c r="E814" t="s">
        <v>3563</v>
      </c>
      <c r="F814" t="s">
        <v>29</v>
      </c>
      <c r="G814" t="s">
        <v>3564</v>
      </c>
      <c r="H814" t="s">
        <v>29</v>
      </c>
      <c r="I814">
        <v>6</v>
      </c>
      <c r="J814">
        <v>9</v>
      </c>
      <c r="K814">
        <v>27</v>
      </c>
      <c r="L814">
        <v>18191</v>
      </c>
      <c r="M814" t="s">
        <v>3565</v>
      </c>
      <c r="N814" t="s">
        <v>29</v>
      </c>
      <c r="O814">
        <v>9564153</v>
      </c>
      <c r="P814" t="s">
        <v>2941</v>
      </c>
      <c r="Q814">
        <v>1125277</v>
      </c>
      <c r="R814" t="s">
        <v>2942</v>
      </c>
      <c r="S814">
        <v>93</v>
      </c>
      <c r="T814" t="b">
        <v>0</v>
      </c>
      <c r="U814">
        <v>2</v>
      </c>
      <c r="V814">
        <v>2</v>
      </c>
      <c r="W814" t="s">
        <v>35</v>
      </c>
      <c r="X814" t="s">
        <v>3566</v>
      </c>
      <c r="Y814" t="s">
        <v>29</v>
      </c>
      <c r="Z814" t="s">
        <v>37</v>
      </c>
      <c r="AA814">
        <f>TwitterClean[[#This Row],[likes]]+TwitterClean[[#This Row],[replies]]+TwitterClean[[#This Row],[reposts]]+TwitterClean[[#This Row],[quotes]]+TwitterClean[[#This Row],[bookmarks]]</f>
        <v>46</v>
      </c>
      <c r="AB814" s="1">
        <f>TwitterClean[[#This Row],[Total_Engagements]]/TwitterClean[[#This Row],[views]]</f>
        <v>2.5287229948875818E-3</v>
      </c>
      <c r="AC814" s="3">
        <f>DATEVALUE(MID(TwitterClean[[#This Row],[date_posted]],2,10))</f>
        <v>45642</v>
      </c>
      <c r="AD814">
        <f>TIMEVALUE(MID(TwitterClean[[#This Row],[date_posted]],13,8))</f>
        <v>0.18613425925925925</v>
      </c>
      <c r="AE814" s="3" t="str">
        <f>TEXT(TwitterClean[[#This Row],[Post_Date]],"dddd")</f>
        <v>Monday</v>
      </c>
      <c r="AF814">
        <f>HOUR(TwitterClean[[#This Row],[Post_Time]])</f>
        <v>4</v>
      </c>
      <c r="AG814" t="str">
        <f>IF(TwitterClean[[#This Row],[videos]]="Null","No","Yes")</f>
        <v>No</v>
      </c>
      <c r="AH814" t="str">
        <f>IF(TwitterClean[[#This Row],[photos]]="null","No","Yes")</f>
        <v>No</v>
      </c>
      <c r="AI814" t="str">
        <f>IF(TwitterClean[[#This Row],[hashtags]]="null","No","Yes")</f>
        <v>No</v>
      </c>
      <c r="AJ814" t="str">
        <f>IF(TwitterClean[[#This Row],[external_url]]="null","Yes","No")</f>
        <v>No</v>
      </c>
      <c r="AK814">
        <f>LEN(TwitterClean[[#This Row],[description]])</f>
        <v>117</v>
      </c>
      <c r="AL814" t="str">
        <f>IF(TwitterClean[[#This Row],[followers]]&lt;100000,"&lt;100K",IF(TwitterClean[[#This Row],[followers]]&lt;1000000,"100K-1M",IF(TwitterClean[[#This Row],[followers]]&lt;10000000,"1M-10M","10M+")))</f>
        <v>1M-10M</v>
      </c>
    </row>
    <row r="815" spans="1:38">
      <c r="A815">
        <v>1.8684656002777134E+18</v>
      </c>
      <c r="B815" t="s">
        <v>183</v>
      </c>
      <c r="C815" t="s">
        <v>184</v>
      </c>
      <c r="D815" t="s">
        <v>777</v>
      </c>
      <c r="E815" t="s">
        <v>778</v>
      </c>
      <c r="F815" t="s">
        <v>29</v>
      </c>
      <c r="G815" t="s">
        <v>779</v>
      </c>
      <c r="H815" t="s">
        <v>29</v>
      </c>
      <c r="I815">
        <v>43</v>
      </c>
      <c r="J815">
        <v>10</v>
      </c>
      <c r="K815">
        <v>46</v>
      </c>
      <c r="L815">
        <v>46312</v>
      </c>
      <c r="M815" t="s">
        <v>780</v>
      </c>
      <c r="N815" t="s">
        <v>29</v>
      </c>
      <c r="O815">
        <v>27122999</v>
      </c>
      <c r="P815" t="s">
        <v>190</v>
      </c>
      <c r="Q815">
        <v>402761</v>
      </c>
      <c r="R815" t="s">
        <v>191</v>
      </c>
      <c r="S815">
        <v>155</v>
      </c>
      <c r="T815" t="b">
        <v>0</v>
      </c>
      <c r="U815">
        <v>3</v>
      </c>
      <c r="V815">
        <v>15</v>
      </c>
      <c r="W815" t="s">
        <v>35</v>
      </c>
      <c r="X815" t="s">
        <v>374</v>
      </c>
      <c r="Y815" t="s">
        <v>29</v>
      </c>
      <c r="Z815" t="s">
        <v>37</v>
      </c>
      <c r="AA815">
        <f>TwitterClean[[#This Row],[likes]]+TwitterClean[[#This Row],[replies]]+TwitterClean[[#This Row],[reposts]]+TwitterClean[[#This Row],[quotes]]+TwitterClean[[#This Row],[bookmarks]]</f>
        <v>117</v>
      </c>
      <c r="AB815" s="1">
        <f>TwitterClean[[#This Row],[Total_Engagements]]/TwitterClean[[#This Row],[views]]</f>
        <v>2.5263430644325443E-3</v>
      </c>
      <c r="AC815" s="3">
        <f>DATEVALUE(MID(TwitterClean[[#This Row],[date_posted]],2,10))</f>
        <v>45642</v>
      </c>
      <c r="AD815">
        <f>TIMEVALUE(MID(TwitterClean[[#This Row],[date_posted]],13,8))</f>
        <v>5.4259259259259257E-2</v>
      </c>
      <c r="AE815" s="3" t="str">
        <f>TEXT(TwitterClean[[#This Row],[Post_Date]],"dddd")</f>
        <v>Monday</v>
      </c>
      <c r="AF815">
        <f>HOUR(TwitterClean[[#This Row],[Post_Time]])</f>
        <v>1</v>
      </c>
      <c r="AG815" t="str">
        <f>IF(TwitterClean[[#This Row],[videos]]="Null","No","Yes")</f>
        <v>No</v>
      </c>
      <c r="AH815" t="str">
        <f>IF(TwitterClean[[#This Row],[photos]]="null","No","Yes")</f>
        <v>No</v>
      </c>
      <c r="AI815" t="str">
        <f>IF(TwitterClean[[#This Row],[hashtags]]="null","No","Yes")</f>
        <v>No</v>
      </c>
      <c r="AJ815" t="str">
        <f>IF(TwitterClean[[#This Row],[external_url]]="null","Yes","No")</f>
        <v>No</v>
      </c>
      <c r="AK815">
        <f>LEN(TwitterClean[[#This Row],[description]])</f>
        <v>167</v>
      </c>
      <c r="AL815" t="str">
        <f>IF(TwitterClean[[#This Row],[followers]]&lt;100000,"&lt;100K",IF(TwitterClean[[#This Row],[followers]]&lt;1000000,"100K-1M",IF(TwitterClean[[#This Row],[followers]]&lt;10000000,"1M-10M","10M+")))</f>
        <v>10M+</v>
      </c>
    </row>
    <row r="816" spans="1:38">
      <c r="A816">
        <v>1.8682590427804344E+18</v>
      </c>
      <c r="B816" t="s">
        <v>2230</v>
      </c>
      <c r="C816" t="s">
        <v>2231</v>
      </c>
      <c r="D816" t="s">
        <v>2608</v>
      </c>
      <c r="E816" t="s">
        <v>2609</v>
      </c>
      <c r="F816" t="s">
        <v>2610</v>
      </c>
      <c r="G816" t="s">
        <v>2611</v>
      </c>
      <c r="H816" t="s">
        <v>29</v>
      </c>
      <c r="I816">
        <v>18</v>
      </c>
      <c r="J816">
        <v>7</v>
      </c>
      <c r="K816">
        <v>37</v>
      </c>
      <c r="L816">
        <v>26182</v>
      </c>
      <c r="M816" t="s">
        <v>2612</v>
      </c>
      <c r="N816" t="s">
        <v>29</v>
      </c>
      <c r="O816">
        <v>3313891</v>
      </c>
      <c r="P816" t="s">
        <v>2237</v>
      </c>
      <c r="Q816">
        <v>706459</v>
      </c>
      <c r="R816" t="s">
        <v>2238</v>
      </c>
      <c r="S816">
        <v>10308</v>
      </c>
      <c r="T816" t="b">
        <v>0</v>
      </c>
      <c r="U816">
        <v>3</v>
      </c>
      <c r="V816">
        <v>1</v>
      </c>
      <c r="W816" t="s">
        <v>35</v>
      </c>
      <c r="X816" t="s">
        <v>29</v>
      </c>
      <c r="Y816" t="s">
        <v>29</v>
      </c>
      <c r="Z816" t="s">
        <v>37</v>
      </c>
      <c r="AA816">
        <f>TwitterClean[[#This Row],[likes]]+TwitterClean[[#This Row],[replies]]+TwitterClean[[#This Row],[reposts]]+TwitterClean[[#This Row],[quotes]]+TwitterClean[[#This Row],[bookmarks]]</f>
        <v>66</v>
      </c>
      <c r="AB816" s="1">
        <f>TwitterClean[[#This Row],[Total_Engagements]]/TwitterClean[[#This Row],[views]]</f>
        <v>2.5208158276678635E-3</v>
      </c>
      <c r="AC816" s="3">
        <f>DATEVALUE(MID(TwitterClean[[#This Row],[date_posted]],2,10))</f>
        <v>45641</v>
      </c>
      <c r="AD816">
        <f>TIMEVALUE(MID(TwitterClean[[#This Row],[date_posted]],13,8))</f>
        <v>0.48427083333333332</v>
      </c>
      <c r="AE816" s="3" t="str">
        <f>TEXT(TwitterClean[[#This Row],[Post_Date]],"dddd")</f>
        <v>Sunday</v>
      </c>
      <c r="AF816">
        <f>HOUR(TwitterClean[[#This Row],[Post_Time]])</f>
        <v>11</v>
      </c>
      <c r="AG816" t="str">
        <f>IF(TwitterClean[[#This Row],[videos]]="Null","No","Yes")</f>
        <v>No</v>
      </c>
      <c r="AH816" t="str">
        <f>IF(TwitterClean[[#This Row],[photos]]="null","No","Yes")</f>
        <v>Yes</v>
      </c>
      <c r="AI816" t="str">
        <f>IF(TwitterClean[[#This Row],[hashtags]]="null","No","Yes")</f>
        <v>No</v>
      </c>
      <c r="AJ816" t="str">
        <f>IF(TwitterClean[[#This Row],[external_url]]="null","Yes","No")</f>
        <v>No</v>
      </c>
      <c r="AK816">
        <f>LEN(TwitterClean[[#This Row],[description]])</f>
        <v>90</v>
      </c>
      <c r="AL816" t="str">
        <f>IF(TwitterClean[[#This Row],[followers]]&lt;100000,"&lt;100K",IF(TwitterClean[[#This Row],[followers]]&lt;1000000,"100K-1M",IF(TwitterClean[[#This Row],[followers]]&lt;10000000,"1M-10M","10M+")))</f>
        <v>1M-10M</v>
      </c>
    </row>
    <row r="817" spans="1:38">
      <c r="A817">
        <v>1.8685196775733414E+18</v>
      </c>
      <c r="B817" t="s">
        <v>2935</v>
      </c>
      <c r="C817" t="s">
        <v>2936</v>
      </c>
      <c r="D817" t="s">
        <v>3298</v>
      </c>
      <c r="E817" t="s">
        <v>3299</v>
      </c>
      <c r="F817" t="s">
        <v>29</v>
      </c>
      <c r="G817" t="s">
        <v>3300</v>
      </c>
      <c r="H817" t="s">
        <v>29</v>
      </c>
      <c r="I817">
        <v>5</v>
      </c>
      <c r="J817">
        <v>9</v>
      </c>
      <c r="K817">
        <v>25</v>
      </c>
      <c r="L817">
        <v>17116</v>
      </c>
      <c r="M817" t="s">
        <v>3301</v>
      </c>
      <c r="N817" t="s">
        <v>29</v>
      </c>
      <c r="O817">
        <v>9564153</v>
      </c>
      <c r="P817" t="s">
        <v>2941</v>
      </c>
      <c r="Q817">
        <v>1125277</v>
      </c>
      <c r="R817" t="s">
        <v>2942</v>
      </c>
      <c r="S817">
        <v>93</v>
      </c>
      <c r="T817" t="b">
        <v>0</v>
      </c>
      <c r="U817">
        <v>3</v>
      </c>
      <c r="V817">
        <v>1</v>
      </c>
      <c r="W817" t="s">
        <v>35</v>
      </c>
      <c r="X817" t="s">
        <v>3302</v>
      </c>
      <c r="Y817" t="s">
        <v>29</v>
      </c>
      <c r="Z817" t="s">
        <v>37</v>
      </c>
      <c r="AA817">
        <f>TwitterClean[[#This Row],[likes]]+TwitterClean[[#This Row],[replies]]+TwitterClean[[#This Row],[reposts]]+TwitterClean[[#This Row],[quotes]]+TwitterClean[[#This Row],[bookmarks]]</f>
        <v>43</v>
      </c>
      <c r="AB817" s="1">
        <f>TwitterClean[[#This Row],[Total_Engagements]]/TwitterClean[[#This Row],[views]]</f>
        <v>2.51226922178079E-3</v>
      </c>
      <c r="AC817" s="3">
        <f>DATEVALUE(MID(TwitterClean[[#This Row],[date_posted]],2,10))</f>
        <v>45642</v>
      </c>
      <c r="AD817">
        <f>TIMEVALUE(MID(TwitterClean[[#This Row],[date_posted]],13,8))</f>
        <v>0.20348379629629629</v>
      </c>
      <c r="AE817" s="3" t="str">
        <f>TEXT(TwitterClean[[#This Row],[Post_Date]],"dddd")</f>
        <v>Monday</v>
      </c>
      <c r="AF817">
        <f>HOUR(TwitterClean[[#This Row],[Post_Time]])</f>
        <v>4</v>
      </c>
      <c r="AG817" t="str">
        <f>IF(TwitterClean[[#This Row],[videos]]="Null","No","Yes")</f>
        <v>No</v>
      </c>
      <c r="AH817" t="str">
        <f>IF(TwitterClean[[#This Row],[photos]]="null","No","Yes")</f>
        <v>No</v>
      </c>
      <c r="AI817" t="str">
        <f>IF(TwitterClean[[#This Row],[hashtags]]="null","No","Yes")</f>
        <v>No</v>
      </c>
      <c r="AJ817" t="str">
        <f>IF(TwitterClean[[#This Row],[external_url]]="null","Yes","No")</f>
        <v>No</v>
      </c>
      <c r="AK817">
        <f>LEN(TwitterClean[[#This Row],[description]])</f>
        <v>85</v>
      </c>
      <c r="AL817" t="str">
        <f>IF(TwitterClean[[#This Row],[followers]]&lt;100000,"&lt;100K",IF(TwitterClean[[#This Row],[followers]]&lt;1000000,"100K-1M",IF(TwitterClean[[#This Row],[followers]]&lt;10000000,"1M-10M","10M+")))</f>
        <v>1M-10M</v>
      </c>
    </row>
    <row r="818" spans="1:38">
      <c r="A818">
        <v>1.8668842904131996E+18</v>
      </c>
      <c r="B818" t="s">
        <v>2714</v>
      </c>
      <c r="C818" t="s">
        <v>2715</v>
      </c>
      <c r="D818" t="s">
        <v>2768</v>
      </c>
      <c r="E818" t="s">
        <v>2769</v>
      </c>
      <c r="F818" t="s">
        <v>29</v>
      </c>
      <c r="G818" t="s">
        <v>2770</v>
      </c>
      <c r="H818" t="s">
        <v>2719</v>
      </c>
      <c r="I818">
        <v>1</v>
      </c>
      <c r="J818">
        <v>1</v>
      </c>
      <c r="K818">
        <v>7</v>
      </c>
      <c r="L818">
        <v>5973</v>
      </c>
      <c r="M818" t="s">
        <v>52</v>
      </c>
      <c r="N818" t="s">
        <v>29</v>
      </c>
      <c r="O818">
        <v>182895</v>
      </c>
      <c r="P818" t="s">
        <v>2720</v>
      </c>
      <c r="Q818">
        <v>30781</v>
      </c>
      <c r="R818" t="s">
        <v>2721</v>
      </c>
      <c r="S818">
        <v>559</v>
      </c>
      <c r="T818" t="b">
        <v>0</v>
      </c>
      <c r="U818">
        <v>3</v>
      </c>
      <c r="V818">
        <v>3</v>
      </c>
      <c r="W818" t="s">
        <v>35</v>
      </c>
      <c r="X818" t="s">
        <v>29</v>
      </c>
      <c r="Y818" t="s">
        <v>2771</v>
      </c>
      <c r="Z818" t="s">
        <v>37</v>
      </c>
      <c r="AA818">
        <f>TwitterClean[[#This Row],[likes]]+TwitterClean[[#This Row],[replies]]+TwitterClean[[#This Row],[reposts]]+TwitterClean[[#This Row],[quotes]]+TwitterClean[[#This Row],[bookmarks]]</f>
        <v>15</v>
      </c>
      <c r="AB818" s="1">
        <f>TwitterClean[[#This Row],[Total_Engagements]]/TwitterClean[[#This Row],[views]]</f>
        <v>2.5113008538422904E-3</v>
      </c>
      <c r="AC818" s="3">
        <f>DATEVALUE(MID(TwitterClean[[#This Row],[date_posted]],2,10))</f>
        <v>45637</v>
      </c>
      <c r="AD818">
        <f>TIMEVALUE(MID(TwitterClean[[#This Row],[date_posted]],13,8))</f>
        <v>0.69067129629629631</v>
      </c>
      <c r="AE818" s="3" t="str">
        <f>TEXT(TwitterClean[[#This Row],[Post_Date]],"dddd")</f>
        <v>Wednesday</v>
      </c>
      <c r="AF818">
        <f>HOUR(TwitterClean[[#This Row],[Post_Time]])</f>
        <v>16</v>
      </c>
      <c r="AG818" t="str">
        <f>IF(TwitterClean[[#This Row],[videos]]="Null","No","Yes")</f>
        <v>Yes</v>
      </c>
      <c r="AH818" t="str">
        <f>IF(TwitterClean[[#This Row],[photos]]="null","No","Yes")</f>
        <v>No</v>
      </c>
      <c r="AI818" t="str">
        <f>IF(TwitterClean[[#This Row],[hashtags]]="null","No","Yes")</f>
        <v>No</v>
      </c>
      <c r="AJ818" t="str">
        <f>IF(TwitterClean[[#This Row],[external_url]]="null","Yes","No")</f>
        <v>No</v>
      </c>
      <c r="AK818">
        <f>LEN(TwitterClean[[#This Row],[description]])</f>
        <v>103</v>
      </c>
      <c r="AL818" t="str">
        <f>IF(TwitterClean[[#This Row],[followers]]&lt;100000,"&lt;100K",IF(TwitterClean[[#This Row],[followers]]&lt;1000000,"100K-1M",IF(TwitterClean[[#This Row],[followers]]&lt;10000000,"1M-10M","10M+")))</f>
        <v>100K-1M</v>
      </c>
    </row>
    <row r="819" spans="1:38">
      <c r="A819">
        <v>1.7801549541554342E+18</v>
      </c>
      <c r="B819" t="s">
        <v>4216</v>
      </c>
      <c r="C819" t="s">
        <v>4217</v>
      </c>
      <c r="D819" t="s">
        <v>4218</v>
      </c>
      <c r="E819" t="s">
        <v>4219</v>
      </c>
      <c r="F819" t="s">
        <v>4220</v>
      </c>
      <c r="G819" t="s">
        <v>4221</v>
      </c>
      <c r="H819" t="s">
        <v>29</v>
      </c>
      <c r="I819">
        <v>667</v>
      </c>
      <c r="J819">
        <v>522</v>
      </c>
      <c r="K819">
        <v>4506</v>
      </c>
      <c r="L819">
        <v>2723358</v>
      </c>
      <c r="M819" t="s">
        <v>52</v>
      </c>
      <c r="N819" t="s">
        <v>29</v>
      </c>
      <c r="O819">
        <v>223937</v>
      </c>
      <c r="P819" t="s">
        <v>4222</v>
      </c>
      <c r="Q819">
        <v>9047</v>
      </c>
      <c r="R819" t="s">
        <v>4223</v>
      </c>
      <c r="S819">
        <v>1457</v>
      </c>
      <c r="T819" t="b">
        <v>0</v>
      </c>
      <c r="U819">
        <v>161</v>
      </c>
      <c r="V819">
        <v>972</v>
      </c>
      <c r="W819" t="s">
        <v>35</v>
      </c>
      <c r="X819" t="s">
        <v>29</v>
      </c>
      <c r="Y819" t="s">
        <v>4224</v>
      </c>
      <c r="Z819" t="s">
        <v>37</v>
      </c>
      <c r="AA819">
        <f>TwitterClean[[#This Row],[likes]]+TwitterClean[[#This Row],[replies]]+TwitterClean[[#This Row],[reposts]]+TwitterClean[[#This Row],[quotes]]+TwitterClean[[#This Row],[bookmarks]]</f>
        <v>6828</v>
      </c>
      <c r="AB819" s="1">
        <f>TwitterClean[[#This Row],[Total_Engagements]]/TwitterClean[[#This Row],[views]]</f>
        <v>2.5071988332051828E-3</v>
      </c>
      <c r="AC819" s="3">
        <f>DATEVALUE(MID(TwitterClean[[#This Row],[date_posted]],2,10))</f>
        <v>45398</v>
      </c>
      <c r="AD819">
        <f>TIMEVALUE(MID(TwitterClean[[#This Row],[date_posted]],13,8))</f>
        <v>0.36329861111111111</v>
      </c>
      <c r="AE819" s="3" t="str">
        <f>TEXT(TwitterClean[[#This Row],[Post_Date]],"dddd")</f>
        <v>Tuesday</v>
      </c>
      <c r="AF819">
        <f>HOUR(TwitterClean[[#This Row],[Post_Time]])</f>
        <v>8</v>
      </c>
      <c r="AG819" t="str">
        <f>IF(TwitterClean[[#This Row],[videos]]="Null","No","Yes")</f>
        <v>Yes</v>
      </c>
      <c r="AH819" t="str">
        <f>IF(TwitterClean[[#This Row],[photos]]="null","No","Yes")</f>
        <v>Yes</v>
      </c>
      <c r="AI819" t="str">
        <f>IF(TwitterClean[[#This Row],[hashtags]]="null","No","Yes")</f>
        <v>No</v>
      </c>
      <c r="AJ819" t="str">
        <f>IF(TwitterClean[[#This Row],[external_url]]="null","Yes","No")</f>
        <v>No</v>
      </c>
      <c r="AK819">
        <f>LEN(TwitterClean[[#This Row],[description]])</f>
        <v>65</v>
      </c>
      <c r="AL819" t="str">
        <f>IF(TwitterClean[[#This Row],[followers]]&lt;100000,"&lt;100K",IF(TwitterClean[[#This Row],[followers]]&lt;1000000,"100K-1M",IF(TwitterClean[[#This Row],[followers]]&lt;10000000,"1M-10M","10M+")))</f>
        <v>100K-1M</v>
      </c>
    </row>
    <row r="820" spans="1:38">
      <c r="A820">
        <v>1.8683417028359621E+18</v>
      </c>
      <c r="B820" t="s">
        <v>2230</v>
      </c>
      <c r="C820" t="s">
        <v>2231</v>
      </c>
      <c r="D820" t="s">
        <v>2249</v>
      </c>
      <c r="E820" t="s">
        <v>2250</v>
      </c>
      <c r="F820" t="s">
        <v>2251</v>
      </c>
      <c r="G820" t="s">
        <v>2252</v>
      </c>
      <c r="H820" t="s">
        <v>29</v>
      </c>
      <c r="I820">
        <v>12</v>
      </c>
      <c r="J820">
        <v>10</v>
      </c>
      <c r="K820">
        <v>25</v>
      </c>
      <c r="L820">
        <v>20432</v>
      </c>
      <c r="M820" t="s">
        <v>2253</v>
      </c>
      <c r="N820" t="s">
        <v>29</v>
      </c>
      <c r="O820">
        <v>3313889</v>
      </c>
      <c r="P820" t="s">
        <v>2237</v>
      </c>
      <c r="Q820">
        <v>706459</v>
      </c>
      <c r="R820" t="s">
        <v>2238</v>
      </c>
      <c r="S820">
        <v>10308</v>
      </c>
      <c r="T820" t="b">
        <v>0</v>
      </c>
      <c r="U820">
        <v>1</v>
      </c>
      <c r="V820">
        <v>3</v>
      </c>
      <c r="W820" t="s">
        <v>35</v>
      </c>
      <c r="X820" t="s">
        <v>29</v>
      </c>
      <c r="Y820" t="s">
        <v>29</v>
      </c>
      <c r="Z820" t="s">
        <v>37</v>
      </c>
      <c r="AA820">
        <f>TwitterClean[[#This Row],[likes]]+TwitterClean[[#This Row],[replies]]+TwitterClean[[#This Row],[reposts]]+TwitterClean[[#This Row],[quotes]]+TwitterClean[[#This Row],[bookmarks]]</f>
        <v>51</v>
      </c>
      <c r="AB820" s="1">
        <f>TwitterClean[[#This Row],[Total_Engagements]]/TwitterClean[[#This Row],[views]]</f>
        <v>2.4960845732184809E-3</v>
      </c>
      <c r="AC820" s="3">
        <f>DATEVALUE(MID(TwitterClean[[#This Row],[date_posted]],2,10))</f>
        <v>45641</v>
      </c>
      <c r="AD820">
        <f>TIMEVALUE(MID(TwitterClean[[#This Row],[date_posted]],13,8))</f>
        <v>0.71236111111111111</v>
      </c>
      <c r="AE820" s="3" t="str">
        <f>TEXT(TwitterClean[[#This Row],[Post_Date]],"dddd")</f>
        <v>Sunday</v>
      </c>
      <c r="AF820">
        <f>HOUR(TwitterClean[[#This Row],[Post_Time]])</f>
        <v>17</v>
      </c>
      <c r="AG820" t="str">
        <f>IF(TwitterClean[[#This Row],[videos]]="Null","No","Yes")</f>
        <v>No</v>
      </c>
      <c r="AH820" t="str">
        <f>IF(TwitterClean[[#This Row],[photos]]="null","No","Yes")</f>
        <v>Yes</v>
      </c>
      <c r="AI820" t="str">
        <f>IF(TwitterClean[[#This Row],[hashtags]]="null","No","Yes")</f>
        <v>No</v>
      </c>
      <c r="AJ820" t="str">
        <f>IF(TwitterClean[[#This Row],[external_url]]="null","Yes","No")</f>
        <v>No</v>
      </c>
      <c r="AK820">
        <f>LEN(TwitterClean[[#This Row],[description]])</f>
        <v>71</v>
      </c>
      <c r="AL820" t="str">
        <f>IF(TwitterClean[[#This Row],[followers]]&lt;100000,"&lt;100K",IF(TwitterClean[[#This Row],[followers]]&lt;1000000,"100K-1M",IF(TwitterClean[[#This Row],[followers]]&lt;10000000,"1M-10M","10M+")))</f>
        <v>1M-10M</v>
      </c>
    </row>
    <row r="821" spans="1:38">
      <c r="A821">
        <v>1.8681039668163668E+18</v>
      </c>
      <c r="B821" t="s">
        <v>1646</v>
      </c>
      <c r="C821" t="s">
        <v>1647</v>
      </c>
      <c r="D821" t="s">
        <v>1710</v>
      </c>
      <c r="E821" t="s">
        <v>1711</v>
      </c>
      <c r="F821" t="s">
        <v>29</v>
      </c>
      <c r="G821" t="s">
        <v>1712</v>
      </c>
      <c r="H821" t="s">
        <v>29</v>
      </c>
      <c r="I821">
        <v>1</v>
      </c>
      <c r="J821">
        <v>2</v>
      </c>
      <c r="K821">
        <v>23</v>
      </c>
      <c r="L821">
        <v>11353</v>
      </c>
      <c r="M821" t="s">
        <v>1713</v>
      </c>
      <c r="N821" t="s">
        <v>1652</v>
      </c>
      <c r="O821">
        <v>3768943</v>
      </c>
      <c r="P821" t="s">
        <v>1653</v>
      </c>
      <c r="Q821">
        <v>897934</v>
      </c>
      <c r="R821" t="s">
        <v>1654</v>
      </c>
      <c r="S821">
        <v>28</v>
      </c>
      <c r="T821" t="b">
        <v>0</v>
      </c>
      <c r="U821">
        <v>0</v>
      </c>
      <c r="V821">
        <v>2</v>
      </c>
      <c r="W821" t="s">
        <v>35</v>
      </c>
      <c r="X821" t="s">
        <v>1714</v>
      </c>
      <c r="Y821" t="s">
        <v>29</v>
      </c>
      <c r="Z821" t="s">
        <v>37</v>
      </c>
      <c r="AA821">
        <f>TwitterClean[[#This Row],[likes]]+TwitterClean[[#This Row],[replies]]+TwitterClean[[#This Row],[reposts]]+TwitterClean[[#This Row],[quotes]]+TwitterClean[[#This Row],[bookmarks]]</f>
        <v>28</v>
      </c>
      <c r="AB821" s="1">
        <f>TwitterClean[[#This Row],[Total_Engagements]]/TwitterClean[[#This Row],[views]]</f>
        <v>2.4663084647229805E-3</v>
      </c>
      <c r="AC821" s="3">
        <f>DATEVALUE(MID(TwitterClean[[#This Row],[date_posted]],2,10))</f>
        <v>45641</v>
      </c>
      <c r="AD821">
        <f>TIMEVALUE(MID(TwitterClean[[#This Row],[date_posted]],13,8))</f>
        <v>5.634259259259259E-2</v>
      </c>
      <c r="AE821" s="3" t="str">
        <f>TEXT(TwitterClean[[#This Row],[Post_Date]],"dddd")</f>
        <v>Sunday</v>
      </c>
      <c r="AF821">
        <f>HOUR(TwitterClean[[#This Row],[Post_Time]])</f>
        <v>1</v>
      </c>
      <c r="AG821" t="str">
        <f>IF(TwitterClean[[#This Row],[videos]]="Null","No","Yes")</f>
        <v>No</v>
      </c>
      <c r="AH821" t="str">
        <f>IF(TwitterClean[[#This Row],[photos]]="null","No","Yes")</f>
        <v>No</v>
      </c>
      <c r="AI821" t="str">
        <f>IF(TwitterClean[[#This Row],[hashtags]]="null","No","Yes")</f>
        <v>Yes</v>
      </c>
      <c r="AJ821" t="str">
        <f>IF(TwitterClean[[#This Row],[external_url]]="null","Yes","No")</f>
        <v>No</v>
      </c>
      <c r="AK821">
        <f>LEN(TwitterClean[[#This Row],[description]])</f>
        <v>131</v>
      </c>
      <c r="AL821" t="str">
        <f>IF(TwitterClean[[#This Row],[followers]]&lt;100000,"&lt;100K",IF(TwitterClean[[#This Row],[followers]]&lt;1000000,"100K-1M",IF(TwitterClean[[#This Row],[followers]]&lt;10000000,"1M-10M","10M+")))</f>
        <v>1M-10M</v>
      </c>
    </row>
    <row r="822" spans="1:38">
      <c r="A822">
        <v>1.8684459393603218E+18</v>
      </c>
      <c r="B822" t="s">
        <v>46</v>
      </c>
      <c r="C822" t="s">
        <v>47</v>
      </c>
      <c r="D822" t="s">
        <v>149</v>
      </c>
      <c r="E822" t="s">
        <v>150</v>
      </c>
      <c r="F822" t="s">
        <v>151</v>
      </c>
      <c r="G822" t="s">
        <v>152</v>
      </c>
      <c r="H822" t="s">
        <v>153</v>
      </c>
      <c r="I822">
        <v>2</v>
      </c>
      <c r="J822">
        <v>1</v>
      </c>
      <c r="K822">
        <v>33</v>
      </c>
      <c r="L822">
        <v>14818</v>
      </c>
      <c r="M822" t="s">
        <v>154</v>
      </c>
      <c r="N822" t="s">
        <v>155</v>
      </c>
      <c r="O822">
        <v>8293187</v>
      </c>
      <c r="P822" t="s">
        <v>54</v>
      </c>
      <c r="Q822">
        <v>456734</v>
      </c>
      <c r="R822" t="s">
        <v>55</v>
      </c>
      <c r="S822">
        <v>859</v>
      </c>
      <c r="T822" t="b">
        <v>0</v>
      </c>
      <c r="U822">
        <v>0</v>
      </c>
      <c r="V822">
        <v>0</v>
      </c>
      <c r="W822" t="s">
        <v>35</v>
      </c>
      <c r="X822" t="s">
        <v>29</v>
      </c>
      <c r="Y822" t="s">
        <v>29</v>
      </c>
      <c r="Z822" t="s">
        <v>37</v>
      </c>
      <c r="AA822">
        <f>TwitterClean[[#This Row],[likes]]+TwitterClean[[#This Row],[replies]]+TwitterClean[[#This Row],[reposts]]+TwitterClean[[#This Row],[quotes]]+TwitterClean[[#This Row],[bookmarks]]</f>
        <v>36</v>
      </c>
      <c r="AB822" s="1">
        <f>TwitterClean[[#This Row],[Total_Engagements]]/TwitterClean[[#This Row],[views]]</f>
        <v>2.4294776623026049E-3</v>
      </c>
      <c r="AC822" s="3">
        <f>DATEVALUE(MID(TwitterClean[[#This Row],[date_posted]],2,10))</f>
        <v>45642</v>
      </c>
      <c r="AD822">
        <f>TIMEVALUE(MID(TwitterClean[[#This Row],[date_posted]],13,8))</f>
        <v>0</v>
      </c>
      <c r="AE822" s="3" t="str">
        <f>TEXT(TwitterClean[[#This Row],[Post_Date]],"dddd")</f>
        <v>Monday</v>
      </c>
      <c r="AF822">
        <f>HOUR(TwitterClean[[#This Row],[Post_Time]])</f>
        <v>0</v>
      </c>
      <c r="AG822" t="str">
        <f>IF(TwitterClean[[#This Row],[videos]]="Null","No","Yes")</f>
        <v>No</v>
      </c>
      <c r="AH822" t="str">
        <f>IF(TwitterClean[[#This Row],[photos]]="null","No","Yes")</f>
        <v>Yes</v>
      </c>
      <c r="AI822" t="str">
        <f>IF(TwitterClean[[#This Row],[hashtags]]="null","No","Yes")</f>
        <v>Yes</v>
      </c>
      <c r="AJ822" t="str">
        <f>IF(TwitterClean[[#This Row],[external_url]]="null","Yes","No")</f>
        <v>No</v>
      </c>
      <c r="AK822">
        <f>LEN(TwitterClean[[#This Row],[description]])</f>
        <v>154</v>
      </c>
      <c r="AL822" t="str">
        <f>IF(TwitterClean[[#This Row],[followers]]&lt;100000,"&lt;100K",IF(TwitterClean[[#This Row],[followers]]&lt;1000000,"100K-1M",IF(TwitterClean[[#This Row],[followers]]&lt;10000000,"1M-10M","10M+")))</f>
        <v>1M-10M</v>
      </c>
    </row>
    <row r="823" spans="1:38">
      <c r="A823">
        <v>1.8684591579189742E+18</v>
      </c>
      <c r="B823" t="s">
        <v>1646</v>
      </c>
      <c r="C823" t="s">
        <v>1647</v>
      </c>
      <c r="D823" t="s">
        <v>1699</v>
      </c>
      <c r="E823" t="s">
        <v>1700</v>
      </c>
      <c r="F823" t="s">
        <v>29</v>
      </c>
      <c r="G823" t="s">
        <v>1701</v>
      </c>
      <c r="H823" t="s">
        <v>29</v>
      </c>
      <c r="I823">
        <v>0</v>
      </c>
      <c r="J823">
        <v>2</v>
      </c>
      <c r="K823">
        <v>21</v>
      </c>
      <c r="L823">
        <v>10813</v>
      </c>
      <c r="M823" t="s">
        <v>1702</v>
      </c>
      <c r="N823" t="s">
        <v>1703</v>
      </c>
      <c r="O823">
        <v>3768942</v>
      </c>
      <c r="P823" t="s">
        <v>1653</v>
      </c>
      <c r="Q823">
        <v>897934</v>
      </c>
      <c r="R823" t="s">
        <v>1654</v>
      </c>
      <c r="S823">
        <v>28</v>
      </c>
      <c r="T823" t="b">
        <v>0</v>
      </c>
      <c r="U823">
        <v>1</v>
      </c>
      <c r="V823">
        <v>2</v>
      </c>
      <c r="W823" t="s">
        <v>35</v>
      </c>
      <c r="X823" t="s">
        <v>1704</v>
      </c>
      <c r="Y823" t="s">
        <v>29</v>
      </c>
      <c r="Z823" t="s">
        <v>37</v>
      </c>
      <c r="AA823">
        <f>TwitterClean[[#This Row],[likes]]+TwitterClean[[#This Row],[replies]]+TwitterClean[[#This Row],[reposts]]+TwitterClean[[#This Row],[quotes]]+TwitterClean[[#This Row],[bookmarks]]</f>
        <v>26</v>
      </c>
      <c r="AB823" s="1">
        <f>TwitterClean[[#This Row],[Total_Engagements]]/TwitterClean[[#This Row],[views]]</f>
        <v>2.4045130861000646E-3</v>
      </c>
      <c r="AC823" s="3">
        <f>DATEVALUE(MID(TwitterClean[[#This Row],[date_posted]],2,10))</f>
        <v>45642</v>
      </c>
      <c r="AD823">
        <f>TIMEVALUE(MID(TwitterClean[[#This Row],[date_posted]],13,8))</f>
        <v>3.6481481481481483E-2</v>
      </c>
      <c r="AE823" s="3" t="str">
        <f>TEXT(TwitterClean[[#This Row],[Post_Date]],"dddd")</f>
        <v>Monday</v>
      </c>
      <c r="AF823">
        <f>HOUR(TwitterClean[[#This Row],[Post_Time]])</f>
        <v>0</v>
      </c>
      <c r="AG823" t="str">
        <f>IF(TwitterClean[[#This Row],[videos]]="Null","No","Yes")</f>
        <v>No</v>
      </c>
      <c r="AH823" t="str">
        <f>IF(TwitterClean[[#This Row],[photos]]="null","No","Yes")</f>
        <v>No</v>
      </c>
      <c r="AI823" t="str">
        <f>IF(TwitterClean[[#This Row],[hashtags]]="null","No","Yes")</f>
        <v>Yes</v>
      </c>
      <c r="AJ823" t="str">
        <f>IF(TwitterClean[[#This Row],[external_url]]="null","Yes","No")</f>
        <v>No</v>
      </c>
      <c r="AK823">
        <f>LEN(TwitterClean[[#This Row],[description]])</f>
        <v>107</v>
      </c>
      <c r="AL823" t="str">
        <f>IF(TwitterClean[[#This Row],[followers]]&lt;100000,"&lt;100K",IF(TwitterClean[[#This Row],[followers]]&lt;1000000,"100K-1M",IF(TwitterClean[[#This Row],[followers]]&lt;10000000,"1M-10M","10M+")))</f>
        <v>1M-10M</v>
      </c>
    </row>
    <row r="824" spans="1:38">
      <c r="A824">
        <v>1.868372811078636E+18</v>
      </c>
      <c r="B824" t="s">
        <v>2935</v>
      </c>
      <c r="C824" t="s">
        <v>2936</v>
      </c>
      <c r="D824" t="s">
        <v>3474</v>
      </c>
      <c r="E824" t="s">
        <v>3475</v>
      </c>
      <c r="F824" t="s">
        <v>29</v>
      </c>
      <c r="G824" t="s">
        <v>3476</v>
      </c>
      <c r="H824" t="s">
        <v>29</v>
      </c>
      <c r="I824">
        <v>12</v>
      </c>
      <c r="J824">
        <v>22</v>
      </c>
      <c r="K824">
        <v>50</v>
      </c>
      <c r="L824">
        <v>39590</v>
      </c>
      <c r="M824" t="s">
        <v>3477</v>
      </c>
      <c r="N824" t="s">
        <v>29</v>
      </c>
      <c r="O824">
        <v>9564156</v>
      </c>
      <c r="P824" t="s">
        <v>2941</v>
      </c>
      <c r="Q824">
        <v>1125277</v>
      </c>
      <c r="R824" t="s">
        <v>2942</v>
      </c>
      <c r="S824">
        <v>93</v>
      </c>
      <c r="T824" t="b">
        <v>0</v>
      </c>
      <c r="U824">
        <v>7</v>
      </c>
      <c r="V824">
        <v>4</v>
      </c>
      <c r="W824" t="s">
        <v>35</v>
      </c>
      <c r="X824" t="s">
        <v>3478</v>
      </c>
      <c r="Y824" t="s">
        <v>29</v>
      </c>
      <c r="Z824" t="s">
        <v>37</v>
      </c>
      <c r="AA824">
        <f>TwitterClean[[#This Row],[likes]]+TwitterClean[[#This Row],[replies]]+TwitterClean[[#This Row],[reposts]]+TwitterClean[[#This Row],[quotes]]+TwitterClean[[#This Row],[bookmarks]]</f>
        <v>95</v>
      </c>
      <c r="AB824" s="1">
        <f>TwitterClean[[#This Row],[Total_Engagements]]/TwitterClean[[#This Row],[views]]</f>
        <v>2.3995958575397827E-3</v>
      </c>
      <c r="AC824" s="3">
        <f>DATEVALUE(MID(TwitterClean[[#This Row],[date_posted]],2,10))</f>
        <v>45641</v>
      </c>
      <c r="AD824">
        <f>TIMEVALUE(MID(TwitterClean[[#This Row],[date_posted]],13,8))</f>
        <v>0.79820601851851847</v>
      </c>
      <c r="AE824" s="3" t="str">
        <f>TEXT(TwitterClean[[#This Row],[Post_Date]],"dddd")</f>
        <v>Sunday</v>
      </c>
      <c r="AF824">
        <f>HOUR(TwitterClean[[#This Row],[Post_Time]])</f>
        <v>19</v>
      </c>
      <c r="AG824" t="str">
        <f>IF(TwitterClean[[#This Row],[videos]]="Null","No","Yes")</f>
        <v>No</v>
      </c>
      <c r="AH824" t="str">
        <f>IF(TwitterClean[[#This Row],[photos]]="null","No","Yes")</f>
        <v>No</v>
      </c>
      <c r="AI824" t="str">
        <f>IF(TwitterClean[[#This Row],[hashtags]]="null","No","Yes")</f>
        <v>No</v>
      </c>
      <c r="AJ824" t="str">
        <f>IF(TwitterClean[[#This Row],[external_url]]="null","Yes","No")</f>
        <v>No</v>
      </c>
      <c r="AK824">
        <f>LEN(TwitterClean[[#This Row],[description]])</f>
        <v>119</v>
      </c>
      <c r="AL824" t="str">
        <f>IF(TwitterClean[[#This Row],[followers]]&lt;100000,"&lt;100K",IF(TwitterClean[[#This Row],[followers]]&lt;1000000,"100K-1M",IF(TwitterClean[[#This Row],[followers]]&lt;10000000,"1M-10M","10M+")))</f>
        <v>1M-10M</v>
      </c>
    </row>
    <row r="825" spans="1:38">
      <c r="A825">
        <v>1.8684515347088837E+18</v>
      </c>
      <c r="B825" t="s">
        <v>46</v>
      </c>
      <c r="C825" t="s">
        <v>47</v>
      </c>
      <c r="D825" t="s">
        <v>48</v>
      </c>
      <c r="E825" t="s">
        <v>49</v>
      </c>
      <c r="F825" t="s">
        <v>29</v>
      </c>
      <c r="G825" t="s">
        <v>50</v>
      </c>
      <c r="H825" t="s">
        <v>51</v>
      </c>
      <c r="I825">
        <v>2</v>
      </c>
      <c r="J825">
        <v>1</v>
      </c>
      <c r="K825">
        <v>33</v>
      </c>
      <c r="L825">
        <v>15497</v>
      </c>
      <c r="M825" t="s">
        <v>52</v>
      </c>
      <c r="N825" t="s">
        <v>53</v>
      </c>
      <c r="O825">
        <v>8293189</v>
      </c>
      <c r="P825" t="s">
        <v>54</v>
      </c>
      <c r="Q825">
        <v>456734</v>
      </c>
      <c r="R825" t="s">
        <v>55</v>
      </c>
      <c r="S825">
        <v>859</v>
      </c>
      <c r="T825" t="b">
        <v>0</v>
      </c>
      <c r="U825">
        <v>0</v>
      </c>
      <c r="V825">
        <v>1</v>
      </c>
      <c r="W825" t="s">
        <v>35</v>
      </c>
      <c r="X825" t="s">
        <v>29</v>
      </c>
      <c r="Y825" t="s">
        <v>56</v>
      </c>
      <c r="Z825" t="s">
        <v>37</v>
      </c>
      <c r="AA825">
        <f>TwitterClean[[#This Row],[likes]]+TwitterClean[[#This Row],[replies]]+TwitterClean[[#This Row],[reposts]]+TwitterClean[[#This Row],[quotes]]+TwitterClean[[#This Row],[bookmarks]]</f>
        <v>37</v>
      </c>
      <c r="AB825" s="1">
        <f>TwitterClean[[#This Row],[Total_Engagements]]/TwitterClean[[#This Row],[views]]</f>
        <v>2.3875588823643284E-3</v>
      </c>
      <c r="AC825" s="3">
        <f>DATEVALUE(MID(TwitterClean[[#This Row],[date_posted]],2,10))</f>
        <v>45642</v>
      </c>
      <c r="AD825">
        <f>TIMEVALUE(MID(TwitterClean[[#This Row],[date_posted]],13,8))</f>
        <v>1.5439814814814814E-2</v>
      </c>
      <c r="AE825" s="3" t="str">
        <f>TEXT(TwitterClean[[#This Row],[Post_Date]],"dddd")</f>
        <v>Monday</v>
      </c>
      <c r="AF825">
        <f>HOUR(TwitterClean[[#This Row],[Post_Time]])</f>
        <v>0</v>
      </c>
      <c r="AG825" t="str">
        <f>IF(TwitterClean[[#This Row],[videos]]="Null","No","Yes")</f>
        <v>Yes</v>
      </c>
      <c r="AH825" t="str">
        <f>IF(TwitterClean[[#This Row],[photos]]="null","No","Yes")</f>
        <v>No</v>
      </c>
      <c r="AI825" t="str">
        <f>IF(TwitterClean[[#This Row],[hashtags]]="null","No","Yes")</f>
        <v>Yes</v>
      </c>
      <c r="AJ825" t="str">
        <f>IF(TwitterClean[[#This Row],[external_url]]="null","Yes","No")</f>
        <v>No</v>
      </c>
      <c r="AK825">
        <f>LEN(TwitterClean[[#This Row],[description]])</f>
        <v>224</v>
      </c>
      <c r="AL825" t="str">
        <f>IF(TwitterClean[[#This Row],[followers]]&lt;100000,"&lt;100K",IF(TwitterClean[[#This Row],[followers]]&lt;1000000,"100K-1M",IF(TwitterClean[[#This Row],[followers]]&lt;10000000,"1M-10M","10M+")))</f>
        <v>1M-10M</v>
      </c>
    </row>
    <row r="826" spans="1:38">
      <c r="A826">
        <v>1.8682171948127235E+18</v>
      </c>
      <c r="B826" t="s">
        <v>2935</v>
      </c>
      <c r="C826" t="s">
        <v>2936</v>
      </c>
      <c r="D826" t="s">
        <v>2989</v>
      </c>
      <c r="E826" t="s">
        <v>3602</v>
      </c>
      <c r="F826" t="s">
        <v>29</v>
      </c>
      <c r="G826" t="s">
        <v>3603</v>
      </c>
      <c r="H826" t="s">
        <v>29</v>
      </c>
      <c r="I826">
        <v>13</v>
      </c>
      <c r="J826">
        <v>10</v>
      </c>
      <c r="K826">
        <v>34</v>
      </c>
      <c r="L826">
        <v>25174</v>
      </c>
      <c r="M826" t="s">
        <v>3604</v>
      </c>
      <c r="N826" t="s">
        <v>29</v>
      </c>
      <c r="O826">
        <v>9564155</v>
      </c>
      <c r="P826" t="s">
        <v>2941</v>
      </c>
      <c r="Q826">
        <v>1125277</v>
      </c>
      <c r="R826" t="s">
        <v>2942</v>
      </c>
      <c r="S826">
        <v>93</v>
      </c>
      <c r="T826" t="b">
        <v>0</v>
      </c>
      <c r="U826">
        <v>1</v>
      </c>
      <c r="V826">
        <v>2</v>
      </c>
      <c r="W826" t="s">
        <v>35</v>
      </c>
      <c r="X826" t="s">
        <v>2993</v>
      </c>
      <c r="Y826" t="s">
        <v>29</v>
      </c>
      <c r="Z826" t="s">
        <v>37</v>
      </c>
      <c r="AA826">
        <f>TwitterClean[[#This Row],[likes]]+TwitterClean[[#This Row],[replies]]+TwitterClean[[#This Row],[reposts]]+TwitterClean[[#This Row],[quotes]]+TwitterClean[[#This Row],[bookmarks]]</f>
        <v>60</v>
      </c>
      <c r="AB826" s="1">
        <f>TwitterClean[[#This Row],[Total_Engagements]]/TwitterClean[[#This Row],[views]]</f>
        <v>2.3834114562643997E-3</v>
      </c>
      <c r="AC826" s="3">
        <f>DATEVALUE(MID(TwitterClean[[#This Row],[date_posted]],2,10))</f>
        <v>45641</v>
      </c>
      <c r="AD826">
        <f>TIMEVALUE(MID(TwitterClean[[#This Row],[date_posted]],13,8))</f>
        <v>0.36878472222222225</v>
      </c>
      <c r="AE826" s="3" t="str">
        <f>TEXT(TwitterClean[[#This Row],[Post_Date]],"dddd")</f>
        <v>Sunday</v>
      </c>
      <c r="AF826">
        <f>HOUR(TwitterClean[[#This Row],[Post_Time]])</f>
        <v>8</v>
      </c>
      <c r="AG826" t="str">
        <f>IF(TwitterClean[[#This Row],[videos]]="Null","No","Yes")</f>
        <v>No</v>
      </c>
      <c r="AH826" t="str">
        <f>IF(TwitterClean[[#This Row],[photos]]="null","No","Yes")</f>
        <v>No</v>
      </c>
      <c r="AI826" t="str">
        <f>IF(TwitterClean[[#This Row],[hashtags]]="null","No","Yes")</f>
        <v>No</v>
      </c>
      <c r="AJ826" t="str">
        <f>IF(TwitterClean[[#This Row],[external_url]]="null","Yes","No")</f>
        <v>No</v>
      </c>
      <c r="AK826">
        <f>LEN(TwitterClean[[#This Row],[description]])</f>
        <v>248</v>
      </c>
      <c r="AL826" t="str">
        <f>IF(TwitterClean[[#This Row],[followers]]&lt;100000,"&lt;100K",IF(TwitterClean[[#This Row],[followers]]&lt;1000000,"100K-1M",IF(TwitterClean[[#This Row],[followers]]&lt;10000000,"1M-10M","10M+")))</f>
        <v>1M-10M</v>
      </c>
    </row>
    <row r="827" spans="1:38">
      <c r="A827">
        <v>1.8683783414068308E+18</v>
      </c>
      <c r="B827" t="s">
        <v>2230</v>
      </c>
      <c r="C827" t="s">
        <v>2231</v>
      </c>
      <c r="D827" t="s">
        <v>2569</v>
      </c>
      <c r="E827" t="s">
        <v>2570</v>
      </c>
      <c r="F827" t="s">
        <v>2571</v>
      </c>
      <c r="G827" t="s">
        <v>2572</v>
      </c>
      <c r="H827" t="s">
        <v>29</v>
      </c>
      <c r="I827">
        <v>16</v>
      </c>
      <c r="J827">
        <v>10</v>
      </c>
      <c r="K827">
        <v>57</v>
      </c>
      <c r="L827">
        <v>44941</v>
      </c>
      <c r="M827" t="s">
        <v>2573</v>
      </c>
      <c r="N827" t="s">
        <v>29</v>
      </c>
      <c r="O827">
        <v>3313887</v>
      </c>
      <c r="P827" t="s">
        <v>2237</v>
      </c>
      <c r="Q827">
        <v>706459</v>
      </c>
      <c r="R827" t="s">
        <v>2238</v>
      </c>
      <c r="S827">
        <v>10308</v>
      </c>
      <c r="T827" t="b">
        <v>0</v>
      </c>
      <c r="U827">
        <v>5</v>
      </c>
      <c r="V827">
        <v>19</v>
      </c>
      <c r="W827" t="s">
        <v>35</v>
      </c>
      <c r="X827" t="s">
        <v>29</v>
      </c>
      <c r="Y827" t="s">
        <v>29</v>
      </c>
      <c r="Z827" t="s">
        <v>37</v>
      </c>
      <c r="AA827">
        <f>TwitterClean[[#This Row],[likes]]+TwitterClean[[#This Row],[replies]]+TwitterClean[[#This Row],[reposts]]+TwitterClean[[#This Row],[quotes]]+TwitterClean[[#This Row],[bookmarks]]</f>
        <v>107</v>
      </c>
      <c r="AB827" s="1">
        <f>TwitterClean[[#This Row],[Total_Engagements]]/TwitterClean[[#This Row],[views]]</f>
        <v>2.3808994014374403E-3</v>
      </c>
      <c r="AC827" s="3">
        <f>DATEVALUE(MID(TwitterClean[[#This Row],[date_posted]],2,10))</f>
        <v>45641</v>
      </c>
      <c r="AD827">
        <f>TIMEVALUE(MID(TwitterClean[[#This Row],[date_posted]],13,8))</f>
        <v>0.81347222222222226</v>
      </c>
      <c r="AE827" s="3" t="str">
        <f>TEXT(TwitterClean[[#This Row],[Post_Date]],"dddd")</f>
        <v>Sunday</v>
      </c>
      <c r="AF827">
        <f>HOUR(TwitterClean[[#This Row],[Post_Time]])</f>
        <v>19</v>
      </c>
      <c r="AG827" t="str">
        <f>IF(TwitterClean[[#This Row],[videos]]="Null","No","Yes")</f>
        <v>No</v>
      </c>
      <c r="AH827" t="str">
        <f>IF(TwitterClean[[#This Row],[photos]]="null","No","Yes")</f>
        <v>Yes</v>
      </c>
      <c r="AI827" t="str">
        <f>IF(TwitterClean[[#This Row],[hashtags]]="null","No","Yes")</f>
        <v>No</v>
      </c>
      <c r="AJ827" t="str">
        <f>IF(TwitterClean[[#This Row],[external_url]]="null","Yes","No")</f>
        <v>No</v>
      </c>
      <c r="AK827">
        <f>LEN(TwitterClean[[#This Row],[description]])</f>
        <v>81</v>
      </c>
      <c r="AL827" t="str">
        <f>IF(TwitterClean[[#This Row],[followers]]&lt;100000,"&lt;100K",IF(TwitterClean[[#This Row],[followers]]&lt;1000000,"100K-1M",IF(TwitterClean[[#This Row],[followers]]&lt;10000000,"1M-10M","10M+")))</f>
        <v>1M-10M</v>
      </c>
    </row>
    <row r="828" spans="1:38">
      <c r="A828">
        <v>1.8684535329295524E+18</v>
      </c>
      <c r="B828" t="s">
        <v>38</v>
      </c>
      <c r="C828" t="s">
        <v>38</v>
      </c>
      <c r="D828" t="s">
        <v>82</v>
      </c>
      <c r="E828" t="s">
        <v>83</v>
      </c>
      <c r="F828" t="s">
        <v>29</v>
      </c>
      <c r="G828" t="s">
        <v>84</v>
      </c>
      <c r="H828" t="s">
        <v>29</v>
      </c>
      <c r="I828">
        <v>4</v>
      </c>
      <c r="J828">
        <v>5</v>
      </c>
      <c r="K828">
        <v>19</v>
      </c>
      <c r="L828">
        <v>12635</v>
      </c>
      <c r="M828" t="s">
        <v>85</v>
      </c>
      <c r="N828" t="s">
        <v>29</v>
      </c>
      <c r="O828">
        <v>14258370</v>
      </c>
      <c r="P828" t="s">
        <v>43</v>
      </c>
      <c r="Q828">
        <v>357584</v>
      </c>
      <c r="R828" t="s">
        <v>44</v>
      </c>
      <c r="S828">
        <v>3784</v>
      </c>
      <c r="T828" t="b">
        <v>0</v>
      </c>
      <c r="U828">
        <v>1</v>
      </c>
      <c r="V828">
        <v>1</v>
      </c>
      <c r="W828" t="s">
        <v>35</v>
      </c>
      <c r="X828" t="s">
        <v>86</v>
      </c>
      <c r="Y828" t="s">
        <v>29</v>
      </c>
      <c r="Z828" t="s">
        <v>37</v>
      </c>
      <c r="AA828">
        <f>TwitterClean[[#This Row],[likes]]+TwitterClean[[#This Row],[replies]]+TwitterClean[[#This Row],[reposts]]+TwitterClean[[#This Row],[quotes]]+TwitterClean[[#This Row],[bookmarks]]</f>
        <v>30</v>
      </c>
      <c r="AB828" s="1">
        <f>TwitterClean[[#This Row],[Total_Engagements]]/TwitterClean[[#This Row],[views]]</f>
        <v>2.3743569449940641E-3</v>
      </c>
      <c r="AC828" s="3">
        <f>DATEVALUE(MID(TwitterClean[[#This Row],[date_posted]],2,10))</f>
        <v>45642</v>
      </c>
      <c r="AD828">
        <f>TIMEVALUE(MID(TwitterClean[[#This Row],[date_posted]],13,8))</f>
        <v>2.0960648148148148E-2</v>
      </c>
      <c r="AE828" s="3" t="str">
        <f>TEXT(TwitterClean[[#This Row],[Post_Date]],"dddd")</f>
        <v>Monday</v>
      </c>
      <c r="AF828">
        <f>HOUR(TwitterClean[[#This Row],[Post_Time]])</f>
        <v>0</v>
      </c>
      <c r="AG828" t="str">
        <f>IF(TwitterClean[[#This Row],[videos]]="Null","No","Yes")</f>
        <v>No</v>
      </c>
      <c r="AH828" t="str">
        <f>IF(TwitterClean[[#This Row],[photos]]="null","No","Yes")</f>
        <v>No</v>
      </c>
      <c r="AI828" t="str">
        <f>IF(TwitterClean[[#This Row],[hashtags]]="null","No","Yes")</f>
        <v>No</v>
      </c>
      <c r="AJ828" t="str">
        <f>IF(TwitterClean[[#This Row],[external_url]]="null","Yes","No")</f>
        <v>No</v>
      </c>
      <c r="AK828">
        <f>LEN(TwitterClean[[#This Row],[description]])</f>
        <v>71</v>
      </c>
      <c r="AL828" t="str">
        <f>IF(TwitterClean[[#This Row],[followers]]&lt;100000,"&lt;100K",IF(TwitterClean[[#This Row],[followers]]&lt;1000000,"100K-1M",IF(TwitterClean[[#This Row],[followers]]&lt;10000000,"1M-10M","10M+")))</f>
        <v>10M+</v>
      </c>
    </row>
    <row r="829" spans="1:38">
      <c r="A829">
        <v>1.8683553426329684E+18</v>
      </c>
      <c r="B829" t="s">
        <v>4558</v>
      </c>
      <c r="C829" t="s">
        <v>4559</v>
      </c>
      <c r="D829" t="s">
        <v>4560</v>
      </c>
      <c r="E829" t="s">
        <v>3234</v>
      </c>
      <c r="F829" t="s">
        <v>29</v>
      </c>
      <c r="G829" t="s">
        <v>4561</v>
      </c>
      <c r="H829" t="s">
        <v>4562</v>
      </c>
      <c r="I829">
        <v>7</v>
      </c>
      <c r="J829">
        <v>1</v>
      </c>
      <c r="K829">
        <v>13</v>
      </c>
      <c r="L829">
        <v>9936</v>
      </c>
      <c r="M829" t="s">
        <v>52</v>
      </c>
      <c r="N829" t="s">
        <v>29</v>
      </c>
      <c r="O829">
        <v>61058</v>
      </c>
      <c r="P829" t="s">
        <v>4563</v>
      </c>
      <c r="Q829">
        <v>31760</v>
      </c>
      <c r="R829" t="s">
        <v>4564</v>
      </c>
      <c r="S829">
        <v>901</v>
      </c>
      <c r="T829" t="b">
        <v>0</v>
      </c>
      <c r="U829">
        <v>1</v>
      </c>
      <c r="V829">
        <v>1</v>
      </c>
      <c r="W829" t="s">
        <v>35</v>
      </c>
      <c r="X829" t="s">
        <v>29</v>
      </c>
      <c r="Y829" t="s">
        <v>4565</v>
      </c>
      <c r="Z829" t="s">
        <v>37</v>
      </c>
      <c r="AA829">
        <f>TwitterClean[[#This Row],[likes]]+TwitterClean[[#This Row],[replies]]+TwitterClean[[#This Row],[reposts]]+TwitterClean[[#This Row],[quotes]]+TwitterClean[[#This Row],[bookmarks]]</f>
        <v>23</v>
      </c>
      <c r="AB829" s="1">
        <f>TwitterClean[[#This Row],[Total_Engagements]]/TwitterClean[[#This Row],[views]]</f>
        <v>2.3148148148148147E-3</v>
      </c>
      <c r="AC829" s="3">
        <f>DATEVALUE(MID(TwitterClean[[#This Row],[date_posted]],2,10))</f>
        <v>45641</v>
      </c>
      <c r="AD829">
        <f>TIMEVALUE(MID(TwitterClean[[#This Row],[date_posted]],13,8))</f>
        <v>0.75</v>
      </c>
      <c r="AE829" s="3" t="str">
        <f>TEXT(TwitterClean[[#This Row],[Post_Date]],"dddd")</f>
        <v>Sunday</v>
      </c>
      <c r="AF829">
        <f>HOUR(TwitterClean[[#This Row],[Post_Time]])</f>
        <v>18</v>
      </c>
      <c r="AG829" t="str">
        <f>IF(TwitterClean[[#This Row],[videos]]="Null","No","Yes")</f>
        <v>Yes</v>
      </c>
      <c r="AH829" t="str">
        <f>IF(TwitterClean[[#This Row],[photos]]="null","No","Yes")</f>
        <v>No</v>
      </c>
      <c r="AI829" t="str">
        <f>IF(TwitterClean[[#This Row],[hashtags]]="null","No","Yes")</f>
        <v>No</v>
      </c>
      <c r="AJ829" t="str">
        <f>IF(TwitterClean[[#This Row],[external_url]]="null","Yes","No")</f>
        <v>No</v>
      </c>
      <c r="AK829">
        <f>LEN(TwitterClean[[#This Row],[description]])</f>
        <v>123</v>
      </c>
      <c r="AL829" t="str">
        <f>IF(TwitterClean[[#This Row],[followers]]&lt;100000,"&lt;100K",IF(TwitterClean[[#This Row],[followers]]&lt;1000000,"100K-1M",IF(TwitterClean[[#This Row],[followers]]&lt;10000000,"1M-10M","10M+")))</f>
        <v>&lt;100K</v>
      </c>
    </row>
    <row r="830" spans="1:38">
      <c r="A830">
        <v>1.8684084043031186E+18</v>
      </c>
      <c r="B830" t="s">
        <v>2230</v>
      </c>
      <c r="C830" t="s">
        <v>2231</v>
      </c>
      <c r="D830" t="s">
        <v>2384</v>
      </c>
      <c r="E830" t="s">
        <v>2385</v>
      </c>
      <c r="F830" t="s">
        <v>2386</v>
      </c>
      <c r="G830" t="s">
        <v>2387</v>
      </c>
      <c r="H830" t="s">
        <v>29</v>
      </c>
      <c r="I830">
        <v>14</v>
      </c>
      <c r="J830">
        <v>2</v>
      </c>
      <c r="K830">
        <v>36</v>
      </c>
      <c r="L830">
        <v>23926</v>
      </c>
      <c r="M830" t="s">
        <v>2388</v>
      </c>
      <c r="N830" t="s">
        <v>29</v>
      </c>
      <c r="O830">
        <v>3313886</v>
      </c>
      <c r="P830" t="s">
        <v>2237</v>
      </c>
      <c r="Q830">
        <v>706459</v>
      </c>
      <c r="R830" t="s">
        <v>2238</v>
      </c>
      <c r="S830">
        <v>10308</v>
      </c>
      <c r="T830" t="b">
        <v>0</v>
      </c>
      <c r="U830">
        <v>1</v>
      </c>
      <c r="V830">
        <v>2</v>
      </c>
      <c r="W830" t="s">
        <v>35</v>
      </c>
      <c r="X830" t="s">
        <v>29</v>
      </c>
      <c r="Y830" t="s">
        <v>29</v>
      </c>
      <c r="Z830" t="s">
        <v>37</v>
      </c>
      <c r="AA830">
        <f>TwitterClean[[#This Row],[likes]]+TwitterClean[[#This Row],[replies]]+TwitterClean[[#This Row],[reposts]]+TwitterClean[[#This Row],[quotes]]+TwitterClean[[#This Row],[bookmarks]]</f>
        <v>55</v>
      </c>
      <c r="AB830" s="1">
        <f>TwitterClean[[#This Row],[Total_Engagements]]/TwitterClean[[#This Row],[views]]</f>
        <v>2.2987544930201456E-3</v>
      </c>
      <c r="AC830" s="3">
        <f>DATEVALUE(MID(TwitterClean[[#This Row],[date_posted]],2,10))</f>
        <v>45641</v>
      </c>
      <c r="AD830">
        <f>TIMEVALUE(MID(TwitterClean[[#This Row],[date_posted]],13,8))</f>
        <v>0.89642361111111113</v>
      </c>
      <c r="AE830" s="3" t="str">
        <f>TEXT(TwitterClean[[#This Row],[Post_Date]],"dddd")</f>
        <v>Sunday</v>
      </c>
      <c r="AF830">
        <f>HOUR(TwitterClean[[#This Row],[Post_Time]])</f>
        <v>21</v>
      </c>
      <c r="AG830" t="str">
        <f>IF(TwitterClean[[#This Row],[videos]]="Null","No","Yes")</f>
        <v>No</v>
      </c>
      <c r="AH830" t="str">
        <f>IF(TwitterClean[[#This Row],[photos]]="null","No","Yes")</f>
        <v>Yes</v>
      </c>
      <c r="AI830" t="str">
        <f>IF(TwitterClean[[#This Row],[hashtags]]="null","No","Yes")</f>
        <v>No</v>
      </c>
      <c r="AJ830" t="str">
        <f>IF(TwitterClean[[#This Row],[external_url]]="null","Yes","No")</f>
        <v>No</v>
      </c>
      <c r="AK830">
        <f>LEN(TwitterClean[[#This Row],[description]])</f>
        <v>82</v>
      </c>
      <c r="AL830" t="str">
        <f>IF(TwitterClean[[#This Row],[followers]]&lt;100000,"&lt;100K",IF(TwitterClean[[#This Row],[followers]]&lt;1000000,"100K-1M",IF(TwitterClean[[#This Row],[followers]]&lt;10000000,"1M-10M","10M+")))</f>
        <v>1M-10M</v>
      </c>
    </row>
    <row r="831" spans="1:38">
      <c r="A831">
        <v>1.868401115315999E+18</v>
      </c>
      <c r="B831" t="s">
        <v>3224</v>
      </c>
      <c r="C831" t="s">
        <v>3225</v>
      </c>
      <c r="D831" t="s">
        <v>4871</v>
      </c>
      <c r="E831" t="s">
        <v>4872</v>
      </c>
      <c r="F831" t="s">
        <v>4873</v>
      </c>
      <c r="G831" t="s">
        <v>4874</v>
      </c>
      <c r="H831" t="s">
        <v>29</v>
      </c>
      <c r="I831">
        <v>17</v>
      </c>
      <c r="J831">
        <v>62</v>
      </c>
      <c r="K831">
        <v>441</v>
      </c>
      <c r="L831">
        <v>240593</v>
      </c>
      <c r="M831" t="s">
        <v>52</v>
      </c>
      <c r="N831" t="s">
        <v>4875</v>
      </c>
      <c r="O831">
        <v>2999631</v>
      </c>
      <c r="P831" t="s">
        <v>3230</v>
      </c>
      <c r="Q831">
        <v>183050</v>
      </c>
      <c r="R831" t="s">
        <v>3231</v>
      </c>
      <c r="S831">
        <v>920</v>
      </c>
      <c r="T831" t="b">
        <v>0</v>
      </c>
      <c r="U831">
        <v>23</v>
      </c>
      <c r="V831">
        <v>7</v>
      </c>
      <c r="W831" t="s">
        <v>35</v>
      </c>
      <c r="X831" t="s">
        <v>29</v>
      </c>
      <c r="Y831" t="s">
        <v>29</v>
      </c>
      <c r="Z831" t="s">
        <v>37</v>
      </c>
      <c r="AA831">
        <f>TwitterClean[[#This Row],[likes]]+TwitterClean[[#This Row],[replies]]+TwitterClean[[#This Row],[reposts]]+TwitterClean[[#This Row],[quotes]]+TwitterClean[[#This Row],[bookmarks]]</f>
        <v>550</v>
      </c>
      <c r="AB831" s="1">
        <f>TwitterClean[[#This Row],[Total_Engagements]]/TwitterClean[[#This Row],[views]]</f>
        <v>2.2860182964591653E-3</v>
      </c>
      <c r="AC831" s="3">
        <f>DATEVALUE(MID(TwitterClean[[#This Row],[date_posted]],2,10))</f>
        <v>45641</v>
      </c>
      <c r="AD831">
        <f>TIMEVALUE(MID(TwitterClean[[#This Row],[date_posted]],13,8))</f>
        <v>0.87630787037037039</v>
      </c>
      <c r="AE831" s="3" t="str">
        <f>TEXT(TwitterClean[[#This Row],[Post_Date]],"dddd")</f>
        <v>Sunday</v>
      </c>
      <c r="AF831">
        <f>HOUR(TwitterClean[[#This Row],[Post_Time]])</f>
        <v>21</v>
      </c>
      <c r="AG831" t="str">
        <f>IF(TwitterClean[[#This Row],[videos]]="Null","No","Yes")</f>
        <v>No</v>
      </c>
      <c r="AH831" t="str">
        <f>IF(TwitterClean[[#This Row],[photos]]="null","No","Yes")</f>
        <v>Yes</v>
      </c>
      <c r="AI831" t="str">
        <f>IF(TwitterClean[[#This Row],[hashtags]]="null","No","Yes")</f>
        <v>Yes</v>
      </c>
      <c r="AJ831" t="str">
        <f>IF(TwitterClean[[#This Row],[external_url]]="null","Yes","No")</f>
        <v>No</v>
      </c>
      <c r="AK831">
        <f>LEN(TwitterClean[[#This Row],[description]])</f>
        <v>149</v>
      </c>
      <c r="AL831" t="str">
        <f>IF(TwitterClean[[#This Row],[followers]]&lt;100000,"&lt;100K",IF(TwitterClean[[#This Row],[followers]]&lt;1000000,"100K-1M",IF(TwitterClean[[#This Row],[followers]]&lt;10000000,"1M-10M","10M+")))</f>
        <v>1M-10M</v>
      </c>
    </row>
    <row r="832" spans="1:38">
      <c r="A832">
        <v>1.8682756512637747E+18</v>
      </c>
      <c r="B832" t="s">
        <v>2714</v>
      </c>
      <c r="C832" t="s">
        <v>2715</v>
      </c>
      <c r="D832" t="s">
        <v>2890</v>
      </c>
      <c r="E832" t="s">
        <v>2891</v>
      </c>
      <c r="F832" t="s">
        <v>29</v>
      </c>
      <c r="G832" t="s">
        <v>2892</v>
      </c>
      <c r="H832" t="s">
        <v>2865</v>
      </c>
      <c r="I832">
        <v>13</v>
      </c>
      <c r="J832">
        <v>3</v>
      </c>
      <c r="K832">
        <v>11</v>
      </c>
      <c r="L832">
        <v>13200</v>
      </c>
      <c r="M832" t="s">
        <v>52</v>
      </c>
      <c r="N832" t="s">
        <v>2893</v>
      </c>
      <c r="O832">
        <v>182895</v>
      </c>
      <c r="P832" t="s">
        <v>2720</v>
      </c>
      <c r="Q832">
        <v>30781</v>
      </c>
      <c r="R832" t="s">
        <v>2721</v>
      </c>
      <c r="S832">
        <v>559</v>
      </c>
      <c r="T832" t="b">
        <v>0</v>
      </c>
      <c r="U832">
        <v>2</v>
      </c>
      <c r="V832">
        <v>1</v>
      </c>
      <c r="W832" t="s">
        <v>35</v>
      </c>
      <c r="X832" t="s">
        <v>29</v>
      </c>
      <c r="Y832" t="s">
        <v>2894</v>
      </c>
      <c r="Z832" t="s">
        <v>37</v>
      </c>
      <c r="AA832">
        <f>TwitterClean[[#This Row],[likes]]+TwitterClean[[#This Row],[replies]]+TwitterClean[[#This Row],[reposts]]+TwitterClean[[#This Row],[quotes]]+TwitterClean[[#This Row],[bookmarks]]</f>
        <v>30</v>
      </c>
      <c r="AB832" s="1">
        <f>TwitterClean[[#This Row],[Total_Engagements]]/TwitterClean[[#This Row],[views]]</f>
        <v>2.2727272727272726E-3</v>
      </c>
      <c r="AC832" s="3">
        <f>DATEVALUE(MID(TwitterClean[[#This Row],[date_posted]],2,10))</f>
        <v>45641</v>
      </c>
      <c r="AD832">
        <f>TIMEVALUE(MID(TwitterClean[[#This Row],[date_posted]],13,8))</f>
        <v>0.53009259259259256</v>
      </c>
      <c r="AE832" s="3" t="str">
        <f>TEXT(TwitterClean[[#This Row],[Post_Date]],"dddd")</f>
        <v>Sunday</v>
      </c>
      <c r="AF832">
        <f>HOUR(TwitterClean[[#This Row],[Post_Time]])</f>
        <v>12</v>
      </c>
      <c r="AG832" t="str">
        <f>IF(TwitterClean[[#This Row],[videos]]="Null","No","Yes")</f>
        <v>Yes</v>
      </c>
      <c r="AH832" t="str">
        <f>IF(TwitterClean[[#This Row],[photos]]="null","No","Yes")</f>
        <v>No</v>
      </c>
      <c r="AI832" t="str">
        <f>IF(TwitterClean[[#This Row],[hashtags]]="null","No","Yes")</f>
        <v>Yes</v>
      </c>
      <c r="AJ832" t="str">
        <f>IF(TwitterClean[[#This Row],[external_url]]="null","Yes","No")</f>
        <v>No</v>
      </c>
      <c r="AK832">
        <f>LEN(TwitterClean[[#This Row],[description]])</f>
        <v>229</v>
      </c>
      <c r="AL832" t="str">
        <f>IF(TwitterClean[[#This Row],[followers]]&lt;100000,"&lt;100K",IF(TwitterClean[[#This Row],[followers]]&lt;1000000,"100K-1M",IF(TwitterClean[[#This Row],[followers]]&lt;10000000,"1M-10M","10M+")))</f>
        <v>100K-1M</v>
      </c>
    </row>
    <row r="833" spans="1:38">
      <c r="A833">
        <v>1.8684897643005256E+18</v>
      </c>
      <c r="B833" t="s">
        <v>2935</v>
      </c>
      <c r="C833" t="s">
        <v>2936</v>
      </c>
      <c r="D833" t="s">
        <v>3571</v>
      </c>
      <c r="E833" t="s">
        <v>3572</v>
      </c>
      <c r="F833" t="s">
        <v>29</v>
      </c>
      <c r="G833" t="s">
        <v>3573</v>
      </c>
      <c r="H833" t="s">
        <v>29</v>
      </c>
      <c r="I833">
        <v>3</v>
      </c>
      <c r="J833">
        <v>15</v>
      </c>
      <c r="K833">
        <v>47</v>
      </c>
      <c r="L833">
        <v>29896</v>
      </c>
      <c r="M833" t="s">
        <v>3574</v>
      </c>
      <c r="N833" t="s">
        <v>29</v>
      </c>
      <c r="O833">
        <v>9564156</v>
      </c>
      <c r="P833" t="s">
        <v>2941</v>
      </c>
      <c r="Q833">
        <v>1125277</v>
      </c>
      <c r="R833" t="s">
        <v>2942</v>
      </c>
      <c r="S833">
        <v>93</v>
      </c>
      <c r="T833" t="b">
        <v>0</v>
      </c>
      <c r="U833">
        <v>1</v>
      </c>
      <c r="V833">
        <v>1</v>
      </c>
      <c r="W833" t="s">
        <v>35</v>
      </c>
      <c r="X833" t="s">
        <v>3575</v>
      </c>
      <c r="Y833" t="s">
        <v>29</v>
      </c>
      <c r="Z833" t="s">
        <v>37</v>
      </c>
      <c r="AA833">
        <f>TwitterClean[[#This Row],[likes]]+TwitterClean[[#This Row],[replies]]+TwitterClean[[#This Row],[reposts]]+TwitterClean[[#This Row],[quotes]]+TwitterClean[[#This Row],[bookmarks]]</f>
        <v>67</v>
      </c>
      <c r="AB833" s="1">
        <f>TwitterClean[[#This Row],[Total_Engagements]]/TwitterClean[[#This Row],[views]]</f>
        <v>2.2411024886272411E-3</v>
      </c>
      <c r="AC833" s="3">
        <f>DATEVALUE(MID(TwitterClean[[#This Row],[date_posted]],2,10))</f>
        <v>45642</v>
      </c>
      <c r="AD833">
        <f>TIMEVALUE(MID(TwitterClean[[#This Row],[date_posted]],13,8))</f>
        <v>0.1209375</v>
      </c>
      <c r="AE833" s="3" t="str">
        <f>TEXT(TwitterClean[[#This Row],[Post_Date]],"dddd")</f>
        <v>Monday</v>
      </c>
      <c r="AF833">
        <f>HOUR(TwitterClean[[#This Row],[Post_Time]])</f>
        <v>2</v>
      </c>
      <c r="AG833" t="str">
        <f>IF(TwitterClean[[#This Row],[videos]]="Null","No","Yes")</f>
        <v>No</v>
      </c>
      <c r="AH833" t="str">
        <f>IF(TwitterClean[[#This Row],[photos]]="null","No","Yes")</f>
        <v>No</v>
      </c>
      <c r="AI833" t="str">
        <f>IF(TwitterClean[[#This Row],[hashtags]]="null","No","Yes")</f>
        <v>No</v>
      </c>
      <c r="AJ833" t="str">
        <f>IF(TwitterClean[[#This Row],[external_url]]="null","Yes","No")</f>
        <v>No</v>
      </c>
      <c r="AK833">
        <f>LEN(TwitterClean[[#This Row],[description]])</f>
        <v>108</v>
      </c>
      <c r="AL833" t="str">
        <f>IF(TwitterClean[[#This Row],[followers]]&lt;100000,"&lt;100K",IF(TwitterClean[[#This Row],[followers]]&lt;1000000,"100K-1M",IF(TwitterClean[[#This Row],[followers]]&lt;10000000,"1M-10M","10M+")))</f>
        <v>1M-10M</v>
      </c>
    </row>
    <row r="834" spans="1:38">
      <c r="A834">
        <v>1.8681590945671212E+18</v>
      </c>
      <c r="B834" t="s">
        <v>38</v>
      </c>
      <c r="C834" t="s">
        <v>38</v>
      </c>
      <c r="D834" t="s">
        <v>39</v>
      </c>
      <c r="E834" t="s">
        <v>40</v>
      </c>
      <c r="F834" t="s">
        <v>29</v>
      </c>
      <c r="G834" t="s">
        <v>41</v>
      </c>
      <c r="H834" t="s">
        <v>29</v>
      </c>
      <c r="I834">
        <v>7</v>
      </c>
      <c r="J834">
        <v>3</v>
      </c>
      <c r="K834">
        <v>43</v>
      </c>
      <c r="L834">
        <v>25007</v>
      </c>
      <c r="M834" t="s">
        <v>42</v>
      </c>
      <c r="N834" t="s">
        <v>29</v>
      </c>
      <c r="O834">
        <v>14257909</v>
      </c>
      <c r="P834" t="s">
        <v>43</v>
      </c>
      <c r="Q834">
        <v>357584</v>
      </c>
      <c r="R834" t="s">
        <v>44</v>
      </c>
      <c r="S834">
        <v>3784</v>
      </c>
      <c r="T834" t="b">
        <v>0</v>
      </c>
      <c r="U834">
        <v>1</v>
      </c>
      <c r="V834">
        <v>2</v>
      </c>
      <c r="W834" t="s">
        <v>35</v>
      </c>
      <c r="X834" t="s">
        <v>45</v>
      </c>
      <c r="Y834" t="s">
        <v>29</v>
      </c>
      <c r="Z834" t="s">
        <v>37</v>
      </c>
      <c r="AA834">
        <f>TwitterClean[[#This Row],[likes]]+TwitterClean[[#This Row],[replies]]+TwitterClean[[#This Row],[reposts]]+TwitterClean[[#This Row],[quotes]]+TwitterClean[[#This Row],[bookmarks]]</f>
        <v>56</v>
      </c>
      <c r="AB834" s="1">
        <f>TwitterClean[[#This Row],[Total_Engagements]]/TwitterClean[[#This Row],[views]]</f>
        <v>2.2393729755668412E-3</v>
      </c>
      <c r="AC834" s="3">
        <f>DATEVALUE(MID(TwitterClean[[#This Row],[date_posted]],2,10))</f>
        <v>45641</v>
      </c>
      <c r="AD834">
        <f>TIMEVALUE(MID(TwitterClean[[#This Row],[date_posted]],13,8))</f>
        <v>0.20846064814814816</v>
      </c>
      <c r="AE834" s="3" t="str">
        <f>TEXT(TwitterClean[[#This Row],[Post_Date]],"dddd")</f>
        <v>Sunday</v>
      </c>
      <c r="AF834">
        <f>HOUR(TwitterClean[[#This Row],[Post_Time]])</f>
        <v>5</v>
      </c>
      <c r="AG834" t="str">
        <f>IF(TwitterClean[[#This Row],[videos]]="Null","No","Yes")</f>
        <v>No</v>
      </c>
      <c r="AH834" t="str">
        <f>IF(TwitterClean[[#This Row],[photos]]="null","No","Yes")</f>
        <v>No</v>
      </c>
      <c r="AI834" t="str">
        <f>IF(TwitterClean[[#This Row],[hashtags]]="null","No","Yes")</f>
        <v>No</v>
      </c>
      <c r="AJ834" t="str">
        <f>IF(TwitterClean[[#This Row],[external_url]]="null","Yes","No")</f>
        <v>No</v>
      </c>
      <c r="AK834">
        <f>LEN(TwitterClean[[#This Row],[description]])</f>
        <v>97</v>
      </c>
      <c r="AL834" t="str">
        <f>IF(TwitterClean[[#This Row],[followers]]&lt;100000,"&lt;100K",IF(TwitterClean[[#This Row],[followers]]&lt;1000000,"100K-1M",IF(TwitterClean[[#This Row],[followers]]&lt;10000000,"1M-10M","10M+")))</f>
        <v>10M+</v>
      </c>
    </row>
    <row r="835" spans="1:38">
      <c r="A835">
        <v>1.8681588279225964E+18</v>
      </c>
      <c r="B835" t="s">
        <v>2935</v>
      </c>
      <c r="C835" t="s">
        <v>2936</v>
      </c>
      <c r="D835" t="s">
        <v>3363</v>
      </c>
      <c r="E835" t="s">
        <v>3364</v>
      </c>
      <c r="F835" t="s">
        <v>29</v>
      </c>
      <c r="G835" t="s">
        <v>3365</v>
      </c>
      <c r="H835" t="s">
        <v>29</v>
      </c>
      <c r="I835">
        <v>15</v>
      </c>
      <c r="J835">
        <v>20</v>
      </c>
      <c r="K835">
        <v>46</v>
      </c>
      <c r="L835">
        <v>40896</v>
      </c>
      <c r="M835" t="s">
        <v>3366</v>
      </c>
      <c r="N835" t="s">
        <v>29</v>
      </c>
      <c r="O835">
        <v>9564155</v>
      </c>
      <c r="P835" t="s">
        <v>2941</v>
      </c>
      <c r="Q835">
        <v>1125277</v>
      </c>
      <c r="R835" t="s">
        <v>2942</v>
      </c>
      <c r="S835">
        <v>93</v>
      </c>
      <c r="T835" t="b">
        <v>0</v>
      </c>
      <c r="U835">
        <v>5</v>
      </c>
      <c r="V835">
        <v>5</v>
      </c>
      <c r="W835" t="s">
        <v>35</v>
      </c>
      <c r="X835" t="s">
        <v>3367</v>
      </c>
      <c r="Y835" t="s">
        <v>29</v>
      </c>
      <c r="Z835" t="s">
        <v>37</v>
      </c>
      <c r="AA835">
        <f>TwitterClean[[#This Row],[likes]]+TwitterClean[[#This Row],[replies]]+TwitterClean[[#This Row],[reposts]]+TwitterClean[[#This Row],[quotes]]+TwitterClean[[#This Row],[bookmarks]]</f>
        <v>91</v>
      </c>
      <c r="AB835" s="1">
        <f>TwitterClean[[#This Row],[Total_Engagements]]/TwitterClean[[#This Row],[views]]</f>
        <v>2.2251564945226917E-3</v>
      </c>
      <c r="AC835" s="3">
        <f>DATEVALUE(MID(TwitterClean[[#This Row],[date_posted]],2,10))</f>
        <v>45641</v>
      </c>
      <c r="AD835">
        <f>TIMEVALUE(MID(TwitterClean[[#This Row],[date_posted]],13,8))</f>
        <v>0.20771990740740739</v>
      </c>
      <c r="AE835" s="3" t="str">
        <f>TEXT(TwitterClean[[#This Row],[Post_Date]],"dddd")</f>
        <v>Sunday</v>
      </c>
      <c r="AF835">
        <f>HOUR(TwitterClean[[#This Row],[Post_Time]])</f>
        <v>4</v>
      </c>
      <c r="AG835" t="str">
        <f>IF(TwitterClean[[#This Row],[videos]]="Null","No","Yes")</f>
        <v>No</v>
      </c>
      <c r="AH835" t="str">
        <f>IF(TwitterClean[[#This Row],[photos]]="null","No","Yes")</f>
        <v>No</v>
      </c>
      <c r="AI835" t="str">
        <f>IF(TwitterClean[[#This Row],[hashtags]]="null","No","Yes")</f>
        <v>No</v>
      </c>
      <c r="AJ835" t="str">
        <f>IF(TwitterClean[[#This Row],[external_url]]="null","Yes","No")</f>
        <v>No</v>
      </c>
      <c r="AK835">
        <f>LEN(TwitterClean[[#This Row],[description]])</f>
        <v>63</v>
      </c>
      <c r="AL835" t="str">
        <f>IF(TwitterClean[[#This Row],[followers]]&lt;100000,"&lt;100K",IF(TwitterClean[[#This Row],[followers]]&lt;1000000,"100K-1M",IF(TwitterClean[[#This Row],[followers]]&lt;10000000,"1M-10M","10M+")))</f>
        <v>1M-10M</v>
      </c>
    </row>
    <row r="836" spans="1:38">
      <c r="A836">
        <v>1.8682035293928453E+18</v>
      </c>
      <c r="B836" t="s">
        <v>183</v>
      </c>
      <c r="C836" t="s">
        <v>184</v>
      </c>
      <c r="D836" t="s">
        <v>948</v>
      </c>
      <c r="E836" t="s">
        <v>949</v>
      </c>
      <c r="F836" t="s">
        <v>29</v>
      </c>
      <c r="G836" t="s">
        <v>950</v>
      </c>
      <c r="H836" t="s">
        <v>29</v>
      </c>
      <c r="I836">
        <v>16</v>
      </c>
      <c r="J836">
        <v>17</v>
      </c>
      <c r="K836">
        <v>57</v>
      </c>
      <c r="L836">
        <v>44637</v>
      </c>
      <c r="M836" t="s">
        <v>951</v>
      </c>
      <c r="N836" t="s">
        <v>29</v>
      </c>
      <c r="O836">
        <v>27123001</v>
      </c>
      <c r="P836" t="s">
        <v>190</v>
      </c>
      <c r="Q836">
        <v>402760</v>
      </c>
      <c r="R836" t="s">
        <v>191</v>
      </c>
      <c r="S836">
        <v>155</v>
      </c>
      <c r="T836" t="b">
        <v>0</v>
      </c>
      <c r="U836">
        <v>2</v>
      </c>
      <c r="V836">
        <v>7</v>
      </c>
      <c r="W836" t="s">
        <v>35</v>
      </c>
      <c r="X836" t="s">
        <v>952</v>
      </c>
      <c r="Y836" t="s">
        <v>29</v>
      </c>
      <c r="Z836" t="s">
        <v>37</v>
      </c>
      <c r="AA836">
        <f>TwitterClean[[#This Row],[likes]]+TwitterClean[[#This Row],[replies]]+TwitterClean[[#This Row],[reposts]]+TwitterClean[[#This Row],[quotes]]+TwitterClean[[#This Row],[bookmarks]]</f>
        <v>99</v>
      </c>
      <c r="AB836" s="1">
        <f>TwitterClean[[#This Row],[Total_Engagements]]/TwitterClean[[#This Row],[views]]</f>
        <v>2.2178909872975334E-3</v>
      </c>
      <c r="AC836" s="3">
        <f>DATEVALUE(MID(TwitterClean[[#This Row],[date_posted]],2,10))</f>
        <v>45641</v>
      </c>
      <c r="AD836">
        <f>TIMEVALUE(MID(TwitterClean[[#This Row],[date_posted]],13,8))</f>
        <v>0.33107638888888891</v>
      </c>
      <c r="AE836" s="3" t="str">
        <f>TEXT(TwitterClean[[#This Row],[Post_Date]],"dddd")</f>
        <v>Sunday</v>
      </c>
      <c r="AF836">
        <f>HOUR(TwitterClean[[#This Row],[Post_Time]])</f>
        <v>7</v>
      </c>
      <c r="AG836" t="str">
        <f>IF(TwitterClean[[#This Row],[videos]]="Null","No","Yes")</f>
        <v>No</v>
      </c>
      <c r="AH836" t="str">
        <f>IF(TwitterClean[[#This Row],[photos]]="null","No","Yes")</f>
        <v>No</v>
      </c>
      <c r="AI836" t="str">
        <f>IF(TwitterClean[[#This Row],[hashtags]]="null","No","Yes")</f>
        <v>No</v>
      </c>
      <c r="AJ836" t="str">
        <f>IF(TwitterClean[[#This Row],[external_url]]="null","Yes","No")</f>
        <v>No</v>
      </c>
      <c r="AK836">
        <f>LEN(TwitterClean[[#This Row],[description]])</f>
        <v>207</v>
      </c>
      <c r="AL836" t="str">
        <f>IF(TwitterClean[[#This Row],[followers]]&lt;100000,"&lt;100K",IF(TwitterClean[[#This Row],[followers]]&lt;1000000,"100K-1M",IF(TwitterClean[[#This Row],[followers]]&lt;10000000,"1M-10M","10M+")))</f>
        <v>10M+</v>
      </c>
    </row>
    <row r="837" spans="1:38">
      <c r="A837">
        <v>1.8683216818250424E+18</v>
      </c>
      <c r="B837" t="s">
        <v>2230</v>
      </c>
      <c r="C837" t="s">
        <v>2231</v>
      </c>
      <c r="D837" t="s">
        <v>2459</v>
      </c>
      <c r="E837" t="s">
        <v>2460</v>
      </c>
      <c r="F837" t="s">
        <v>2461</v>
      </c>
      <c r="G837" t="s">
        <v>2462</v>
      </c>
      <c r="H837" t="s">
        <v>29</v>
      </c>
      <c r="I837">
        <v>23</v>
      </c>
      <c r="J837">
        <v>5</v>
      </c>
      <c r="K837">
        <v>40</v>
      </c>
      <c r="L837">
        <v>33420</v>
      </c>
      <c r="M837" t="s">
        <v>2463</v>
      </c>
      <c r="N837" t="s">
        <v>29</v>
      </c>
      <c r="O837">
        <v>3313888</v>
      </c>
      <c r="P837" t="s">
        <v>2237</v>
      </c>
      <c r="Q837">
        <v>706459</v>
      </c>
      <c r="R837" t="s">
        <v>2238</v>
      </c>
      <c r="S837">
        <v>10308</v>
      </c>
      <c r="T837" t="b">
        <v>0</v>
      </c>
      <c r="U837">
        <v>5</v>
      </c>
      <c r="V837">
        <v>1</v>
      </c>
      <c r="W837" t="s">
        <v>35</v>
      </c>
      <c r="X837" t="s">
        <v>29</v>
      </c>
      <c r="Y837" t="s">
        <v>29</v>
      </c>
      <c r="Z837" t="s">
        <v>37</v>
      </c>
      <c r="AA837">
        <f>TwitterClean[[#This Row],[likes]]+TwitterClean[[#This Row],[replies]]+TwitterClean[[#This Row],[reposts]]+TwitterClean[[#This Row],[quotes]]+TwitterClean[[#This Row],[bookmarks]]</f>
        <v>74</v>
      </c>
      <c r="AB837" s="1">
        <f>TwitterClean[[#This Row],[Total_Engagements]]/TwitterClean[[#This Row],[views]]</f>
        <v>2.2142429682824654E-3</v>
      </c>
      <c r="AC837" s="3">
        <f>DATEVALUE(MID(TwitterClean[[#This Row],[date_posted]],2,10))</f>
        <v>45641</v>
      </c>
      <c r="AD837">
        <f>TIMEVALUE(MID(TwitterClean[[#This Row],[date_posted]],13,8))</f>
        <v>0.65711805555555558</v>
      </c>
      <c r="AE837" s="3" t="str">
        <f>TEXT(TwitterClean[[#This Row],[Post_Date]],"dddd")</f>
        <v>Sunday</v>
      </c>
      <c r="AF837">
        <f>HOUR(TwitterClean[[#This Row],[Post_Time]])</f>
        <v>15</v>
      </c>
      <c r="AG837" t="str">
        <f>IF(TwitterClean[[#This Row],[videos]]="Null","No","Yes")</f>
        <v>No</v>
      </c>
      <c r="AH837" t="str">
        <f>IF(TwitterClean[[#This Row],[photos]]="null","No","Yes")</f>
        <v>Yes</v>
      </c>
      <c r="AI837" t="str">
        <f>IF(TwitterClean[[#This Row],[hashtags]]="null","No","Yes")</f>
        <v>No</v>
      </c>
      <c r="AJ837" t="str">
        <f>IF(TwitterClean[[#This Row],[external_url]]="null","Yes","No")</f>
        <v>No</v>
      </c>
      <c r="AK837">
        <f>LEN(TwitterClean[[#This Row],[description]])</f>
        <v>78</v>
      </c>
      <c r="AL837" t="str">
        <f>IF(TwitterClean[[#This Row],[followers]]&lt;100000,"&lt;100K",IF(TwitterClean[[#This Row],[followers]]&lt;1000000,"100K-1M",IF(TwitterClean[[#This Row],[followers]]&lt;10000000,"1M-10M","10M+")))</f>
        <v>1M-10M</v>
      </c>
    </row>
    <row r="838" spans="1:38">
      <c r="A838">
        <v>1.8683388958150495E+18</v>
      </c>
      <c r="B838" t="s">
        <v>3168</v>
      </c>
      <c r="C838" t="s">
        <v>3169</v>
      </c>
      <c r="D838" t="s">
        <v>4651</v>
      </c>
      <c r="E838" t="s">
        <v>4652</v>
      </c>
      <c r="F838" t="s">
        <v>4653</v>
      </c>
      <c r="G838" t="s">
        <v>4654</v>
      </c>
      <c r="H838" t="s">
        <v>4655</v>
      </c>
      <c r="I838">
        <v>0</v>
      </c>
      <c r="J838">
        <v>3</v>
      </c>
      <c r="K838">
        <v>13</v>
      </c>
      <c r="L838">
        <v>8140</v>
      </c>
      <c r="M838" t="s">
        <v>52</v>
      </c>
      <c r="N838" t="s">
        <v>3174</v>
      </c>
      <c r="O838">
        <v>294711</v>
      </c>
      <c r="P838" t="s">
        <v>3175</v>
      </c>
      <c r="Q838">
        <v>66342</v>
      </c>
      <c r="R838" t="s">
        <v>3176</v>
      </c>
      <c r="S838">
        <v>1449</v>
      </c>
      <c r="T838" t="b">
        <v>0</v>
      </c>
      <c r="U838">
        <v>1</v>
      </c>
      <c r="V838">
        <v>1</v>
      </c>
      <c r="W838" t="s">
        <v>35</v>
      </c>
      <c r="X838" t="s">
        <v>29</v>
      </c>
      <c r="Y838" t="s">
        <v>29</v>
      </c>
      <c r="Z838" t="s">
        <v>37</v>
      </c>
      <c r="AA838">
        <f>TwitterClean[[#This Row],[likes]]+TwitterClean[[#This Row],[replies]]+TwitterClean[[#This Row],[reposts]]+TwitterClean[[#This Row],[quotes]]+TwitterClean[[#This Row],[bookmarks]]</f>
        <v>18</v>
      </c>
      <c r="AB838" s="1">
        <f>TwitterClean[[#This Row],[Total_Engagements]]/TwitterClean[[#This Row],[views]]</f>
        <v>2.2113022113022115E-3</v>
      </c>
      <c r="AC838" s="3">
        <f>DATEVALUE(MID(TwitterClean[[#This Row],[date_posted]],2,10))</f>
        <v>45641</v>
      </c>
      <c r="AD838">
        <f>TIMEVALUE(MID(TwitterClean[[#This Row],[date_posted]],13,8))</f>
        <v>0.70461805555555557</v>
      </c>
      <c r="AE838" s="3" t="str">
        <f>TEXT(TwitterClean[[#This Row],[Post_Date]],"dddd")</f>
        <v>Sunday</v>
      </c>
      <c r="AF838">
        <f>HOUR(TwitterClean[[#This Row],[Post_Time]])</f>
        <v>16</v>
      </c>
      <c r="AG838" t="str">
        <f>IF(TwitterClean[[#This Row],[videos]]="Null","No","Yes")</f>
        <v>No</v>
      </c>
      <c r="AH838" t="str">
        <f>IF(TwitterClean[[#This Row],[photos]]="null","No","Yes")</f>
        <v>Yes</v>
      </c>
      <c r="AI838" t="str">
        <f>IF(TwitterClean[[#This Row],[hashtags]]="null","No","Yes")</f>
        <v>Yes</v>
      </c>
      <c r="AJ838" t="str">
        <f>IF(TwitterClean[[#This Row],[external_url]]="null","Yes","No")</f>
        <v>No</v>
      </c>
      <c r="AK838">
        <f>LEN(TwitterClean[[#This Row],[description]])</f>
        <v>112</v>
      </c>
      <c r="AL838" t="str">
        <f>IF(TwitterClean[[#This Row],[followers]]&lt;100000,"&lt;100K",IF(TwitterClean[[#This Row],[followers]]&lt;1000000,"100K-1M",IF(TwitterClean[[#This Row],[followers]]&lt;10000000,"1M-10M","10M+")))</f>
        <v>100K-1M</v>
      </c>
    </row>
    <row r="839" spans="1:38">
      <c r="A839">
        <v>1.8683826069388495E+18</v>
      </c>
      <c r="B839" t="s">
        <v>3743</v>
      </c>
      <c r="C839" t="s">
        <v>3744</v>
      </c>
      <c r="D839" t="s">
        <v>3745</v>
      </c>
      <c r="E839" t="s">
        <v>3746</v>
      </c>
      <c r="F839" t="s">
        <v>29</v>
      </c>
      <c r="G839" t="s">
        <v>3747</v>
      </c>
      <c r="H839" t="s">
        <v>3748</v>
      </c>
      <c r="I839">
        <v>2</v>
      </c>
      <c r="J839">
        <v>2</v>
      </c>
      <c r="K839">
        <v>24</v>
      </c>
      <c r="L839">
        <v>13254</v>
      </c>
      <c r="M839" t="s">
        <v>3749</v>
      </c>
      <c r="N839" t="s">
        <v>3750</v>
      </c>
      <c r="O839">
        <v>668750</v>
      </c>
      <c r="P839" t="s">
        <v>3751</v>
      </c>
      <c r="Q839">
        <v>76510</v>
      </c>
      <c r="R839" t="s">
        <v>3752</v>
      </c>
      <c r="S839">
        <v>860</v>
      </c>
      <c r="T839" t="b">
        <v>0</v>
      </c>
      <c r="U839">
        <v>0</v>
      </c>
      <c r="V839">
        <v>1</v>
      </c>
      <c r="W839" t="s">
        <v>35</v>
      </c>
      <c r="X839" t="s">
        <v>29</v>
      </c>
      <c r="Y839" t="s">
        <v>3753</v>
      </c>
      <c r="Z839" t="s">
        <v>37</v>
      </c>
      <c r="AA839">
        <f>TwitterClean[[#This Row],[likes]]+TwitterClean[[#This Row],[replies]]+TwitterClean[[#This Row],[reposts]]+TwitterClean[[#This Row],[quotes]]+TwitterClean[[#This Row],[bookmarks]]</f>
        <v>29</v>
      </c>
      <c r="AB839" s="1">
        <f>TwitterClean[[#This Row],[Total_Engagements]]/TwitterClean[[#This Row],[views]]</f>
        <v>2.1880187113324278E-3</v>
      </c>
      <c r="AC839" s="3">
        <f>DATEVALUE(MID(TwitterClean[[#This Row],[date_posted]],2,10))</f>
        <v>45641</v>
      </c>
      <c r="AD839">
        <f>TIMEVALUE(MID(TwitterClean[[#This Row],[date_posted]],13,8))</f>
        <v>0.82524305555555555</v>
      </c>
      <c r="AE839" s="3" t="str">
        <f>TEXT(TwitterClean[[#This Row],[Post_Date]],"dddd")</f>
        <v>Sunday</v>
      </c>
      <c r="AF839">
        <f>HOUR(TwitterClean[[#This Row],[Post_Time]])</f>
        <v>19</v>
      </c>
      <c r="AG839" t="str">
        <f>IF(TwitterClean[[#This Row],[videos]]="Null","No","Yes")</f>
        <v>Yes</v>
      </c>
      <c r="AH839" t="str">
        <f>IF(TwitterClean[[#This Row],[photos]]="null","No","Yes")</f>
        <v>No</v>
      </c>
      <c r="AI839" t="str">
        <f>IF(TwitterClean[[#This Row],[hashtags]]="null","No","Yes")</f>
        <v>Yes</v>
      </c>
      <c r="AJ839" t="str">
        <f>IF(TwitterClean[[#This Row],[external_url]]="null","Yes","No")</f>
        <v>No</v>
      </c>
      <c r="AK839">
        <f>LEN(TwitterClean[[#This Row],[description]])</f>
        <v>93</v>
      </c>
      <c r="AL839" t="str">
        <f>IF(TwitterClean[[#This Row],[followers]]&lt;100000,"&lt;100K",IF(TwitterClean[[#This Row],[followers]]&lt;1000000,"100K-1M",IF(TwitterClean[[#This Row],[followers]]&lt;10000000,"1M-10M","10M+")))</f>
        <v>100K-1M</v>
      </c>
    </row>
    <row r="840" spans="1:38">
      <c r="A840">
        <v>1.8681651949306801E+18</v>
      </c>
      <c r="B840" t="s">
        <v>2230</v>
      </c>
      <c r="C840" t="s">
        <v>2231</v>
      </c>
      <c r="D840" t="s">
        <v>2289</v>
      </c>
      <c r="E840" t="s">
        <v>2290</v>
      </c>
      <c r="F840" t="s">
        <v>2291</v>
      </c>
      <c r="G840" t="s">
        <v>2292</v>
      </c>
      <c r="H840" t="s">
        <v>29</v>
      </c>
      <c r="I840">
        <v>20</v>
      </c>
      <c r="J840">
        <v>3</v>
      </c>
      <c r="K840">
        <v>31</v>
      </c>
      <c r="L840">
        <v>28151</v>
      </c>
      <c r="M840" t="s">
        <v>2293</v>
      </c>
      <c r="N840" t="s">
        <v>29</v>
      </c>
      <c r="O840">
        <v>3313892</v>
      </c>
      <c r="P840" t="s">
        <v>2237</v>
      </c>
      <c r="Q840">
        <v>706459</v>
      </c>
      <c r="R840" t="s">
        <v>2238</v>
      </c>
      <c r="S840">
        <v>10308</v>
      </c>
      <c r="T840" t="b">
        <v>0</v>
      </c>
      <c r="U840">
        <v>1</v>
      </c>
      <c r="V840">
        <v>6</v>
      </c>
      <c r="W840" t="s">
        <v>35</v>
      </c>
      <c r="X840" t="s">
        <v>29</v>
      </c>
      <c r="Y840" t="s">
        <v>29</v>
      </c>
      <c r="Z840" t="s">
        <v>37</v>
      </c>
      <c r="AA840">
        <f>TwitterClean[[#This Row],[likes]]+TwitterClean[[#This Row],[replies]]+TwitterClean[[#This Row],[reposts]]+TwitterClean[[#This Row],[quotes]]+TwitterClean[[#This Row],[bookmarks]]</f>
        <v>61</v>
      </c>
      <c r="AB840" s="1">
        <f>TwitterClean[[#This Row],[Total_Engagements]]/TwitterClean[[#This Row],[views]]</f>
        <v>2.1668857234201271E-3</v>
      </c>
      <c r="AC840" s="3">
        <f>DATEVALUE(MID(TwitterClean[[#This Row],[date_posted]],2,10))</f>
        <v>45641</v>
      </c>
      <c r="AD840">
        <f>TIMEVALUE(MID(TwitterClean[[#This Row],[date_posted]],13,8))</f>
        <v>0.22528935185185187</v>
      </c>
      <c r="AE840" s="3" t="str">
        <f>TEXT(TwitterClean[[#This Row],[Post_Date]],"dddd")</f>
        <v>Sunday</v>
      </c>
      <c r="AF840">
        <f>HOUR(TwitterClean[[#This Row],[Post_Time]])</f>
        <v>5</v>
      </c>
      <c r="AG840" t="str">
        <f>IF(TwitterClean[[#This Row],[videos]]="Null","No","Yes")</f>
        <v>No</v>
      </c>
      <c r="AH840" t="str">
        <f>IF(TwitterClean[[#This Row],[photos]]="null","No","Yes")</f>
        <v>Yes</v>
      </c>
      <c r="AI840" t="str">
        <f>IF(TwitterClean[[#This Row],[hashtags]]="null","No","Yes")</f>
        <v>No</v>
      </c>
      <c r="AJ840" t="str">
        <f>IF(TwitterClean[[#This Row],[external_url]]="null","Yes","No")</f>
        <v>No</v>
      </c>
      <c r="AK840">
        <f>LEN(TwitterClean[[#This Row],[description]])</f>
        <v>65</v>
      </c>
      <c r="AL840" t="str">
        <f>IF(TwitterClean[[#This Row],[followers]]&lt;100000,"&lt;100K",IF(TwitterClean[[#This Row],[followers]]&lt;1000000,"100K-1M",IF(TwitterClean[[#This Row],[followers]]&lt;10000000,"1M-10M","10M+")))</f>
        <v>1M-10M</v>
      </c>
    </row>
    <row r="841" spans="1:38">
      <c r="A841">
        <v>1.8682654483760581E+18</v>
      </c>
      <c r="B841" t="s">
        <v>2230</v>
      </c>
      <c r="C841" t="s">
        <v>2231</v>
      </c>
      <c r="D841" t="s">
        <v>2274</v>
      </c>
      <c r="E841" t="s">
        <v>2275</v>
      </c>
      <c r="F841" t="s">
        <v>2276</v>
      </c>
      <c r="G841" t="s">
        <v>2277</v>
      </c>
      <c r="H841" t="s">
        <v>29</v>
      </c>
      <c r="I841">
        <v>19</v>
      </c>
      <c r="J841">
        <v>2</v>
      </c>
      <c r="K841">
        <v>36</v>
      </c>
      <c r="L841">
        <v>28817</v>
      </c>
      <c r="M841" t="s">
        <v>2278</v>
      </c>
      <c r="N841" t="s">
        <v>29</v>
      </c>
      <c r="O841">
        <v>3313889</v>
      </c>
      <c r="P841" t="s">
        <v>2237</v>
      </c>
      <c r="Q841">
        <v>706459</v>
      </c>
      <c r="R841" t="s">
        <v>2238</v>
      </c>
      <c r="S841">
        <v>10308</v>
      </c>
      <c r="T841" t="b">
        <v>0</v>
      </c>
      <c r="U841">
        <v>1</v>
      </c>
      <c r="V841">
        <v>4</v>
      </c>
      <c r="W841" t="s">
        <v>35</v>
      </c>
      <c r="X841" t="s">
        <v>29</v>
      </c>
      <c r="Y841" t="s">
        <v>29</v>
      </c>
      <c r="Z841" t="s">
        <v>37</v>
      </c>
      <c r="AA841">
        <f>TwitterClean[[#This Row],[likes]]+TwitterClean[[#This Row],[replies]]+TwitterClean[[#This Row],[reposts]]+TwitterClean[[#This Row],[quotes]]+TwitterClean[[#This Row],[bookmarks]]</f>
        <v>62</v>
      </c>
      <c r="AB841" s="1">
        <f>TwitterClean[[#This Row],[Total_Engagements]]/TwitterClean[[#This Row],[views]]</f>
        <v>2.1515077905403059E-3</v>
      </c>
      <c r="AC841" s="3">
        <f>DATEVALUE(MID(TwitterClean[[#This Row],[date_posted]],2,10))</f>
        <v>45641</v>
      </c>
      <c r="AD841">
        <f>TIMEVALUE(MID(TwitterClean[[#This Row],[date_posted]],13,8))</f>
        <v>0.50194444444444442</v>
      </c>
      <c r="AE841" s="3" t="str">
        <f>TEXT(TwitterClean[[#This Row],[Post_Date]],"dddd")</f>
        <v>Sunday</v>
      </c>
      <c r="AF841">
        <f>HOUR(TwitterClean[[#This Row],[Post_Time]])</f>
        <v>12</v>
      </c>
      <c r="AG841" t="str">
        <f>IF(TwitterClean[[#This Row],[videos]]="Null","No","Yes")</f>
        <v>No</v>
      </c>
      <c r="AH841" t="str">
        <f>IF(TwitterClean[[#This Row],[photos]]="null","No","Yes")</f>
        <v>Yes</v>
      </c>
      <c r="AI841" t="str">
        <f>IF(TwitterClean[[#This Row],[hashtags]]="null","No","Yes")</f>
        <v>No</v>
      </c>
      <c r="AJ841" t="str">
        <f>IF(TwitterClean[[#This Row],[external_url]]="null","Yes","No")</f>
        <v>No</v>
      </c>
      <c r="AK841">
        <f>LEN(TwitterClean[[#This Row],[description]])</f>
        <v>73</v>
      </c>
      <c r="AL841" t="str">
        <f>IF(TwitterClean[[#This Row],[followers]]&lt;100000,"&lt;100K",IF(TwitterClean[[#This Row],[followers]]&lt;1000000,"100K-1M",IF(TwitterClean[[#This Row],[followers]]&lt;10000000,"1M-10M","10M+")))</f>
        <v>1M-10M</v>
      </c>
    </row>
    <row r="842" spans="1:38">
      <c r="A842">
        <v>1.8684457081995963E+18</v>
      </c>
      <c r="B842" t="s">
        <v>2230</v>
      </c>
      <c r="C842" t="s">
        <v>2231</v>
      </c>
      <c r="D842" t="s">
        <v>2499</v>
      </c>
      <c r="E842" t="s">
        <v>2500</v>
      </c>
      <c r="F842" t="s">
        <v>2501</v>
      </c>
      <c r="G842" t="s">
        <v>2502</v>
      </c>
      <c r="H842" t="s">
        <v>29</v>
      </c>
      <c r="I842">
        <v>27</v>
      </c>
      <c r="J842">
        <v>2</v>
      </c>
      <c r="K842">
        <v>23</v>
      </c>
      <c r="L842">
        <v>25568</v>
      </c>
      <c r="M842" t="s">
        <v>2503</v>
      </c>
      <c r="N842" t="s">
        <v>29</v>
      </c>
      <c r="O842">
        <v>3313887</v>
      </c>
      <c r="P842" t="s">
        <v>2237</v>
      </c>
      <c r="Q842">
        <v>706459</v>
      </c>
      <c r="R842" t="s">
        <v>2238</v>
      </c>
      <c r="S842">
        <v>10308</v>
      </c>
      <c r="T842" t="b">
        <v>0</v>
      </c>
      <c r="U842">
        <v>1</v>
      </c>
      <c r="V842">
        <v>2</v>
      </c>
      <c r="W842" t="s">
        <v>35</v>
      </c>
      <c r="X842" t="s">
        <v>29</v>
      </c>
      <c r="Y842" t="s">
        <v>29</v>
      </c>
      <c r="Z842" t="s">
        <v>37</v>
      </c>
      <c r="AA842">
        <f>TwitterClean[[#This Row],[likes]]+TwitterClean[[#This Row],[replies]]+TwitterClean[[#This Row],[reposts]]+TwitterClean[[#This Row],[quotes]]+TwitterClean[[#This Row],[bookmarks]]</f>
        <v>55</v>
      </c>
      <c r="AB842" s="1">
        <f>TwitterClean[[#This Row],[Total_Engagements]]/TwitterClean[[#This Row],[views]]</f>
        <v>2.1511264080100127E-3</v>
      </c>
      <c r="AC842" s="3">
        <f>DATEVALUE(MID(TwitterClean[[#This Row],[date_posted]],2,10))</f>
        <v>45641</v>
      </c>
      <c r="AD842">
        <f>TIMEVALUE(MID(TwitterClean[[#This Row],[date_posted]],13,8))</f>
        <v>0.99936342592592597</v>
      </c>
      <c r="AE842" s="3" t="str">
        <f>TEXT(TwitterClean[[#This Row],[Post_Date]],"dddd")</f>
        <v>Sunday</v>
      </c>
      <c r="AF842">
        <f>HOUR(TwitterClean[[#This Row],[Post_Time]])</f>
        <v>23</v>
      </c>
      <c r="AG842" t="str">
        <f>IF(TwitterClean[[#This Row],[videos]]="Null","No","Yes")</f>
        <v>No</v>
      </c>
      <c r="AH842" t="str">
        <f>IF(TwitterClean[[#This Row],[photos]]="null","No","Yes")</f>
        <v>Yes</v>
      </c>
      <c r="AI842" t="str">
        <f>IF(TwitterClean[[#This Row],[hashtags]]="null","No","Yes")</f>
        <v>No</v>
      </c>
      <c r="AJ842" t="str">
        <f>IF(TwitterClean[[#This Row],[external_url]]="null","Yes","No")</f>
        <v>No</v>
      </c>
      <c r="AK842">
        <f>LEN(TwitterClean[[#This Row],[description]])</f>
        <v>61</v>
      </c>
      <c r="AL842" t="str">
        <f>IF(TwitterClean[[#This Row],[followers]]&lt;100000,"&lt;100K",IF(TwitterClean[[#This Row],[followers]]&lt;1000000,"100K-1M",IF(TwitterClean[[#This Row],[followers]]&lt;10000000,"1M-10M","10M+")))</f>
        <v>1M-10M</v>
      </c>
    </row>
    <row r="843" spans="1:38">
      <c r="A843">
        <v>1.865774083557749E+18</v>
      </c>
      <c r="B843" t="s">
        <v>2714</v>
      </c>
      <c r="C843" t="s">
        <v>2715</v>
      </c>
      <c r="D843" t="s">
        <v>2857</v>
      </c>
      <c r="E843" t="s">
        <v>2858</v>
      </c>
      <c r="F843" t="s">
        <v>29</v>
      </c>
      <c r="G843" t="s">
        <v>2859</v>
      </c>
      <c r="H843" t="s">
        <v>29</v>
      </c>
      <c r="I843">
        <v>7</v>
      </c>
      <c r="J843">
        <v>11</v>
      </c>
      <c r="K843">
        <v>89</v>
      </c>
      <c r="L843">
        <v>65202</v>
      </c>
      <c r="M843" t="s">
        <v>52</v>
      </c>
      <c r="N843" t="s">
        <v>2860</v>
      </c>
      <c r="O843">
        <v>182895</v>
      </c>
      <c r="P843" t="s">
        <v>2720</v>
      </c>
      <c r="Q843">
        <v>30781</v>
      </c>
      <c r="R843" t="s">
        <v>2721</v>
      </c>
      <c r="S843">
        <v>559</v>
      </c>
      <c r="T843" t="b">
        <v>0</v>
      </c>
      <c r="U843">
        <v>10</v>
      </c>
      <c r="V843">
        <v>21</v>
      </c>
      <c r="W843" t="s">
        <v>35</v>
      </c>
      <c r="X843" t="s">
        <v>29</v>
      </c>
      <c r="Y843" t="s">
        <v>2861</v>
      </c>
      <c r="Z843" t="s">
        <v>37</v>
      </c>
      <c r="AA843">
        <f>TwitterClean[[#This Row],[likes]]+TwitterClean[[#This Row],[replies]]+TwitterClean[[#This Row],[reposts]]+TwitterClean[[#This Row],[quotes]]+TwitterClean[[#This Row],[bookmarks]]</f>
        <v>138</v>
      </c>
      <c r="AB843" s="1">
        <f>TwitterClean[[#This Row],[Total_Engagements]]/TwitterClean[[#This Row],[views]]</f>
        <v>2.1164994938805558E-3</v>
      </c>
      <c r="AC843" s="3">
        <f>DATEVALUE(MID(TwitterClean[[#This Row],[date_posted]],2,10))</f>
        <v>45634</v>
      </c>
      <c r="AD843">
        <f>TIMEVALUE(MID(TwitterClean[[#This Row],[date_posted]],13,8))</f>
        <v>0.62708333333333333</v>
      </c>
      <c r="AE843" s="3" t="str">
        <f>TEXT(TwitterClean[[#This Row],[Post_Date]],"dddd")</f>
        <v>Sunday</v>
      </c>
      <c r="AF843">
        <f>HOUR(TwitterClean[[#This Row],[Post_Time]])</f>
        <v>15</v>
      </c>
      <c r="AG843" t="str">
        <f>IF(TwitterClean[[#This Row],[videos]]="Null","No","Yes")</f>
        <v>Yes</v>
      </c>
      <c r="AH843" t="str">
        <f>IF(TwitterClean[[#This Row],[photos]]="null","No","Yes")</f>
        <v>No</v>
      </c>
      <c r="AI843" t="str">
        <f>IF(TwitterClean[[#This Row],[hashtags]]="null","No","Yes")</f>
        <v>Yes</v>
      </c>
      <c r="AJ843" t="str">
        <f>IF(TwitterClean[[#This Row],[external_url]]="null","Yes","No")</f>
        <v>No</v>
      </c>
      <c r="AK843">
        <f>LEN(TwitterClean[[#This Row],[description]])</f>
        <v>127</v>
      </c>
      <c r="AL843" t="str">
        <f>IF(TwitterClean[[#This Row],[followers]]&lt;100000,"&lt;100K",IF(TwitterClean[[#This Row],[followers]]&lt;1000000,"100K-1M",IF(TwitterClean[[#This Row],[followers]]&lt;10000000,"1M-10M","10M+")))</f>
        <v>100K-1M</v>
      </c>
    </row>
    <row r="844" spans="1:38">
      <c r="A844">
        <v>1.8682484050607762E+18</v>
      </c>
      <c r="B844" t="s">
        <v>2935</v>
      </c>
      <c r="C844" t="s">
        <v>2936</v>
      </c>
      <c r="D844" t="s">
        <v>2960</v>
      </c>
      <c r="E844" t="s">
        <v>3354</v>
      </c>
      <c r="F844" t="s">
        <v>29</v>
      </c>
      <c r="G844" t="s">
        <v>3355</v>
      </c>
      <c r="H844" t="s">
        <v>29</v>
      </c>
      <c r="I844">
        <v>13</v>
      </c>
      <c r="J844">
        <v>17</v>
      </c>
      <c r="K844">
        <v>73</v>
      </c>
      <c r="L844">
        <v>54536</v>
      </c>
      <c r="M844" t="s">
        <v>3356</v>
      </c>
      <c r="N844" t="s">
        <v>29</v>
      </c>
      <c r="O844">
        <v>9564231</v>
      </c>
      <c r="P844" t="s">
        <v>2941</v>
      </c>
      <c r="Q844">
        <v>1125277</v>
      </c>
      <c r="R844" t="s">
        <v>2942</v>
      </c>
      <c r="S844">
        <v>93</v>
      </c>
      <c r="T844" t="b">
        <v>0</v>
      </c>
      <c r="U844">
        <v>3</v>
      </c>
      <c r="V844">
        <v>9</v>
      </c>
      <c r="W844" t="s">
        <v>35</v>
      </c>
      <c r="X844" t="s">
        <v>2964</v>
      </c>
      <c r="Y844" t="s">
        <v>29</v>
      </c>
      <c r="Z844" t="s">
        <v>37</v>
      </c>
      <c r="AA844">
        <f>TwitterClean[[#This Row],[likes]]+TwitterClean[[#This Row],[replies]]+TwitterClean[[#This Row],[reposts]]+TwitterClean[[#This Row],[quotes]]+TwitterClean[[#This Row],[bookmarks]]</f>
        <v>115</v>
      </c>
      <c r="AB844" s="1">
        <f>TwitterClean[[#This Row],[Total_Engagements]]/TwitterClean[[#This Row],[views]]</f>
        <v>2.1086988411324632E-3</v>
      </c>
      <c r="AC844" s="3">
        <f>DATEVALUE(MID(TwitterClean[[#This Row],[date_posted]],2,10))</f>
        <v>45641</v>
      </c>
      <c r="AD844">
        <f>TIMEVALUE(MID(TwitterClean[[#This Row],[date_posted]],13,8))</f>
        <v>0.45490740740740743</v>
      </c>
      <c r="AE844" s="3" t="str">
        <f>TEXT(TwitterClean[[#This Row],[Post_Date]],"dddd")</f>
        <v>Sunday</v>
      </c>
      <c r="AF844">
        <f>HOUR(TwitterClean[[#This Row],[Post_Time]])</f>
        <v>10</v>
      </c>
      <c r="AG844" t="str">
        <f>IF(TwitterClean[[#This Row],[videos]]="Null","No","Yes")</f>
        <v>No</v>
      </c>
      <c r="AH844" t="str">
        <f>IF(TwitterClean[[#This Row],[photos]]="null","No","Yes")</f>
        <v>No</v>
      </c>
      <c r="AI844" t="str">
        <f>IF(TwitterClean[[#This Row],[hashtags]]="null","No","Yes")</f>
        <v>No</v>
      </c>
      <c r="AJ844" t="str">
        <f>IF(TwitterClean[[#This Row],[external_url]]="null","Yes","No")</f>
        <v>No</v>
      </c>
      <c r="AK844">
        <f>LEN(TwitterClean[[#This Row],[description]])</f>
        <v>212</v>
      </c>
      <c r="AL844" t="str">
        <f>IF(TwitterClean[[#This Row],[followers]]&lt;100000,"&lt;100K",IF(TwitterClean[[#This Row],[followers]]&lt;1000000,"100K-1M",IF(TwitterClean[[#This Row],[followers]]&lt;10000000,"1M-10M","10M+")))</f>
        <v>1M-10M</v>
      </c>
    </row>
    <row r="845" spans="1:38">
      <c r="A845">
        <v>1.8680992056270769E+18</v>
      </c>
      <c r="B845" t="s">
        <v>2230</v>
      </c>
      <c r="C845" t="s">
        <v>2231</v>
      </c>
      <c r="D845" t="s">
        <v>2682</v>
      </c>
      <c r="E845" t="s">
        <v>2683</v>
      </c>
      <c r="F845" t="s">
        <v>2684</v>
      </c>
      <c r="G845" t="s">
        <v>2685</v>
      </c>
      <c r="H845" t="s">
        <v>29</v>
      </c>
      <c r="I845">
        <v>16</v>
      </c>
      <c r="J845">
        <v>8</v>
      </c>
      <c r="K845">
        <v>35</v>
      </c>
      <c r="L845">
        <v>30417</v>
      </c>
      <c r="M845" t="s">
        <v>2686</v>
      </c>
      <c r="N845" t="s">
        <v>29</v>
      </c>
      <c r="O845">
        <v>3313897</v>
      </c>
      <c r="P845" t="s">
        <v>2237</v>
      </c>
      <c r="Q845">
        <v>706459</v>
      </c>
      <c r="R845" t="s">
        <v>2238</v>
      </c>
      <c r="S845">
        <v>10308</v>
      </c>
      <c r="T845" t="b">
        <v>0</v>
      </c>
      <c r="U845">
        <v>2</v>
      </c>
      <c r="V845">
        <v>2</v>
      </c>
      <c r="W845" t="s">
        <v>35</v>
      </c>
      <c r="X845" t="s">
        <v>29</v>
      </c>
      <c r="Y845" t="s">
        <v>29</v>
      </c>
      <c r="Z845" t="s">
        <v>37</v>
      </c>
      <c r="AA845">
        <f>TwitterClean[[#This Row],[likes]]+TwitterClean[[#This Row],[replies]]+TwitterClean[[#This Row],[reposts]]+TwitterClean[[#This Row],[quotes]]+TwitterClean[[#This Row],[bookmarks]]</f>
        <v>63</v>
      </c>
      <c r="AB845" s="1">
        <f>TwitterClean[[#This Row],[Total_Engagements]]/TwitterClean[[#This Row],[views]]</f>
        <v>2.0712101785185914E-3</v>
      </c>
      <c r="AC845" s="3">
        <f>DATEVALUE(MID(TwitterClean[[#This Row],[date_posted]],2,10))</f>
        <v>45641</v>
      </c>
      <c r="AD845">
        <f>TIMEVALUE(MID(TwitterClean[[#This Row],[date_posted]],13,8))</f>
        <v>4.3194444444444445E-2</v>
      </c>
      <c r="AE845" s="3" t="str">
        <f>TEXT(TwitterClean[[#This Row],[Post_Date]],"dddd")</f>
        <v>Sunday</v>
      </c>
      <c r="AF845">
        <f>HOUR(TwitterClean[[#This Row],[Post_Time]])</f>
        <v>1</v>
      </c>
      <c r="AG845" t="str">
        <f>IF(TwitterClean[[#This Row],[videos]]="Null","No","Yes")</f>
        <v>No</v>
      </c>
      <c r="AH845" t="str">
        <f>IF(TwitterClean[[#This Row],[photos]]="null","No","Yes")</f>
        <v>Yes</v>
      </c>
      <c r="AI845" t="str">
        <f>IF(TwitterClean[[#This Row],[hashtags]]="null","No","Yes")</f>
        <v>No</v>
      </c>
      <c r="AJ845" t="str">
        <f>IF(TwitterClean[[#This Row],[external_url]]="null","Yes","No")</f>
        <v>No</v>
      </c>
      <c r="AK845">
        <f>LEN(TwitterClean[[#This Row],[description]])</f>
        <v>83</v>
      </c>
      <c r="AL845" t="str">
        <f>IF(TwitterClean[[#This Row],[followers]]&lt;100000,"&lt;100K",IF(TwitterClean[[#This Row],[followers]]&lt;1000000,"100K-1M",IF(TwitterClean[[#This Row],[followers]]&lt;10000000,"1M-10M","10M+")))</f>
        <v>1M-10M</v>
      </c>
    </row>
    <row r="846" spans="1:38">
      <c r="A846">
        <v>1.8681893050148132E+18</v>
      </c>
      <c r="B846" t="s">
        <v>183</v>
      </c>
      <c r="C846" t="s">
        <v>184</v>
      </c>
      <c r="D846" t="s">
        <v>213</v>
      </c>
      <c r="E846" t="s">
        <v>214</v>
      </c>
      <c r="F846" t="s">
        <v>215</v>
      </c>
      <c r="G846" t="s">
        <v>216</v>
      </c>
      <c r="H846" t="s">
        <v>29</v>
      </c>
      <c r="I846">
        <v>13</v>
      </c>
      <c r="J846">
        <v>17</v>
      </c>
      <c r="K846">
        <v>59</v>
      </c>
      <c r="L846">
        <v>49641</v>
      </c>
      <c r="M846" t="s">
        <v>217</v>
      </c>
      <c r="N846" t="s">
        <v>29</v>
      </c>
      <c r="O846">
        <v>27123001</v>
      </c>
      <c r="P846" t="s">
        <v>190</v>
      </c>
      <c r="Q846">
        <v>402760</v>
      </c>
      <c r="R846" t="s">
        <v>191</v>
      </c>
      <c r="S846">
        <v>155</v>
      </c>
      <c r="T846" t="b">
        <v>0</v>
      </c>
      <c r="U846">
        <v>3</v>
      </c>
      <c r="V846">
        <v>9</v>
      </c>
      <c r="W846" t="s">
        <v>35</v>
      </c>
      <c r="X846" t="s">
        <v>29</v>
      </c>
      <c r="Y846" t="s">
        <v>29</v>
      </c>
      <c r="Z846" t="s">
        <v>37</v>
      </c>
      <c r="AA846">
        <f>TwitterClean[[#This Row],[likes]]+TwitterClean[[#This Row],[replies]]+TwitterClean[[#This Row],[reposts]]+TwitterClean[[#This Row],[quotes]]+TwitterClean[[#This Row],[bookmarks]]</f>
        <v>101</v>
      </c>
      <c r="AB846" s="1">
        <f>TwitterClean[[#This Row],[Total_Engagements]]/TwitterClean[[#This Row],[views]]</f>
        <v>2.0346084889506658E-3</v>
      </c>
      <c r="AC846" s="3">
        <f>DATEVALUE(MID(TwitterClean[[#This Row],[date_posted]],2,10))</f>
        <v>45641</v>
      </c>
      <c r="AD846">
        <f>TIMEVALUE(MID(TwitterClean[[#This Row],[date_posted]],13,8))</f>
        <v>0.29182870370370373</v>
      </c>
      <c r="AE846" s="3" t="str">
        <f>TEXT(TwitterClean[[#This Row],[Post_Date]],"dddd")</f>
        <v>Sunday</v>
      </c>
      <c r="AF846">
        <f>HOUR(TwitterClean[[#This Row],[Post_Time]])</f>
        <v>7</v>
      </c>
      <c r="AG846" t="str">
        <f>IF(TwitterClean[[#This Row],[videos]]="Null","No","Yes")</f>
        <v>No</v>
      </c>
      <c r="AH846" t="str">
        <f>IF(TwitterClean[[#This Row],[photos]]="null","No","Yes")</f>
        <v>Yes</v>
      </c>
      <c r="AI846" t="str">
        <f>IF(TwitterClean[[#This Row],[hashtags]]="null","No","Yes")</f>
        <v>No</v>
      </c>
      <c r="AJ846" t="str">
        <f>IF(TwitterClean[[#This Row],[external_url]]="null","Yes","No")</f>
        <v>No</v>
      </c>
      <c r="AK846">
        <f>LEN(TwitterClean[[#This Row],[description]])</f>
        <v>162</v>
      </c>
      <c r="AL846" t="str">
        <f>IF(TwitterClean[[#This Row],[followers]]&lt;100000,"&lt;100K",IF(TwitterClean[[#This Row],[followers]]&lt;1000000,"100K-1M",IF(TwitterClean[[#This Row],[followers]]&lt;10000000,"1M-10M","10M+")))</f>
        <v>10M+</v>
      </c>
    </row>
    <row r="847" spans="1:38">
      <c r="A847">
        <v>1.8682899411610255E+18</v>
      </c>
      <c r="B847" t="s">
        <v>2935</v>
      </c>
      <c r="C847" t="s">
        <v>2936</v>
      </c>
      <c r="D847" t="s">
        <v>3819</v>
      </c>
      <c r="E847" t="s">
        <v>3820</v>
      </c>
      <c r="F847" t="s">
        <v>29</v>
      </c>
      <c r="G847" t="s">
        <v>3821</v>
      </c>
      <c r="H847" t="s">
        <v>29</v>
      </c>
      <c r="I847">
        <v>10</v>
      </c>
      <c r="J847">
        <v>19</v>
      </c>
      <c r="K847">
        <v>38</v>
      </c>
      <c r="L847">
        <v>39381</v>
      </c>
      <c r="M847" t="s">
        <v>3822</v>
      </c>
      <c r="N847" t="s">
        <v>29</v>
      </c>
      <c r="O847">
        <v>9564155</v>
      </c>
      <c r="P847" t="s">
        <v>2941</v>
      </c>
      <c r="Q847">
        <v>1125277</v>
      </c>
      <c r="R847" t="s">
        <v>2942</v>
      </c>
      <c r="S847">
        <v>93</v>
      </c>
      <c r="T847" t="b">
        <v>0</v>
      </c>
      <c r="U847">
        <v>4</v>
      </c>
      <c r="V847">
        <v>9</v>
      </c>
      <c r="W847" t="s">
        <v>35</v>
      </c>
      <c r="X847" t="s">
        <v>29</v>
      </c>
      <c r="Y847" t="s">
        <v>3823</v>
      </c>
      <c r="Z847" t="s">
        <v>37</v>
      </c>
      <c r="AA847">
        <f>TwitterClean[[#This Row],[likes]]+TwitterClean[[#This Row],[replies]]+TwitterClean[[#This Row],[reposts]]+TwitterClean[[#This Row],[quotes]]+TwitterClean[[#This Row],[bookmarks]]</f>
        <v>80</v>
      </c>
      <c r="AB847" s="1">
        <f>TwitterClean[[#This Row],[Total_Engagements]]/TwitterClean[[#This Row],[views]]</f>
        <v>2.031436479520581E-3</v>
      </c>
      <c r="AC847" s="3">
        <f>DATEVALUE(MID(TwitterClean[[#This Row],[date_posted]],2,10))</f>
        <v>45641</v>
      </c>
      <c r="AD847">
        <f>TIMEVALUE(MID(TwitterClean[[#This Row],[date_posted]],13,8))</f>
        <v>0.56952546296296291</v>
      </c>
      <c r="AE847" s="3" t="str">
        <f>TEXT(TwitterClean[[#This Row],[Post_Date]],"dddd")</f>
        <v>Sunday</v>
      </c>
      <c r="AF847">
        <f>HOUR(TwitterClean[[#This Row],[Post_Time]])</f>
        <v>13</v>
      </c>
      <c r="AG847" t="str">
        <f>IF(TwitterClean[[#This Row],[videos]]="Null","No","Yes")</f>
        <v>Yes</v>
      </c>
      <c r="AH847" t="str">
        <f>IF(TwitterClean[[#This Row],[photos]]="null","No","Yes")</f>
        <v>No</v>
      </c>
      <c r="AI847" t="str">
        <f>IF(TwitterClean[[#This Row],[hashtags]]="null","No","Yes")</f>
        <v>No</v>
      </c>
      <c r="AJ847" t="str">
        <f>IF(TwitterClean[[#This Row],[external_url]]="null","Yes","No")</f>
        <v>No</v>
      </c>
      <c r="AK847">
        <f>LEN(TwitterClean[[#This Row],[description]])</f>
        <v>220</v>
      </c>
      <c r="AL847" t="str">
        <f>IF(TwitterClean[[#This Row],[followers]]&lt;100000,"&lt;100K",IF(TwitterClean[[#This Row],[followers]]&lt;1000000,"100K-1M",IF(TwitterClean[[#This Row],[followers]]&lt;10000000,"1M-10M","10M+")))</f>
        <v>1M-10M</v>
      </c>
    </row>
    <row r="848" spans="1:38">
      <c r="A848">
        <v>1.8682945122522196E+18</v>
      </c>
      <c r="B848" t="s">
        <v>4292</v>
      </c>
      <c r="C848" t="s">
        <v>4293</v>
      </c>
      <c r="D848" t="s">
        <v>4410</v>
      </c>
      <c r="E848" t="s">
        <v>4411</v>
      </c>
      <c r="F848" t="s">
        <v>29</v>
      </c>
      <c r="G848" t="s">
        <v>4412</v>
      </c>
      <c r="H848" t="s">
        <v>4413</v>
      </c>
      <c r="I848">
        <v>2</v>
      </c>
      <c r="J848">
        <v>0</v>
      </c>
      <c r="K848">
        <v>9</v>
      </c>
      <c r="L848">
        <v>6426</v>
      </c>
      <c r="M848" t="s">
        <v>52</v>
      </c>
      <c r="N848" t="s">
        <v>3212</v>
      </c>
      <c r="O848">
        <v>290454</v>
      </c>
      <c r="P848" t="s">
        <v>4298</v>
      </c>
      <c r="Q848">
        <v>128147</v>
      </c>
      <c r="R848" t="s">
        <v>4299</v>
      </c>
      <c r="S848">
        <v>1290</v>
      </c>
      <c r="T848" t="b">
        <v>0</v>
      </c>
      <c r="U848">
        <v>1</v>
      </c>
      <c r="V848">
        <v>1</v>
      </c>
      <c r="W848" t="s">
        <v>35</v>
      </c>
      <c r="X848" t="s">
        <v>29</v>
      </c>
      <c r="Y848" t="s">
        <v>4414</v>
      </c>
      <c r="Z848" t="s">
        <v>37</v>
      </c>
      <c r="AA848">
        <f>TwitterClean[[#This Row],[likes]]+TwitterClean[[#This Row],[replies]]+TwitterClean[[#This Row],[reposts]]+TwitterClean[[#This Row],[quotes]]+TwitterClean[[#This Row],[bookmarks]]</f>
        <v>13</v>
      </c>
      <c r="AB848" s="1">
        <f>TwitterClean[[#This Row],[Total_Engagements]]/TwitterClean[[#This Row],[views]]</f>
        <v>2.0230314347961407E-3</v>
      </c>
      <c r="AC848" s="3">
        <f>DATEVALUE(MID(TwitterClean[[#This Row],[date_posted]],2,10))</f>
        <v>45641</v>
      </c>
      <c r="AD848">
        <f>TIMEVALUE(MID(TwitterClean[[#This Row],[date_posted]],13,8))</f>
        <v>0.5821412037037037</v>
      </c>
      <c r="AE848" s="3" t="str">
        <f>TEXT(TwitterClean[[#This Row],[Post_Date]],"dddd")</f>
        <v>Sunday</v>
      </c>
      <c r="AF848">
        <f>HOUR(TwitterClean[[#This Row],[Post_Time]])</f>
        <v>13</v>
      </c>
      <c r="AG848" t="str">
        <f>IF(TwitterClean[[#This Row],[videos]]="Null","No","Yes")</f>
        <v>Yes</v>
      </c>
      <c r="AH848" t="str">
        <f>IF(TwitterClean[[#This Row],[photos]]="null","No","Yes")</f>
        <v>No</v>
      </c>
      <c r="AI848" t="str">
        <f>IF(TwitterClean[[#This Row],[hashtags]]="null","No","Yes")</f>
        <v>Yes</v>
      </c>
      <c r="AJ848" t="str">
        <f>IF(TwitterClean[[#This Row],[external_url]]="null","Yes","No")</f>
        <v>No</v>
      </c>
      <c r="AK848">
        <f>LEN(TwitterClean[[#This Row],[description]])</f>
        <v>165</v>
      </c>
      <c r="AL848" t="str">
        <f>IF(TwitterClean[[#This Row],[followers]]&lt;100000,"&lt;100K",IF(TwitterClean[[#This Row],[followers]]&lt;1000000,"100K-1M",IF(TwitterClean[[#This Row],[followers]]&lt;10000000,"1M-10M","10M+")))</f>
        <v>100K-1M</v>
      </c>
    </row>
    <row r="849" spans="1:38">
      <c r="A849">
        <v>1.8683691922709138E+18</v>
      </c>
      <c r="B849" t="s">
        <v>183</v>
      </c>
      <c r="C849" t="s">
        <v>184</v>
      </c>
      <c r="D849" t="s">
        <v>513</v>
      </c>
      <c r="E849" t="s">
        <v>514</v>
      </c>
      <c r="F849" t="s">
        <v>29</v>
      </c>
      <c r="G849" t="s">
        <v>515</v>
      </c>
      <c r="H849" t="s">
        <v>29</v>
      </c>
      <c r="I849">
        <v>37</v>
      </c>
      <c r="J849">
        <v>6</v>
      </c>
      <c r="K849">
        <v>51</v>
      </c>
      <c r="L849">
        <v>53517</v>
      </c>
      <c r="M849" t="s">
        <v>516</v>
      </c>
      <c r="N849" t="s">
        <v>29</v>
      </c>
      <c r="O849">
        <v>27122998</v>
      </c>
      <c r="P849" t="s">
        <v>190</v>
      </c>
      <c r="Q849">
        <v>402760</v>
      </c>
      <c r="R849" t="s">
        <v>191</v>
      </c>
      <c r="S849">
        <v>155</v>
      </c>
      <c r="T849" t="b">
        <v>0</v>
      </c>
      <c r="U849">
        <v>2</v>
      </c>
      <c r="V849">
        <v>12</v>
      </c>
      <c r="W849" t="s">
        <v>35</v>
      </c>
      <c r="X849" t="s">
        <v>374</v>
      </c>
      <c r="Y849" t="s">
        <v>29</v>
      </c>
      <c r="Z849" t="s">
        <v>37</v>
      </c>
      <c r="AA849">
        <f>TwitterClean[[#This Row],[likes]]+TwitterClean[[#This Row],[replies]]+TwitterClean[[#This Row],[reposts]]+TwitterClean[[#This Row],[quotes]]+TwitterClean[[#This Row],[bookmarks]]</f>
        <v>108</v>
      </c>
      <c r="AB849" s="1">
        <f>TwitterClean[[#This Row],[Total_Engagements]]/TwitterClean[[#This Row],[views]]</f>
        <v>2.0180503391445709E-3</v>
      </c>
      <c r="AC849" s="3">
        <f>DATEVALUE(MID(TwitterClean[[#This Row],[date_posted]],2,10))</f>
        <v>45641</v>
      </c>
      <c r="AD849">
        <f>TIMEVALUE(MID(TwitterClean[[#This Row],[date_posted]],13,8))</f>
        <v>0.78821759259259261</v>
      </c>
      <c r="AE849" s="3" t="str">
        <f>TEXT(TwitterClean[[#This Row],[Post_Date]],"dddd")</f>
        <v>Sunday</v>
      </c>
      <c r="AF849">
        <f>HOUR(TwitterClean[[#This Row],[Post_Time]])</f>
        <v>18</v>
      </c>
      <c r="AG849" t="str">
        <f>IF(TwitterClean[[#This Row],[videos]]="Null","No","Yes")</f>
        <v>No</v>
      </c>
      <c r="AH849" t="str">
        <f>IF(TwitterClean[[#This Row],[photos]]="null","No","Yes")</f>
        <v>No</v>
      </c>
      <c r="AI849" t="str">
        <f>IF(TwitterClean[[#This Row],[hashtags]]="null","No","Yes")</f>
        <v>No</v>
      </c>
      <c r="AJ849" t="str">
        <f>IF(TwitterClean[[#This Row],[external_url]]="null","Yes","No")</f>
        <v>No</v>
      </c>
      <c r="AK849">
        <f>LEN(TwitterClean[[#This Row],[description]])</f>
        <v>227</v>
      </c>
      <c r="AL849" t="str">
        <f>IF(TwitterClean[[#This Row],[followers]]&lt;100000,"&lt;100K",IF(TwitterClean[[#This Row],[followers]]&lt;1000000,"100K-1M",IF(TwitterClean[[#This Row],[followers]]&lt;10000000,"1M-10M","10M+")))</f>
        <v>10M+</v>
      </c>
    </row>
    <row r="850" spans="1:38">
      <c r="A850">
        <v>1.8682599567822564E+18</v>
      </c>
      <c r="B850" t="s">
        <v>183</v>
      </c>
      <c r="C850" t="s">
        <v>184</v>
      </c>
      <c r="D850" t="s">
        <v>929</v>
      </c>
      <c r="E850" t="s">
        <v>930</v>
      </c>
      <c r="F850" t="s">
        <v>29</v>
      </c>
      <c r="G850" t="s">
        <v>931</v>
      </c>
      <c r="H850" t="s">
        <v>29</v>
      </c>
      <c r="I850">
        <v>11</v>
      </c>
      <c r="J850">
        <v>22</v>
      </c>
      <c r="K850">
        <v>62</v>
      </c>
      <c r="L850">
        <v>54721</v>
      </c>
      <c r="M850" t="s">
        <v>932</v>
      </c>
      <c r="N850" t="s">
        <v>29</v>
      </c>
      <c r="O850">
        <v>27122998</v>
      </c>
      <c r="P850" t="s">
        <v>190</v>
      </c>
      <c r="Q850">
        <v>402760</v>
      </c>
      <c r="R850" t="s">
        <v>191</v>
      </c>
      <c r="S850">
        <v>155</v>
      </c>
      <c r="T850" t="b">
        <v>0</v>
      </c>
      <c r="U850">
        <v>2</v>
      </c>
      <c r="V850">
        <v>13</v>
      </c>
      <c r="W850" t="s">
        <v>35</v>
      </c>
      <c r="X850" t="s">
        <v>933</v>
      </c>
      <c r="Y850" t="s">
        <v>29</v>
      </c>
      <c r="Z850" t="s">
        <v>37</v>
      </c>
      <c r="AA850">
        <f>TwitterClean[[#This Row],[likes]]+TwitterClean[[#This Row],[replies]]+TwitterClean[[#This Row],[reposts]]+TwitterClean[[#This Row],[quotes]]+TwitterClean[[#This Row],[bookmarks]]</f>
        <v>110</v>
      </c>
      <c r="AB850" s="1">
        <f>TwitterClean[[#This Row],[Total_Engagements]]/TwitterClean[[#This Row],[views]]</f>
        <v>2.0101971820690413E-3</v>
      </c>
      <c r="AC850" s="3">
        <f>DATEVALUE(MID(TwitterClean[[#This Row],[date_posted]],2,10))</f>
        <v>45641</v>
      </c>
      <c r="AD850">
        <f>TIMEVALUE(MID(TwitterClean[[#This Row],[date_posted]],13,8))</f>
        <v>0.48678240740740741</v>
      </c>
      <c r="AE850" s="3" t="str">
        <f>TEXT(TwitterClean[[#This Row],[Post_Date]],"dddd")</f>
        <v>Sunday</v>
      </c>
      <c r="AF850">
        <f>HOUR(TwitterClean[[#This Row],[Post_Time]])</f>
        <v>11</v>
      </c>
      <c r="AG850" t="str">
        <f>IF(TwitterClean[[#This Row],[videos]]="Null","No","Yes")</f>
        <v>No</v>
      </c>
      <c r="AH850" t="str">
        <f>IF(TwitterClean[[#This Row],[photos]]="null","No","Yes")</f>
        <v>No</v>
      </c>
      <c r="AI850" t="str">
        <f>IF(TwitterClean[[#This Row],[hashtags]]="null","No","Yes")</f>
        <v>No</v>
      </c>
      <c r="AJ850" t="str">
        <f>IF(TwitterClean[[#This Row],[external_url]]="null","Yes","No")</f>
        <v>No</v>
      </c>
      <c r="AK850">
        <f>LEN(TwitterClean[[#This Row],[description]])</f>
        <v>240</v>
      </c>
      <c r="AL850" t="str">
        <f>IF(TwitterClean[[#This Row],[followers]]&lt;100000,"&lt;100K",IF(TwitterClean[[#This Row],[followers]]&lt;1000000,"100K-1M",IF(TwitterClean[[#This Row],[followers]]&lt;10000000,"1M-10M","10M+")))</f>
        <v>10M+</v>
      </c>
    </row>
    <row r="851" spans="1:38">
      <c r="A851">
        <v>1.8681838525538266E+18</v>
      </c>
      <c r="B851" t="s">
        <v>3034</v>
      </c>
      <c r="C851" t="s">
        <v>3035</v>
      </c>
      <c r="D851" t="s">
        <v>3274</v>
      </c>
      <c r="E851" t="s">
        <v>3275</v>
      </c>
      <c r="F851" t="s">
        <v>29</v>
      </c>
      <c r="G851" t="s">
        <v>3276</v>
      </c>
      <c r="H851" t="s">
        <v>3277</v>
      </c>
      <c r="I851">
        <v>29</v>
      </c>
      <c r="J851">
        <v>14</v>
      </c>
      <c r="K851">
        <v>198</v>
      </c>
      <c r="L851">
        <v>125258</v>
      </c>
      <c r="M851" t="s">
        <v>52</v>
      </c>
      <c r="N851" t="s">
        <v>3278</v>
      </c>
      <c r="O851">
        <v>12876594</v>
      </c>
      <c r="P851" t="s">
        <v>3041</v>
      </c>
      <c r="Q851">
        <v>141401</v>
      </c>
      <c r="R851" t="s">
        <v>3042</v>
      </c>
      <c r="S851">
        <v>717</v>
      </c>
      <c r="T851" t="b">
        <v>0</v>
      </c>
      <c r="U851">
        <v>0</v>
      </c>
      <c r="V851">
        <v>2</v>
      </c>
      <c r="W851" t="s">
        <v>35</v>
      </c>
      <c r="X851" t="s">
        <v>29</v>
      </c>
      <c r="Y851" t="s">
        <v>3279</v>
      </c>
      <c r="Z851" t="s">
        <v>37</v>
      </c>
      <c r="AA851">
        <f>TwitterClean[[#This Row],[likes]]+TwitterClean[[#This Row],[replies]]+TwitterClean[[#This Row],[reposts]]+TwitterClean[[#This Row],[quotes]]+TwitterClean[[#This Row],[bookmarks]]</f>
        <v>243</v>
      </c>
      <c r="AB851" s="1">
        <f>TwitterClean[[#This Row],[Total_Engagements]]/TwitterClean[[#This Row],[views]]</f>
        <v>1.9399958485685545E-3</v>
      </c>
      <c r="AC851" s="3">
        <f>DATEVALUE(MID(TwitterClean[[#This Row],[date_posted]],2,10))</f>
        <v>45641</v>
      </c>
      <c r="AD851">
        <f>TIMEVALUE(MID(TwitterClean[[#This Row],[date_posted]],13,8))</f>
        <v>0.27678240740740739</v>
      </c>
      <c r="AE851" s="3" t="str">
        <f>TEXT(TwitterClean[[#This Row],[Post_Date]],"dddd")</f>
        <v>Sunday</v>
      </c>
      <c r="AF851">
        <f>HOUR(TwitterClean[[#This Row],[Post_Time]])</f>
        <v>6</v>
      </c>
      <c r="AG851" t="str">
        <f>IF(TwitterClean[[#This Row],[videos]]="Null","No","Yes")</f>
        <v>Yes</v>
      </c>
      <c r="AH851" t="str">
        <f>IF(TwitterClean[[#This Row],[photos]]="null","No","Yes")</f>
        <v>No</v>
      </c>
      <c r="AI851" t="str">
        <f>IF(TwitterClean[[#This Row],[hashtags]]="null","No","Yes")</f>
        <v>Yes</v>
      </c>
      <c r="AJ851" t="str">
        <f>IF(TwitterClean[[#This Row],[external_url]]="null","Yes","No")</f>
        <v>No</v>
      </c>
      <c r="AK851">
        <f>LEN(TwitterClean[[#This Row],[description]])</f>
        <v>70</v>
      </c>
      <c r="AL851" t="str">
        <f>IF(TwitterClean[[#This Row],[followers]]&lt;100000,"&lt;100K",IF(TwitterClean[[#This Row],[followers]]&lt;1000000,"100K-1M",IF(TwitterClean[[#This Row],[followers]]&lt;10000000,"1M-10M","10M+")))</f>
        <v>10M+</v>
      </c>
    </row>
    <row r="852" spans="1:38">
      <c r="A852">
        <v>1.868309504036586E+18</v>
      </c>
      <c r="B852" t="s">
        <v>183</v>
      </c>
      <c r="C852" t="s">
        <v>184</v>
      </c>
      <c r="D852" t="s">
        <v>385</v>
      </c>
      <c r="E852" t="s">
        <v>386</v>
      </c>
      <c r="F852" t="s">
        <v>29</v>
      </c>
      <c r="G852" t="s">
        <v>387</v>
      </c>
      <c r="H852" t="s">
        <v>29</v>
      </c>
      <c r="I852">
        <v>19</v>
      </c>
      <c r="J852">
        <v>13</v>
      </c>
      <c r="K852">
        <v>53</v>
      </c>
      <c r="L852">
        <v>46547</v>
      </c>
      <c r="M852" t="s">
        <v>388</v>
      </c>
      <c r="N852" t="s">
        <v>29</v>
      </c>
      <c r="O852">
        <v>27122998</v>
      </c>
      <c r="P852" t="s">
        <v>190</v>
      </c>
      <c r="Q852">
        <v>402760</v>
      </c>
      <c r="R852" t="s">
        <v>191</v>
      </c>
      <c r="S852">
        <v>155</v>
      </c>
      <c r="T852" t="b">
        <v>0</v>
      </c>
      <c r="U852">
        <v>1</v>
      </c>
      <c r="V852">
        <v>4</v>
      </c>
      <c r="W852" t="s">
        <v>35</v>
      </c>
      <c r="X852" t="s">
        <v>389</v>
      </c>
      <c r="Y852" t="s">
        <v>29</v>
      </c>
      <c r="Z852" t="s">
        <v>37</v>
      </c>
      <c r="AA852">
        <f>TwitterClean[[#This Row],[likes]]+TwitterClean[[#This Row],[replies]]+TwitterClean[[#This Row],[reposts]]+TwitterClean[[#This Row],[quotes]]+TwitterClean[[#This Row],[bookmarks]]</f>
        <v>90</v>
      </c>
      <c r="AB852" s="1">
        <f>TwitterClean[[#This Row],[Total_Engagements]]/TwitterClean[[#This Row],[views]]</f>
        <v>1.9335295507766344E-3</v>
      </c>
      <c r="AC852" s="3">
        <f>DATEVALUE(MID(TwitterClean[[#This Row],[date_posted]],2,10))</f>
        <v>45641</v>
      </c>
      <c r="AD852">
        <f>TIMEVALUE(MID(TwitterClean[[#This Row],[date_posted]],13,8))</f>
        <v>0.62350694444444443</v>
      </c>
      <c r="AE852" s="3" t="str">
        <f>TEXT(TwitterClean[[#This Row],[Post_Date]],"dddd")</f>
        <v>Sunday</v>
      </c>
      <c r="AF852">
        <f>HOUR(TwitterClean[[#This Row],[Post_Time]])</f>
        <v>14</v>
      </c>
      <c r="AG852" t="str">
        <f>IF(TwitterClean[[#This Row],[videos]]="Null","No","Yes")</f>
        <v>No</v>
      </c>
      <c r="AH852" t="str">
        <f>IF(TwitterClean[[#This Row],[photos]]="null","No","Yes")</f>
        <v>No</v>
      </c>
      <c r="AI852" t="str">
        <f>IF(TwitterClean[[#This Row],[hashtags]]="null","No","Yes")</f>
        <v>No</v>
      </c>
      <c r="AJ852" t="str">
        <f>IF(TwitterClean[[#This Row],[external_url]]="null","Yes","No")</f>
        <v>No</v>
      </c>
      <c r="AK852">
        <f>LEN(TwitterClean[[#This Row],[description]])</f>
        <v>239</v>
      </c>
      <c r="AL852" t="str">
        <f>IF(TwitterClean[[#This Row],[followers]]&lt;100000,"&lt;100K",IF(TwitterClean[[#This Row],[followers]]&lt;1000000,"100K-1M",IF(TwitterClean[[#This Row],[followers]]&lt;10000000,"1M-10M","10M+")))</f>
        <v>10M+</v>
      </c>
    </row>
    <row r="853" spans="1:38">
      <c r="A853">
        <v>1.8684492547059548E+18</v>
      </c>
      <c r="B853" t="s">
        <v>2230</v>
      </c>
      <c r="C853" t="s">
        <v>2231</v>
      </c>
      <c r="D853" t="s">
        <v>2489</v>
      </c>
      <c r="E853" t="s">
        <v>2490</v>
      </c>
      <c r="F853" t="s">
        <v>2491</v>
      </c>
      <c r="G853" t="s">
        <v>2492</v>
      </c>
      <c r="H853" t="s">
        <v>29</v>
      </c>
      <c r="I853">
        <v>15</v>
      </c>
      <c r="J853">
        <v>4</v>
      </c>
      <c r="K853">
        <v>31</v>
      </c>
      <c r="L853">
        <v>28033</v>
      </c>
      <c r="M853" t="s">
        <v>2493</v>
      </c>
      <c r="N853" t="s">
        <v>29</v>
      </c>
      <c r="O853">
        <v>3313887</v>
      </c>
      <c r="P853" t="s">
        <v>2237</v>
      </c>
      <c r="Q853">
        <v>706459</v>
      </c>
      <c r="R853" t="s">
        <v>2238</v>
      </c>
      <c r="S853">
        <v>10308</v>
      </c>
      <c r="T853" t="b">
        <v>0</v>
      </c>
      <c r="U853">
        <v>1</v>
      </c>
      <c r="V853">
        <v>3</v>
      </c>
      <c r="W853" t="s">
        <v>35</v>
      </c>
      <c r="X853" t="s">
        <v>29</v>
      </c>
      <c r="Y853" t="s">
        <v>29</v>
      </c>
      <c r="Z853" t="s">
        <v>37</v>
      </c>
      <c r="AA853">
        <f>TwitterClean[[#This Row],[likes]]+TwitterClean[[#This Row],[replies]]+TwitterClean[[#This Row],[reposts]]+TwitterClean[[#This Row],[quotes]]+TwitterClean[[#This Row],[bookmarks]]</f>
        <v>54</v>
      </c>
      <c r="AB853" s="1">
        <f>TwitterClean[[#This Row],[Total_Engagements]]/TwitterClean[[#This Row],[views]]</f>
        <v>1.926301145079014E-3</v>
      </c>
      <c r="AC853" s="3">
        <f>DATEVALUE(MID(TwitterClean[[#This Row],[date_posted]],2,10))</f>
        <v>45642</v>
      </c>
      <c r="AD853">
        <f>TIMEVALUE(MID(TwitterClean[[#This Row],[date_posted]],13,8))</f>
        <v>9.1550925925925931E-3</v>
      </c>
      <c r="AE853" s="3" t="str">
        <f>TEXT(TwitterClean[[#This Row],[Post_Date]],"dddd")</f>
        <v>Monday</v>
      </c>
      <c r="AF853">
        <f>HOUR(TwitterClean[[#This Row],[Post_Time]])</f>
        <v>0</v>
      </c>
      <c r="AG853" t="str">
        <f>IF(TwitterClean[[#This Row],[videos]]="Null","No","Yes")</f>
        <v>No</v>
      </c>
      <c r="AH853" t="str">
        <f>IF(TwitterClean[[#This Row],[photos]]="null","No","Yes")</f>
        <v>Yes</v>
      </c>
      <c r="AI853" t="str">
        <f>IF(TwitterClean[[#This Row],[hashtags]]="null","No","Yes")</f>
        <v>No</v>
      </c>
      <c r="AJ853" t="str">
        <f>IF(TwitterClean[[#This Row],[external_url]]="null","Yes","No")</f>
        <v>No</v>
      </c>
      <c r="AK853">
        <f>LEN(TwitterClean[[#This Row],[description]])</f>
        <v>90</v>
      </c>
      <c r="AL853" t="str">
        <f>IF(TwitterClean[[#This Row],[followers]]&lt;100000,"&lt;100K",IF(TwitterClean[[#This Row],[followers]]&lt;1000000,"100K-1M",IF(TwitterClean[[#This Row],[followers]]&lt;10000000,"1M-10M","10M+")))</f>
        <v>1M-10M</v>
      </c>
    </row>
    <row r="854" spans="1:38">
      <c r="A854">
        <v>1.8684552145644669E+18</v>
      </c>
      <c r="B854" t="s">
        <v>2230</v>
      </c>
      <c r="C854" t="s">
        <v>2231</v>
      </c>
      <c r="D854" t="s">
        <v>2444</v>
      </c>
      <c r="E854" t="s">
        <v>2445</v>
      </c>
      <c r="F854" t="s">
        <v>2446</v>
      </c>
      <c r="G854" t="s">
        <v>2447</v>
      </c>
      <c r="H854" t="s">
        <v>29</v>
      </c>
      <c r="I854">
        <v>22</v>
      </c>
      <c r="J854">
        <v>4</v>
      </c>
      <c r="K854">
        <v>32</v>
      </c>
      <c r="L854">
        <v>31230</v>
      </c>
      <c r="M854" t="s">
        <v>2448</v>
      </c>
      <c r="N854" t="s">
        <v>29</v>
      </c>
      <c r="O854">
        <v>3313887</v>
      </c>
      <c r="P854" t="s">
        <v>2237</v>
      </c>
      <c r="Q854">
        <v>706459</v>
      </c>
      <c r="R854" t="s">
        <v>2238</v>
      </c>
      <c r="S854">
        <v>10308</v>
      </c>
      <c r="T854" t="b">
        <v>0</v>
      </c>
      <c r="U854">
        <v>1</v>
      </c>
      <c r="V854">
        <v>1</v>
      </c>
      <c r="W854" t="s">
        <v>35</v>
      </c>
      <c r="X854" t="s">
        <v>29</v>
      </c>
      <c r="Y854" t="s">
        <v>29</v>
      </c>
      <c r="Z854" t="s">
        <v>37</v>
      </c>
      <c r="AA854">
        <f>TwitterClean[[#This Row],[likes]]+TwitterClean[[#This Row],[replies]]+TwitterClean[[#This Row],[reposts]]+TwitterClean[[#This Row],[quotes]]+TwitterClean[[#This Row],[bookmarks]]</f>
        <v>60</v>
      </c>
      <c r="AB854" s="1">
        <f>TwitterClean[[#This Row],[Total_Engagements]]/TwitterClean[[#This Row],[views]]</f>
        <v>1.9212295869356388E-3</v>
      </c>
      <c r="AC854" s="3">
        <f>DATEVALUE(MID(TwitterClean[[#This Row],[date_posted]],2,10))</f>
        <v>45642</v>
      </c>
      <c r="AD854">
        <f>TIMEVALUE(MID(TwitterClean[[#This Row],[date_posted]],13,8))</f>
        <v>2.5601851851851851E-2</v>
      </c>
      <c r="AE854" s="3" t="str">
        <f>TEXT(TwitterClean[[#This Row],[Post_Date]],"dddd")</f>
        <v>Monday</v>
      </c>
      <c r="AF854">
        <f>HOUR(TwitterClean[[#This Row],[Post_Time]])</f>
        <v>0</v>
      </c>
      <c r="AG854" t="str">
        <f>IF(TwitterClean[[#This Row],[videos]]="Null","No","Yes")</f>
        <v>No</v>
      </c>
      <c r="AH854" t="str">
        <f>IF(TwitterClean[[#This Row],[photos]]="null","No","Yes")</f>
        <v>Yes</v>
      </c>
      <c r="AI854" t="str">
        <f>IF(TwitterClean[[#This Row],[hashtags]]="null","No","Yes")</f>
        <v>No</v>
      </c>
      <c r="AJ854" t="str">
        <f>IF(TwitterClean[[#This Row],[external_url]]="null","Yes","No")</f>
        <v>No</v>
      </c>
      <c r="AK854">
        <f>LEN(TwitterClean[[#This Row],[description]])</f>
        <v>88</v>
      </c>
      <c r="AL854" t="str">
        <f>IF(TwitterClean[[#This Row],[followers]]&lt;100000,"&lt;100K",IF(TwitterClean[[#This Row],[followers]]&lt;1000000,"100K-1M",IF(TwitterClean[[#This Row],[followers]]&lt;10000000,"1M-10M","10M+")))</f>
        <v>1M-10M</v>
      </c>
    </row>
    <row r="855" spans="1:38">
      <c r="A855">
        <v>1.8682311787858785E+18</v>
      </c>
      <c r="B855" t="s">
        <v>2935</v>
      </c>
      <c r="C855" t="s">
        <v>2936</v>
      </c>
      <c r="D855" t="s">
        <v>3829</v>
      </c>
      <c r="E855" t="s">
        <v>3830</v>
      </c>
      <c r="F855" t="s">
        <v>29</v>
      </c>
      <c r="G855" t="s">
        <v>3831</v>
      </c>
      <c r="H855" t="s">
        <v>29</v>
      </c>
      <c r="I855">
        <v>12</v>
      </c>
      <c r="J855">
        <v>11</v>
      </c>
      <c r="K855">
        <v>22</v>
      </c>
      <c r="L855">
        <v>26212</v>
      </c>
      <c r="M855" t="s">
        <v>3832</v>
      </c>
      <c r="N855" t="s">
        <v>29</v>
      </c>
      <c r="O855">
        <v>9564155</v>
      </c>
      <c r="P855" t="s">
        <v>2941</v>
      </c>
      <c r="Q855">
        <v>1125277</v>
      </c>
      <c r="R855" t="s">
        <v>2942</v>
      </c>
      <c r="S855">
        <v>93</v>
      </c>
      <c r="T855" t="b">
        <v>0</v>
      </c>
      <c r="U855">
        <v>2</v>
      </c>
      <c r="V855">
        <v>3</v>
      </c>
      <c r="W855" t="s">
        <v>35</v>
      </c>
      <c r="X855" t="s">
        <v>3833</v>
      </c>
      <c r="Y855" t="s">
        <v>29</v>
      </c>
      <c r="Z855" t="s">
        <v>37</v>
      </c>
      <c r="AA855">
        <f>TwitterClean[[#This Row],[likes]]+TwitterClean[[#This Row],[replies]]+TwitterClean[[#This Row],[reposts]]+TwitterClean[[#This Row],[quotes]]+TwitterClean[[#This Row],[bookmarks]]</f>
        <v>50</v>
      </c>
      <c r="AB855" s="1">
        <f>TwitterClean[[#This Row],[Total_Engagements]]/TwitterClean[[#This Row],[views]]</f>
        <v>1.9075232717839158E-3</v>
      </c>
      <c r="AC855" s="3">
        <f>DATEVALUE(MID(TwitterClean[[#This Row],[date_posted]],2,10))</f>
        <v>45641</v>
      </c>
      <c r="AD855">
        <f>TIMEVALUE(MID(TwitterClean[[#This Row],[date_posted]],13,8))</f>
        <v>0.40737268518518521</v>
      </c>
      <c r="AE855" s="3" t="str">
        <f>TEXT(TwitterClean[[#This Row],[Post_Date]],"dddd")</f>
        <v>Sunday</v>
      </c>
      <c r="AF855">
        <f>HOUR(TwitterClean[[#This Row],[Post_Time]])</f>
        <v>9</v>
      </c>
      <c r="AG855" t="str">
        <f>IF(TwitterClean[[#This Row],[videos]]="Null","No","Yes")</f>
        <v>No</v>
      </c>
      <c r="AH855" t="str">
        <f>IF(TwitterClean[[#This Row],[photos]]="null","No","Yes")</f>
        <v>No</v>
      </c>
      <c r="AI855" t="str">
        <f>IF(TwitterClean[[#This Row],[hashtags]]="null","No","Yes")</f>
        <v>No</v>
      </c>
      <c r="AJ855" t="str">
        <f>IF(TwitterClean[[#This Row],[external_url]]="null","Yes","No")</f>
        <v>No</v>
      </c>
      <c r="AK855">
        <f>LEN(TwitterClean[[#This Row],[description]])</f>
        <v>135</v>
      </c>
      <c r="AL855" t="str">
        <f>IF(TwitterClean[[#This Row],[followers]]&lt;100000,"&lt;100K",IF(TwitterClean[[#This Row],[followers]]&lt;1000000,"100K-1M",IF(TwitterClean[[#This Row],[followers]]&lt;10000000,"1M-10M","10M+")))</f>
        <v>1M-10M</v>
      </c>
    </row>
    <row r="856" spans="1:38">
      <c r="A856">
        <v>1.868387947008938E+18</v>
      </c>
      <c r="B856" t="s">
        <v>2935</v>
      </c>
      <c r="C856" t="s">
        <v>2936</v>
      </c>
      <c r="D856" t="s">
        <v>3805</v>
      </c>
      <c r="E856" t="s">
        <v>3806</v>
      </c>
      <c r="F856" t="s">
        <v>29</v>
      </c>
      <c r="G856" t="s">
        <v>3807</v>
      </c>
      <c r="H856" t="s">
        <v>29</v>
      </c>
      <c r="I856">
        <v>6</v>
      </c>
      <c r="J856">
        <v>15</v>
      </c>
      <c r="K856">
        <v>37</v>
      </c>
      <c r="L856">
        <v>35290</v>
      </c>
      <c r="M856" t="s">
        <v>3808</v>
      </c>
      <c r="N856" t="s">
        <v>29</v>
      </c>
      <c r="O856">
        <v>9564233</v>
      </c>
      <c r="P856" t="s">
        <v>2941</v>
      </c>
      <c r="Q856">
        <v>1125277</v>
      </c>
      <c r="R856" t="s">
        <v>2942</v>
      </c>
      <c r="S856">
        <v>93</v>
      </c>
      <c r="T856" t="b">
        <v>0</v>
      </c>
      <c r="U856">
        <v>3</v>
      </c>
      <c r="V856">
        <v>6</v>
      </c>
      <c r="W856" t="s">
        <v>35</v>
      </c>
      <c r="X856" t="s">
        <v>3809</v>
      </c>
      <c r="Y856" t="s">
        <v>29</v>
      </c>
      <c r="Z856" t="s">
        <v>37</v>
      </c>
      <c r="AA856">
        <f>TwitterClean[[#This Row],[likes]]+TwitterClean[[#This Row],[replies]]+TwitterClean[[#This Row],[reposts]]+TwitterClean[[#This Row],[quotes]]+TwitterClean[[#This Row],[bookmarks]]</f>
        <v>67</v>
      </c>
      <c r="AB856" s="1">
        <f>TwitterClean[[#This Row],[Total_Engagements]]/TwitterClean[[#This Row],[views]]</f>
        <v>1.8985548313969964E-3</v>
      </c>
      <c r="AC856" s="3">
        <f>DATEVALUE(MID(TwitterClean[[#This Row],[date_posted]],2,10))</f>
        <v>45641</v>
      </c>
      <c r="AD856">
        <f>TIMEVALUE(MID(TwitterClean[[#This Row],[date_posted]],13,8))</f>
        <v>0.83997685185185189</v>
      </c>
      <c r="AE856" s="3" t="str">
        <f>TEXT(TwitterClean[[#This Row],[Post_Date]],"dddd")</f>
        <v>Sunday</v>
      </c>
      <c r="AF856">
        <f>HOUR(TwitterClean[[#This Row],[Post_Time]])</f>
        <v>20</v>
      </c>
      <c r="AG856" t="str">
        <f>IF(TwitterClean[[#This Row],[videos]]="Null","No","Yes")</f>
        <v>No</v>
      </c>
      <c r="AH856" t="str">
        <f>IF(TwitterClean[[#This Row],[photos]]="null","No","Yes")</f>
        <v>No</v>
      </c>
      <c r="AI856" t="str">
        <f>IF(TwitterClean[[#This Row],[hashtags]]="null","No","Yes")</f>
        <v>No</v>
      </c>
      <c r="AJ856" t="str">
        <f>IF(TwitterClean[[#This Row],[external_url]]="null","Yes","No")</f>
        <v>No</v>
      </c>
      <c r="AK856">
        <f>LEN(TwitterClean[[#This Row],[description]])</f>
        <v>185</v>
      </c>
      <c r="AL856" t="str">
        <f>IF(TwitterClean[[#This Row],[followers]]&lt;100000,"&lt;100K",IF(TwitterClean[[#This Row],[followers]]&lt;1000000,"100K-1M",IF(TwitterClean[[#This Row],[followers]]&lt;10000000,"1M-10M","10M+")))</f>
        <v>1M-10M</v>
      </c>
    </row>
    <row r="857" spans="1:38">
      <c r="A857">
        <v>1.8683050236350141E+18</v>
      </c>
      <c r="B857" t="s">
        <v>2935</v>
      </c>
      <c r="C857" t="s">
        <v>2936</v>
      </c>
      <c r="D857" t="s">
        <v>3331</v>
      </c>
      <c r="E857" t="s">
        <v>3332</v>
      </c>
      <c r="F857" t="s">
        <v>29</v>
      </c>
      <c r="G857" t="s">
        <v>3333</v>
      </c>
      <c r="H857" t="s">
        <v>29</v>
      </c>
      <c r="I857">
        <v>5</v>
      </c>
      <c r="J857">
        <v>14</v>
      </c>
      <c r="K857">
        <v>36</v>
      </c>
      <c r="L857">
        <v>31891</v>
      </c>
      <c r="M857" t="s">
        <v>3334</v>
      </c>
      <c r="N857" t="s">
        <v>29</v>
      </c>
      <c r="O857">
        <v>9564231</v>
      </c>
      <c r="P857" t="s">
        <v>2941</v>
      </c>
      <c r="Q857">
        <v>1125277</v>
      </c>
      <c r="R857" t="s">
        <v>2942</v>
      </c>
      <c r="S857">
        <v>93</v>
      </c>
      <c r="T857" t="b">
        <v>0</v>
      </c>
      <c r="U857">
        <v>4</v>
      </c>
      <c r="V857">
        <v>1</v>
      </c>
      <c r="W857" t="s">
        <v>35</v>
      </c>
      <c r="X857" t="s">
        <v>3335</v>
      </c>
      <c r="Y857" t="s">
        <v>29</v>
      </c>
      <c r="Z857" t="s">
        <v>37</v>
      </c>
      <c r="AA857">
        <f>TwitterClean[[#This Row],[likes]]+TwitterClean[[#This Row],[replies]]+TwitterClean[[#This Row],[reposts]]+TwitterClean[[#This Row],[quotes]]+TwitterClean[[#This Row],[bookmarks]]</f>
        <v>60</v>
      </c>
      <c r="AB857" s="1">
        <f>TwitterClean[[#This Row],[Total_Engagements]]/TwitterClean[[#This Row],[views]]</f>
        <v>1.8814085478661691E-3</v>
      </c>
      <c r="AC857" s="3">
        <f>DATEVALUE(MID(TwitterClean[[#This Row],[date_posted]],2,10))</f>
        <v>45641</v>
      </c>
      <c r="AD857">
        <f>TIMEVALUE(MID(TwitterClean[[#This Row],[date_posted]],13,8))</f>
        <v>0.61114583333333339</v>
      </c>
      <c r="AE857" s="3" t="str">
        <f>TEXT(TwitterClean[[#This Row],[Post_Date]],"dddd")</f>
        <v>Sunday</v>
      </c>
      <c r="AF857">
        <f>HOUR(TwitterClean[[#This Row],[Post_Time]])</f>
        <v>14</v>
      </c>
      <c r="AG857" t="str">
        <f>IF(TwitterClean[[#This Row],[videos]]="Null","No","Yes")</f>
        <v>No</v>
      </c>
      <c r="AH857" t="str">
        <f>IF(TwitterClean[[#This Row],[photos]]="null","No","Yes")</f>
        <v>No</v>
      </c>
      <c r="AI857" t="str">
        <f>IF(TwitterClean[[#This Row],[hashtags]]="null","No","Yes")</f>
        <v>No</v>
      </c>
      <c r="AJ857" t="str">
        <f>IF(TwitterClean[[#This Row],[external_url]]="null","Yes","No")</f>
        <v>No</v>
      </c>
      <c r="AK857">
        <f>LEN(TwitterClean[[#This Row],[description]])</f>
        <v>186</v>
      </c>
      <c r="AL857" t="str">
        <f>IF(TwitterClean[[#This Row],[followers]]&lt;100000,"&lt;100K",IF(TwitterClean[[#This Row],[followers]]&lt;1000000,"100K-1M",IF(TwitterClean[[#This Row],[followers]]&lt;10000000,"1M-10M","10M+")))</f>
        <v>1M-10M</v>
      </c>
    </row>
    <row r="858" spans="1:38">
      <c r="A858">
        <v>1.8681297650072499E+18</v>
      </c>
      <c r="B858" t="s">
        <v>183</v>
      </c>
      <c r="C858" t="s">
        <v>184</v>
      </c>
      <c r="D858" t="s">
        <v>1115</v>
      </c>
      <c r="E858" t="s">
        <v>1116</v>
      </c>
      <c r="F858" t="s">
        <v>29</v>
      </c>
      <c r="G858" t="s">
        <v>1117</v>
      </c>
      <c r="H858" t="s">
        <v>29</v>
      </c>
      <c r="I858">
        <v>41</v>
      </c>
      <c r="J858">
        <v>21</v>
      </c>
      <c r="K858">
        <v>62</v>
      </c>
      <c r="L858">
        <v>80834</v>
      </c>
      <c r="M858" t="s">
        <v>1118</v>
      </c>
      <c r="N858" t="s">
        <v>29</v>
      </c>
      <c r="O858">
        <v>27123001</v>
      </c>
      <c r="P858" t="s">
        <v>190</v>
      </c>
      <c r="Q858">
        <v>402760</v>
      </c>
      <c r="R858" t="s">
        <v>191</v>
      </c>
      <c r="S858">
        <v>155</v>
      </c>
      <c r="T858" t="b">
        <v>0</v>
      </c>
      <c r="U858">
        <v>5</v>
      </c>
      <c r="V858">
        <v>23</v>
      </c>
      <c r="W858" t="s">
        <v>35</v>
      </c>
      <c r="X858" t="s">
        <v>1119</v>
      </c>
      <c r="Y858" t="s">
        <v>29</v>
      </c>
      <c r="Z858" t="s">
        <v>37</v>
      </c>
      <c r="AA858">
        <f>TwitterClean[[#This Row],[likes]]+TwitterClean[[#This Row],[replies]]+TwitterClean[[#This Row],[reposts]]+TwitterClean[[#This Row],[quotes]]+TwitterClean[[#This Row],[bookmarks]]</f>
        <v>152</v>
      </c>
      <c r="AB858" s="1">
        <f>TwitterClean[[#This Row],[Total_Engagements]]/TwitterClean[[#This Row],[views]]</f>
        <v>1.8803968627062869E-3</v>
      </c>
      <c r="AC858" s="3">
        <f>DATEVALUE(MID(TwitterClean[[#This Row],[date_posted]],2,10))</f>
        <v>45641</v>
      </c>
      <c r="AD858">
        <f>TIMEVALUE(MID(TwitterClean[[#This Row],[date_posted]],13,8))</f>
        <v>0.12752314814814814</v>
      </c>
      <c r="AE858" s="3" t="str">
        <f>TEXT(TwitterClean[[#This Row],[Post_Date]],"dddd")</f>
        <v>Sunday</v>
      </c>
      <c r="AF858">
        <f>HOUR(TwitterClean[[#This Row],[Post_Time]])</f>
        <v>3</v>
      </c>
      <c r="AG858" t="str">
        <f>IF(TwitterClean[[#This Row],[videos]]="Null","No","Yes")</f>
        <v>No</v>
      </c>
      <c r="AH858" t="str">
        <f>IF(TwitterClean[[#This Row],[photos]]="null","No","Yes")</f>
        <v>No</v>
      </c>
      <c r="AI858" t="str">
        <f>IF(TwitterClean[[#This Row],[hashtags]]="null","No","Yes")</f>
        <v>No</v>
      </c>
      <c r="AJ858" t="str">
        <f>IF(TwitterClean[[#This Row],[external_url]]="null","Yes","No")</f>
        <v>No</v>
      </c>
      <c r="AK858">
        <f>LEN(TwitterClean[[#This Row],[description]])</f>
        <v>152</v>
      </c>
      <c r="AL858" t="str">
        <f>IF(TwitterClean[[#This Row],[followers]]&lt;100000,"&lt;100K",IF(TwitterClean[[#This Row],[followers]]&lt;1000000,"100K-1M",IF(TwitterClean[[#This Row],[followers]]&lt;10000000,"1M-10M","10M+")))</f>
        <v>10M+</v>
      </c>
    </row>
    <row r="859" spans="1:38">
      <c r="A859">
        <v>1.8682891548174175E+18</v>
      </c>
      <c r="B859" t="s">
        <v>4280</v>
      </c>
      <c r="C859" t="s">
        <v>4280</v>
      </c>
      <c r="D859" t="s">
        <v>4626</v>
      </c>
      <c r="E859" t="s">
        <v>4627</v>
      </c>
      <c r="F859" t="s">
        <v>29</v>
      </c>
      <c r="G859" t="s">
        <v>4628</v>
      </c>
      <c r="H859" t="s">
        <v>29</v>
      </c>
      <c r="I859">
        <v>13</v>
      </c>
      <c r="J859">
        <v>2</v>
      </c>
      <c r="K859">
        <v>50</v>
      </c>
      <c r="L859">
        <v>36190</v>
      </c>
      <c r="M859" t="s">
        <v>4629</v>
      </c>
      <c r="N859" t="s">
        <v>29</v>
      </c>
      <c r="O859">
        <v>2356528</v>
      </c>
      <c r="P859" t="s">
        <v>4285</v>
      </c>
      <c r="Q859">
        <v>338240</v>
      </c>
      <c r="R859" t="s">
        <v>4286</v>
      </c>
      <c r="S859">
        <v>1981</v>
      </c>
      <c r="T859" t="b">
        <v>0</v>
      </c>
      <c r="U859">
        <v>2</v>
      </c>
      <c r="V859">
        <v>1</v>
      </c>
      <c r="W859" t="s">
        <v>35</v>
      </c>
      <c r="X859" t="s">
        <v>4630</v>
      </c>
      <c r="Y859" t="s">
        <v>29</v>
      </c>
      <c r="Z859" t="s">
        <v>37</v>
      </c>
      <c r="AA859">
        <f>TwitterClean[[#This Row],[likes]]+TwitterClean[[#This Row],[replies]]+TwitterClean[[#This Row],[reposts]]+TwitterClean[[#This Row],[quotes]]+TwitterClean[[#This Row],[bookmarks]]</f>
        <v>68</v>
      </c>
      <c r="AB859" s="1">
        <f>TwitterClean[[#This Row],[Total_Engagements]]/TwitterClean[[#This Row],[views]]</f>
        <v>1.8789720917380493E-3</v>
      </c>
      <c r="AC859" s="3">
        <f>DATEVALUE(MID(TwitterClean[[#This Row],[date_posted]],2,10))</f>
        <v>45641</v>
      </c>
      <c r="AD859">
        <f>TIMEVALUE(MID(TwitterClean[[#This Row],[date_posted]],13,8))</f>
        <v>0.56736111111111109</v>
      </c>
      <c r="AE859" s="3" t="str">
        <f>TEXT(TwitterClean[[#This Row],[Post_Date]],"dddd")</f>
        <v>Sunday</v>
      </c>
      <c r="AF859">
        <f>HOUR(TwitterClean[[#This Row],[Post_Time]])</f>
        <v>13</v>
      </c>
      <c r="AG859" t="str">
        <f>IF(TwitterClean[[#This Row],[videos]]="Null","No","Yes")</f>
        <v>No</v>
      </c>
      <c r="AH859" t="str">
        <f>IF(TwitterClean[[#This Row],[photos]]="null","No","Yes")</f>
        <v>No</v>
      </c>
      <c r="AI859" t="str">
        <f>IF(TwitterClean[[#This Row],[hashtags]]="null","No","Yes")</f>
        <v>No</v>
      </c>
      <c r="AJ859" t="str">
        <f>IF(TwitterClean[[#This Row],[external_url]]="null","Yes","No")</f>
        <v>No</v>
      </c>
      <c r="AK859">
        <f>LEN(TwitterClean[[#This Row],[description]])</f>
        <v>70</v>
      </c>
      <c r="AL859" t="str">
        <f>IF(TwitterClean[[#This Row],[followers]]&lt;100000,"&lt;100K",IF(TwitterClean[[#This Row],[followers]]&lt;1000000,"100K-1M",IF(TwitterClean[[#This Row],[followers]]&lt;10000000,"1M-10M","10M+")))</f>
        <v>1M-10M</v>
      </c>
    </row>
    <row r="860" spans="1:38">
      <c r="A860">
        <v>1.8683480091526513E+18</v>
      </c>
      <c r="B860" t="s">
        <v>3168</v>
      </c>
      <c r="C860" t="s">
        <v>3169</v>
      </c>
      <c r="D860" t="s">
        <v>5239</v>
      </c>
      <c r="E860" t="s">
        <v>5240</v>
      </c>
      <c r="F860" t="s">
        <v>5241</v>
      </c>
      <c r="G860" t="s">
        <v>5242</v>
      </c>
      <c r="H860" t="s">
        <v>29</v>
      </c>
      <c r="I860">
        <v>11</v>
      </c>
      <c r="J860">
        <v>7</v>
      </c>
      <c r="K860">
        <v>80</v>
      </c>
      <c r="L860">
        <v>55973</v>
      </c>
      <c r="M860" t="s">
        <v>52</v>
      </c>
      <c r="N860" t="s">
        <v>3636</v>
      </c>
      <c r="O860">
        <v>294711</v>
      </c>
      <c r="P860" t="s">
        <v>3175</v>
      </c>
      <c r="Q860">
        <v>66342</v>
      </c>
      <c r="R860" t="s">
        <v>3176</v>
      </c>
      <c r="S860">
        <v>1449</v>
      </c>
      <c r="T860" t="b">
        <v>0</v>
      </c>
      <c r="U860">
        <v>4</v>
      </c>
      <c r="V860">
        <v>2</v>
      </c>
      <c r="W860" t="s">
        <v>35</v>
      </c>
      <c r="X860" t="s">
        <v>29</v>
      </c>
      <c r="Y860" t="s">
        <v>29</v>
      </c>
      <c r="Z860" t="s">
        <v>37</v>
      </c>
      <c r="AA860">
        <f>TwitterClean[[#This Row],[likes]]+TwitterClean[[#This Row],[replies]]+TwitterClean[[#This Row],[reposts]]+TwitterClean[[#This Row],[quotes]]+TwitterClean[[#This Row],[bookmarks]]</f>
        <v>104</v>
      </c>
      <c r="AB860" s="1">
        <f>TwitterClean[[#This Row],[Total_Engagements]]/TwitterClean[[#This Row],[views]]</f>
        <v>1.8580386972290211E-3</v>
      </c>
      <c r="AC860" s="3">
        <f>DATEVALUE(MID(TwitterClean[[#This Row],[date_posted]],2,10))</f>
        <v>45641</v>
      </c>
      <c r="AD860">
        <f>TIMEVALUE(MID(TwitterClean[[#This Row],[date_posted]],13,8))</f>
        <v>0.72976851851851854</v>
      </c>
      <c r="AE860" s="3" t="str">
        <f>TEXT(TwitterClean[[#This Row],[Post_Date]],"dddd")</f>
        <v>Sunday</v>
      </c>
      <c r="AF860">
        <f>HOUR(TwitterClean[[#This Row],[Post_Time]])</f>
        <v>17</v>
      </c>
      <c r="AG860" t="str">
        <f>IF(TwitterClean[[#This Row],[videos]]="Null","No","Yes")</f>
        <v>No</v>
      </c>
      <c r="AH860" t="str">
        <f>IF(TwitterClean[[#This Row],[photos]]="null","No","Yes")</f>
        <v>Yes</v>
      </c>
      <c r="AI860" t="str">
        <f>IF(TwitterClean[[#This Row],[hashtags]]="null","No","Yes")</f>
        <v>Yes</v>
      </c>
      <c r="AJ860" t="str">
        <f>IF(TwitterClean[[#This Row],[external_url]]="null","Yes","No")</f>
        <v>No</v>
      </c>
      <c r="AK860">
        <f>LEN(TwitterClean[[#This Row],[description]])</f>
        <v>86</v>
      </c>
      <c r="AL860" t="str">
        <f>IF(TwitterClean[[#This Row],[followers]]&lt;100000,"&lt;100K",IF(TwitterClean[[#This Row],[followers]]&lt;1000000,"100K-1M",IF(TwitterClean[[#This Row],[followers]]&lt;10000000,"1M-10M","10M+")))</f>
        <v>100K-1M</v>
      </c>
    </row>
    <row r="861" spans="1:38">
      <c r="A861">
        <v>1.8684445503158479E+18</v>
      </c>
      <c r="B861" t="s">
        <v>2230</v>
      </c>
      <c r="C861" t="s">
        <v>2231</v>
      </c>
      <c r="D861" t="s">
        <v>2419</v>
      </c>
      <c r="E861" t="s">
        <v>2420</v>
      </c>
      <c r="F861" t="s">
        <v>2421</v>
      </c>
      <c r="G861" t="s">
        <v>2422</v>
      </c>
      <c r="H861" t="s">
        <v>29</v>
      </c>
      <c r="I861">
        <v>14</v>
      </c>
      <c r="J861">
        <v>5</v>
      </c>
      <c r="K861">
        <v>31</v>
      </c>
      <c r="L861">
        <v>29239</v>
      </c>
      <c r="M861" t="s">
        <v>2423</v>
      </c>
      <c r="N861" t="s">
        <v>29</v>
      </c>
      <c r="O861">
        <v>3313886</v>
      </c>
      <c r="P861" t="s">
        <v>2237</v>
      </c>
      <c r="Q861">
        <v>706459</v>
      </c>
      <c r="R861" t="s">
        <v>2238</v>
      </c>
      <c r="S861">
        <v>10308</v>
      </c>
      <c r="T861" t="b">
        <v>0</v>
      </c>
      <c r="U861">
        <v>2</v>
      </c>
      <c r="V861">
        <v>2</v>
      </c>
      <c r="W861" t="s">
        <v>35</v>
      </c>
      <c r="X861" t="s">
        <v>29</v>
      </c>
      <c r="Y861" t="s">
        <v>29</v>
      </c>
      <c r="Z861" t="s">
        <v>37</v>
      </c>
      <c r="AA861">
        <f>TwitterClean[[#This Row],[likes]]+TwitterClean[[#This Row],[replies]]+TwitterClean[[#This Row],[reposts]]+TwitterClean[[#This Row],[quotes]]+TwitterClean[[#This Row],[bookmarks]]</f>
        <v>54</v>
      </c>
      <c r="AB861" s="1">
        <f>TwitterClean[[#This Row],[Total_Engagements]]/TwitterClean[[#This Row],[views]]</f>
        <v>1.8468483874277506E-3</v>
      </c>
      <c r="AC861" s="3">
        <f>DATEVALUE(MID(TwitterClean[[#This Row],[date_posted]],2,10))</f>
        <v>45641</v>
      </c>
      <c r="AD861">
        <f>TIMEVALUE(MID(TwitterClean[[#This Row],[date_posted]],13,8))</f>
        <v>0.99616898148148147</v>
      </c>
      <c r="AE861" s="3" t="str">
        <f>TEXT(TwitterClean[[#This Row],[Post_Date]],"dddd")</f>
        <v>Sunday</v>
      </c>
      <c r="AF861">
        <f>HOUR(TwitterClean[[#This Row],[Post_Time]])</f>
        <v>23</v>
      </c>
      <c r="AG861" t="str">
        <f>IF(TwitterClean[[#This Row],[videos]]="Null","No","Yes")</f>
        <v>No</v>
      </c>
      <c r="AH861" t="str">
        <f>IF(TwitterClean[[#This Row],[photos]]="null","No","Yes")</f>
        <v>Yes</v>
      </c>
      <c r="AI861" t="str">
        <f>IF(TwitterClean[[#This Row],[hashtags]]="null","No","Yes")</f>
        <v>No</v>
      </c>
      <c r="AJ861" t="str">
        <f>IF(TwitterClean[[#This Row],[external_url]]="null","Yes","No")</f>
        <v>No</v>
      </c>
      <c r="AK861">
        <f>LEN(TwitterClean[[#This Row],[description]])</f>
        <v>81</v>
      </c>
      <c r="AL861" t="str">
        <f>IF(TwitterClean[[#This Row],[followers]]&lt;100000,"&lt;100K",IF(TwitterClean[[#This Row],[followers]]&lt;1000000,"100K-1M",IF(TwitterClean[[#This Row],[followers]]&lt;10000000,"1M-10M","10M+")))</f>
        <v>1M-10M</v>
      </c>
    </row>
    <row r="862" spans="1:38">
      <c r="A862">
        <v>1.8681475071186452E+18</v>
      </c>
      <c r="B862" t="s">
        <v>2935</v>
      </c>
      <c r="C862" t="s">
        <v>2936</v>
      </c>
      <c r="D862" t="s">
        <v>3708</v>
      </c>
      <c r="E862" t="s">
        <v>3709</v>
      </c>
      <c r="F862" t="s">
        <v>29</v>
      </c>
      <c r="G862" t="s">
        <v>3710</v>
      </c>
      <c r="H862" t="s">
        <v>29</v>
      </c>
      <c r="I862">
        <v>25</v>
      </c>
      <c r="J862">
        <v>16</v>
      </c>
      <c r="K862">
        <v>29</v>
      </c>
      <c r="L862">
        <v>43498</v>
      </c>
      <c r="M862" t="s">
        <v>3711</v>
      </c>
      <c r="N862" t="s">
        <v>29</v>
      </c>
      <c r="O862">
        <v>9564155</v>
      </c>
      <c r="P862" t="s">
        <v>2941</v>
      </c>
      <c r="Q862">
        <v>1125277</v>
      </c>
      <c r="R862" t="s">
        <v>2942</v>
      </c>
      <c r="S862">
        <v>93</v>
      </c>
      <c r="T862" t="b">
        <v>0</v>
      </c>
      <c r="U862">
        <v>5</v>
      </c>
      <c r="V862">
        <v>5</v>
      </c>
      <c r="W862" t="s">
        <v>35</v>
      </c>
      <c r="X862" t="s">
        <v>3712</v>
      </c>
      <c r="Y862" t="s">
        <v>29</v>
      </c>
      <c r="Z862" t="s">
        <v>37</v>
      </c>
      <c r="AA862">
        <f>TwitterClean[[#This Row],[likes]]+TwitterClean[[#This Row],[replies]]+TwitterClean[[#This Row],[reposts]]+TwitterClean[[#This Row],[quotes]]+TwitterClean[[#This Row],[bookmarks]]</f>
        <v>80</v>
      </c>
      <c r="AB862" s="1">
        <f>TwitterClean[[#This Row],[Total_Engagements]]/TwitterClean[[#This Row],[views]]</f>
        <v>1.839165019081337E-3</v>
      </c>
      <c r="AC862" s="3">
        <f>DATEVALUE(MID(TwitterClean[[#This Row],[date_posted]],2,10))</f>
        <v>45641</v>
      </c>
      <c r="AD862">
        <f>TIMEVALUE(MID(TwitterClean[[#This Row],[date_posted]],13,8))</f>
        <v>0.17648148148148149</v>
      </c>
      <c r="AE862" s="3" t="str">
        <f>TEXT(TwitterClean[[#This Row],[Post_Date]],"dddd")</f>
        <v>Sunday</v>
      </c>
      <c r="AF862">
        <f>HOUR(TwitterClean[[#This Row],[Post_Time]])</f>
        <v>4</v>
      </c>
      <c r="AG862" t="str">
        <f>IF(TwitterClean[[#This Row],[videos]]="Null","No","Yes")</f>
        <v>No</v>
      </c>
      <c r="AH862" t="str">
        <f>IF(TwitterClean[[#This Row],[photos]]="null","No","Yes")</f>
        <v>No</v>
      </c>
      <c r="AI862" t="str">
        <f>IF(TwitterClean[[#This Row],[hashtags]]="null","No","Yes")</f>
        <v>No</v>
      </c>
      <c r="AJ862" t="str">
        <f>IF(TwitterClean[[#This Row],[external_url]]="null","Yes","No")</f>
        <v>No</v>
      </c>
      <c r="AK862">
        <f>LEN(TwitterClean[[#This Row],[description]])</f>
        <v>79</v>
      </c>
      <c r="AL862" t="str">
        <f>IF(TwitterClean[[#This Row],[followers]]&lt;100000,"&lt;100K",IF(TwitterClean[[#This Row],[followers]]&lt;1000000,"100K-1M",IF(TwitterClean[[#This Row],[followers]]&lt;10000000,"1M-10M","10M+")))</f>
        <v>1M-10M</v>
      </c>
    </row>
    <row r="863" spans="1:38">
      <c r="A863">
        <v>1.8683593406980219E+18</v>
      </c>
      <c r="B863" t="s">
        <v>2230</v>
      </c>
      <c r="C863" t="s">
        <v>2231</v>
      </c>
      <c r="D863" t="s">
        <v>2697</v>
      </c>
      <c r="E863" t="s">
        <v>2698</v>
      </c>
      <c r="F863" t="s">
        <v>2699</v>
      </c>
      <c r="G863" t="s">
        <v>2700</v>
      </c>
      <c r="H863" t="s">
        <v>29</v>
      </c>
      <c r="I863">
        <v>8</v>
      </c>
      <c r="J863">
        <v>3</v>
      </c>
      <c r="K863">
        <v>28</v>
      </c>
      <c r="L863">
        <v>22351</v>
      </c>
      <c r="M863" t="s">
        <v>2701</v>
      </c>
      <c r="N863" t="s">
        <v>29</v>
      </c>
      <c r="O863">
        <v>3313887</v>
      </c>
      <c r="P863" t="s">
        <v>2237</v>
      </c>
      <c r="Q863">
        <v>706459</v>
      </c>
      <c r="R863" t="s">
        <v>2238</v>
      </c>
      <c r="S863">
        <v>10308</v>
      </c>
      <c r="T863" t="b">
        <v>0</v>
      </c>
      <c r="U863">
        <v>1</v>
      </c>
      <c r="V863">
        <v>1</v>
      </c>
      <c r="W863" t="s">
        <v>35</v>
      </c>
      <c r="X863" t="s">
        <v>29</v>
      </c>
      <c r="Y863" t="s">
        <v>29</v>
      </c>
      <c r="Z863" t="s">
        <v>37</v>
      </c>
      <c r="AA863">
        <f>TwitterClean[[#This Row],[likes]]+TwitterClean[[#This Row],[replies]]+TwitterClean[[#This Row],[reposts]]+TwitterClean[[#This Row],[quotes]]+TwitterClean[[#This Row],[bookmarks]]</f>
        <v>41</v>
      </c>
      <c r="AB863" s="1">
        <f>TwitterClean[[#This Row],[Total_Engagements]]/TwitterClean[[#This Row],[views]]</f>
        <v>1.8343698268533846E-3</v>
      </c>
      <c r="AC863" s="3">
        <f>DATEVALUE(MID(TwitterClean[[#This Row],[date_posted]],2,10))</f>
        <v>45641</v>
      </c>
      <c r="AD863">
        <f>TIMEVALUE(MID(TwitterClean[[#This Row],[date_posted]],13,8))</f>
        <v>0.76103009259259258</v>
      </c>
      <c r="AE863" s="3" t="str">
        <f>TEXT(TwitterClean[[#This Row],[Post_Date]],"dddd")</f>
        <v>Sunday</v>
      </c>
      <c r="AF863">
        <f>HOUR(TwitterClean[[#This Row],[Post_Time]])</f>
        <v>18</v>
      </c>
      <c r="AG863" t="str">
        <f>IF(TwitterClean[[#This Row],[videos]]="Null","No","Yes")</f>
        <v>No</v>
      </c>
      <c r="AH863" t="str">
        <f>IF(TwitterClean[[#This Row],[photos]]="null","No","Yes")</f>
        <v>Yes</v>
      </c>
      <c r="AI863" t="str">
        <f>IF(TwitterClean[[#This Row],[hashtags]]="null","No","Yes")</f>
        <v>No</v>
      </c>
      <c r="AJ863" t="str">
        <f>IF(TwitterClean[[#This Row],[external_url]]="null","Yes","No")</f>
        <v>No</v>
      </c>
      <c r="AK863">
        <f>LEN(TwitterClean[[#This Row],[description]])</f>
        <v>137</v>
      </c>
      <c r="AL863" t="str">
        <f>IF(TwitterClean[[#This Row],[followers]]&lt;100000,"&lt;100K",IF(TwitterClean[[#This Row],[followers]]&lt;1000000,"100K-1M",IF(TwitterClean[[#This Row],[followers]]&lt;10000000,"1M-10M","10M+")))</f>
        <v>1M-10M</v>
      </c>
    </row>
    <row r="864" spans="1:38">
      <c r="A864">
        <v>1.8683457938636557E+18</v>
      </c>
      <c r="B864" t="s">
        <v>2230</v>
      </c>
      <c r="C864" t="s">
        <v>2231</v>
      </c>
      <c r="D864" t="s">
        <v>2454</v>
      </c>
      <c r="E864" t="s">
        <v>2455</v>
      </c>
      <c r="F864" t="s">
        <v>2456</v>
      </c>
      <c r="G864" t="s">
        <v>2457</v>
      </c>
      <c r="H864" t="s">
        <v>29</v>
      </c>
      <c r="I864">
        <v>13</v>
      </c>
      <c r="J864">
        <v>5</v>
      </c>
      <c r="K864">
        <v>23</v>
      </c>
      <c r="L864">
        <v>24001</v>
      </c>
      <c r="M864" t="s">
        <v>2458</v>
      </c>
      <c r="N864" t="s">
        <v>29</v>
      </c>
      <c r="O864">
        <v>3313888</v>
      </c>
      <c r="P864" t="s">
        <v>2237</v>
      </c>
      <c r="Q864">
        <v>706459</v>
      </c>
      <c r="R864" t="s">
        <v>2238</v>
      </c>
      <c r="S864">
        <v>10308</v>
      </c>
      <c r="T864" t="b">
        <v>0</v>
      </c>
      <c r="U864">
        <v>1</v>
      </c>
      <c r="V864">
        <v>2</v>
      </c>
      <c r="W864" t="s">
        <v>35</v>
      </c>
      <c r="X864" t="s">
        <v>29</v>
      </c>
      <c r="Y864" t="s">
        <v>29</v>
      </c>
      <c r="Z864" t="s">
        <v>37</v>
      </c>
      <c r="AA864">
        <f>TwitterClean[[#This Row],[likes]]+TwitterClean[[#This Row],[replies]]+TwitterClean[[#This Row],[reposts]]+TwitterClean[[#This Row],[quotes]]+TwitterClean[[#This Row],[bookmarks]]</f>
        <v>44</v>
      </c>
      <c r="AB864" s="1">
        <f>TwitterClean[[#This Row],[Total_Engagements]]/TwitterClean[[#This Row],[views]]</f>
        <v>1.8332569476271821E-3</v>
      </c>
      <c r="AC864" s="3">
        <f>DATEVALUE(MID(TwitterClean[[#This Row],[date_posted]],2,10))</f>
        <v>45641</v>
      </c>
      <c r="AD864">
        <f>TIMEVALUE(MID(TwitterClean[[#This Row],[date_posted]],13,8))</f>
        <v>0.72365740740740736</v>
      </c>
      <c r="AE864" s="3" t="str">
        <f>TEXT(TwitterClean[[#This Row],[Post_Date]],"dddd")</f>
        <v>Sunday</v>
      </c>
      <c r="AF864">
        <f>HOUR(TwitterClean[[#This Row],[Post_Time]])</f>
        <v>17</v>
      </c>
      <c r="AG864" t="str">
        <f>IF(TwitterClean[[#This Row],[videos]]="Null","No","Yes")</f>
        <v>No</v>
      </c>
      <c r="AH864" t="str">
        <f>IF(TwitterClean[[#This Row],[photos]]="null","No","Yes")</f>
        <v>Yes</v>
      </c>
      <c r="AI864" t="str">
        <f>IF(TwitterClean[[#This Row],[hashtags]]="null","No","Yes")</f>
        <v>No</v>
      </c>
      <c r="AJ864" t="str">
        <f>IF(TwitterClean[[#This Row],[external_url]]="null","Yes","No")</f>
        <v>No</v>
      </c>
      <c r="AK864">
        <f>LEN(TwitterClean[[#This Row],[description]])</f>
        <v>70</v>
      </c>
      <c r="AL864" t="str">
        <f>IF(TwitterClean[[#This Row],[followers]]&lt;100000,"&lt;100K",IF(TwitterClean[[#This Row],[followers]]&lt;1000000,"100K-1M",IF(TwitterClean[[#This Row],[followers]]&lt;10000000,"1M-10M","10M+")))</f>
        <v>1M-10M</v>
      </c>
    </row>
    <row r="865" spans="1:38">
      <c r="A865">
        <v>1.8683404737120463E+18</v>
      </c>
      <c r="B865" t="s">
        <v>183</v>
      </c>
      <c r="C865" t="s">
        <v>184</v>
      </c>
      <c r="D865" t="s">
        <v>797</v>
      </c>
      <c r="E865" t="s">
        <v>798</v>
      </c>
      <c r="F865" t="s">
        <v>29</v>
      </c>
      <c r="G865" t="s">
        <v>799</v>
      </c>
      <c r="H865" t="s">
        <v>29</v>
      </c>
      <c r="I865">
        <v>6</v>
      </c>
      <c r="J865">
        <v>21</v>
      </c>
      <c r="K865">
        <v>60</v>
      </c>
      <c r="L865">
        <v>50193</v>
      </c>
      <c r="M865" t="s">
        <v>800</v>
      </c>
      <c r="N865" t="s">
        <v>29</v>
      </c>
      <c r="O865">
        <v>27122998</v>
      </c>
      <c r="P865" t="s">
        <v>190</v>
      </c>
      <c r="Q865">
        <v>402760</v>
      </c>
      <c r="R865" t="s">
        <v>191</v>
      </c>
      <c r="S865">
        <v>155</v>
      </c>
      <c r="T865" t="b">
        <v>0</v>
      </c>
      <c r="U865">
        <v>1</v>
      </c>
      <c r="V865">
        <v>4</v>
      </c>
      <c r="W865" t="s">
        <v>35</v>
      </c>
      <c r="X865" t="s">
        <v>526</v>
      </c>
      <c r="Y865" t="s">
        <v>29</v>
      </c>
      <c r="Z865" t="s">
        <v>37</v>
      </c>
      <c r="AA865">
        <f>TwitterClean[[#This Row],[likes]]+TwitterClean[[#This Row],[replies]]+TwitterClean[[#This Row],[reposts]]+TwitterClean[[#This Row],[quotes]]+TwitterClean[[#This Row],[bookmarks]]</f>
        <v>92</v>
      </c>
      <c r="AB865" s="1">
        <f>TwitterClean[[#This Row],[Total_Engagements]]/TwitterClean[[#This Row],[views]]</f>
        <v>1.8329249098479868E-3</v>
      </c>
      <c r="AC865" s="3">
        <f>DATEVALUE(MID(TwitterClean[[#This Row],[date_posted]],2,10))</f>
        <v>45641</v>
      </c>
      <c r="AD865">
        <f>TIMEVALUE(MID(TwitterClean[[#This Row],[date_posted]],13,8))</f>
        <v>0.7089699074074074</v>
      </c>
      <c r="AE865" s="3" t="str">
        <f>TEXT(TwitterClean[[#This Row],[Post_Date]],"dddd")</f>
        <v>Sunday</v>
      </c>
      <c r="AF865">
        <f>HOUR(TwitterClean[[#This Row],[Post_Time]])</f>
        <v>17</v>
      </c>
      <c r="AG865" t="str">
        <f>IF(TwitterClean[[#This Row],[videos]]="Null","No","Yes")</f>
        <v>No</v>
      </c>
      <c r="AH865" t="str">
        <f>IF(TwitterClean[[#This Row],[photos]]="null","No","Yes")</f>
        <v>No</v>
      </c>
      <c r="AI865" t="str">
        <f>IF(TwitterClean[[#This Row],[hashtags]]="null","No","Yes")</f>
        <v>No</v>
      </c>
      <c r="AJ865" t="str">
        <f>IF(TwitterClean[[#This Row],[external_url]]="null","Yes","No")</f>
        <v>No</v>
      </c>
      <c r="AK865">
        <f>LEN(TwitterClean[[#This Row],[description]])</f>
        <v>158</v>
      </c>
      <c r="AL865" t="str">
        <f>IF(TwitterClean[[#This Row],[followers]]&lt;100000,"&lt;100K",IF(TwitterClean[[#This Row],[followers]]&lt;1000000,"100K-1M",IF(TwitterClean[[#This Row],[followers]]&lt;10000000,"1M-10M","10M+")))</f>
        <v>10M+</v>
      </c>
    </row>
    <row r="866" spans="1:38">
      <c r="A866">
        <v>1.8684804235604503E+18</v>
      </c>
      <c r="B866" t="s">
        <v>2935</v>
      </c>
      <c r="C866" t="s">
        <v>2936</v>
      </c>
      <c r="D866" t="s">
        <v>3107</v>
      </c>
      <c r="E866" t="s">
        <v>3108</v>
      </c>
      <c r="F866" t="s">
        <v>29</v>
      </c>
      <c r="G866" t="s">
        <v>3109</v>
      </c>
      <c r="H866" t="s">
        <v>29</v>
      </c>
      <c r="I866">
        <v>12</v>
      </c>
      <c r="J866">
        <v>8</v>
      </c>
      <c r="K866">
        <v>31</v>
      </c>
      <c r="L866">
        <v>34920</v>
      </c>
      <c r="M866" t="s">
        <v>3110</v>
      </c>
      <c r="N866" t="s">
        <v>29</v>
      </c>
      <c r="O866">
        <v>9564156</v>
      </c>
      <c r="P866" t="s">
        <v>2941</v>
      </c>
      <c r="Q866">
        <v>1125277</v>
      </c>
      <c r="R866" t="s">
        <v>2942</v>
      </c>
      <c r="S866">
        <v>93</v>
      </c>
      <c r="T866" t="b">
        <v>0</v>
      </c>
      <c r="U866">
        <v>2</v>
      </c>
      <c r="V866">
        <v>11</v>
      </c>
      <c r="W866" t="s">
        <v>35</v>
      </c>
      <c r="X866" t="s">
        <v>3111</v>
      </c>
      <c r="Y866" t="s">
        <v>29</v>
      </c>
      <c r="Z866" t="s">
        <v>37</v>
      </c>
      <c r="AA866">
        <f>TwitterClean[[#This Row],[likes]]+TwitterClean[[#This Row],[replies]]+TwitterClean[[#This Row],[reposts]]+TwitterClean[[#This Row],[quotes]]+TwitterClean[[#This Row],[bookmarks]]</f>
        <v>64</v>
      </c>
      <c r="AB866" s="1">
        <f>TwitterClean[[#This Row],[Total_Engagements]]/TwitterClean[[#This Row],[views]]</f>
        <v>1.8327605956471936E-3</v>
      </c>
      <c r="AC866" s="3">
        <f>DATEVALUE(MID(TwitterClean[[#This Row],[date_posted]],2,10))</f>
        <v>45642</v>
      </c>
      <c r="AD866">
        <f>TIMEVALUE(MID(TwitterClean[[#This Row],[date_posted]],13,8))</f>
        <v>9.5162037037037031E-2</v>
      </c>
      <c r="AE866" s="3" t="str">
        <f>TEXT(TwitterClean[[#This Row],[Post_Date]],"dddd")</f>
        <v>Monday</v>
      </c>
      <c r="AF866">
        <f>HOUR(TwitterClean[[#This Row],[Post_Time]])</f>
        <v>2</v>
      </c>
      <c r="AG866" t="str">
        <f>IF(TwitterClean[[#This Row],[videos]]="Null","No","Yes")</f>
        <v>No</v>
      </c>
      <c r="AH866" t="str">
        <f>IF(TwitterClean[[#This Row],[photos]]="null","No","Yes")</f>
        <v>No</v>
      </c>
      <c r="AI866" t="str">
        <f>IF(TwitterClean[[#This Row],[hashtags]]="null","No","Yes")</f>
        <v>No</v>
      </c>
      <c r="AJ866" t="str">
        <f>IF(TwitterClean[[#This Row],[external_url]]="null","Yes","No")</f>
        <v>No</v>
      </c>
      <c r="AK866">
        <f>LEN(TwitterClean[[#This Row],[description]])</f>
        <v>199</v>
      </c>
      <c r="AL866" t="str">
        <f>IF(TwitterClean[[#This Row],[followers]]&lt;100000,"&lt;100K",IF(TwitterClean[[#This Row],[followers]]&lt;1000000,"100K-1M",IF(TwitterClean[[#This Row],[followers]]&lt;10000000,"1M-10M","10M+")))</f>
        <v>1M-10M</v>
      </c>
    </row>
    <row r="867" spans="1:38">
      <c r="A867">
        <v>1.8683818957355502E+18</v>
      </c>
      <c r="B867" t="s">
        <v>2230</v>
      </c>
      <c r="C867" t="s">
        <v>2231</v>
      </c>
      <c r="D867" t="s">
        <v>2652</v>
      </c>
      <c r="E867" t="s">
        <v>2653</v>
      </c>
      <c r="F867" t="s">
        <v>2654</v>
      </c>
      <c r="G867" t="s">
        <v>2655</v>
      </c>
      <c r="H867" t="s">
        <v>29</v>
      </c>
      <c r="I867">
        <v>19</v>
      </c>
      <c r="J867">
        <v>3</v>
      </c>
      <c r="K867">
        <v>23</v>
      </c>
      <c r="L867">
        <v>27830</v>
      </c>
      <c r="M867" t="s">
        <v>2656</v>
      </c>
      <c r="N867" t="s">
        <v>29</v>
      </c>
      <c r="O867">
        <v>3313886</v>
      </c>
      <c r="P867" t="s">
        <v>2237</v>
      </c>
      <c r="Q867">
        <v>706459</v>
      </c>
      <c r="R867" t="s">
        <v>2238</v>
      </c>
      <c r="S867">
        <v>10308</v>
      </c>
      <c r="T867" t="b">
        <v>0</v>
      </c>
      <c r="U867">
        <v>3</v>
      </c>
      <c r="V867">
        <v>3</v>
      </c>
      <c r="W867" t="s">
        <v>35</v>
      </c>
      <c r="X867" t="s">
        <v>29</v>
      </c>
      <c r="Y867" t="s">
        <v>29</v>
      </c>
      <c r="Z867" t="s">
        <v>37</v>
      </c>
      <c r="AA867">
        <f>TwitterClean[[#This Row],[likes]]+TwitterClean[[#This Row],[replies]]+TwitterClean[[#This Row],[reposts]]+TwitterClean[[#This Row],[quotes]]+TwitterClean[[#This Row],[bookmarks]]</f>
        <v>51</v>
      </c>
      <c r="AB867" s="1">
        <f>TwitterClean[[#This Row],[Total_Engagements]]/TwitterClean[[#This Row],[views]]</f>
        <v>1.8325547969816744E-3</v>
      </c>
      <c r="AC867" s="3">
        <f>DATEVALUE(MID(TwitterClean[[#This Row],[date_posted]],2,10))</f>
        <v>45641</v>
      </c>
      <c r="AD867">
        <f>TIMEVALUE(MID(TwitterClean[[#This Row],[date_posted]],13,8))</f>
        <v>0.82327546296296295</v>
      </c>
      <c r="AE867" s="3" t="str">
        <f>TEXT(TwitterClean[[#This Row],[Post_Date]],"dddd")</f>
        <v>Sunday</v>
      </c>
      <c r="AF867">
        <f>HOUR(TwitterClean[[#This Row],[Post_Time]])</f>
        <v>19</v>
      </c>
      <c r="AG867" t="str">
        <f>IF(TwitterClean[[#This Row],[videos]]="Null","No","Yes")</f>
        <v>No</v>
      </c>
      <c r="AH867" t="str">
        <f>IF(TwitterClean[[#This Row],[photos]]="null","No","Yes")</f>
        <v>Yes</v>
      </c>
      <c r="AI867" t="str">
        <f>IF(TwitterClean[[#This Row],[hashtags]]="null","No","Yes")</f>
        <v>No</v>
      </c>
      <c r="AJ867" t="str">
        <f>IF(TwitterClean[[#This Row],[external_url]]="null","Yes","No")</f>
        <v>No</v>
      </c>
      <c r="AK867">
        <f>LEN(TwitterClean[[#This Row],[description]])</f>
        <v>89</v>
      </c>
      <c r="AL867" t="str">
        <f>IF(TwitterClean[[#This Row],[followers]]&lt;100000,"&lt;100K",IF(TwitterClean[[#This Row],[followers]]&lt;1000000,"100K-1M",IF(TwitterClean[[#This Row],[followers]]&lt;10000000,"1M-10M","10M+")))</f>
        <v>1M-10M</v>
      </c>
    </row>
    <row r="868" spans="1:38">
      <c r="A868">
        <v>1.8683042785042642E+18</v>
      </c>
      <c r="B868" t="s">
        <v>183</v>
      </c>
      <c r="C868" t="s">
        <v>184</v>
      </c>
      <c r="D868" t="s">
        <v>801</v>
      </c>
      <c r="E868" t="s">
        <v>802</v>
      </c>
      <c r="F868" t="s">
        <v>29</v>
      </c>
      <c r="G868" t="s">
        <v>803</v>
      </c>
      <c r="H868" t="s">
        <v>29</v>
      </c>
      <c r="I868">
        <v>31</v>
      </c>
      <c r="J868">
        <v>12</v>
      </c>
      <c r="K868">
        <v>42</v>
      </c>
      <c r="L868">
        <v>50737</v>
      </c>
      <c r="M868" t="s">
        <v>804</v>
      </c>
      <c r="N868" t="s">
        <v>29</v>
      </c>
      <c r="O868">
        <v>27122998</v>
      </c>
      <c r="P868" t="s">
        <v>190</v>
      </c>
      <c r="Q868">
        <v>402760</v>
      </c>
      <c r="R868" t="s">
        <v>191</v>
      </c>
      <c r="S868">
        <v>155</v>
      </c>
      <c r="T868" t="b">
        <v>0</v>
      </c>
      <c r="U868">
        <v>2</v>
      </c>
      <c r="V868">
        <v>5</v>
      </c>
      <c r="W868" t="s">
        <v>35</v>
      </c>
      <c r="X868" t="s">
        <v>805</v>
      </c>
      <c r="Y868" t="s">
        <v>29</v>
      </c>
      <c r="Z868" t="s">
        <v>37</v>
      </c>
      <c r="AA868">
        <f>TwitterClean[[#This Row],[likes]]+TwitterClean[[#This Row],[replies]]+TwitterClean[[#This Row],[reposts]]+TwitterClean[[#This Row],[quotes]]+TwitterClean[[#This Row],[bookmarks]]</f>
        <v>92</v>
      </c>
      <c r="AB868" s="1">
        <f>TwitterClean[[#This Row],[Total_Engagements]]/TwitterClean[[#This Row],[views]]</f>
        <v>1.8132723653349627E-3</v>
      </c>
      <c r="AC868" s="3">
        <f>DATEVALUE(MID(TwitterClean[[#This Row],[date_posted]],2,10))</f>
        <v>45641</v>
      </c>
      <c r="AD868">
        <f>TIMEVALUE(MID(TwitterClean[[#This Row],[date_posted]],13,8))</f>
        <v>0.60909722222222218</v>
      </c>
      <c r="AE868" s="3" t="str">
        <f>TEXT(TwitterClean[[#This Row],[Post_Date]],"dddd")</f>
        <v>Sunday</v>
      </c>
      <c r="AF868">
        <f>HOUR(TwitterClean[[#This Row],[Post_Time]])</f>
        <v>14</v>
      </c>
      <c r="AG868" t="str">
        <f>IF(TwitterClean[[#This Row],[videos]]="Null","No","Yes")</f>
        <v>No</v>
      </c>
      <c r="AH868" t="str">
        <f>IF(TwitterClean[[#This Row],[photos]]="null","No","Yes")</f>
        <v>No</v>
      </c>
      <c r="AI868" t="str">
        <f>IF(TwitterClean[[#This Row],[hashtags]]="null","No","Yes")</f>
        <v>No</v>
      </c>
      <c r="AJ868" t="str">
        <f>IF(TwitterClean[[#This Row],[external_url]]="null","Yes","No")</f>
        <v>No</v>
      </c>
      <c r="AK868">
        <f>LEN(TwitterClean[[#This Row],[description]])</f>
        <v>254</v>
      </c>
      <c r="AL868" t="str">
        <f>IF(TwitterClean[[#This Row],[followers]]&lt;100000,"&lt;100K",IF(TwitterClean[[#This Row],[followers]]&lt;1000000,"100K-1M",IF(TwitterClean[[#This Row],[followers]]&lt;10000000,"1M-10M","10M+")))</f>
        <v>10M+</v>
      </c>
    </row>
    <row r="869" spans="1:38">
      <c r="A869">
        <v>1.8681067023205256E+18</v>
      </c>
      <c r="B869" t="s">
        <v>1646</v>
      </c>
      <c r="C869" t="s">
        <v>1647</v>
      </c>
      <c r="D869" t="s">
        <v>1756</v>
      </c>
      <c r="E869" t="s">
        <v>1757</v>
      </c>
      <c r="F869" t="s">
        <v>29</v>
      </c>
      <c r="G869" t="s">
        <v>1758</v>
      </c>
      <c r="H869" t="s">
        <v>29</v>
      </c>
      <c r="I869">
        <v>3</v>
      </c>
      <c r="J869">
        <v>1</v>
      </c>
      <c r="K869">
        <v>13</v>
      </c>
      <c r="L869">
        <v>11598</v>
      </c>
      <c r="M869" t="s">
        <v>1759</v>
      </c>
      <c r="N869" t="s">
        <v>1760</v>
      </c>
      <c r="O869">
        <v>3768943</v>
      </c>
      <c r="P869" t="s">
        <v>1653</v>
      </c>
      <c r="Q869">
        <v>897934</v>
      </c>
      <c r="R869" t="s">
        <v>1654</v>
      </c>
      <c r="S869">
        <v>28</v>
      </c>
      <c r="T869" t="b">
        <v>0</v>
      </c>
      <c r="U869">
        <v>1</v>
      </c>
      <c r="V869">
        <v>3</v>
      </c>
      <c r="W869" t="s">
        <v>35</v>
      </c>
      <c r="X869" t="s">
        <v>1761</v>
      </c>
      <c r="Y869" t="s">
        <v>29</v>
      </c>
      <c r="Z869" t="s">
        <v>37</v>
      </c>
      <c r="AA869">
        <f>TwitterClean[[#This Row],[likes]]+TwitterClean[[#This Row],[replies]]+TwitterClean[[#This Row],[reposts]]+TwitterClean[[#This Row],[quotes]]+TwitterClean[[#This Row],[bookmarks]]</f>
        <v>21</v>
      </c>
      <c r="AB869" s="1">
        <f>TwitterClean[[#This Row],[Total_Engagements]]/TwitterClean[[#This Row],[views]]</f>
        <v>1.8106570098292809E-3</v>
      </c>
      <c r="AC869" s="3">
        <f>DATEVALUE(MID(TwitterClean[[#This Row],[date_posted]],2,10))</f>
        <v>45641</v>
      </c>
      <c r="AD869">
        <f>TIMEVALUE(MID(TwitterClean[[#This Row],[date_posted]],13,8))</f>
        <v>6.3888888888888884E-2</v>
      </c>
      <c r="AE869" s="3" t="str">
        <f>TEXT(TwitterClean[[#This Row],[Post_Date]],"dddd")</f>
        <v>Sunday</v>
      </c>
      <c r="AF869">
        <f>HOUR(TwitterClean[[#This Row],[Post_Time]])</f>
        <v>1</v>
      </c>
      <c r="AG869" t="str">
        <f>IF(TwitterClean[[#This Row],[videos]]="Null","No","Yes")</f>
        <v>No</v>
      </c>
      <c r="AH869" t="str">
        <f>IF(TwitterClean[[#This Row],[photos]]="null","No","Yes")</f>
        <v>No</v>
      </c>
      <c r="AI869" t="str">
        <f>IF(TwitterClean[[#This Row],[hashtags]]="null","No","Yes")</f>
        <v>Yes</v>
      </c>
      <c r="AJ869" t="str">
        <f>IF(TwitterClean[[#This Row],[external_url]]="null","Yes","No")</f>
        <v>No</v>
      </c>
      <c r="AK869">
        <f>LEN(TwitterClean[[#This Row],[description]])</f>
        <v>95</v>
      </c>
      <c r="AL869" t="str">
        <f>IF(TwitterClean[[#This Row],[followers]]&lt;100000,"&lt;100K",IF(TwitterClean[[#This Row],[followers]]&lt;1000000,"100K-1M",IF(TwitterClean[[#This Row],[followers]]&lt;10000000,"1M-10M","10M+")))</f>
        <v>1M-10M</v>
      </c>
    </row>
    <row r="870" spans="1:38">
      <c r="A870">
        <v>1.8683266150311608E+18</v>
      </c>
      <c r="B870" t="s">
        <v>2935</v>
      </c>
      <c r="C870" t="s">
        <v>2936</v>
      </c>
      <c r="D870" t="s">
        <v>2954</v>
      </c>
      <c r="E870" t="s">
        <v>2955</v>
      </c>
      <c r="F870" t="s">
        <v>29</v>
      </c>
      <c r="G870" t="s">
        <v>2956</v>
      </c>
      <c r="H870" t="s">
        <v>2957</v>
      </c>
      <c r="I870">
        <v>19</v>
      </c>
      <c r="J870">
        <v>4</v>
      </c>
      <c r="K870">
        <v>25</v>
      </c>
      <c r="L870">
        <v>29867</v>
      </c>
      <c r="M870" t="s">
        <v>2958</v>
      </c>
      <c r="N870" t="s">
        <v>29</v>
      </c>
      <c r="O870">
        <v>9564155</v>
      </c>
      <c r="P870" t="s">
        <v>2941</v>
      </c>
      <c r="Q870">
        <v>1125277</v>
      </c>
      <c r="R870" t="s">
        <v>2942</v>
      </c>
      <c r="S870">
        <v>93</v>
      </c>
      <c r="T870" t="b">
        <v>0</v>
      </c>
      <c r="U870">
        <v>4</v>
      </c>
      <c r="V870">
        <v>2</v>
      </c>
      <c r="W870" t="s">
        <v>35</v>
      </c>
      <c r="X870" t="s">
        <v>2959</v>
      </c>
      <c r="Y870" t="s">
        <v>29</v>
      </c>
      <c r="Z870" t="s">
        <v>37</v>
      </c>
      <c r="AA870">
        <f>TwitterClean[[#This Row],[likes]]+TwitterClean[[#This Row],[replies]]+TwitterClean[[#This Row],[reposts]]+TwitterClean[[#This Row],[quotes]]+TwitterClean[[#This Row],[bookmarks]]</f>
        <v>54</v>
      </c>
      <c r="AB870" s="1">
        <f>TwitterClean[[#This Row],[Total_Engagements]]/TwitterClean[[#This Row],[views]]</f>
        <v>1.8080155355408979E-3</v>
      </c>
      <c r="AC870" s="3">
        <f>DATEVALUE(MID(TwitterClean[[#This Row],[date_posted]],2,10))</f>
        <v>45641</v>
      </c>
      <c r="AD870">
        <f>TIMEVALUE(MID(TwitterClean[[#This Row],[date_posted]],13,8))</f>
        <v>0.67072916666666671</v>
      </c>
      <c r="AE870" s="3" t="str">
        <f>TEXT(TwitterClean[[#This Row],[Post_Date]],"dddd")</f>
        <v>Sunday</v>
      </c>
      <c r="AF870">
        <f>HOUR(TwitterClean[[#This Row],[Post_Time]])</f>
        <v>16</v>
      </c>
      <c r="AG870" t="str">
        <f>IF(TwitterClean[[#This Row],[videos]]="Null","No","Yes")</f>
        <v>No</v>
      </c>
      <c r="AH870" t="str">
        <f>IF(TwitterClean[[#This Row],[photos]]="null","No","Yes")</f>
        <v>No</v>
      </c>
      <c r="AI870" t="str">
        <f>IF(TwitterClean[[#This Row],[hashtags]]="null","No","Yes")</f>
        <v>No</v>
      </c>
      <c r="AJ870" t="str">
        <f>IF(TwitterClean[[#This Row],[external_url]]="null","Yes","No")</f>
        <v>No</v>
      </c>
      <c r="AK870">
        <f>LEN(TwitterClean[[#This Row],[description]])</f>
        <v>142</v>
      </c>
      <c r="AL870" t="str">
        <f>IF(TwitterClean[[#This Row],[followers]]&lt;100000,"&lt;100K",IF(TwitterClean[[#This Row],[followers]]&lt;1000000,"100K-1M",IF(TwitterClean[[#This Row],[followers]]&lt;10000000,"1M-10M","10M+")))</f>
        <v>1M-10M</v>
      </c>
    </row>
    <row r="871" spans="1:38">
      <c r="A871">
        <v>1.8680923078885381E+18</v>
      </c>
      <c r="B871" t="s">
        <v>183</v>
      </c>
      <c r="C871" t="s">
        <v>184</v>
      </c>
      <c r="D871" t="s">
        <v>405</v>
      </c>
      <c r="E871" t="s">
        <v>406</v>
      </c>
      <c r="F871" t="s">
        <v>29</v>
      </c>
      <c r="G871" t="s">
        <v>407</v>
      </c>
      <c r="H871" t="s">
        <v>29</v>
      </c>
      <c r="I871">
        <v>24</v>
      </c>
      <c r="J871">
        <v>16</v>
      </c>
      <c r="K871">
        <v>55</v>
      </c>
      <c r="L871">
        <v>57427</v>
      </c>
      <c r="M871" t="s">
        <v>408</v>
      </c>
      <c r="N871" t="s">
        <v>29</v>
      </c>
      <c r="O871">
        <v>27123001</v>
      </c>
      <c r="P871" t="s">
        <v>190</v>
      </c>
      <c r="Q871">
        <v>402760</v>
      </c>
      <c r="R871" t="s">
        <v>191</v>
      </c>
      <c r="S871">
        <v>155</v>
      </c>
      <c r="T871" t="b">
        <v>0</v>
      </c>
      <c r="U871">
        <v>1</v>
      </c>
      <c r="V871">
        <v>7</v>
      </c>
      <c r="W871" t="s">
        <v>35</v>
      </c>
      <c r="X871" t="s">
        <v>409</v>
      </c>
      <c r="Y871" t="s">
        <v>29</v>
      </c>
      <c r="Z871" t="s">
        <v>37</v>
      </c>
      <c r="AA871">
        <f>TwitterClean[[#This Row],[likes]]+TwitterClean[[#This Row],[replies]]+TwitterClean[[#This Row],[reposts]]+TwitterClean[[#This Row],[quotes]]+TwitterClean[[#This Row],[bookmarks]]</f>
        <v>103</v>
      </c>
      <c r="AB871" s="1">
        <f>TwitterClean[[#This Row],[Total_Engagements]]/TwitterClean[[#This Row],[views]]</f>
        <v>1.7935814164069166E-3</v>
      </c>
      <c r="AC871" s="3">
        <f>DATEVALUE(MID(TwitterClean[[#This Row],[date_posted]],2,10))</f>
        <v>45641</v>
      </c>
      <c r="AD871">
        <f>TIMEVALUE(MID(TwitterClean[[#This Row],[date_posted]],13,8))</f>
        <v>2.4166666666666666E-2</v>
      </c>
      <c r="AE871" s="3" t="str">
        <f>TEXT(TwitterClean[[#This Row],[Post_Date]],"dddd")</f>
        <v>Sunday</v>
      </c>
      <c r="AF871">
        <f>HOUR(TwitterClean[[#This Row],[Post_Time]])</f>
        <v>0</v>
      </c>
      <c r="AG871" t="str">
        <f>IF(TwitterClean[[#This Row],[videos]]="Null","No","Yes")</f>
        <v>No</v>
      </c>
      <c r="AH871" t="str">
        <f>IF(TwitterClean[[#This Row],[photos]]="null","No","Yes")</f>
        <v>No</v>
      </c>
      <c r="AI871" t="str">
        <f>IF(TwitterClean[[#This Row],[hashtags]]="null","No","Yes")</f>
        <v>No</v>
      </c>
      <c r="AJ871" t="str">
        <f>IF(TwitterClean[[#This Row],[external_url]]="null","Yes","No")</f>
        <v>No</v>
      </c>
      <c r="AK871">
        <f>LEN(TwitterClean[[#This Row],[description]])</f>
        <v>125</v>
      </c>
      <c r="AL871" t="str">
        <f>IF(TwitterClean[[#This Row],[followers]]&lt;100000,"&lt;100K",IF(TwitterClean[[#This Row],[followers]]&lt;1000000,"100K-1M",IF(TwitterClean[[#This Row],[followers]]&lt;10000000,"1M-10M","10M+")))</f>
        <v>10M+</v>
      </c>
    </row>
    <row r="872" spans="1:38">
      <c r="A872">
        <v>1.8684340596655434E+18</v>
      </c>
      <c r="B872" t="s">
        <v>4694</v>
      </c>
      <c r="C872" t="s">
        <v>4695</v>
      </c>
      <c r="D872" t="s">
        <v>4696</v>
      </c>
      <c r="E872" t="s">
        <v>4697</v>
      </c>
      <c r="F872" t="s">
        <v>29</v>
      </c>
      <c r="G872" t="s">
        <v>4698</v>
      </c>
      <c r="H872" t="s">
        <v>4699</v>
      </c>
      <c r="I872">
        <v>1</v>
      </c>
      <c r="J872">
        <v>2</v>
      </c>
      <c r="K872">
        <v>12</v>
      </c>
      <c r="L872">
        <v>9010</v>
      </c>
      <c r="M872" t="s">
        <v>4700</v>
      </c>
      <c r="N872" t="s">
        <v>4701</v>
      </c>
      <c r="O872">
        <v>1123810</v>
      </c>
      <c r="P872" t="s">
        <v>4702</v>
      </c>
      <c r="Q872">
        <v>34290</v>
      </c>
      <c r="R872" t="s">
        <v>4703</v>
      </c>
      <c r="S872">
        <v>63</v>
      </c>
      <c r="T872" t="b">
        <v>0</v>
      </c>
      <c r="U872">
        <v>1</v>
      </c>
      <c r="V872">
        <v>0</v>
      </c>
      <c r="W872" t="s">
        <v>35</v>
      </c>
      <c r="X872" t="s">
        <v>29</v>
      </c>
      <c r="Y872" t="s">
        <v>29</v>
      </c>
      <c r="Z872" t="s">
        <v>37</v>
      </c>
      <c r="AA872">
        <f>TwitterClean[[#This Row],[likes]]+TwitterClean[[#This Row],[replies]]+TwitterClean[[#This Row],[reposts]]+TwitterClean[[#This Row],[quotes]]+TwitterClean[[#This Row],[bookmarks]]</f>
        <v>16</v>
      </c>
      <c r="AB872" s="1">
        <f>TwitterClean[[#This Row],[Total_Engagements]]/TwitterClean[[#This Row],[views]]</f>
        <v>1.7758046614872365E-3</v>
      </c>
      <c r="AC872" s="3">
        <f>DATEVALUE(MID(TwitterClean[[#This Row],[date_posted]],2,10))</f>
        <v>45641</v>
      </c>
      <c r="AD872">
        <f>TIMEVALUE(MID(TwitterClean[[#This Row],[date_posted]],13,8))</f>
        <v>0.96722222222222221</v>
      </c>
      <c r="AE872" s="3" t="str">
        <f>TEXT(TwitterClean[[#This Row],[Post_Date]],"dddd")</f>
        <v>Sunday</v>
      </c>
      <c r="AF872">
        <f>HOUR(TwitterClean[[#This Row],[Post_Time]])</f>
        <v>23</v>
      </c>
      <c r="AG872" t="str">
        <f>IF(TwitterClean[[#This Row],[videos]]="Null","No","Yes")</f>
        <v>No</v>
      </c>
      <c r="AH872" t="str">
        <f>IF(TwitterClean[[#This Row],[photos]]="null","No","Yes")</f>
        <v>No</v>
      </c>
      <c r="AI872" t="str">
        <f>IF(TwitterClean[[#This Row],[hashtags]]="null","No","Yes")</f>
        <v>Yes</v>
      </c>
      <c r="AJ872" t="str">
        <f>IF(TwitterClean[[#This Row],[external_url]]="null","Yes","No")</f>
        <v>No</v>
      </c>
      <c r="AK872">
        <f>LEN(TwitterClean[[#This Row],[description]])</f>
        <v>122</v>
      </c>
      <c r="AL872" t="str">
        <f>IF(TwitterClean[[#This Row],[followers]]&lt;100000,"&lt;100K",IF(TwitterClean[[#This Row],[followers]]&lt;1000000,"100K-1M",IF(TwitterClean[[#This Row],[followers]]&lt;10000000,"1M-10M","10M+")))</f>
        <v>1M-10M</v>
      </c>
    </row>
    <row r="873" spans="1:38">
      <c r="A873">
        <v>1.8683325557426386E+18</v>
      </c>
      <c r="B873" t="s">
        <v>2935</v>
      </c>
      <c r="C873" t="s">
        <v>2936</v>
      </c>
      <c r="D873" t="s">
        <v>3133</v>
      </c>
      <c r="E873" t="s">
        <v>3134</v>
      </c>
      <c r="F873" t="s">
        <v>29</v>
      </c>
      <c r="G873" t="s">
        <v>3135</v>
      </c>
      <c r="H873" t="s">
        <v>29</v>
      </c>
      <c r="I873">
        <v>13</v>
      </c>
      <c r="J873">
        <v>6</v>
      </c>
      <c r="K873">
        <v>22</v>
      </c>
      <c r="L873">
        <v>26059</v>
      </c>
      <c r="M873" t="s">
        <v>3136</v>
      </c>
      <c r="N873" t="s">
        <v>29</v>
      </c>
      <c r="O873">
        <v>9564155</v>
      </c>
      <c r="P873" t="s">
        <v>2941</v>
      </c>
      <c r="Q873">
        <v>1125277</v>
      </c>
      <c r="R873" t="s">
        <v>2942</v>
      </c>
      <c r="S873">
        <v>93</v>
      </c>
      <c r="T873" t="b">
        <v>0</v>
      </c>
      <c r="U873">
        <v>2</v>
      </c>
      <c r="V873">
        <v>2</v>
      </c>
      <c r="W873" t="s">
        <v>35</v>
      </c>
      <c r="X873" t="s">
        <v>3137</v>
      </c>
      <c r="Y873" t="s">
        <v>29</v>
      </c>
      <c r="Z873" t="s">
        <v>37</v>
      </c>
      <c r="AA873">
        <f>TwitterClean[[#This Row],[likes]]+TwitterClean[[#This Row],[replies]]+TwitterClean[[#This Row],[reposts]]+TwitterClean[[#This Row],[quotes]]+TwitterClean[[#This Row],[bookmarks]]</f>
        <v>45</v>
      </c>
      <c r="AB873" s="1">
        <f>TwitterClean[[#This Row],[Total_Engagements]]/TwitterClean[[#This Row],[views]]</f>
        <v>1.7268506082351587E-3</v>
      </c>
      <c r="AC873" s="3">
        <f>DATEVALUE(MID(TwitterClean[[#This Row],[date_posted]],2,10))</f>
        <v>45641</v>
      </c>
      <c r="AD873">
        <f>TIMEVALUE(MID(TwitterClean[[#This Row],[date_posted]],13,8))</f>
        <v>0.68711805555555561</v>
      </c>
      <c r="AE873" s="3" t="str">
        <f>TEXT(TwitterClean[[#This Row],[Post_Date]],"dddd")</f>
        <v>Sunday</v>
      </c>
      <c r="AF873">
        <f>HOUR(TwitterClean[[#This Row],[Post_Time]])</f>
        <v>16</v>
      </c>
      <c r="AG873" t="str">
        <f>IF(TwitterClean[[#This Row],[videos]]="Null","No","Yes")</f>
        <v>No</v>
      </c>
      <c r="AH873" t="str">
        <f>IF(TwitterClean[[#This Row],[photos]]="null","No","Yes")</f>
        <v>No</v>
      </c>
      <c r="AI873" t="str">
        <f>IF(TwitterClean[[#This Row],[hashtags]]="null","No","Yes")</f>
        <v>No</v>
      </c>
      <c r="AJ873" t="str">
        <f>IF(TwitterClean[[#This Row],[external_url]]="null","Yes","No")</f>
        <v>No</v>
      </c>
      <c r="AK873">
        <f>LEN(TwitterClean[[#This Row],[description]])</f>
        <v>198</v>
      </c>
      <c r="AL873" t="str">
        <f>IF(TwitterClean[[#This Row],[followers]]&lt;100000,"&lt;100K",IF(TwitterClean[[#This Row],[followers]]&lt;1000000,"100K-1M",IF(TwitterClean[[#This Row],[followers]]&lt;10000000,"1M-10M","10M+")))</f>
        <v>1M-10M</v>
      </c>
    </row>
    <row r="874" spans="1:38">
      <c r="A874">
        <v>1.8685234747271951E+18</v>
      </c>
      <c r="B874" t="s">
        <v>2935</v>
      </c>
      <c r="C874" t="s">
        <v>2936</v>
      </c>
      <c r="D874" t="s">
        <v>3112</v>
      </c>
      <c r="E874" t="s">
        <v>3113</v>
      </c>
      <c r="F874" t="s">
        <v>29</v>
      </c>
      <c r="G874" t="s">
        <v>3114</v>
      </c>
      <c r="H874" t="s">
        <v>29</v>
      </c>
      <c r="I874">
        <v>6</v>
      </c>
      <c r="J874">
        <v>5</v>
      </c>
      <c r="K874">
        <v>11</v>
      </c>
      <c r="L874">
        <v>14512</v>
      </c>
      <c r="M874" t="s">
        <v>3115</v>
      </c>
      <c r="N874" t="s">
        <v>29</v>
      </c>
      <c r="O874">
        <v>9564156</v>
      </c>
      <c r="P874" t="s">
        <v>2941</v>
      </c>
      <c r="Q874">
        <v>1125277</v>
      </c>
      <c r="R874" t="s">
        <v>2942</v>
      </c>
      <c r="S874">
        <v>93</v>
      </c>
      <c r="T874" t="b">
        <v>0</v>
      </c>
      <c r="U874">
        <v>1</v>
      </c>
      <c r="V874">
        <v>2</v>
      </c>
      <c r="W874" t="s">
        <v>35</v>
      </c>
      <c r="X874" t="s">
        <v>3116</v>
      </c>
      <c r="Y874" t="s">
        <v>29</v>
      </c>
      <c r="Z874" t="s">
        <v>37</v>
      </c>
      <c r="AA874">
        <f>TwitterClean[[#This Row],[likes]]+TwitterClean[[#This Row],[replies]]+TwitterClean[[#This Row],[reposts]]+TwitterClean[[#This Row],[quotes]]+TwitterClean[[#This Row],[bookmarks]]</f>
        <v>25</v>
      </c>
      <c r="AB874" s="1">
        <f>TwitterClean[[#This Row],[Total_Engagements]]/TwitterClean[[#This Row],[views]]</f>
        <v>1.7227122381477398E-3</v>
      </c>
      <c r="AC874" s="3">
        <f>DATEVALUE(MID(TwitterClean[[#This Row],[date_posted]],2,10))</f>
        <v>45642</v>
      </c>
      <c r="AD874">
        <f>TIMEVALUE(MID(TwitterClean[[#This Row],[date_posted]],13,8))</f>
        <v>0.21395833333333333</v>
      </c>
      <c r="AE874" s="3" t="str">
        <f>TEXT(TwitterClean[[#This Row],[Post_Date]],"dddd")</f>
        <v>Monday</v>
      </c>
      <c r="AF874">
        <f>HOUR(TwitterClean[[#This Row],[Post_Time]])</f>
        <v>5</v>
      </c>
      <c r="AG874" t="str">
        <f>IF(TwitterClean[[#This Row],[videos]]="Null","No","Yes")</f>
        <v>No</v>
      </c>
      <c r="AH874" t="str">
        <f>IF(TwitterClean[[#This Row],[photos]]="null","No","Yes")</f>
        <v>No</v>
      </c>
      <c r="AI874" t="str">
        <f>IF(TwitterClean[[#This Row],[hashtags]]="null","No","Yes")</f>
        <v>No</v>
      </c>
      <c r="AJ874" t="str">
        <f>IF(TwitterClean[[#This Row],[external_url]]="null","Yes","No")</f>
        <v>No</v>
      </c>
      <c r="AK874">
        <f>LEN(TwitterClean[[#This Row],[description]])</f>
        <v>185</v>
      </c>
      <c r="AL874" t="str">
        <f>IF(TwitterClean[[#This Row],[followers]]&lt;100000,"&lt;100K",IF(TwitterClean[[#This Row],[followers]]&lt;1000000,"100K-1M",IF(TwitterClean[[#This Row],[followers]]&lt;10000000,"1M-10M","10M+")))</f>
        <v>1M-10M</v>
      </c>
    </row>
    <row r="875" spans="1:38">
      <c r="A875">
        <v>1.8681758195849631E+18</v>
      </c>
      <c r="B875" t="s">
        <v>183</v>
      </c>
      <c r="C875" t="s">
        <v>184</v>
      </c>
      <c r="D875" t="s">
        <v>811</v>
      </c>
      <c r="E875" t="s">
        <v>812</v>
      </c>
      <c r="F875" t="s">
        <v>29</v>
      </c>
      <c r="G875" t="s">
        <v>813</v>
      </c>
      <c r="H875" t="s">
        <v>29</v>
      </c>
      <c r="I875">
        <v>22</v>
      </c>
      <c r="J875">
        <v>11</v>
      </c>
      <c r="K875">
        <v>57</v>
      </c>
      <c r="L875">
        <v>55210</v>
      </c>
      <c r="M875" t="s">
        <v>814</v>
      </c>
      <c r="N875" t="s">
        <v>29</v>
      </c>
      <c r="O875">
        <v>27123001</v>
      </c>
      <c r="P875" t="s">
        <v>190</v>
      </c>
      <c r="Q875">
        <v>402760</v>
      </c>
      <c r="R875" t="s">
        <v>191</v>
      </c>
      <c r="S875">
        <v>155</v>
      </c>
      <c r="T875" t="b">
        <v>0</v>
      </c>
      <c r="U875">
        <v>2</v>
      </c>
      <c r="V875">
        <v>3</v>
      </c>
      <c r="W875" t="s">
        <v>35</v>
      </c>
      <c r="X875" t="s">
        <v>815</v>
      </c>
      <c r="Y875" t="s">
        <v>29</v>
      </c>
      <c r="Z875" t="s">
        <v>37</v>
      </c>
      <c r="AA875">
        <f>TwitterClean[[#This Row],[likes]]+TwitterClean[[#This Row],[replies]]+TwitterClean[[#This Row],[reposts]]+TwitterClean[[#This Row],[quotes]]+TwitterClean[[#This Row],[bookmarks]]</f>
        <v>95</v>
      </c>
      <c r="AB875" s="1">
        <f>TwitterClean[[#This Row],[Total_Engagements]]/TwitterClean[[#This Row],[views]]</f>
        <v>1.7207027712370948E-3</v>
      </c>
      <c r="AC875" s="3">
        <f>DATEVALUE(MID(TwitterClean[[#This Row],[date_posted]],2,10))</f>
        <v>45641</v>
      </c>
      <c r="AD875">
        <f>TIMEVALUE(MID(TwitterClean[[#This Row],[date_posted]],13,8))</f>
        <v>0.25461805555555556</v>
      </c>
      <c r="AE875" s="3" t="str">
        <f>TEXT(TwitterClean[[#This Row],[Post_Date]],"dddd")</f>
        <v>Sunday</v>
      </c>
      <c r="AF875">
        <f>HOUR(TwitterClean[[#This Row],[Post_Time]])</f>
        <v>6</v>
      </c>
      <c r="AG875" t="str">
        <f>IF(TwitterClean[[#This Row],[videos]]="Null","No","Yes")</f>
        <v>No</v>
      </c>
      <c r="AH875" t="str">
        <f>IF(TwitterClean[[#This Row],[photos]]="null","No","Yes")</f>
        <v>No</v>
      </c>
      <c r="AI875" t="str">
        <f>IF(TwitterClean[[#This Row],[hashtags]]="null","No","Yes")</f>
        <v>No</v>
      </c>
      <c r="AJ875" t="str">
        <f>IF(TwitterClean[[#This Row],[external_url]]="null","Yes","No")</f>
        <v>No</v>
      </c>
      <c r="AK875">
        <f>LEN(TwitterClean[[#This Row],[description]])</f>
        <v>186</v>
      </c>
      <c r="AL875" t="str">
        <f>IF(TwitterClean[[#This Row],[followers]]&lt;100000,"&lt;100K",IF(TwitterClean[[#This Row],[followers]]&lt;1000000,"100K-1M",IF(TwitterClean[[#This Row],[followers]]&lt;10000000,"1M-10M","10M+")))</f>
        <v>10M+</v>
      </c>
    </row>
    <row r="876" spans="1:38">
      <c r="A876">
        <v>1.8683148243227282E+18</v>
      </c>
      <c r="B876" t="s">
        <v>2714</v>
      </c>
      <c r="C876" t="s">
        <v>2715</v>
      </c>
      <c r="D876" t="s">
        <v>2728</v>
      </c>
      <c r="E876" t="s">
        <v>2729</v>
      </c>
      <c r="F876" t="s">
        <v>29</v>
      </c>
      <c r="G876" t="s">
        <v>2730</v>
      </c>
      <c r="H876" t="s">
        <v>2731</v>
      </c>
      <c r="I876">
        <v>2</v>
      </c>
      <c r="J876">
        <v>1</v>
      </c>
      <c r="K876">
        <v>2</v>
      </c>
      <c r="L876">
        <v>4113</v>
      </c>
      <c r="M876" t="s">
        <v>52</v>
      </c>
      <c r="N876" t="s">
        <v>2732</v>
      </c>
      <c r="O876">
        <v>182895</v>
      </c>
      <c r="P876" t="s">
        <v>2720</v>
      </c>
      <c r="Q876">
        <v>30781</v>
      </c>
      <c r="R876" t="s">
        <v>2721</v>
      </c>
      <c r="S876">
        <v>559</v>
      </c>
      <c r="T876" t="b">
        <v>0</v>
      </c>
      <c r="U876">
        <v>1</v>
      </c>
      <c r="V876">
        <v>1</v>
      </c>
      <c r="W876" t="s">
        <v>35</v>
      </c>
      <c r="X876" t="s">
        <v>29</v>
      </c>
      <c r="Y876" t="s">
        <v>2733</v>
      </c>
      <c r="Z876" t="s">
        <v>37</v>
      </c>
      <c r="AA876">
        <f>TwitterClean[[#This Row],[likes]]+TwitterClean[[#This Row],[replies]]+TwitterClean[[#This Row],[reposts]]+TwitterClean[[#This Row],[quotes]]+TwitterClean[[#This Row],[bookmarks]]</f>
        <v>7</v>
      </c>
      <c r="AB876" s="1">
        <f>TwitterClean[[#This Row],[Total_Engagements]]/TwitterClean[[#This Row],[views]]</f>
        <v>1.7019207391198638E-3</v>
      </c>
      <c r="AC876" s="3">
        <f>DATEVALUE(MID(TwitterClean[[#This Row],[date_posted]],2,10))</f>
        <v>45641</v>
      </c>
      <c r="AD876">
        <f>TIMEVALUE(MID(TwitterClean[[#This Row],[date_posted]],13,8))</f>
        <v>0.6381944444444444</v>
      </c>
      <c r="AE876" s="3" t="str">
        <f>TEXT(TwitterClean[[#This Row],[Post_Date]],"dddd")</f>
        <v>Sunday</v>
      </c>
      <c r="AF876">
        <f>HOUR(TwitterClean[[#This Row],[Post_Time]])</f>
        <v>15</v>
      </c>
      <c r="AG876" t="str">
        <f>IF(TwitterClean[[#This Row],[videos]]="Null","No","Yes")</f>
        <v>Yes</v>
      </c>
      <c r="AH876" t="str">
        <f>IF(TwitterClean[[#This Row],[photos]]="null","No","Yes")</f>
        <v>No</v>
      </c>
      <c r="AI876" t="str">
        <f>IF(TwitterClean[[#This Row],[hashtags]]="null","No","Yes")</f>
        <v>Yes</v>
      </c>
      <c r="AJ876" t="str">
        <f>IF(TwitterClean[[#This Row],[external_url]]="null","Yes","No")</f>
        <v>No</v>
      </c>
      <c r="AK876">
        <f>LEN(TwitterClean[[#This Row],[description]])</f>
        <v>119</v>
      </c>
      <c r="AL876" t="str">
        <f>IF(TwitterClean[[#This Row],[followers]]&lt;100000,"&lt;100K",IF(TwitterClean[[#This Row],[followers]]&lt;1000000,"100K-1M",IF(TwitterClean[[#This Row],[followers]]&lt;10000000,"1M-10M","10M+")))</f>
        <v>100K-1M</v>
      </c>
    </row>
    <row r="877" spans="1:38">
      <c r="A877">
        <v>1.8682802126994396E+18</v>
      </c>
      <c r="B877" t="s">
        <v>2935</v>
      </c>
      <c r="C877" t="s">
        <v>2936</v>
      </c>
      <c r="D877" t="s">
        <v>3336</v>
      </c>
      <c r="E877" t="s">
        <v>3337</v>
      </c>
      <c r="F877" t="s">
        <v>29</v>
      </c>
      <c r="G877" t="s">
        <v>3338</v>
      </c>
      <c r="H877" t="s">
        <v>3339</v>
      </c>
      <c r="I877">
        <v>9</v>
      </c>
      <c r="J877">
        <v>12</v>
      </c>
      <c r="K877">
        <v>29</v>
      </c>
      <c r="L877">
        <v>33083</v>
      </c>
      <c r="M877" t="s">
        <v>3340</v>
      </c>
      <c r="N877" t="s">
        <v>29</v>
      </c>
      <c r="O877">
        <v>9564231</v>
      </c>
      <c r="P877" t="s">
        <v>2941</v>
      </c>
      <c r="Q877">
        <v>1125277</v>
      </c>
      <c r="R877" t="s">
        <v>2942</v>
      </c>
      <c r="S877">
        <v>93</v>
      </c>
      <c r="T877" t="b">
        <v>0</v>
      </c>
      <c r="U877">
        <v>1</v>
      </c>
      <c r="V877">
        <v>5</v>
      </c>
      <c r="W877" t="s">
        <v>35</v>
      </c>
      <c r="X877" t="s">
        <v>3302</v>
      </c>
      <c r="Y877" t="s">
        <v>29</v>
      </c>
      <c r="Z877" t="s">
        <v>37</v>
      </c>
      <c r="AA877">
        <f>TwitterClean[[#This Row],[likes]]+TwitterClean[[#This Row],[replies]]+TwitterClean[[#This Row],[reposts]]+TwitterClean[[#This Row],[quotes]]+TwitterClean[[#This Row],[bookmarks]]</f>
        <v>56</v>
      </c>
      <c r="AB877" s="1">
        <f>TwitterClean[[#This Row],[Total_Engagements]]/TwitterClean[[#This Row],[views]]</f>
        <v>1.6927122691412508E-3</v>
      </c>
      <c r="AC877" s="3">
        <f>DATEVALUE(MID(TwitterClean[[#This Row],[date_posted]],2,10))</f>
        <v>45641</v>
      </c>
      <c r="AD877">
        <f>TIMEVALUE(MID(TwitterClean[[#This Row],[date_posted]],13,8))</f>
        <v>0.54268518518518516</v>
      </c>
      <c r="AE877" s="3" t="str">
        <f>TEXT(TwitterClean[[#This Row],[Post_Date]],"dddd")</f>
        <v>Sunday</v>
      </c>
      <c r="AF877">
        <f>HOUR(TwitterClean[[#This Row],[Post_Time]])</f>
        <v>13</v>
      </c>
      <c r="AG877" t="str">
        <f>IF(TwitterClean[[#This Row],[videos]]="Null","No","Yes")</f>
        <v>No</v>
      </c>
      <c r="AH877" t="str">
        <f>IF(TwitterClean[[#This Row],[photos]]="null","No","Yes")</f>
        <v>No</v>
      </c>
      <c r="AI877" t="str">
        <f>IF(TwitterClean[[#This Row],[hashtags]]="null","No","Yes")</f>
        <v>No</v>
      </c>
      <c r="AJ877" t="str">
        <f>IF(TwitterClean[[#This Row],[external_url]]="null","Yes","No")</f>
        <v>No</v>
      </c>
      <c r="AK877">
        <f>LEN(TwitterClean[[#This Row],[description]])</f>
        <v>117</v>
      </c>
      <c r="AL877" t="str">
        <f>IF(TwitterClean[[#This Row],[followers]]&lt;100000,"&lt;100K",IF(TwitterClean[[#This Row],[followers]]&lt;1000000,"100K-1M",IF(TwitterClean[[#This Row],[followers]]&lt;10000000,"1M-10M","10M+")))</f>
        <v>1M-10M</v>
      </c>
    </row>
    <row r="878" spans="1:38">
      <c r="A878">
        <v>1.868268030385398E+18</v>
      </c>
      <c r="B878" t="s">
        <v>2935</v>
      </c>
      <c r="C878" t="s">
        <v>2936</v>
      </c>
      <c r="D878" t="s">
        <v>3341</v>
      </c>
      <c r="E878" t="s">
        <v>3342</v>
      </c>
      <c r="F878" t="s">
        <v>29</v>
      </c>
      <c r="G878" t="s">
        <v>3343</v>
      </c>
      <c r="H878" t="s">
        <v>29</v>
      </c>
      <c r="I878">
        <v>13</v>
      </c>
      <c r="J878">
        <v>2</v>
      </c>
      <c r="K878">
        <v>24</v>
      </c>
      <c r="L878">
        <v>30943</v>
      </c>
      <c r="M878" t="s">
        <v>3344</v>
      </c>
      <c r="N878" t="s">
        <v>29</v>
      </c>
      <c r="O878">
        <v>9564155</v>
      </c>
      <c r="P878" t="s">
        <v>2941</v>
      </c>
      <c r="Q878">
        <v>1125277</v>
      </c>
      <c r="R878" t="s">
        <v>2942</v>
      </c>
      <c r="S878">
        <v>93</v>
      </c>
      <c r="T878" t="b">
        <v>0</v>
      </c>
      <c r="U878">
        <v>1</v>
      </c>
      <c r="V878">
        <v>12</v>
      </c>
      <c r="W878" t="s">
        <v>35</v>
      </c>
      <c r="X878" t="s">
        <v>3345</v>
      </c>
      <c r="Y878" t="s">
        <v>29</v>
      </c>
      <c r="Z878" t="s">
        <v>37</v>
      </c>
      <c r="AA878">
        <f>TwitterClean[[#This Row],[likes]]+TwitterClean[[#This Row],[replies]]+TwitterClean[[#This Row],[reposts]]+TwitterClean[[#This Row],[quotes]]+TwitterClean[[#This Row],[bookmarks]]</f>
        <v>52</v>
      </c>
      <c r="AB878" s="1">
        <f>TwitterClean[[#This Row],[Total_Engagements]]/TwitterClean[[#This Row],[views]]</f>
        <v>1.6805093235949973E-3</v>
      </c>
      <c r="AC878" s="3">
        <f>DATEVALUE(MID(TwitterClean[[#This Row],[date_posted]],2,10))</f>
        <v>45641</v>
      </c>
      <c r="AD878">
        <f>TIMEVALUE(MID(TwitterClean[[#This Row],[date_posted]],13,8))</f>
        <v>0.50906249999999997</v>
      </c>
      <c r="AE878" s="3" t="str">
        <f>TEXT(TwitterClean[[#This Row],[Post_Date]],"dddd")</f>
        <v>Sunday</v>
      </c>
      <c r="AF878">
        <f>HOUR(TwitterClean[[#This Row],[Post_Time]])</f>
        <v>12</v>
      </c>
      <c r="AG878" t="str">
        <f>IF(TwitterClean[[#This Row],[videos]]="Null","No","Yes")</f>
        <v>No</v>
      </c>
      <c r="AH878" t="str">
        <f>IF(TwitterClean[[#This Row],[photos]]="null","No","Yes")</f>
        <v>No</v>
      </c>
      <c r="AI878" t="str">
        <f>IF(TwitterClean[[#This Row],[hashtags]]="null","No","Yes")</f>
        <v>No</v>
      </c>
      <c r="AJ878" t="str">
        <f>IF(TwitterClean[[#This Row],[external_url]]="null","Yes","No")</f>
        <v>No</v>
      </c>
      <c r="AK878">
        <f>LEN(TwitterClean[[#This Row],[description]])</f>
        <v>80</v>
      </c>
      <c r="AL878" t="str">
        <f>IF(TwitterClean[[#This Row],[followers]]&lt;100000,"&lt;100K",IF(TwitterClean[[#This Row],[followers]]&lt;1000000,"100K-1M",IF(TwitterClean[[#This Row],[followers]]&lt;10000000,"1M-10M","10M+")))</f>
        <v>1M-10M</v>
      </c>
    </row>
    <row r="879" spans="1:38">
      <c r="A879">
        <v>1.8684405018604134E+18</v>
      </c>
      <c r="B879" t="s">
        <v>2230</v>
      </c>
      <c r="C879" t="s">
        <v>2231</v>
      </c>
      <c r="D879" t="s">
        <v>2369</v>
      </c>
      <c r="E879" t="s">
        <v>2370</v>
      </c>
      <c r="F879" t="s">
        <v>2371</v>
      </c>
      <c r="G879" t="s">
        <v>2372</v>
      </c>
      <c r="H879" t="s">
        <v>29</v>
      </c>
      <c r="I879">
        <v>14</v>
      </c>
      <c r="J879">
        <v>3</v>
      </c>
      <c r="K879">
        <v>24</v>
      </c>
      <c r="L879">
        <v>26203</v>
      </c>
      <c r="M879" t="s">
        <v>2373</v>
      </c>
      <c r="N879" t="s">
        <v>29</v>
      </c>
      <c r="O879">
        <v>3313886</v>
      </c>
      <c r="P879" t="s">
        <v>2237</v>
      </c>
      <c r="Q879">
        <v>706459</v>
      </c>
      <c r="R879" t="s">
        <v>2238</v>
      </c>
      <c r="S879">
        <v>10308</v>
      </c>
      <c r="T879" t="b">
        <v>0</v>
      </c>
      <c r="U879">
        <v>1</v>
      </c>
      <c r="V879">
        <v>2</v>
      </c>
      <c r="W879" t="s">
        <v>35</v>
      </c>
      <c r="X879" t="s">
        <v>29</v>
      </c>
      <c r="Y879" t="s">
        <v>29</v>
      </c>
      <c r="Z879" t="s">
        <v>37</v>
      </c>
      <c r="AA879">
        <f>TwitterClean[[#This Row],[likes]]+TwitterClean[[#This Row],[replies]]+TwitterClean[[#This Row],[reposts]]+TwitterClean[[#This Row],[quotes]]+TwitterClean[[#This Row],[bookmarks]]</f>
        <v>44</v>
      </c>
      <c r="AB879" s="1">
        <f>TwitterClean[[#This Row],[Total_Engagements]]/TwitterClean[[#This Row],[views]]</f>
        <v>1.6791970385070412E-3</v>
      </c>
      <c r="AC879" s="3">
        <f>DATEVALUE(MID(TwitterClean[[#This Row],[date_posted]],2,10))</f>
        <v>45641</v>
      </c>
      <c r="AD879">
        <f>TIMEVALUE(MID(TwitterClean[[#This Row],[date_posted]],13,8))</f>
        <v>0.98499999999999999</v>
      </c>
      <c r="AE879" s="3" t="str">
        <f>TEXT(TwitterClean[[#This Row],[Post_Date]],"dddd")</f>
        <v>Sunday</v>
      </c>
      <c r="AF879">
        <f>HOUR(TwitterClean[[#This Row],[Post_Time]])</f>
        <v>23</v>
      </c>
      <c r="AG879" t="str">
        <f>IF(TwitterClean[[#This Row],[videos]]="Null","No","Yes")</f>
        <v>No</v>
      </c>
      <c r="AH879" t="str">
        <f>IF(TwitterClean[[#This Row],[photos]]="null","No","Yes")</f>
        <v>Yes</v>
      </c>
      <c r="AI879" t="str">
        <f>IF(TwitterClean[[#This Row],[hashtags]]="null","No","Yes")</f>
        <v>No</v>
      </c>
      <c r="AJ879" t="str">
        <f>IF(TwitterClean[[#This Row],[external_url]]="null","Yes","No")</f>
        <v>No</v>
      </c>
      <c r="AK879">
        <f>LEN(TwitterClean[[#This Row],[description]])</f>
        <v>87</v>
      </c>
      <c r="AL879" t="str">
        <f>IF(TwitterClean[[#This Row],[followers]]&lt;100000,"&lt;100K",IF(TwitterClean[[#This Row],[followers]]&lt;1000000,"100K-1M",IF(TwitterClean[[#This Row],[followers]]&lt;10000000,"1M-10M","10M+")))</f>
        <v>1M-10M</v>
      </c>
    </row>
    <row r="880" spans="1:38">
      <c r="A880">
        <v>1.8681191536907264E+18</v>
      </c>
      <c r="B880" t="s">
        <v>1646</v>
      </c>
      <c r="C880" t="s">
        <v>1647</v>
      </c>
      <c r="D880" t="s">
        <v>1725</v>
      </c>
      <c r="E880" t="s">
        <v>1726</v>
      </c>
      <c r="F880" t="s">
        <v>29</v>
      </c>
      <c r="G880" t="s">
        <v>1727</v>
      </c>
      <c r="H880" t="s">
        <v>29</v>
      </c>
      <c r="I880">
        <v>2</v>
      </c>
      <c r="J880">
        <v>2</v>
      </c>
      <c r="K880">
        <v>14</v>
      </c>
      <c r="L880">
        <v>11382</v>
      </c>
      <c r="M880" t="s">
        <v>1728</v>
      </c>
      <c r="N880" t="s">
        <v>1652</v>
      </c>
      <c r="O880">
        <v>3768943</v>
      </c>
      <c r="P880" t="s">
        <v>1653</v>
      </c>
      <c r="Q880">
        <v>897934</v>
      </c>
      <c r="R880" t="s">
        <v>1654</v>
      </c>
      <c r="S880">
        <v>28</v>
      </c>
      <c r="T880" t="b">
        <v>0</v>
      </c>
      <c r="U880">
        <v>0</v>
      </c>
      <c r="V880">
        <v>1</v>
      </c>
      <c r="W880" t="s">
        <v>35</v>
      </c>
      <c r="X880" t="s">
        <v>1729</v>
      </c>
      <c r="Y880" t="s">
        <v>29</v>
      </c>
      <c r="Z880" t="s">
        <v>37</v>
      </c>
      <c r="AA880">
        <f>TwitterClean[[#This Row],[likes]]+TwitterClean[[#This Row],[replies]]+TwitterClean[[#This Row],[reposts]]+TwitterClean[[#This Row],[quotes]]+TwitterClean[[#This Row],[bookmarks]]</f>
        <v>19</v>
      </c>
      <c r="AB880" s="1">
        <f>TwitterClean[[#This Row],[Total_Engagements]]/TwitterClean[[#This Row],[views]]</f>
        <v>1.6693024073097874E-3</v>
      </c>
      <c r="AC880" s="3">
        <f>DATEVALUE(MID(TwitterClean[[#This Row],[date_posted]],2,10))</f>
        <v>45641</v>
      </c>
      <c r="AD880">
        <f>TIMEVALUE(MID(TwitterClean[[#This Row],[date_posted]],13,8))</f>
        <v>9.824074074074074E-2</v>
      </c>
      <c r="AE880" s="3" t="str">
        <f>TEXT(TwitterClean[[#This Row],[Post_Date]],"dddd")</f>
        <v>Sunday</v>
      </c>
      <c r="AF880">
        <f>HOUR(TwitterClean[[#This Row],[Post_Time]])</f>
        <v>2</v>
      </c>
      <c r="AG880" t="str">
        <f>IF(TwitterClean[[#This Row],[videos]]="Null","No","Yes")</f>
        <v>No</v>
      </c>
      <c r="AH880" t="str">
        <f>IF(TwitterClean[[#This Row],[photos]]="null","No","Yes")</f>
        <v>No</v>
      </c>
      <c r="AI880" t="str">
        <f>IF(TwitterClean[[#This Row],[hashtags]]="null","No","Yes")</f>
        <v>Yes</v>
      </c>
      <c r="AJ880" t="str">
        <f>IF(TwitterClean[[#This Row],[external_url]]="null","Yes","No")</f>
        <v>No</v>
      </c>
      <c r="AK880">
        <f>LEN(TwitterClean[[#This Row],[description]])</f>
        <v>65</v>
      </c>
      <c r="AL880" t="str">
        <f>IF(TwitterClean[[#This Row],[followers]]&lt;100000,"&lt;100K",IF(TwitterClean[[#This Row],[followers]]&lt;1000000,"100K-1M",IF(TwitterClean[[#This Row],[followers]]&lt;10000000,"1M-10M","10M+")))</f>
        <v>1M-10M</v>
      </c>
    </row>
    <row r="881" spans="1:38">
      <c r="A881">
        <v>1.8681126310110986E+18</v>
      </c>
      <c r="B881" t="s">
        <v>2935</v>
      </c>
      <c r="C881" t="s">
        <v>2936</v>
      </c>
      <c r="D881" t="s">
        <v>3610</v>
      </c>
      <c r="E881" t="s">
        <v>3611</v>
      </c>
      <c r="F881" t="s">
        <v>29</v>
      </c>
      <c r="G881" t="s">
        <v>3612</v>
      </c>
      <c r="H881" t="s">
        <v>29</v>
      </c>
      <c r="I881">
        <v>9</v>
      </c>
      <c r="J881">
        <v>14</v>
      </c>
      <c r="K881">
        <v>36</v>
      </c>
      <c r="L881">
        <v>38177</v>
      </c>
      <c r="M881" t="s">
        <v>3613</v>
      </c>
      <c r="N881" t="s">
        <v>29</v>
      </c>
      <c r="O881">
        <v>9564156</v>
      </c>
      <c r="P881" t="s">
        <v>2941</v>
      </c>
      <c r="Q881">
        <v>1125277</v>
      </c>
      <c r="R881" t="s">
        <v>2942</v>
      </c>
      <c r="S881">
        <v>93</v>
      </c>
      <c r="T881" t="b">
        <v>0</v>
      </c>
      <c r="U881">
        <v>2</v>
      </c>
      <c r="V881">
        <v>2</v>
      </c>
      <c r="W881" t="s">
        <v>35</v>
      </c>
      <c r="X881" t="s">
        <v>3614</v>
      </c>
      <c r="Y881" t="s">
        <v>29</v>
      </c>
      <c r="Z881" t="s">
        <v>37</v>
      </c>
      <c r="AA881">
        <f>TwitterClean[[#This Row],[likes]]+TwitterClean[[#This Row],[replies]]+TwitterClean[[#This Row],[reposts]]+TwitterClean[[#This Row],[quotes]]+TwitterClean[[#This Row],[bookmarks]]</f>
        <v>63</v>
      </c>
      <c r="AB881" s="1">
        <f>TwitterClean[[#This Row],[Total_Engagements]]/TwitterClean[[#This Row],[views]]</f>
        <v>1.6502082405636901E-3</v>
      </c>
      <c r="AC881" s="3">
        <f>DATEVALUE(MID(TwitterClean[[#This Row],[date_posted]],2,10))</f>
        <v>45641</v>
      </c>
      <c r="AD881">
        <f>TIMEVALUE(MID(TwitterClean[[#This Row],[date_posted]],13,8))</f>
        <v>8.0243055555555554E-2</v>
      </c>
      <c r="AE881" s="3" t="str">
        <f>TEXT(TwitterClean[[#This Row],[Post_Date]],"dddd")</f>
        <v>Sunday</v>
      </c>
      <c r="AF881">
        <f>HOUR(TwitterClean[[#This Row],[Post_Time]])</f>
        <v>1</v>
      </c>
      <c r="AG881" t="str">
        <f>IF(TwitterClean[[#This Row],[videos]]="Null","No","Yes")</f>
        <v>No</v>
      </c>
      <c r="AH881" t="str">
        <f>IF(TwitterClean[[#This Row],[photos]]="null","No","Yes")</f>
        <v>No</v>
      </c>
      <c r="AI881" t="str">
        <f>IF(TwitterClean[[#This Row],[hashtags]]="null","No","Yes")</f>
        <v>No</v>
      </c>
      <c r="AJ881" t="str">
        <f>IF(TwitterClean[[#This Row],[external_url]]="null","Yes","No")</f>
        <v>No</v>
      </c>
      <c r="AK881">
        <f>LEN(TwitterClean[[#This Row],[description]])</f>
        <v>151</v>
      </c>
      <c r="AL881" t="str">
        <f>IF(TwitterClean[[#This Row],[followers]]&lt;100000,"&lt;100K",IF(TwitterClean[[#This Row],[followers]]&lt;1000000,"100K-1M",IF(TwitterClean[[#This Row],[followers]]&lt;10000000,"1M-10M","10M+")))</f>
        <v>1M-10M</v>
      </c>
    </row>
    <row r="882" spans="1:38">
      <c r="A882">
        <v>1.8682161997518892E+18</v>
      </c>
      <c r="B882" t="s">
        <v>183</v>
      </c>
      <c r="C882" t="s">
        <v>184</v>
      </c>
      <c r="D882" t="s">
        <v>208</v>
      </c>
      <c r="E882" t="s">
        <v>209</v>
      </c>
      <c r="F882" t="s">
        <v>29</v>
      </c>
      <c r="G882" t="s">
        <v>210</v>
      </c>
      <c r="H882" t="s">
        <v>29</v>
      </c>
      <c r="I882">
        <v>12</v>
      </c>
      <c r="J882">
        <v>10</v>
      </c>
      <c r="K882">
        <v>45</v>
      </c>
      <c r="L882">
        <v>47177</v>
      </c>
      <c r="M882" t="s">
        <v>211</v>
      </c>
      <c r="N882" t="s">
        <v>29</v>
      </c>
      <c r="O882">
        <v>27123001</v>
      </c>
      <c r="P882" t="s">
        <v>190</v>
      </c>
      <c r="Q882">
        <v>402760</v>
      </c>
      <c r="R882" t="s">
        <v>191</v>
      </c>
      <c r="S882">
        <v>155</v>
      </c>
      <c r="T882" t="b">
        <v>0</v>
      </c>
      <c r="U882">
        <v>2</v>
      </c>
      <c r="V882">
        <v>8</v>
      </c>
      <c r="W882" t="s">
        <v>35</v>
      </c>
      <c r="X882" t="s">
        <v>212</v>
      </c>
      <c r="Y882" t="s">
        <v>29</v>
      </c>
      <c r="Z882" t="s">
        <v>37</v>
      </c>
      <c r="AA882">
        <f>TwitterClean[[#This Row],[likes]]+TwitterClean[[#This Row],[replies]]+TwitterClean[[#This Row],[reposts]]+TwitterClean[[#This Row],[quotes]]+TwitterClean[[#This Row],[bookmarks]]</f>
        <v>77</v>
      </c>
      <c r="AB882" s="1">
        <f>TwitterClean[[#This Row],[Total_Engagements]]/TwitterClean[[#This Row],[views]]</f>
        <v>1.6321512601479534E-3</v>
      </c>
      <c r="AC882" s="3">
        <f>DATEVALUE(MID(TwitterClean[[#This Row],[date_posted]],2,10))</f>
        <v>45641</v>
      </c>
      <c r="AD882">
        <f>TIMEVALUE(MID(TwitterClean[[#This Row],[date_posted]],13,8))</f>
        <v>0.36604166666666665</v>
      </c>
      <c r="AE882" s="3" t="str">
        <f>TEXT(TwitterClean[[#This Row],[Post_Date]],"dddd")</f>
        <v>Sunday</v>
      </c>
      <c r="AF882">
        <f>HOUR(TwitterClean[[#This Row],[Post_Time]])</f>
        <v>8</v>
      </c>
      <c r="AG882" t="str">
        <f>IF(TwitterClean[[#This Row],[videos]]="Null","No","Yes")</f>
        <v>No</v>
      </c>
      <c r="AH882" t="str">
        <f>IF(TwitterClean[[#This Row],[photos]]="null","No","Yes")</f>
        <v>No</v>
      </c>
      <c r="AI882" t="str">
        <f>IF(TwitterClean[[#This Row],[hashtags]]="null","No","Yes")</f>
        <v>No</v>
      </c>
      <c r="AJ882" t="str">
        <f>IF(TwitterClean[[#This Row],[external_url]]="null","Yes","No")</f>
        <v>No</v>
      </c>
      <c r="AK882">
        <f>LEN(TwitterClean[[#This Row],[description]])</f>
        <v>217</v>
      </c>
      <c r="AL882" t="str">
        <f>IF(TwitterClean[[#This Row],[followers]]&lt;100000,"&lt;100K",IF(TwitterClean[[#This Row],[followers]]&lt;1000000,"100K-1M",IF(TwitterClean[[#This Row],[followers]]&lt;10000000,"1M-10M","10M+")))</f>
        <v>10M+</v>
      </c>
    </row>
    <row r="883" spans="1:38">
      <c r="A883">
        <v>1.8682393362289298E+18</v>
      </c>
      <c r="B883" t="s">
        <v>2935</v>
      </c>
      <c r="C883" t="s">
        <v>2936</v>
      </c>
      <c r="D883" t="s">
        <v>3341</v>
      </c>
      <c r="E883" t="s">
        <v>3346</v>
      </c>
      <c r="F883" t="s">
        <v>29</v>
      </c>
      <c r="G883" t="s">
        <v>3347</v>
      </c>
      <c r="H883" t="s">
        <v>29</v>
      </c>
      <c r="I883">
        <v>8</v>
      </c>
      <c r="J883">
        <v>5</v>
      </c>
      <c r="K883">
        <v>18</v>
      </c>
      <c r="L883">
        <v>27145</v>
      </c>
      <c r="M883" t="s">
        <v>3348</v>
      </c>
      <c r="N883" t="s">
        <v>29</v>
      </c>
      <c r="O883">
        <v>9564155</v>
      </c>
      <c r="P883" t="s">
        <v>2941</v>
      </c>
      <c r="Q883">
        <v>1125277</v>
      </c>
      <c r="R883" t="s">
        <v>2942</v>
      </c>
      <c r="S883">
        <v>93</v>
      </c>
      <c r="T883" t="b">
        <v>0</v>
      </c>
      <c r="U883">
        <v>1</v>
      </c>
      <c r="V883">
        <v>12</v>
      </c>
      <c r="W883" t="s">
        <v>35</v>
      </c>
      <c r="X883" t="s">
        <v>3345</v>
      </c>
      <c r="Y883" t="s">
        <v>29</v>
      </c>
      <c r="Z883" t="s">
        <v>37</v>
      </c>
      <c r="AA883">
        <f>TwitterClean[[#This Row],[likes]]+TwitterClean[[#This Row],[replies]]+TwitterClean[[#This Row],[reposts]]+TwitterClean[[#This Row],[quotes]]+TwitterClean[[#This Row],[bookmarks]]</f>
        <v>44</v>
      </c>
      <c r="AB883" s="1">
        <f>TwitterClean[[#This Row],[Total_Engagements]]/TwitterClean[[#This Row],[views]]</f>
        <v>1.6209246638423283E-3</v>
      </c>
      <c r="AC883" s="3">
        <f>DATEVALUE(MID(TwitterClean[[#This Row],[date_posted]],2,10))</f>
        <v>45641</v>
      </c>
      <c r="AD883">
        <f>TIMEVALUE(MID(TwitterClean[[#This Row],[date_posted]],13,8))</f>
        <v>0.42988425925925927</v>
      </c>
      <c r="AE883" s="3" t="str">
        <f>TEXT(TwitterClean[[#This Row],[Post_Date]],"dddd")</f>
        <v>Sunday</v>
      </c>
      <c r="AF883">
        <f>HOUR(TwitterClean[[#This Row],[Post_Time]])</f>
        <v>10</v>
      </c>
      <c r="AG883" t="str">
        <f>IF(TwitterClean[[#This Row],[videos]]="Null","No","Yes")</f>
        <v>No</v>
      </c>
      <c r="AH883" t="str">
        <f>IF(TwitterClean[[#This Row],[photos]]="null","No","Yes")</f>
        <v>No</v>
      </c>
      <c r="AI883" t="str">
        <f>IF(TwitterClean[[#This Row],[hashtags]]="null","No","Yes")</f>
        <v>No</v>
      </c>
      <c r="AJ883" t="str">
        <f>IF(TwitterClean[[#This Row],[external_url]]="null","Yes","No")</f>
        <v>No</v>
      </c>
      <c r="AK883">
        <f>LEN(TwitterClean[[#This Row],[description]])</f>
        <v>80</v>
      </c>
      <c r="AL883" t="str">
        <f>IF(TwitterClean[[#This Row],[followers]]&lt;100000,"&lt;100K",IF(TwitterClean[[#This Row],[followers]]&lt;1000000,"100K-1M",IF(TwitterClean[[#This Row],[followers]]&lt;10000000,"1M-10M","10M+")))</f>
        <v>1M-10M</v>
      </c>
    </row>
    <row r="884" spans="1:38">
      <c r="A884">
        <v>1.8681304257065782E+18</v>
      </c>
      <c r="B884" t="s">
        <v>2935</v>
      </c>
      <c r="C884" t="s">
        <v>2936</v>
      </c>
      <c r="D884" t="s">
        <v>3605</v>
      </c>
      <c r="E884" t="s">
        <v>3606</v>
      </c>
      <c r="F884" t="s">
        <v>29</v>
      </c>
      <c r="G884" t="s">
        <v>3607</v>
      </c>
      <c r="H884" t="s">
        <v>29</v>
      </c>
      <c r="I884">
        <v>17</v>
      </c>
      <c r="J884">
        <v>12</v>
      </c>
      <c r="K884">
        <v>25</v>
      </c>
      <c r="L884">
        <v>35800</v>
      </c>
      <c r="M884" t="s">
        <v>3608</v>
      </c>
      <c r="N884" t="s">
        <v>29</v>
      </c>
      <c r="O884">
        <v>9564155</v>
      </c>
      <c r="P884" t="s">
        <v>2941</v>
      </c>
      <c r="Q884">
        <v>1125277</v>
      </c>
      <c r="R884" t="s">
        <v>2942</v>
      </c>
      <c r="S884">
        <v>93</v>
      </c>
      <c r="T884" t="b">
        <v>0</v>
      </c>
      <c r="U884">
        <v>1</v>
      </c>
      <c r="V884">
        <v>3</v>
      </c>
      <c r="W884" t="s">
        <v>35</v>
      </c>
      <c r="X884" t="s">
        <v>3609</v>
      </c>
      <c r="Y884" t="s">
        <v>29</v>
      </c>
      <c r="Z884" t="s">
        <v>37</v>
      </c>
      <c r="AA884">
        <f>TwitterClean[[#This Row],[likes]]+TwitterClean[[#This Row],[replies]]+TwitterClean[[#This Row],[reposts]]+TwitterClean[[#This Row],[quotes]]+TwitterClean[[#This Row],[bookmarks]]</f>
        <v>58</v>
      </c>
      <c r="AB884" s="1">
        <f>TwitterClean[[#This Row],[Total_Engagements]]/TwitterClean[[#This Row],[views]]</f>
        <v>1.6201117318435754E-3</v>
      </c>
      <c r="AC884" s="3">
        <f>DATEVALUE(MID(TwitterClean[[#This Row],[date_posted]],2,10))</f>
        <v>45641</v>
      </c>
      <c r="AD884">
        <f>TIMEVALUE(MID(TwitterClean[[#This Row],[date_posted]],13,8))</f>
        <v>0.12935185185185186</v>
      </c>
      <c r="AE884" s="3" t="str">
        <f>TEXT(TwitterClean[[#This Row],[Post_Date]],"dddd")</f>
        <v>Sunday</v>
      </c>
      <c r="AF884">
        <f>HOUR(TwitterClean[[#This Row],[Post_Time]])</f>
        <v>3</v>
      </c>
      <c r="AG884" t="str">
        <f>IF(TwitterClean[[#This Row],[videos]]="Null","No","Yes")</f>
        <v>No</v>
      </c>
      <c r="AH884" t="str">
        <f>IF(TwitterClean[[#This Row],[photos]]="null","No","Yes")</f>
        <v>No</v>
      </c>
      <c r="AI884" t="str">
        <f>IF(TwitterClean[[#This Row],[hashtags]]="null","No","Yes")</f>
        <v>No</v>
      </c>
      <c r="AJ884" t="str">
        <f>IF(TwitterClean[[#This Row],[external_url]]="null","Yes","No")</f>
        <v>No</v>
      </c>
      <c r="AK884">
        <f>LEN(TwitterClean[[#This Row],[description]])</f>
        <v>195</v>
      </c>
      <c r="AL884" t="str">
        <f>IF(TwitterClean[[#This Row],[followers]]&lt;100000,"&lt;100K",IF(TwitterClean[[#This Row],[followers]]&lt;1000000,"100K-1M",IF(TwitterClean[[#This Row],[followers]]&lt;10000000,"1M-10M","10M+")))</f>
        <v>1M-10M</v>
      </c>
    </row>
    <row r="885" spans="1:38">
      <c r="A885">
        <v>1.868416186024641E+18</v>
      </c>
      <c r="B885" t="s">
        <v>2230</v>
      </c>
      <c r="C885" t="s">
        <v>2231</v>
      </c>
      <c r="D885" t="s">
        <v>2504</v>
      </c>
      <c r="E885" t="s">
        <v>2505</v>
      </c>
      <c r="F885" t="s">
        <v>2506</v>
      </c>
      <c r="G885" t="s">
        <v>2507</v>
      </c>
      <c r="H885" t="s">
        <v>29</v>
      </c>
      <c r="I885">
        <v>9</v>
      </c>
      <c r="J885">
        <v>3</v>
      </c>
      <c r="K885">
        <v>20</v>
      </c>
      <c r="L885">
        <v>21800</v>
      </c>
      <c r="M885" t="s">
        <v>2508</v>
      </c>
      <c r="N885" t="s">
        <v>29</v>
      </c>
      <c r="O885">
        <v>3313886</v>
      </c>
      <c r="P885" t="s">
        <v>2237</v>
      </c>
      <c r="Q885">
        <v>706459</v>
      </c>
      <c r="R885" t="s">
        <v>2238</v>
      </c>
      <c r="S885">
        <v>10308</v>
      </c>
      <c r="T885" t="b">
        <v>0</v>
      </c>
      <c r="U885">
        <v>1</v>
      </c>
      <c r="V885">
        <v>2</v>
      </c>
      <c r="W885" t="s">
        <v>35</v>
      </c>
      <c r="X885" t="s">
        <v>29</v>
      </c>
      <c r="Y885" t="s">
        <v>29</v>
      </c>
      <c r="Z885" t="s">
        <v>37</v>
      </c>
      <c r="AA885">
        <f>TwitterClean[[#This Row],[likes]]+TwitterClean[[#This Row],[replies]]+TwitterClean[[#This Row],[reposts]]+TwitterClean[[#This Row],[quotes]]+TwitterClean[[#This Row],[bookmarks]]</f>
        <v>35</v>
      </c>
      <c r="AB885" s="1">
        <f>TwitterClean[[#This Row],[Total_Engagements]]/TwitterClean[[#This Row],[views]]</f>
        <v>1.6055045871559634E-3</v>
      </c>
      <c r="AC885" s="3">
        <f>DATEVALUE(MID(TwitterClean[[#This Row],[date_posted]],2,10))</f>
        <v>45641</v>
      </c>
      <c r="AD885">
        <f>TIMEVALUE(MID(TwitterClean[[#This Row],[date_posted]],13,8))</f>
        <v>0.91789351851851853</v>
      </c>
      <c r="AE885" s="3" t="str">
        <f>TEXT(TwitterClean[[#This Row],[Post_Date]],"dddd")</f>
        <v>Sunday</v>
      </c>
      <c r="AF885">
        <f>HOUR(TwitterClean[[#This Row],[Post_Time]])</f>
        <v>22</v>
      </c>
      <c r="AG885" t="str">
        <f>IF(TwitterClean[[#This Row],[videos]]="Null","No","Yes")</f>
        <v>No</v>
      </c>
      <c r="AH885" t="str">
        <f>IF(TwitterClean[[#This Row],[photos]]="null","No","Yes")</f>
        <v>Yes</v>
      </c>
      <c r="AI885" t="str">
        <f>IF(TwitterClean[[#This Row],[hashtags]]="null","No","Yes")</f>
        <v>No</v>
      </c>
      <c r="AJ885" t="str">
        <f>IF(TwitterClean[[#This Row],[external_url]]="null","Yes","No")</f>
        <v>No</v>
      </c>
      <c r="AK885">
        <f>LEN(TwitterClean[[#This Row],[description]])</f>
        <v>67</v>
      </c>
      <c r="AL885" t="str">
        <f>IF(TwitterClean[[#This Row],[followers]]&lt;100000,"&lt;100K",IF(TwitterClean[[#This Row],[followers]]&lt;1000000,"100K-1M",IF(TwitterClean[[#This Row],[followers]]&lt;10000000,"1M-10M","10M+")))</f>
        <v>1M-10M</v>
      </c>
    </row>
    <row r="886" spans="1:38">
      <c r="A886">
        <v>1.8682252551241979E+18</v>
      </c>
      <c r="B886" t="s">
        <v>2935</v>
      </c>
      <c r="C886" t="s">
        <v>2936</v>
      </c>
      <c r="D886" t="s">
        <v>3488</v>
      </c>
      <c r="E886" t="s">
        <v>3489</v>
      </c>
      <c r="F886" t="s">
        <v>29</v>
      </c>
      <c r="G886" t="s">
        <v>3490</v>
      </c>
      <c r="H886" t="s">
        <v>29</v>
      </c>
      <c r="I886">
        <v>15</v>
      </c>
      <c r="J886">
        <v>3</v>
      </c>
      <c r="K886">
        <v>23</v>
      </c>
      <c r="L886">
        <v>27699</v>
      </c>
      <c r="M886" t="s">
        <v>3491</v>
      </c>
      <c r="N886" t="s">
        <v>29</v>
      </c>
      <c r="O886">
        <v>9564155</v>
      </c>
      <c r="P886" t="s">
        <v>2941</v>
      </c>
      <c r="Q886">
        <v>1125277</v>
      </c>
      <c r="R886" t="s">
        <v>2942</v>
      </c>
      <c r="S886">
        <v>93</v>
      </c>
      <c r="T886" t="b">
        <v>0</v>
      </c>
      <c r="U886">
        <v>1</v>
      </c>
      <c r="V886">
        <v>2</v>
      </c>
      <c r="W886" t="s">
        <v>35</v>
      </c>
      <c r="X886" t="s">
        <v>3492</v>
      </c>
      <c r="Y886" t="s">
        <v>29</v>
      </c>
      <c r="Z886" t="s">
        <v>37</v>
      </c>
      <c r="AA886">
        <f>TwitterClean[[#This Row],[likes]]+TwitterClean[[#This Row],[replies]]+TwitterClean[[#This Row],[reposts]]+TwitterClean[[#This Row],[quotes]]+TwitterClean[[#This Row],[bookmarks]]</f>
        <v>44</v>
      </c>
      <c r="AB886" s="1">
        <f>TwitterClean[[#This Row],[Total_Engagements]]/TwitterClean[[#This Row],[views]]</f>
        <v>1.5885050001805119E-3</v>
      </c>
      <c r="AC886" s="3">
        <f>DATEVALUE(MID(TwitterClean[[#This Row],[date_posted]],2,10))</f>
        <v>45641</v>
      </c>
      <c r="AD886">
        <f>TIMEVALUE(MID(TwitterClean[[#This Row],[date_posted]],13,8))</f>
        <v>0.39103009259259258</v>
      </c>
      <c r="AE886" s="3" t="str">
        <f>TEXT(TwitterClean[[#This Row],[Post_Date]],"dddd")</f>
        <v>Sunday</v>
      </c>
      <c r="AF886">
        <f>HOUR(TwitterClean[[#This Row],[Post_Time]])</f>
        <v>9</v>
      </c>
      <c r="AG886" t="str">
        <f>IF(TwitterClean[[#This Row],[videos]]="Null","No","Yes")</f>
        <v>No</v>
      </c>
      <c r="AH886" t="str">
        <f>IF(TwitterClean[[#This Row],[photos]]="null","No","Yes")</f>
        <v>No</v>
      </c>
      <c r="AI886" t="str">
        <f>IF(TwitterClean[[#This Row],[hashtags]]="null","No","Yes")</f>
        <v>No</v>
      </c>
      <c r="AJ886" t="str">
        <f>IF(TwitterClean[[#This Row],[external_url]]="null","Yes","No")</f>
        <v>No</v>
      </c>
      <c r="AK886">
        <f>LEN(TwitterClean[[#This Row],[description]])</f>
        <v>206</v>
      </c>
      <c r="AL886" t="str">
        <f>IF(TwitterClean[[#This Row],[followers]]&lt;100000,"&lt;100K",IF(TwitterClean[[#This Row],[followers]]&lt;1000000,"100K-1M",IF(TwitterClean[[#This Row],[followers]]&lt;10000000,"1M-10M","10M+")))</f>
        <v>1M-10M</v>
      </c>
    </row>
    <row r="887" spans="1:38">
      <c r="A887">
        <v>1.8685121374059971E+18</v>
      </c>
      <c r="B887" t="s">
        <v>2935</v>
      </c>
      <c r="C887" t="s">
        <v>2936</v>
      </c>
      <c r="D887" t="s">
        <v>3567</v>
      </c>
      <c r="E887" t="s">
        <v>3568</v>
      </c>
      <c r="F887" t="s">
        <v>29</v>
      </c>
      <c r="G887" t="s">
        <v>3569</v>
      </c>
      <c r="H887" t="s">
        <v>29</v>
      </c>
      <c r="I887">
        <v>5</v>
      </c>
      <c r="J887">
        <v>6</v>
      </c>
      <c r="K887">
        <v>17</v>
      </c>
      <c r="L887">
        <v>20167</v>
      </c>
      <c r="M887" t="s">
        <v>3570</v>
      </c>
      <c r="N887" t="s">
        <v>29</v>
      </c>
      <c r="O887">
        <v>9564156</v>
      </c>
      <c r="P887" t="s">
        <v>2941</v>
      </c>
      <c r="Q887">
        <v>1125277</v>
      </c>
      <c r="R887" t="s">
        <v>2942</v>
      </c>
      <c r="S887">
        <v>93</v>
      </c>
      <c r="T887" t="b">
        <v>0</v>
      </c>
      <c r="U887">
        <v>1</v>
      </c>
      <c r="V887">
        <v>3</v>
      </c>
      <c r="W887" t="s">
        <v>35</v>
      </c>
      <c r="X887" t="s">
        <v>3137</v>
      </c>
      <c r="Y887" t="s">
        <v>29</v>
      </c>
      <c r="Z887" t="s">
        <v>37</v>
      </c>
      <c r="AA887">
        <f>TwitterClean[[#This Row],[likes]]+TwitterClean[[#This Row],[replies]]+TwitterClean[[#This Row],[reposts]]+TwitterClean[[#This Row],[quotes]]+TwitterClean[[#This Row],[bookmarks]]</f>
        <v>32</v>
      </c>
      <c r="AB887" s="1">
        <f>TwitterClean[[#This Row],[Total_Engagements]]/TwitterClean[[#This Row],[views]]</f>
        <v>1.5867506322209551E-3</v>
      </c>
      <c r="AC887" s="3">
        <f>DATEVALUE(MID(TwitterClean[[#This Row],[date_posted]],2,10))</f>
        <v>45642</v>
      </c>
      <c r="AD887">
        <f>TIMEVALUE(MID(TwitterClean[[#This Row],[date_posted]],13,8))</f>
        <v>0.18267361111111111</v>
      </c>
      <c r="AE887" s="3" t="str">
        <f>TEXT(TwitterClean[[#This Row],[Post_Date]],"dddd")</f>
        <v>Monday</v>
      </c>
      <c r="AF887">
        <f>HOUR(TwitterClean[[#This Row],[Post_Time]])</f>
        <v>4</v>
      </c>
      <c r="AG887" t="str">
        <f>IF(TwitterClean[[#This Row],[videos]]="Null","No","Yes")</f>
        <v>No</v>
      </c>
      <c r="AH887" t="str">
        <f>IF(TwitterClean[[#This Row],[photos]]="null","No","Yes")</f>
        <v>No</v>
      </c>
      <c r="AI887" t="str">
        <f>IF(TwitterClean[[#This Row],[hashtags]]="null","No","Yes")</f>
        <v>No</v>
      </c>
      <c r="AJ887" t="str">
        <f>IF(TwitterClean[[#This Row],[external_url]]="null","Yes","No")</f>
        <v>No</v>
      </c>
      <c r="AK887">
        <f>LEN(TwitterClean[[#This Row],[description]])</f>
        <v>73</v>
      </c>
      <c r="AL887" t="str">
        <f>IF(TwitterClean[[#This Row],[followers]]&lt;100000,"&lt;100K",IF(TwitterClean[[#This Row],[followers]]&lt;1000000,"100K-1M",IF(TwitterClean[[#This Row],[followers]]&lt;10000000,"1M-10M","10M+")))</f>
        <v>1M-10M</v>
      </c>
    </row>
    <row r="888" spans="1:38">
      <c r="A888">
        <v>1.86825620016221E+18</v>
      </c>
      <c r="B888" t="s">
        <v>2935</v>
      </c>
      <c r="C888" t="s">
        <v>2936</v>
      </c>
      <c r="D888" t="s">
        <v>3597</v>
      </c>
      <c r="E888" t="s">
        <v>3598</v>
      </c>
      <c r="F888" t="s">
        <v>29</v>
      </c>
      <c r="G888" t="s">
        <v>3599</v>
      </c>
      <c r="H888" t="s">
        <v>29</v>
      </c>
      <c r="I888">
        <v>15</v>
      </c>
      <c r="J888">
        <v>3</v>
      </c>
      <c r="K888">
        <v>27</v>
      </c>
      <c r="L888">
        <v>30435</v>
      </c>
      <c r="M888" t="s">
        <v>3600</v>
      </c>
      <c r="N888" t="s">
        <v>29</v>
      </c>
      <c r="O888">
        <v>9564155</v>
      </c>
      <c r="P888" t="s">
        <v>2941</v>
      </c>
      <c r="Q888">
        <v>1125277</v>
      </c>
      <c r="R888" t="s">
        <v>2942</v>
      </c>
      <c r="S888">
        <v>93</v>
      </c>
      <c r="T888" t="b">
        <v>0</v>
      </c>
      <c r="U888">
        <v>2</v>
      </c>
      <c r="V888">
        <v>1</v>
      </c>
      <c r="W888" t="s">
        <v>35</v>
      </c>
      <c r="X888" t="s">
        <v>3601</v>
      </c>
      <c r="Y888" t="s">
        <v>29</v>
      </c>
      <c r="Z888" t="s">
        <v>37</v>
      </c>
      <c r="AA888">
        <f>TwitterClean[[#This Row],[likes]]+TwitterClean[[#This Row],[replies]]+TwitterClean[[#This Row],[reposts]]+TwitterClean[[#This Row],[quotes]]+TwitterClean[[#This Row],[bookmarks]]</f>
        <v>48</v>
      </c>
      <c r="AB888" s="1">
        <f>TwitterClean[[#This Row],[Total_Engagements]]/TwitterClean[[#This Row],[views]]</f>
        <v>1.5771315919172006E-3</v>
      </c>
      <c r="AC888" s="3">
        <f>DATEVALUE(MID(TwitterClean[[#This Row],[date_posted]],2,10))</f>
        <v>45641</v>
      </c>
      <c r="AD888">
        <f>TIMEVALUE(MID(TwitterClean[[#This Row],[date_posted]],13,8))</f>
        <v>0.47642361111111109</v>
      </c>
      <c r="AE888" s="3" t="str">
        <f>TEXT(TwitterClean[[#This Row],[Post_Date]],"dddd")</f>
        <v>Sunday</v>
      </c>
      <c r="AF888">
        <f>HOUR(TwitterClean[[#This Row],[Post_Time]])</f>
        <v>11</v>
      </c>
      <c r="AG888" t="str">
        <f>IF(TwitterClean[[#This Row],[videos]]="Null","No","Yes")</f>
        <v>No</v>
      </c>
      <c r="AH888" t="str">
        <f>IF(TwitterClean[[#This Row],[photos]]="null","No","Yes")</f>
        <v>No</v>
      </c>
      <c r="AI888" t="str">
        <f>IF(TwitterClean[[#This Row],[hashtags]]="null","No","Yes")</f>
        <v>No</v>
      </c>
      <c r="AJ888" t="str">
        <f>IF(TwitterClean[[#This Row],[external_url]]="null","Yes","No")</f>
        <v>No</v>
      </c>
      <c r="AK888">
        <f>LEN(TwitterClean[[#This Row],[description]])</f>
        <v>160</v>
      </c>
      <c r="AL888" t="str">
        <f>IF(TwitterClean[[#This Row],[followers]]&lt;100000,"&lt;100K",IF(TwitterClean[[#This Row],[followers]]&lt;1000000,"100K-1M",IF(TwitterClean[[#This Row],[followers]]&lt;10000000,"1M-10M","10M+")))</f>
        <v>1M-10M</v>
      </c>
    </row>
    <row r="889" spans="1:38">
      <c r="A889">
        <v>1.8685202112482798E+18</v>
      </c>
      <c r="B889" t="s">
        <v>2935</v>
      </c>
      <c r="C889" t="s">
        <v>2936</v>
      </c>
      <c r="D889" t="s">
        <v>3557</v>
      </c>
      <c r="E889" t="s">
        <v>3558</v>
      </c>
      <c r="F889" t="s">
        <v>29</v>
      </c>
      <c r="G889" t="s">
        <v>3559</v>
      </c>
      <c r="H889" t="s">
        <v>29</v>
      </c>
      <c r="I889">
        <v>3</v>
      </c>
      <c r="J889">
        <v>4</v>
      </c>
      <c r="K889">
        <v>13</v>
      </c>
      <c r="L889">
        <v>15491</v>
      </c>
      <c r="M889" t="s">
        <v>3560</v>
      </c>
      <c r="N889" t="s">
        <v>29</v>
      </c>
      <c r="O889">
        <v>9564153</v>
      </c>
      <c r="P889" t="s">
        <v>2941</v>
      </c>
      <c r="Q889">
        <v>1125277</v>
      </c>
      <c r="R889" t="s">
        <v>2942</v>
      </c>
      <c r="S889">
        <v>93</v>
      </c>
      <c r="T889" t="b">
        <v>0</v>
      </c>
      <c r="U889">
        <v>2</v>
      </c>
      <c r="V889">
        <v>2</v>
      </c>
      <c r="W889" t="s">
        <v>35</v>
      </c>
      <c r="X889" t="s">
        <v>3561</v>
      </c>
      <c r="Y889" t="s">
        <v>29</v>
      </c>
      <c r="Z889" t="s">
        <v>37</v>
      </c>
      <c r="AA889">
        <f>TwitterClean[[#This Row],[likes]]+TwitterClean[[#This Row],[replies]]+TwitterClean[[#This Row],[reposts]]+TwitterClean[[#This Row],[quotes]]+TwitterClean[[#This Row],[bookmarks]]</f>
        <v>24</v>
      </c>
      <c r="AB889" s="1">
        <f>TwitterClean[[#This Row],[Total_Engagements]]/TwitterClean[[#This Row],[views]]</f>
        <v>1.5492866825898908E-3</v>
      </c>
      <c r="AC889" s="3">
        <f>DATEVALUE(MID(TwitterClean[[#This Row],[date_posted]],2,10))</f>
        <v>45642</v>
      </c>
      <c r="AD889">
        <f>TIMEVALUE(MID(TwitterClean[[#This Row],[date_posted]],13,8))</f>
        <v>0.20495370370370369</v>
      </c>
      <c r="AE889" s="3" t="str">
        <f>TEXT(TwitterClean[[#This Row],[Post_Date]],"dddd")</f>
        <v>Monday</v>
      </c>
      <c r="AF889">
        <f>HOUR(TwitterClean[[#This Row],[Post_Time]])</f>
        <v>4</v>
      </c>
      <c r="AG889" t="str">
        <f>IF(TwitterClean[[#This Row],[videos]]="Null","No","Yes")</f>
        <v>No</v>
      </c>
      <c r="AH889" t="str">
        <f>IF(TwitterClean[[#This Row],[photos]]="null","No","Yes")</f>
        <v>No</v>
      </c>
      <c r="AI889" t="str">
        <f>IF(TwitterClean[[#This Row],[hashtags]]="null","No","Yes")</f>
        <v>No</v>
      </c>
      <c r="AJ889" t="str">
        <f>IF(TwitterClean[[#This Row],[external_url]]="null","Yes","No")</f>
        <v>No</v>
      </c>
      <c r="AK889">
        <f>LEN(TwitterClean[[#This Row],[description]])</f>
        <v>133</v>
      </c>
      <c r="AL889" t="str">
        <f>IF(TwitterClean[[#This Row],[followers]]&lt;100000,"&lt;100K",IF(TwitterClean[[#This Row],[followers]]&lt;1000000,"100K-1M",IF(TwitterClean[[#This Row],[followers]]&lt;10000000,"1M-10M","10M+")))</f>
        <v>1M-10M</v>
      </c>
    </row>
    <row r="890" spans="1:38">
      <c r="A890">
        <v>1.8680943852309097E+18</v>
      </c>
      <c r="B890" t="s">
        <v>2935</v>
      </c>
      <c r="C890" t="s">
        <v>2936</v>
      </c>
      <c r="D890" t="s">
        <v>3713</v>
      </c>
      <c r="E890" t="s">
        <v>3714</v>
      </c>
      <c r="F890" t="s">
        <v>29</v>
      </c>
      <c r="G890" t="s">
        <v>3715</v>
      </c>
      <c r="H890" t="s">
        <v>29</v>
      </c>
      <c r="I890">
        <v>3</v>
      </c>
      <c r="J890">
        <v>12</v>
      </c>
      <c r="K890">
        <v>35</v>
      </c>
      <c r="L890">
        <v>36885</v>
      </c>
      <c r="M890" t="s">
        <v>3716</v>
      </c>
      <c r="N890" t="s">
        <v>29</v>
      </c>
      <c r="O890">
        <v>9564156</v>
      </c>
      <c r="P890" t="s">
        <v>2941</v>
      </c>
      <c r="Q890">
        <v>1125277</v>
      </c>
      <c r="R890" t="s">
        <v>2942</v>
      </c>
      <c r="S890">
        <v>93</v>
      </c>
      <c r="T890" t="b">
        <v>0</v>
      </c>
      <c r="U890">
        <v>1</v>
      </c>
      <c r="V890">
        <v>6</v>
      </c>
      <c r="W890" t="s">
        <v>35</v>
      </c>
      <c r="X890" t="s">
        <v>3717</v>
      </c>
      <c r="Y890" t="s">
        <v>29</v>
      </c>
      <c r="Z890" t="s">
        <v>37</v>
      </c>
      <c r="AA890">
        <f>TwitterClean[[#This Row],[likes]]+TwitterClean[[#This Row],[replies]]+TwitterClean[[#This Row],[reposts]]+TwitterClean[[#This Row],[quotes]]+TwitterClean[[#This Row],[bookmarks]]</f>
        <v>57</v>
      </c>
      <c r="AB890" s="1">
        <f>TwitterClean[[#This Row],[Total_Engagements]]/TwitterClean[[#This Row],[views]]</f>
        <v>1.5453436356242375E-3</v>
      </c>
      <c r="AC890" s="3">
        <f>DATEVALUE(MID(TwitterClean[[#This Row],[date_posted]],2,10))</f>
        <v>45641</v>
      </c>
      <c r="AD890">
        <f>TIMEVALUE(MID(TwitterClean[[#This Row],[date_posted]],13,8))</f>
        <v>2.9895833333333333E-2</v>
      </c>
      <c r="AE890" s="3" t="str">
        <f>TEXT(TwitterClean[[#This Row],[Post_Date]],"dddd")</f>
        <v>Sunday</v>
      </c>
      <c r="AF890">
        <f>HOUR(TwitterClean[[#This Row],[Post_Time]])</f>
        <v>0</v>
      </c>
      <c r="AG890" t="str">
        <f>IF(TwitterClean[[#This Row],[videos]]="Null","No","Yes")</f>
        <v>No</v>
      </c>
      <c r="AH890" t="str">
        <f>IF(TwitterClean[[#This Row],[photos]]="null","No","Yes")</f>
        <v>No</v>
      </c>
      <c r="AI890" t="str">
        <f>IF(TwitterClean[[#This Row],[hashtags]]="null","No","Yes")</f>
        <v>No</v>
      </c>
      <c r="AJ890" t="str">
        <f>IF(TwitterClean[[#This Row],[external_url]]="null","Yes","No")</f>
        <v>No</v>
      </c>
      <c r="AK890">
        <f>LEN(TwitterClean[[#This Row],[description]])</f>
        <v>134</v>
      </c>
      <c r="AL890" t="str">
        <f>IF(TwitterClean[[#This Row],[followers]]&lt;100000,"&lt;100K",IF(TwitterClean[[#This Row],[followers]]&lt;1000000,"100K-1M",IF(TwitterClean[[#This Row],[followers]]&lt;10000000,"1M-10M","10M+")))</f>
        <v>1M-10M</v>
      </c>
    </row>
    <row r="891" spans="1:38">
      <c r="A891">
        <v>1.8683888727673042E+18</v>
      </c>
      <c r="B891" t="s">
        <v>2230</v>
      </c>
      <c r="C891" t="s">
        <v>2231</v>
      </c>
      <c r="D891" t="s">
        <v>2692</v>
      </c>
      <c r="E891" t="s">
        <v>2693</v>
      </c>
      <c r="F891" t="s">
        <v>2694</v>
      </c>
      <c r="G891" t="s">
        <v>2695</v>
      </c>
      <c r="H891" t="s">
        <v>29</v>
      </c>
      <c r="I891">
        <v>7</v>
      </c>
      <c r="J891">
        <v>4</v>
      </c>
      <c r="K891">
        <v>23</v>
      </c>
      <c r="L891">
        <v>23766</v>
      </c>
      <c r="M891" t="s">
        <v>2696</v>
      </c>
      <c r="N891" t="s">
        <v>29</v>
      </c>
      <c r="O891">
        <v>3313887</v>
      </c>
      <c r="P891" t="s">
        <v>2237</v>
      </c>
      <c r="Q891">
        <v>706459</v>
      </c>
      <c r="R891" t="s">
        <v>2238</v>
      </c>
      <c r="S891">
        <v>10308</v>
      </c>
      <c r="T891" t="b">
        <v>0</v>
      </c>
      <c r="U891">
        <v>1</v>
      </c>
      <c r="V891">
        <v>1</v>
      </c>
      <c r="W891" t="s">
        <v>35</v>
      </c>
      <c r="X891" t="s">
        <v>29</v>
      </c>
      <c r="Y891" t="s">
        <v>29</v>
      </c>
      <c r="Z891" t="s">
        <v>37</v>
      </c>
      <c r="AA891">
        <f>TwitterClean[[#This Row],[likes]]+TwitterClean[[#This Row],[replies]]+TwitterClean[[#This Row],[reposts]]+TwitterClean[[#This Row],[quotes]]+TwitterClean[[#This Row],[bookmarks]]</f>
        <v>36</v>
      </c>
      <c r="AB891" s="1">
        <f>TwitterClean[[#This Row],[Total_Engagements]]/TwitterClean[[#This Row],[views]]</f>
        <v>1.5147689977278464E-3</v>
      </c>
      <c r="AC891" s="3">
        <f>DATEVALUE(MID(TwitterClean[[#This Row],[date_posted]],2,10))</f>
        <v>45641</v>
      </c>
      <c r="AD891">
        <f>TIMEVALUE(MID(TwitterClean[[#This Row],[date_posted]],13,8))</f>
        <v>0.8425231481481481</v>
      </c>
      <c r="AE891" s="3" t="str">
        <f>TEXT(TwitterClean[[#This Row],[Post_Date]],"dddd")</f>
        <v>Sunday</v>
      </c>
      <c r="AF891">
        <f>HOUR(TwitterClean[[#This Row],[Post_Time]])</f>
        <v>20</v>
      </c>
      <c r="AG891" t="str">
        <f>IF(TwitterClean[[#This Row],[videos]]="Null","No","Yes")</f>
        <v>No</v>
      </c>
      <c r="AH891" t="str">
        <f>IF(TwitterClean[[#This Row],[photos]]="null","No","Yes")</f>
        <v>Yes</v>
      </c>
      <c r="AI891" t="str">
        <f>IF(TwitterClean[[#This Row],[hashtags]]="null","No","Yes")</f>
        <v>No</v>
      </c>
      <c r="AJ891" t="str">
        <f>IF(TwitterClean[[#This Row],[external_url]]="null","Yes","No")</f>
        <v>No</v>
      </c>
      <c r="AK891">
        <f>LEN(TwitterClean[[#This Row],[description]])</f>
        <v>75</v>
      </c>
      <c r="AL891" t="str">
        <f>IF(TwitterClean[[#This Row],[followers]]&lt;100000,"&lt;100K",IF(TwitterClean[[#This Row],[followers]]&lt;1000000,"100K-1M",IF(TwitterClean[[#This Row],[followers]]&lt;10000000,"1M-10M","10M+")))</f>
        <v>1M-10M</v>
      </c>
    </row>
    <row r="892" spans="1:38">
      <c r="A892">
        <v>1.8681559625712806E+18</v>
      </c>
      <c r="B892" t="s">
        <v>1646</v>
      </c>
      <c r="C892" t="s">
        <v>1647</v>
      </c>
      <c r="D892" t="s">
        <v>1778</v>
      </c>
      <c r="E892" t="s">
        <v>1779</v>
      </c>
      <c r="F892" t="s">
        <v>29</v>
      </c>
      <c r="G892" t="s">
        <v>1780</v>
      </c>
      <c r="H892" t="s">
        <v>29</v>
      </c>
      <c r="I892">
        <v>2</v>
      </c>
      <c r="J892">
        <v>2</v>
      </c>
      <c r="K892">
        <v>10</v>
      </c>
      <c r="L892">
        <v>9985</v>
      </c>
      <c r="M892" t="s">
        <v>1781</v>
      </c>
      <c r="N892" t="s">
        <v>1760</v>
      </c>
      <c r="O892">
        <v>3768943</v>
      </c>
      <c r="P892" t="s">
        <v>1653</v>
      </c>
      <c r="Q892">
        <v>897934</v>
      </c>
      <c r="R892" t="s">
        <v>1654</v>
      </c>
      <c r="S892">
        <v>28</v>
      </c>
      <c r="T892" t="b">
        <v>0</v>
      </c>
      <c r="U892">
        <v>0</v>
      </c>
      <c r="V892">
        <v>1</v>
      </c>
      <c r="W892" t="s">
        <v>35</v>
      </c>
      <c r="X892" t="s">
        <v>1782</v>
      </c>
      <c r="Y892" t="s">
        <v>29</v>
      </c>
      <c r="Z892" t="s">
        <v>37</v>
      </c>
      <c r="AA892">
        <f>TwitterClean[[#This Row],[likes]]+TwitterClean[[#This Row],[replies]]+TwitterClean[[#This Row],[reposts]]+TwitterClean[[#This Row],[quotes]]+TwitterClean[[#This Row],[bookmarks]]</f>
        <v>15</v>
      </c>
      <c r="AB892" s="1">
        <f>TwitterClean[[#This Row],[Total_Engagements]]/TwitterClean[[#This Row],[views]]</f>
        <v>1.5022533800701052E-3</v>
      </c>
      <c r="AC892" s="3">
        <f>DATEVALUE(MID(TwitterClean[[#This Row],[date_posted]],2,10))</f>
        <v>45641</v>
      </c>
      <c r="AD892">
        <f>TIMEVALUE(MID(TwitterClean[[#This Row],[date_posted]],13,8))</f>
        <v>0.19981481481481481</v>
      </c>
      <c r="AE892" s="3" t="str">
        <f>TEXT(TwitterClean[[#This Row],[Post_Date]],"dddd")</f>
        <v>Sunday</v>
      </c>
      <c r="AF892">
        <f>HOUR(TwitterClean[[#This Row],[Post_Time]])</f>
        <v>4</v>
      </c>
      <c r="AG892" t="str">
        <f>IF(TwitterClean[[#This Row],[videos]]="Null","No","Yes")</f>
        <v>No</v>
      </c>
      <c r="AH892" t="str">
        <f>IF(TwitterClean[[#This Row],[photos]]="null","No","Yes")</f>
        <v>No</v>
      </c>
      <c r="AI892" t="str">
        <f>IF(TwitterClean[[#This Row],[hashtags]]="null","No","Yes")</f>
        <v>Yes</v>
      </c>
      <c r="AJ892" t="str">
        <f>IF(TwitterClean[[#This Row],[external_url]]="null","Yes","No")</f>
        <v>No</v>
      </c>
      <c r="AK892">
        <f>LEN(TwitterClean[[#This Row],[description]])</f>
        <v>78</v>
      </c>
      <c r="AL892" t="str">
        <f>IF(TwitterClean[[#This Row],[followers]]&lt;100000,"&lt;100K",IF(TwitterClean[[#This Row],[followers]]&lt;1000000,"100K-1M",IF(TwitterClean[[#This Row],[followers]]&lt;10000000,"1M-10M","10M+")))</f>
        <v>1M-10M</v>
      </c>
    </row>
    <row r="893" spans="1:38">
      <c r="A893">
        <v>1.8684415332145321E+18</v>
      </c>
      <c r="B893" t="s">
        <v>2935</v>
      </c>
      <c r="C893" t="s">
        <v>2936</v>
      </c>
      <c r="D893" t="s">
        <v>2949</v>
      </c>
      <c r="E893" t="s">
        <v>2950</v>
      </c>
      <c r="F893" t="s">
        <v>29</v>
      </c>
      <c r="G893" t="s">
        <v>2951</v>
      </c>
      <c r="H893" t="s">
        <v>29</v>
      </c>
      <c r="I893">
        <v>12</v>
      </c>
      <c r="J893">
        <v>7</v>
      </c>
      <c r="K893">
        <v>21</v>
      </c>
      <c r="L893">
        <v>29394</v>
      </c>
      <c r="M893" t="s">
        <v>2952</v>
      </c>
      <c r="N893" t="s">
        <v>29</v>
      </c>
      <c r="O893">
        <v>9564156</v>
      </c>
      <c r="P893" t="s">
        <v>2941</v>
      </c>
      <c r="Q893">
        <v>1125277</v>
      </c>
      <c r="R893" t="s">
        <v>2942</v>
      </c>
      <c r="S893">
        <v>93</v>
      </c>
      <c r="T893" t="b">
        <v>0</v>
      </c>
      <c r="U893">
        <v>3</v>
      </c>
      <c r="V893">
        <v>1</v>
      </c>
      <c r="W893" t="s">
        <v>35</v>
      </c>
      <c r="X893" t="s">
        <v>2953</v>
      </c>
      <c r="Y893" t="s">
        <v>29</v>
      </c>
      <c r="Z893" t="s">
        <v>37</v>
      </c>
      <c r="AA893">
        <f>TwitterClean[[#This Row],[likes]]+TwitterClean[[#This Row],[replies]]+TwitterClean[[#This Row],[reposts]]+TwitterClean[[#This Row],[quotes]]+TwitterClean[[#This Row],[bookmarks]]</f>
        <v>44</v>
      </c>
      <c r="AB893" s="1">
        <f>TwitterClean[[#This Row],[Total_Engagements]]/TwitterClean[[#This Row],[views]]</f>
        <v>1.4969041300945771E-3</v>
      </c>
      <c r="AC893" s="3">
        <f>DATEVALUE(MID(TwitterClean[[#This Row],[date_posted]],2,10))</f>
        <v>45641</v>
      </c>
      <c r="AD893">
        <f>TIMEVALUE(MID(TwitterClean[[#This Row],[date_posted]],13,8))</f>
        <v>0.98784722222222221</v>
      </c>
      <c r="AE893" s="3" t="str">
        <f>TEXT(TwitterClean[[#This Row],[Post_Date]],"dddd")</f>
        <v>Sunday</v>
      </c>
      <c r="AF893">
        <f>HOUR(TwitterClean[[#This Row],[Post_Time]])</f>
        <v>23</v>
      </c>
      <c r="AG893" t="str">
        <f>IF(TwitterClean[[#This Row],[videos]]="Null","No","Yes")</f>
        <v>No</v>
      </c>
      <c r="AH893" t="str">
        <f>IF(TwitterClean[[#This Row],[photos]]="null","No","Yes")</f>
        <v>No</v>
      </c>
      <c r="AI893" t="str">
        <f>IF(TwitterClean[[#This Row],[hashtags]]="null","No","Yes")</f>
        <v>No</v>
      </c>
      <c r="AJ893" t="str">
        <f>IF(TwitterClean[[#This Row],[external_url]]="null","Yes","No")</f>
        <v>No</v>
      </c>
      <c r="AK893">
        <f>LEN(TwitterClean[[#This Row],[description]])</f>
        <v>135</v>
      </c>
      <c r="AL893" t="str">
        <f>IF(TwitterClean[[#This Row],[followers]]&lt;100000,"&lt;100K",IF(TwitterClean[[#This Row],[followers]]&lt;1000000,"100K-1M",IF(TwitterClean[[#This Row],[followers]]&lt;10000000,"1M-10M","10M+")))</f>
        <v>1M-10M</v>
      </c>
    </row>
    <row r="894" spans="1:38">
      <c r="A894">
        <v>1.8684700016041331E+18</v>
      </c>
      <c r="B894" t="s">
        <v>183</v>
      </c>
      <c r="C894" t="s">
        <v>184</v>
      </c>
      <c r="D894" t="s">
        <v>1077</v>
      </c>
      <c r="E894" t="s">
        <v>1078</v>
      </c>
      <c r="F894" t="s">
        <v>29</v>
      </c>
      <c r="G894" t="s">
        <v>1079</v>
      </c>
      <c r="H894" t="s">
        <v>29</v>
      </c>
      <c r="I894">
        <v>12</v>
      </c>
      <c r="J894">
        <v>6</v>
      </c>
      <c r="K894">
        <v>38</v>
      </c>
      <c r="L894">
        <v>43452</v>
      </c>
      <c r="M894" t="s">
        <v>1080</v>
      </c>
      <c r="N894" t="s">
        <v>29</v>
      </c>
      <c r="O894">
        <v>27122999</v>
      </c>
      <c r="P894" t="s">
        <v>190</v>
      </c>
      <c r="Q894">
        <v>402761</v>
      </c>
      <c r="R894" t="s">
        <v>191</v>
      </c>
      <c r="S894">
        <v>155</v>
      </c>
      <c r="T894" t="b">
        <v>0</v>
      </c>
      <c r="U894">
        <v>3</v>
      </c>
      <c r="V894">
        <v>6</v>
      </c>
      <c r="W894" t="s">
        <v>35</v>
      </c>
      <c r="X894" t="s">
        <v>1081</v>
      </c>
      <c r="Y894" t="s">
        <v>29</v>
      </c>
      <c r="Z894" t="s">
        <v>37</v>
      </c>
      <c r="AA894">
        <f>TwitterClean[[#This Row],[likes]]+TwitterClean[[#This Row],[replies]]+TwitterClean[[#This Row],[reposts]]+TwitterClean[[#This Row],[quotes]]+TwitterClean[[#This Row],[bookmarks]]</f>
        <v>65</v>
      </c>
      <c r="AB894" s="1">
        <f>TwitterClean[[#This Row],[Total_Engagements]]/TwitterClean[[#This Row],[views]]</f>
        <v>1.4959035257295407E-3</v>
      </c>
      <c r="AC894" s="3">
        <f>DATEVALUE(MID(TwitterClean[[#This Row],[date_posted]],2,10))</f>
        <v>45642</v>
      </c>
      <c r="AD894">
        <f>TIMEVALUE(MID(TwitterClean[[#This Row],[date_posted]],13,8))</f>
        <v>6.6400462962962967E-2</v>
      </c>
      <c r="AE894" s="3" t="str">
        <f>TEXT(TwitterClean[[#This Row],[Post_Date]],"dddd")</f>
        <v>Monday</v>
      </c>
      <c r="AF894">
        <f>HOUR(TwitterClean[[#This Row],[Post_Time]])</f>
        <v>1</v>
      </c>
      <c r="AG894" t="str">
        <f>IF(TwitterClean[[#This Row],[videos]]="Null","No","Yes")</f>
        <v>No</v>
      </c>
      <c r="AH894" t="str">
        <f>IF(TwitterClean[[#This Row],[photos]]="null","No","Yes")</f>
        <v>No</v>
      </c>
      <c r="AI894" t="str">
        <f>IF(TwitterClean[[#This Row],[hashtags]]="null","No","Yes")</f>
        <v>No</v>
      </c>
      <c r="AJ894" t="str">
        <f>IF(TwitterClean[[#This Row],[external_url]]="null","Yes","No")</f>
        <v>No</v>
      </c>
      <c r="AK894">
        <f>LEN(TwitterClean[[#This Row],[description]])</f>
        <v>178</v>
      </c>
      <c r="AL894" t="str">
        <f>IF(TwitterClean[[#This Row],[followers]]&lt;100000,"&lt;100K",IF(TwitterClean[[#This Row],[followers]]&lt;1000000,"100K-1M",IF(TwitterClean[[#This Row],[followers]]&lt;10000000,"1M-10M","10M+")))</f>
        <v>10M+</v>
      </c>
    </row>
    <row r="895" spans="1:38">
      <c r="A895">
        <v>1.8682904198863506E+18</v>
      </c>
      <c r="B895" t="s">
        <v>183</v>
      </c>
      <c r="C895" t="s">
        <v>184</v>
      </c>
      <c r="D895" t="s">
        <v>653</v>
      </c>
      <c r="E895" t="s">
        <v>654</v>
      </c>
      <c r="F895" t="s">
        <v>29</v>
      </c>
      <c r="G895" t="s">
        <v>655</v>
      </c>
      <c r="H895" t="s">
        <v>29</v>
      </c>
      <c r="I895">
        <v>7</v>
      </c>
      <c r="J895">
        <v>19</v>
      </c>
      <c r="K895">
        <v>44</v>
      </c>
      <c r="L895">
        <v>53672</v>
      </c>
      <c r="M895" t="s">
        <v>656</v>
      </c>
      <c r="N895" t="s">
        <v>29</v>
      </c>
      <c r="O895">
        <v>27122998</v>
      </c>
      <c r="P895" t="s">
        <v>190</v>
      </c>
      <c r="Q895">
        <v>402760</v>
      </c>
      <c r="R895" t="s">
        <v>191</v>
      </c>
      <c r="S895">
        <v>155</v>
      </c>
      <c r="T895" t="b">
        <v>0</v>
      </c>
      <c r="U895">
        <v>1</v>
      </c>
      <c r="V895">
        <v>9</v>
      </c>
      <c r="W895" t="s">
        <v>35</v>
      </c>
      <c r="X895" t="s">
        <v>657</v>
      </c>
      <c r="Y895" t="s">
        <v>29</v>
      </c>
      <c r="Z895" t="s">
        <v>37</v>
      </c>
      <c r="AA895">
        <f>TwitterClean[[#This Row],[likes]]+TwitterClean[[#This Row],[replies]]+TwitterClean[[#This Row],[reposts]]+TwitterClean[[#This Row],[quotes]]+TwitterClean[[#This Row],[bookmarks]]</f>
        <v>80</v>
      </c>
      <c r="AB895" s="1">
        <f>TwitterClean[[#This Row],[Total_Engagements]]/TwitterClean[[#This Row],[views]]</f>
        <v>1.4905351021016545E-3</v>
      </c>
      <c r="AC895" s="3">
        <f>DATEVALUE(MID(TwitterClean[[#This Row],[date_posted]],2,10))</f>
        <v>45641</v>
      </c>
      <c r="AD895">
        <f>TIMEVALUE(MID(TwitterClean[[#This Row],[date_posted]],13,8))</f>
        <v>0.57084490740740745</v>
      </c>
      <c r="AE895" s="3" t="str">
        <f>TEXT(TwitterClean[[#This Row],[Post_Date]],"dddd")</f>
        <v>Sunday</v>
      </c>
      <c r="AF895">
        <f>HOUR(TwitterClean[[#This Row],[Post_Time]])</f>
        <v>13</v>
      </c>
      <c r="AG895" t="str">
        <f>IF(TwitterClean[[#This Row],[videos]]="Null","No","Yes")</f>
        <v>No</v>
      </c>
      <c r="AH895" t="str">
        <f>IF(TwitterClean[[#This Row],[photos]]="null","No","Yes")</f>
        <v>No</v>
      </c>
      <c r="AI895" t="str">
        <f>IF(TwitterClean[[#This Row],[hashtags]]="null","No","Yes")</f>
        <v>No</v>
      </c>
      <c r="AJ895" t="str">
        <f>IF(TwitterClean[[#This Row],[external_url]]="null","Yes","No")</f>
        <v>No</v>
      </c>
      <c r="AK895">
        <f>LEN(TwitterClean[[#This Row],[description]])</f>
        <v>239</v>
      </c>
      <c r="AL895" t="str">
        <f>IF(TwitterClean[[#This Row],[followers]]&lt;100000,"&lt;100K",IF(TwitterClean[[#This Row],[followers]]&lt;1000000,"100K-1M",IF(TwitterClean[[#This Row],[followers]]&lt;10000000,"1M-10M","10M+")))</f>
        <v>10M+</v>
      </c>
    </row>
    <row r="896" spans="1:38">
      <c r="A896">
        <v>1.8683774951011986E+18</v>
      </c>
      <c r="B896" t="s">
        <v>183</v>
      </c>
      <c r="C896" t="s">
        <v>184</v>
      </c>
      <c r="D896" t="s">
        <v>1091</v>
      </c>
      <c r="E896" t="s">
        <v>509</v>
      </c>
      <c r="F896" t="s">
        <v>29</v>
      </c>
      <c r="G896" t="s">
        <v>1092</v>
      </c>
      <c r="H896" t="s">
        <v>29</v>
      </c>
      <c r="I896">
        <v>1</v>
      </c>
      <c r="J896">
        <v>8</v>
      </c>
      <c r="K896">
        <v>39</v>
      </c>
      <c r="L896">
        <v>52486</v>
      </c>
      <c r="M896" t="s">
        <v>1093</v>
      </c>
      <c r="N896" t="s">
        <v>29</v>
      </c>
      <c r="O896">
        <v>27122998</v>
      </c>
      <c r="P896" t="s">
        <v>190</v>
      </c>
      <c r="Q896">
        <v>402760</v>
      </c>
      <c r="R896" t="s">
        <v>191</v>
      </c>
      <c r="S896">
        <v>155</v>
      </c>
      <c r="T896" t="b">
        <v>0</v>
      </c>
      <c r="U896">
        <v>1</v>
      </c>
      <c r="V896">
        <v>29</v>
      </c>
      <c r="W896" t="s">
        <v>35</v>
      </c>
      <c r="X896" t="s">
        <v>1094</v>
      </c>
      <c r="Y896" t="s">
        <v>29</v>
      </c>
      <c r="Z896" t="s">
        <v>37</v>
      </c>
      <c r="AA896">
        <f>TwitterClean[[#This Row],[likes]]+TwitterClean[[#This Row],[replies]]+TwitterClean[[#This Row],[reposts]]+TwitterClean[[#This Row],[quotes]]+TwitterClean[[#This Row],[bookmarks]]</f>
        <v>78</v>
      </c>
      <c r="AB896" s="1">
        <f>TwitterClean[[#This Row],[Total_Engagements]]/TwitterClean[[#This Row],[views]]</f>
        <v>1.486110581869451E-3</v>
      </c>
      <c r="AC896" s="3">
        <f>DATEVALUE(MID(TwitterClean[[#This Row],[date_posted]],2,10))</f>
        <v>45641</v>
      </c>
      <c r="AD896">
        <f>TIMEVALUE(MID(TwitterClean[[#This Row],[date_posted]],13,8))</f>
        <v>0.8111342592592593</v>
      </c>
      <c r="AE896" s="3" t="str">
        <f>TEXT(TwitterClean[[#This Row],[Post_Date]],"dddd")</f>
        <v>Sunday</v>
      </c>
      <c r="AF896">
        <f>HOUR(TwitterClean[[#This Row],[Post_Time]])</f>
        <v>19</v>
      </c>
      <c r="AG896" t="str">
        <f>IF(TwitterClean[[#This Row],[videos]]="Null","No","Yes")</f>
        <v>No</v>
      </c>
      <c r="AH896" t="str">
        <f>IF(TwitterClean[[#This Row],[photos]]="null","No","Yes")</f>
        <v>No</v>
      </c>
      <c r="AI896" t="str">
        <f>IF(TwitterClean[[#This Row],[hashtags]]="null","No","Yes")</f>
        <v>No</v>
      </c>
      <c r="AJ896" t="str">
        <f>IF(TwitterClean[[#This Row],[external_url]]="null","Yes","No")</f>
        <v>No</v>
      </c>
      <c r="AK896">
        <f>LEN(TwitterClean[[#This Row],[description]])</f>
        <v>216</v>
      </c>
      <c r="AL896" t="str">
        <f>IF(TwitterClean[[#This Row],[followers]]&lt;100000,"&lt;100K",IF(TwitterClean[[#This Row],[followers]]&lt;1000000,"100K-1M",IF(TwitterClean[[#This Row],[followers]]&lt;10000000,"1M-10M","10M+")))</f>
        <v>10M+</v>
      </c>
    </row>
    <row r="897" spans="1:38">
      <c r="A897">
        <v>1.8685237389640379E+18</v>
      </c>
      <c r="B897" t="s">
        <v>2935</v>
      </c>
      <c r="C897" t="s">
        <v>2936</v>
      </c>
      <c r="D897" t="s">
        <v>3454</v>
      </c>
      <c r="E897" t="s">
        <v>3455</v>
      </c>
      <c r="F897" t="s">
        <v>29</v>
      </c>
      <c r="G897" t="s">
        <v>3456</v>
      </c>
      <c r="H897" t="s">
        <v>29</v>
      </c>
      <c r="I897">
        <v>4</v>
      </c>
      <c r="J897">
        <v>4</v>
      </c>
      <c r="K897">
        <v>12</v>
      </c>
      <c r="L897">
        <v>14819</v>
      </c>
      <c r="M897" t="s">
        <v>3457</v>
      </c>
      <c r="N897" t="s">
        <v>29</v>
      </c>
      <c r="O897">
        <v>9564154</v>
      </c>
      <c r="P897" t="s">
        <v>2941</v>
      </c>
      <c r="Q897">
        <v>1125277</v>
      </c>
      <c r="R897" t="s">
        <v>2942</v>
      </c>
      <c r="S897">
        <v>93</v>
      </c>
      <c r="T897" t="b">
        <v>0</v>
      </c>
      <c r="U897">
        <v>1</v>
      </c>
      <c r="V897">
        <v>1</v>
      </c>
      <c r="W897" t="s">
        <v>35</v>
      </c>
      <c r="X897" t="s">
        <v>3458</v>
      </c>
      <c r="Y897" t="s">
        <v>29</v>
      </c>
      <c r="Z897" t="s">
        <v>37</v>
      </c>
      <c r="AA897">
        <f>TwitterClean[[#This Row],[likes]]+TwitterClean[[#This Row],[replies]]+TwitterClean[[#This Row],[reposts]]+TwitterClean[[#This Row],[quotes]]+TwitterClean[[#This Row],[bookmarks]]</f>
        <v>22</v>
      </c>
      <c r="AB897" s="1">
        <f>TwitterClean[[#This Row],[Total_Engagements]]/TwitterClean[[#This Row],[views]]</f>
        <v>1.4845806059788111E-3</v>
      </c>
      <c r="AC897" s="3">
        <f>DATEVALUE(MID(TwitterClean[[#This Row],[date_posted]],2,10))</f>
        <v>45642</v>
      </c>
      <c r="AD897">
        <f>TIMEVALUE(MID(TwitterClean[[#This Row],[date_posted]],13,8))</f>
        <v>0.2146875</v>
      </c>
      <c r="AE897" s="3" t="str">
        <f>TEXT(TwitterClean[[#This Row],[Post_Date]],"dddd")</f>
        <v>Monday</v>
      </c>
      <c r="AF897">
        <f>HOUR(TwitterClean[[#This Row],[Post_Time]])</f>
        <v>5</v>
      </c>
      <c r="AG897" t="str">
        <f>IF(TwitterClean[[#This Row],[videos]]="Null","No","Yes")</f>
        <v>No</v>
      </c>
      <c r="AH897" t="str">
        <f>IF(TwitterClean[[#This Row],[photos]]="null","No","Yes")</f>
        <v>No</v>
      </c>
      <c r="AI897" t="str">
        <f>IF(TwitterClean[[#This Row],[hashtags]]="null","No","Yes")</f>
        <v>No</v>
      </c>
      <c r="AJ897" t="str">
        <f>IF(TwitterClean[[#This Row],[external_url]]="null","Yes","No")</f>
        <v>No</v>
      </c>
      <c r="AK897">
        <f>LEN(TwitterClean[[#This Row],[description]])</f>
        <v>181</v>
      </c>
      <c r="AL897" t="str">
        <f>IF(TwitterClean[[#This Row],[followers]]&lt;100000,"&lt;100K",IF(TwitterClean[[#This Row],[followers]]&lt;1000000,"100K-1M",IF(TwitterClean[[#This Row],[followers]]&lt;10000000,"1M-10M","10M+")))</f>
        <v>1M-10M</v>
      </c>
    </row>
    <row r="898" spans="1:38">
      <c r="A898">
        <v>1.86820677129617E+18</v>
      </c>
      <c r="B898" t="s">
        <v>2935</v>
      </c>
      <c r="C898" t="s">
        <v>2936</v>
      </c>
      <c r="D898" t="s">
        <v>3915</v>
      </c>
      <c r="E898" t="s">
        <v>3916</v>
      </c>
      <c r="F898" t="s">
        <v>29</v>
      </c>
      <c r="G898" t="s">
        <v>3917</v>
      </c>
      <c r="H898" t="s">
        <v>29</v>
      </c>
      <c r="I898">
        <v>7</v>
      </c>
      <c r="J898">
        <v>9</v>
      </c>
      <c r="K898">
        <v>24</v>
      </c>
      <c r="L898">
        <v>28855</v>
      </c>
      <c r="M898" t="s">
        <v>3918</v>
      </c>
      <c r="N898" t="s">
        <v>29</v>
      </c>
      <c r="O898">
        <v>9564155</v>
      </c>
      <c r="P898" t="s">
        <v>2941</v>
      </c>
      <c r="Q898">
        <v>1125277</v>
      </c>
      <c r="R898" t="s">
        <v>2942</v>
      </c>
      <c r="S898">
        <v>93</v>
      </c>
      <c r="T898" t="b">
        <v>0</v>
      </c>
      <c r="U898">
        <v>1</v>
      </c>
      <c r="V898">
        <v>1</v>
      </c>
      <c r="W898" t="s">
        <v>35</v>
      </c>
      <c r="X898" t="s">
        <v>3919</v>
      </c>
      <c r="Y898" t="s">
        <v>29</v>
      </c>
      <c r="Z898" t="s">
        <v>37</v>
      </c>
      <c r="AA898">
        <f>TwitterClean[[#This Row],[likes]]+TwitterClean[[#This Row],[replies]]+TwitterClean[[#This Row],[reposts]]+TwitterClean[[#This Row],[quotes]]+TwitterClean[[#This Row],[bookmarks]]</f>
        <v>42</v>
      </c>
      <c r="AB898" s="1">
        <f>TwitterClean[[#This Row],[Total_Engagements]]/TwitterClean[[#This Row],[views]]</f>
        <v>1.4555536302200659E-3</v>
      </c>
      <c r="AC898" s="3">
        <f>DATEVALUE(MID(TwitterClean[[#This Row],[date_posted]],2,10))</f>
        <v>45641</v>
      </c>
      <c r="AD898">
        <f>TIMEVALUE(MID(TwitterClean[[#This Row],[date_posted]],13,8))</f>
        <v>0.34002314814814816</v>
      </c>
      <c r="AE898" s="3" t="str">
        <f>TEXT(TwitterClean[[#This Row],[Post_Date]],"dddd")</f>
        <v>Sunday</v>
      </c>
      <c r="AF898">
        <f>HOUR(TwitterClean[[#This Row],[Post_Time]])</f>
        <v>8</v>
      </c>
      <c r="AG898" t="str">
        <f>IF(TwitterClean[[#This Row],[videos]]="Null","No","Yes")</f>
        <v>No</v>
      </c>
      <c r="AH898" t="str">
        <f>IF(TwitterClean[[#This Row],[photos]]="null","No","Yes")</f>
        <v>No</v>
      </c>
      <c r="AI898" t="str">
        <f>IF(TwitterClean[[#This Row],[hashtags]]="null","No","Yes")</f>
        <v>No</v>
      </c>
      <c r="AJ898" t="str">
        <f>IF(TwitterClean[[#This Row],[external_url]]="null","Yes","No")</f>
        <v>No</v>
      </c>
      <c r="AK898">
        <f>LEN(TwitterClean[[#This Row],[description]])</f>
        <v>184</v>
      </c>
      <c r="AL898" t="str">
        <f>IF(TwitterClean[[#This Row],[followers]]&lt;100000,"&lt;100K",IF(TwitterClean[[#This Row],[followers]]&lt;1000000,"100K-1M",IF(TwitterClean[[#This Row],[followers]]&lt;10000000,"1M-10M","10M+")))</f>
        <v>1M-10M</v>
      </c>
    </row>
    <row r="899" spans="1:38">
      <c r="A899">
        <v>1.8683017591955251E+18</v>
      </c>
      <c r="B899" t="s">
        <v>2935</v>
      </c>
      <c r="C899" t="s">
        <v>2936</v>
      </c>
      <c r="D899" t="s">
        <v>3597</v>
      </c>
      <c r="E899" t="s">
        <v>3909</v>
      </c>
      <c r="F899" t="s">
        <v>29</v>
      </c>
      <c r="G899" t="s">
        <v>3910</v>
      </c>
      <c r="H899" t="s">
        <v>29</v>
      </c>
      <c r="I899">
        <v>5</v>
      </c>
      <c r="J899">
        <v>4</v>
      </c>
      <c r="K899">
        <v>26</v>
      </c>
      <c r="L899">
        <v>28240</v>
      </c>
      <c r="M899" t="s">
        <v>3911</v>
      </c>
      <c r="N899" t="s">
        <v>29</v>
      </c>
      <c r="O899">
        <v>9564155</v>
      </c>
      <c r="P899" t="s">
        <v>2941</v>
      </c>
      <c r="Q899">
        <v>1125277</v>
      </c>
      <c r="R899" t="s">
        <v>2942</v>
      </c>
      <c r="S899">
        <v>93</v>
      </c>
      <c r="T899" t="b">
        <v>0</v>
      </c>
      <c r="U899">
        <v>1</v>
      </c>
      <c r="V899">
        <v>5</v>
      </c>
      <c r="W899" t="s">
        <v>35</v>
      </c>
      <c r="X899" t="s">
        <v>3601</v>
      </c>
      <c r="Y899" t="s">
        <v>29</v>
      </c>
      <c r="Z899" t="s">
        <v>37</v>
      </c>
      <c r="AA899">
        <f>TwitterClean[[#This Row],[likes]]+TwitterClean[[#This Row],[replies]]+TwitterClean[[#This Row],[reposts]]+TwitterClean[[#This Row],[quotes]]+TwitterClean[[#This Row],[bookmarks]]</f>
        <v>41</v>
      </c>
      <c r="AB899" s="1">
        <f>TwitterClean[[#This Row],[Total_Engagements]]/TwitterClean[[#This Row],[views]]</f>
        <v>1.4518413597733712E-3</v>
      </c>
      <c r="AC899" s="3">
        <f>DATEVALUE(MID(TwitterClean[[#This Row],[date_posted]],2,10))</f>
        <v>45641</v>
      </c>
      <c r="AD899">
        <f>TIMEVALUE(MID(TwitterClean[[#This Row],[date_posted]],13,8))</f>
        <v>0.60214120370370372</v>
      </c>
      <c r="AE899" s="3" t="str">
        <f>TEXT(TwitterClean[[#This Row],[Post_Date]],"dddd")</f>
        <v>Sunday</v>
      </c>
      <c r="AF899">
        <f>HOUR(TwitterClean[[#This Row],[Post_Time]])</f>
        <v>14</v>
      </c>
      <c r="AG899" t="str">
        <f>IF(TwitterClean[[#This Row],[videos]]="Null","No","Yes")</f>
        <v>No</v>
      </c>
      <c r="AH899" t="str">
        <f>IF(TwitterClean[[#This Row],[photos]]="null","No","Yes")</f>
        <v>No</v>
      </c>
      <c r="AI899" t="str">
        <f>IF(TwitterClean[[#This Row],[hashtags]]="null","No","Yes")</f>
        <v>No</v>
      </c>
      <c r="AJ899" t="str">
        <f>IF(TwitterClean[[#This Row],[external_url]]="null","Yes","No")</f>
        <v>No</v>
      </c>
      <c r="AK899">
        <f>LEN(TwitterClean[[#This Row],[description]])</f>
        <v>160</v>
      </c>
      <c r="AL899" t="str">
        <f>IF(TwitterClean[[#This Row],[followers]]&lt;100000,"&lt;100K",IF(TwitterClean[[#This Row],[followers]]&lt;1000000,"100K-1M",IF(TwitterClean[[#This Row],[followers]]&lt;10000000,"1M-10M","10M+")))</f>
        <v>1M-10M</v>
      </c>
    </row>
    <row r="900" spans="1:38">
      <c r="A900">
        <v>1.8682242346667461E+18</v>
      </c>
      <c r="B900" t="s">
        <v>183</v>
      </c>
      <c r="C900" t="s">
        <v>184</v>
      </c>
      <c r="D900" t="s">
        <v>527</v>
      </c>
      <c r="E900" t="s">
        <v>528</v>
      </c>
      <c r="F900" t="s">
        <v>29</v>
      </c>
      <c r="G900" t="s">
        <v>529</v>
      </c>
      <c r="H900" t="s">
        <v>29</v>
      </c>
      <c r="I900">
        <v>37</v>
      </c>
      <c r="J900">
        <v>26</v>
      </c>
      <c r="K900">
        <v>83</v>
      </c>
      <c r="L900">
        <v>116897</v>
      </c>
      <c r="M900" t="s">
        <v>530</v>
      </c>
      <c r="N900" t="s">
        <v>29</v>
      </c>
      <c r="O900">
        <v>27122999</v>
      </c>
      <c r="P900" t="s">
        <v>190</v>
      </c>
      <c r="Q900">
        <v>402760</v>
      </c>
      <c r="R900" t="s">
        <v>191</v>
      </c>
      <c r="S900">
        <v>155</v>
      </c>
      <c r="T900" t="b">
        <v>0</v>
      </c>
      <c r="U900">
        <v>9</v>
      </c>
      <c r="V900">
        <v>13</v>
      </c>
      <c r="W900" t="s">
        <v>35</v>
      </c>
      <c r="X900" t="s">
        <v>531</v>
      </c>
      <c r="Y900" t="s">
        <v>29</v>
      </c>
      <c r="Z900" t="s">
        <v>37</v>
      </c>
      <c r="AA900">
        <f>TwitterClean[[#This Row],[likes]]+TwitterClean[[#This Row],[replies]]+TwitterClean[[#This Row],[reposts]]+TwitterClean[[#This Row],[quotes]]+TwitterClean[[#This Row],[bookmarks]]</f>
        <v>168</v>
      </c>
      <c r="AB900" s="1">
        <f>TwitterClean[[#This Row],[Total_Engagements]]/TwitterClean[[#This Row],[views]]</f>
        <v>1.4371626303497952E-3</v>
      </c>
      <c r="AC900" s="3">
        <f>DATEVALUE(MID(TwitterClean[[#This Row],[date_posted]],2,10))</f>
        <v>45641</v>
      </c>
      <c r="AD900">
        <f>TIMEVALUE(MID(TwitterClean[[#This Row],[date_posted]],13,8))</f>
        <v>0.38821759259259259</v>
      </c>
      <c r="AE900" s="3" t="str">
        <f>TEXT(TwitterClean[[#This Row],[Post_Date]],"dddd")</f>
        <v>Sunday</v>
      </c>
      <c r="AF900">
        <f>HOUR(TwitterClean[[#This Row],[Post_Time]])</f>
        <v>9</v>
      </c>
      <c r="AG900" t="str">
        <f>IF(TwitterClean[[#This Row],[videos]]="Null","No","Yes")</f>
        <v>No</v>
      </c>
      <c r="AH900" t="str">
        <f>IF(TwitterClean[[#This Row],[photos]]="null","No","Yes")</f>
        <v>No</v>
      </c>
      <c r="AI900" t="str">
        <f>IF(TwitterClean[[#This Row],[hashtags]]="null","No","Yes")</f>
        <v>No</v>
      </c>
      <c r="AJ900" t="str">
        <f>IF(TwitterClean[[#This Row],[external_url]]="null","Yes","No")</f>
        <v>No</v>
      </c>
      <c r="AK900">
        <f>LEN(TwitterClean[[#This Row],[description]])</f>
        <v>243</v>
      </c>
      <c r="AL900" t="str">
        <f>IF(TwitterClean[[#This Row],[followers]]&lt;100000,"&lt;100K",IF(TwitterClean[[#This Row],[followers]]&lt;1000000,"100K-1M",IF(TwitterClean[[#This Row],[followers]]&lt;10000000,"1M-10M","10M+")))</f>
        <v>10M+</v>
      </c>
    </row>
    <row r="901" spans="1:38">
      <c r="A901">
        <v>1.8684108045941555E+18</v>
      </c>
      <c r="B901" t="s">
        <v>2230</v>
      </c>
      <c r="C901" t="s">
        <v>2231</v>
      </c>
      <c r="D901" t="s">
        <v>2304</v>
      </c>
      <c r="E901" t="s">
        <v>2305</v>
      </c>
      <c r="F901" t="s">
        <v>2306</v>
      </c>
      <c r="G901" t="s">
        <v>2307</v>
      </c>
      <c r="H901" t="s">
        <v>29</v>
      </c>
      <c r="I901">
        <v>6</v>
      </c>
      <c r="J901">
        <v>3</v>
      </c>
      <c r="K901">
        <v>21</v>
      </c>
      <c r="L901">
        <v>23102</v>
      </c>
      <c r="M901" t="s">
        <v>2308</v>
      </c>
      <c r="N901" t="s">
        <v>29</v>
      </c>
      <c r="O901">
        <v>3313886</v>
      </c>
      <c r="P901" t="s">
        <v>2237</v>
      </c>
      <c r="Q901">
        <v>706459</v>
      </c>
      <c r="R901" t="s">
        <v>2238</v>
      </c>
      <c r="S901">
        <v>10308</v>
      </c>
      <c r="T901" t="b">
        <v>0</v>
      </c>
      <c r="U901">
        <v>1</v>
      </c>
      <c r="V901">
        <v>2</v>
      </c>
      <c r="W901" t="s">
        <v>35</v>
      </c>
      <c r="X901" t="s">
        <v>29</v>
      </c>
      <c r="Y901" t="s">
        <v>29</v>
      </c>
      <c r="Z901" t="s">
        <v>37</v>
      </c>
      <c r="AA901">
        <f>TwitterClean[[#This Row],[likes]]+TwitterClean[[#This Row],[replies]]+TwitterClean[[#This Row],[reposts]]+TwitterClean[[#This Row],[quotes]]+TwitterClean[[#This Row],[bookmarks]]</f>
        <v>33</v>
      </c>
      <c r="AB901" s="1">
        <f>TwitterClean[[#This Row],[Total_Engagements]]/TwitterClean[[#This Row],[views]]</f>
        <v>1.4284477534412606E-3</v>
      </c>
      <c r="AC901" s="3">
        <f>DATEVALUE(MID(TwitterClean[[#This Row],[date_posted]],2,10))</f>
        <v>45641</v>
      </c>
      <c r="AD901">
        <f>TIMEVALUE(MID(TwitterClean[[#This Row],[date_posted]],13,8))</f>
        <v>0.90304398148148146</v>
      </c>
      <c r="AE901" s="3" t="str">
        <f>TEXT(TwitterClean[[#This Row],[Post_Date]],"dddd")</f>
        <v>Sunday</v>
      </c>
      <c r="AF901">
        <f>HOUR(TwitterClean[[#This Row],[Post_Time]])</f>
        <v>21</v>
      </c>
      <c r="AG901" t="str">
        <f>IF(TwitterClean[[#This Row],[videos]]="Null","No","Yes")</f>
        <v>No</v>
      </c>
      <c r="AH901" t="str">
        <f>IF(TwitterClean[[#This Row],[photos]]="null","No","Yes")</f>
        <v>Yes</v>
      </c>
      <c r="AI901" t="str">
        <f>IF(TwitterClean[[#This Row],[hashtags]]="null","No","Yes")</f>
        <v>No</v>
      </c>
      <c r="AJ901" t="str">
        <f>IF(TwitterClean[[#This Row],[external_url]]="null","Yes","No")</f>
        <v>No</v>
      </c>
      <c r="AK901">
        <f>LEN(TwitterClean[[#This Row],[description]])</f>
        <v>97</v>
      </c>
      <c r="AL901" t="str">
        <f>IF(TwitterClean[[#This Row],[followers]]&lt;100000,"&lt;100K",IF(TwitterClean[[#This Row],[followers]]&lt;1000000,"100K-1M",IF(TwitterClean[[#This Row],[followers]]&lt;10000000,"1M-10M","10M+")))</f>
        <v>1M-10M</v>
      </c>
    </row>
    <row r="902" spans="1:38">
      <c r="A902">
        <v>1.8684296142482514E+18</v>
      </c>
      <c r="B902" t="s">
        <v>183</v>
      </c>
      <c r="C902" t="s">
        <v>184</v>
      </c>
      <c r="D902" t="s">
        <v>370</v>
      </c>
      <c r="E902" t="s">
        <v>371</v>
      </c>
      <c r="F902" t="s">
        <v>29</v>
      </c>
      <c r="G902" t="s">
        <v>372</v>
      </c>
      <c r="H902" t="s">
        <v>29</v>
      </c>
      <c r="I902">
        <v>26</v>
      </c>
      <c r="J902">
        <v>4</v>
      </c>
      <c r="K902">
        <v>31</v>
      </c>
      <c r="L902">
        <v>49428</v>
      </c>
      <c r="M902" t="s">
        <v>373</v>
      </c>
      <c r="N902" t="s">
        <v>29</v>
      </c>
      <c r="O902">
        <v>27122999</v>
      </c>
      <c r="P902" t="s">
        <v>190</v>
      </c>
      <c r="Q902">
        <v>402761</v>
      </c>
      <c r="R902" t="s">
        <v>191</v>
      </c>
      <c r="S902">
        <v>155</v>
      </c>
      <c r="T902" t="b">
        <v>0</v>
      </c>
      <c r="U902">
        <v>1</v>
      </c>
      <c r="V902">
        <v>8</v>
      </c>
      <c r="W902" t="s">
        <v>35</v>
      </c>
      <c r="X902" t="s">
        <v>374</v>
      </c>
      <c r="Y902" t="s">
        <v>29</v>
      </c>
      <c r="Z902" t="s">
        <v>37</v>
      </c>
      <c r="AA902">
        <f>TwitterClean[[#This Row],[likes]]+TwitterClean[[#This Row],[replies]]+TwitterClean[[#This Row],[reposts]]+TwitterClean[[#This Row],[quotes]]+TwitterClean[[#This Row],[bookmarks]]</f>
        <v>70</v>
      </c>
      <c r="AB902" s="1">
        <f>TwitterClean[[#This Row],[Total_Engagements]]/TwitterClean[[#This Row],[views]]</f>
        <v>1.4162013433681314E-3</v>
      </c>
      <c r="AC902" s="3">
        <f>DATEVALUE(MID(TwitterClean[[#This Row],[date_posted]],2,10))</f>
        <v>45641</v>
      </c>
      <c r="AD902">
        <f>TIMEVALUE(MID(TwitterClean[[#This Row],[date_posted]],13,8))</f>
        <v>0.95495370370370369</v>
      </c>
      <c r="AE902" s="3" t="str">
        <f>TEXT(TwitterClean[[#This Row],[Post_Date]],"dddd")</f>
        <v>Sunday</v>
      </c>
      <c r="AF902">
        <f>HOUR(TwitterClean[[#This Row],[Post_Time]])</f>
        <v>22</v>
      </c>
      <c r="AG902" t="str">
        <f>IF(TwitterClean[[#This Row],[videos]]="Null","No","Yes")</f>
        <v>No</v>
      </c>
      <c r="AH902" t="str">
        <f>IF(TwitterClean[[#This Row],[photos]]="null","No","Yes")</f>
        <v>No</v>
      </c>
      <c r="AI902" t="str">
        <f>IF(TwitterClean[[#This Row],[hashtags]]="null","No","Yes")</f>
        <v>No</v>
      </c>
      <c r="AJ902" t="str">
        <f>IF(TwitterClean[[#This Row],[external_url]]="null","Yes","No")</f>
        <v>No</v>
      </c>
      <c r="AK902">
        <f>LEN(TwitterClean[[#This Row],[description]])</f>
        <v>243</v>
      </c>
      <c r="AL902" t="str">
        <f>IF(TwitterClean[[#This Row],[followers]]&lt;100000,"&lt;100K",IF(TwitterClean[[#This Row],[followers]]&lt;1000000,"100K-1M",IF(TwitterClean[[#This Row],[followers]]&lt;10000000,"1M-10M","10M+")))</f>
        <v>10M+</v>
      </c>
    </row>
    <row r="903" spans="1:38">
      <c r="A903">
        <v>1.8684615236113247E+18</v>
      </c>
      <c r="B903" t="s">
        <v>2935</v>
      </c>
      <c r="C903" t="s">
        <v>2936</v>
      </c>
      <c r="D903" t="s">
        <v>3893</v>
      </c>
      <c r="E903" t="s">
        <v>3894</v>
      </c>
      <c r="F903" t="s">
        <v>29</v>
      </c>
      <c r="G903" t="s">
        <v>3895</v>
      </c>
      <c r="H903" t="s">
        <v>3896</v>
      </c>
      <c r="I903">
        <v>6</v>
      </c>
      <c r="J903">
        <v>5</v>
      </c>
      <c r="K903">
        <v>23</v>
      </c>
      <c r="L903">
        <v>28979</v>
      </c>
      <c r="M903" t="s">
        <v>3897</v>
      </c>
      <c r="N903" t="s">
        <v>29</v>
      </c>
      <c r="O903">
        <v>9564156</v>
      </c>
      <c r="P903" t="s">
        <v>2941</v>
      </c>
      <c r="Q903">
        <v>1125277</v>
      </c>
      <c r="R903" t="s">
        <v>2942</v>
      </c>
      <c r="S903">
        <v>93</v>
      </c>
      <c r="T903" t="b">
        <v>0</v>
      </c>
      <c r="U903">
        <v>1</v>
      </c>
      <c r="V903">
        <v>6</v>
      </c>
      <c r="W903" t="s">
        <v>35</v>
      </c>
      <c r="X903" t="s">
        <v>3898</v>
      </c>
      <c r="Y903" t="s">
        <v>29</v>
      </c>
      <c r="Z903" t="s">
        <v>37</v>
      </c>
      <c r="AA903">
        <f>TwitterClean[[#This Row],[likes]]+TwitterClean[[#This Row],[replies]]+TwitterClean[[#This Row],[reposts]]+TwitterClean[[#This Row],[quotes]]+TwitterClean[[#This Row],[bookmarks]]</f>
        <v>41</v>
      </c>
      <c r="AB903" s="1">
        <f>TwitterClean[[#This Row],[Total_Engagements]]/TwitterClean[[#This Row],[views]]</f>
        <v>1.4148176265571621E-3</v>
      </c>
      <c r="AC903" s="3">
        <f>DATEVALUE(MID(TwitterClean[[#This Row],[date_posted]],2,10))</f>
        <v>45642</v>
      </c>
      <c r="AD903">
        <f>TIMEVALUE(MID(TwitterClean[[#This Row],[date_posted]],13,8))</f>
        <v>4.3009259259259261E-2</v>
      </c>
      <c r="AE903" s="3" t="str">
        <f>TEXT(TwitterClean[[#This Row],[Post_Date]],"dddd")</f>
        <v>Monday</v>
      </c>
      <c r="AF903">
        <f>HOUR(TwitterClean[[#This Row],[Post_Time]])</f>
        <v>1</v>
      </c>
      <c r="AG903" t="str">
        <f>IF(TwitterClean[[#This Row],[videos]]="Null","No","Yes")</f>
        <v>No</v>
      </c>
      <c r="AH903" t="str">
        <f>IF(TwitterClean[[#This Row],[photos]]="null","No","Yes")</f>
        <v>No</v>
      </c>
      <c r="AI903" t="str">
        <f>IF(TwitterClean[[#This Row],[hashtags]]="null","No","Yes")</f>
        <v>No</v>
      </c>
      <c r="AJ903" t="str">
        <f>IF(TwitterClean[[#This Row],[external_url]]="null","Yes","No")</f>
        <v>No</v>
      </c>
      <c r="AK903">
        <f>LEN(TwitterClean[[#This Row],[description]])</f>
        <v>139</v>
      </c>
      <c r="AL903" t="str">
        <f>IF(TwitterClean[[#This Row],[followers]]&lt;100000,"&lt;100K",IF(TwitterClean[[#This Row],[followers]]&lt;1000000,"100K-1M",IF(TwitterClean[[#This Row],[followers]]&lt;10000000,"1M-10M","10M+")))</f>
        <v>1M-10M</v>
      </c>
    </row>
    <row r="904" spans="1:38">
      <c r="A904">
        <v>1.86823835037037E+18</v>
      </c>
      <c r="B904" t="s">
        <v>2935</v>
      </c>
      <c r="C904" t="s">
        <v>2936</v>
      </c>
      <c r="D904" t="s">
        <v>3154</v>
      </c>
      <c r="E904" t="s">
        <v>3155</v>
      </c>
      <c r="F904" t="s">
        <v>29</v>
      </c>
      <c r="G904" t="s">
        <v>3156</v>
      </c>
      <c r="H904" t="s">
        <v>29</v>
      </c>
      <c r="I904">
        <v>9</v>
      </c>
      <c r="J904">
        <v>5</v>
      </c>
      <c r="K904">
        <v>19</v>
      </c>
      <c r="L904">
        <v>26158</v>
      </c>
      <c r="M904" t="s">
        <v>3157</v>
      </c>
      <c r="N904" t="s">
        <v>29</v>
      </c>
      <c r="O904">
        <v>9564155</v>
      </c>
      <c r="P904" t="s">
        <v>2941</v>
      </c>
      <c r="Q904">
        <v>1125277</v>
      </c>
      <c r="R904" t="s">
        <v>2942</v>
      </c>
      <c r="S904">
        <v>93</v>
      </c>
      <c r="T904" t="b">
        <v>0</v>
      </c>
      <c r="U904">
        <v>1</v>
      </c>
      <c r="V904">
        <v>3</v>
      </c>
      <c r="W904" t="s">
        <v>35</v>
      </c>
      <c r="X904" t="s">
        <v>3158</v>
      </c>
      <c r="Y904" t="s">
        <v>29</v>
      </c>
      <c r="Z904" t="s">
        <v>37</v>
      </c>
      <c r="AA904">
        <f>TwitterClean[[#This Row],[likes]]+TwitterClean[[#This Row],[replies]]+TwitterClean[[#This Row],[reposts]]+TwitterClean[[#This Row],[quotes]]+TwitterClean[[#This Row],[bookmarks]]</f>
        <v>37</v>
      </c>
      <c r="AB904" s="1">
        <f>TwitterClean[[#This Row],[Total_Engagements]]/TwitterClean[[#This Row],[views]]</f>
        <v>1.4144812294517931E-3</v>
      </c>
      <c r="AC904" s="3">
        <f>DATEVALUE(MID(TwitterClean[[#This Row],[date_posted]],2,10))</f>
        <v>45641</v>
      </c>
      <c r="AD904">
        <f>TIMEVALUE(MID(TwitterClean[[#This Row],[date_posted]],13,8))</f>
        <v>0.42716435185185186</v>
      </c>
      <c r="AE904" s="3" t="str">
        <f>TEXT(TwitterClean[[#This Row],[Post_Date]],"dddd")</f>
        <v>Sunday</v>
      </c>
      <c r="AF904">
        <f>HOUR(TwitterClean[[#This Row],[Post_Time]])</f>
        <v>10</v>
      </c>
      <c r="AG904" t="str">
        <f>IF(TwitterClean[[#This Row],[videos]]="Null","No","Yes")</f>
        <v>No</v>
      </c>
      <c r="AH904" t="str">
        <f>IF(TwitterClean[[#This Row],[photos]]="null","No","Yes")</f>
        <v>No</v>
      </c>
      <c r="AI904" t="str">
        <f>IF(TwitterClean[[#This Row],[hashtags]]="null","No","Yes")</f>
        <v>No</v>
      </c>
      <c r="AJ904" t="str">
        <f>IF(TwitterClean[[#This Row],[external_url]]="null","Yes","No")</f>
        <v>No</v>
      </c>
      <c r="AK904">
        <f>LEN(TwitterClean[[#This Row],[description]])</f>
        <v>133</v>
      </c>
      <c r="AL904" t="str">
        <f>IF(TwitterClean[[#This Row],[followers]]&lt;100000,"&lt;100K",IF(TwitterClean[[#This Row],[followers]]&lt;1000000,"100K-1M",IF(TwitterClean[[#This Row],[followers]]&lt;10000000,"1M-10M","10M+")))</f>
        <v>1M-10M</v>
      </c>
    </row>
    <row r="905" spans="1:38">
      <c r="A905">
        <v>1.8683112352565455E+18</v>
      </c>
      <c r="B905" t="s">
        <v>2935</v>
      </c>
      <c r="C905" t="s">
        <v>2936</v>
      </c>
      <c r="D905" t="s">
        <v>3686</v>
      </c>
      <c r="E905" t="s">
        <v>3687</v>
      </c>
      <c r="F905" t="s">
        <v>29</v>
      </c>
      <c r="G905" t="s">
        <v>3688</v>
      </c>
      <c r="H905" t="s">
        <v>29</v>
      </c>
      <c r="I905">
        <v>20</v>
      </c>
      <c r="J905">
        <v>5</v>
      </c>
      <c r="K905">
        <v>16</v>
      </c>
      <c r="L905">
        <v>30511</v>
      </c>
      <c r="M905" t="s">
        <v>3689</v>
      </c>
      <c r="N905" t="s">
        <v>29</v>
      </c>
      <c r="O905">
        <v>9564155</v>
      </c>
      <c r="P905" t="s">
        <v>2941</v>
      </c>
      <c r="Q905">
        <v>1125277</v>
      </c>
      <c r="R905" t="s">
        <v>2942</v>
      </c>
      <c r="S905">
        <v>93</v>
      </c>
      <c r="T905" t="b">
        <v>0</v>
      </c>
      <c r="U905">
        <v>1</v>
      </c>
      <c r="V905">
        <v>1</v>
      </c>
      <c r="W905" t="s">
        <v>35</v>
      </c>
      <c r="X905" t="s">
        <v>3473</v>
      </c>
      <c r="Y905" t="s">
        <v>29</v>
      </c>
      <c r="Z905" t="s">
        <v>37</v>
      </c>
      <c r="AA905">
        <f>TwitterClean[[#This Row],[likes]]+TwitterClean[[#This Row],[replies]]+TwitterClean[[#This Row],[reposts]]+TwitterClean[[#This Row],[quotes]]+TwitterClean[[#This Row],[bookmarks]]</f>
        <v>43</v>
      </c>
      <c r="AB905" s="1">
        <f>TwitterClean[[#This Row],[Total_Engagements]]/TwitterClean[[#This Row],[views]]</f>
        <v>1.4093277834223723E-3</v>
      </c>
      <c r="AC905" s="3">
        <f>DATEVALUE(MID(TwitterClean[[#This Row],[date_posted]],2,10))</f>
        <v>45641</v>
      </c>
      <c r="AD905">
        <f>TIMEVALUE(MID(TwitterClean[[#This Row],[date_posted]],13,8))</f>
        <v>0.62828703703703703</v>
      </c>
      <c r="AE905" s="3" t="str">
        <f>TEXT(TwitterClean[[#This Row],[Post_Date]],"dddd")</f>
        <v>Sunday</v>
      </c>
      <c r="AF905">
        <f>HOUR(TwitterClean[[#This Row],[Post_Time]])</f>
        <v>15</v>
      </c>
      <c r="AG905" t="str">
        <f>IF(TwitterClean[[#This Row],[videos]]="Null","No","Yes")</f>
        <v>No</v>
      </c>
      <c r="AH905" t="str">
        <f>IF(TwitterClean[[#This Row],[photos]]="null","No","Yes")</f>
        <v>No</v>
      </c>
      <c r="AI905" t="str">
        <f>IF(TwitterClean[[#This Row],[hashtags]]="null","No","Yes")</f>
        <v>No</v>
      </c>
      <c r="AJ905" t="str">
        <f>IF(TwitterClean[[#This Row],[external_url]]="null","Yes","No")</f>
        <v>No</v>
      </c>
      <c r="AK905">
        <f>LEN(TwitterClean[[#This Row],[description]])</f>
        <v>208</v>
      </c>
      <c r="AL905" t="str">
        <f>IF(TwitterClean[[#This Row],[followers]]&lt;100000,"&lt;100K",IF(TwitterClean[[#This Row],[followers]]&lt;1000000,"100K-1M",IF(TwitterClean[[#This Row],[followers]]&lt;10000000,"1M-10M","10M+")))</f>
        <v>1M-10M</v>
      </c>
    </row>
    <row r="906" spans="1:38">
      <c r="A906">
        <v>1.8685194401715612E+18</v>
      </c>
      <c r="B906" t="s">
        <v>2935</v>
      </c>
      <c r="C906" t="s">
        <v>2936</v>
      </c>
      <c r="D906" t="s">
        <v>3469</v>
      </c>
      <c r="E906" t="s">
        <v>3470</v>
      </c>
      <c r="F906" t="s">
        <v>29</v>
      </c>
      <c r="G906" t="s">
        <v>3471</v>
      </c>
      <c r="H906" t="s">
        <v>29</v>
      </c>
      <c r="I906">
        <v>5</v>
      </c>
      <c r="J906">
        <v>1</v>
      </c>
      <c r="K906">
        <v>15</v>
      </c>
      <c r="L906">
        <v>16514</v>
      </c>
      <c r="M906" t="s">
        <v>3472</v>
      </c>
      <c r="N906" t="s">
        <v>29</v>
      </c>
      <c r="O906">
        <v>9564230</v>
      </c>
      <c r="P906" t="s">
        <v>2941</v>
      </c>
      <c r="Q906">
        <v>1125277</v>
      </c>
      <c r="R906" t="s">
        <v>2942</v>
      </c>
      <c r="S906">
        <v>93</v>
      </c>
      <c r="T906" t="b">
        <v>0</v>
      </c>
      <c r="U906">
        <v>1</v>
      </c>
      <c r="V906">
        <v>1</v>
      </c>
      <c r="W906" t="s">
        <v>35</v>
      </c>
      <c r="X906" t="s">
        <v>3473</v>
      </c>
      <c r="Y906" t="s">
        <v>29</v>
      </c>
      <c r="Z906" t="s">
        <v>37</v>
      </c>
      <c r="AA906">
        <f>TwitterClean[[#This Row],[likes]]+TwitterClean[[#This Row],[replies]]+TwitterClean[[#This Row],[reposts]]+TwitterClean[[#This Row],[quotes]]+TwitterClean[[#This Row],[bookmarks]]</f>
        <v>23</v>
      </c>
      <c r="AB906" s="1">
        <f>TwitterClean[[#This Row],[Total_Engagements]]/TwitterClean[[#This Row],[views]]</f>
        <v>1.3927576601671309E-3</v>
      </c>
      <c r="AC906" s="3">
        <f>DATEVALUE(MID(TwitterClean[[#This Row],[date_posted]],2,10))</f>
        <v>45642</v>
      </c>
      <c r="AD906">
        <f>TIMEVALUE(MID(TwitterClean[[#This Row],[date_posted]],13,8))</f>
        <v>0.20282407407407407</v>
      </c>
      <c r="AE906" s="3" t="str">
        <f>TEXT(TwitterClean[[#This Row],[Post_Date]],"dddd")</f>
        <v>Monday</v>
      </c>
      <c r="AF906">
        <f>HOUR(TwitterClean[[#This Row],[Post_Time]])</f>
        <v>4</v>
      </c>
      <c r="AG906" t="str">
        <f>IF(TwitterClean[[#This Row],[videos]]="Null","No","Yes")</f>
        <v>No</v>
      </c>
      <c r="AH906" t="str">
        <f>IF(TwitterClean[[#This Row],[photos]]="null","No","Yes")</f>
        <v>No</v>
      </c>
      <c r="AI906" t="str">
        <f>IF(TwitterClean[[#This Row],[hashtags]]="null","No","Yes")</f>
        <v>No</v>
      </c>
      <c r="AJ906" t="str">
        <f>IF(TwitterClean[[#This Row],[external_url]]="null","Yes","No")</f>
        <v>No</v>
      </c>
      <c r="AK906">
        <f>LEN(TwitterClean[[#This Row],[description]])</f>
        <v>120</v>
      </c>
      <c r="AL906" t="str">
        <f>IF(TwitterClean[[#This Row],[followers]]&lt;100000,"&lt;100K",IF(TwitterClean[[#This Row],[followers]]&lt;1000000,"100K-1M",IF(TwitterClean[[#This Row],[followers]]&lt;10000000,"1M-10M","10M+")))</f>
        <v>1M-10M</v>
      </c>
    </row>
    <row r="907" spans="1:38">
      <c r="A907">
        <v>1.8681567941843151E+18</v>
      </c>
      <c r="B907" t="s">
        <v>2935</v>
      </c>
      <c r="C907" t="s">
        <v>2936</v>
      </c>
      <c r="D907" t="s">
        <v>2989</v>
      </c>
      <c r="E907" t="s">
        <v>2990</v>
      </c>
      <c r="F907" t="s">
        <v>29</v>
      </c>
      <c r="G907" t="s">
        <v>2991</v>
      </c>
      <c r="H907" t="s">
        <v>29</v>
      </c>
      <c r="I907">
        <v>9</v>
      </c>
      <c r="J907">
        <v>8</v>
      </c>
      <c r="K907">
        <v>23</v>
      </c>
      <c r="L907">
        <v>32614</v>
      </c>
      <c r="M907" t="s">
        <v>2992</v>
      </c>
      <c r="N907" t="s">
        <v>29</v>
      </c>
      <c r="O907">
        <v>9564155</v>
      </c>
      <c r="P907" t="s">
        <v>2941</v>
      </c>
      <c r="Q907">
        <v>1125277</v>
      </c>
      <c r="R907" t="s">
        <v>2942</v>
      </c>
      <c r="S907">
        <v>93</v>
      </c>
      <c r="T907" t="b">
        <v>0</v>
      </c>
      <c r="U907">
        <v>1</v>
      </c>
      <c r="V907">
        <v>4</v>
      </c>
      <c r="W907" t="s">
        <v>35</v>
      </c>
      <c r="X907" t="s">
        <v>2993</v>
      </c>
      <c r="Y907" t="s">
        <v>29</v>
      </c>
      <c r="Z907" t="s">
        <v>37</v>
      </c>
      <c r="AA907">
        <f>TwitterClean[[#This Row],[likes]]+TwitterClean[[#This Row],[replies]]+TwitterClean[[#This Row],[reposts]]+TwitterClean[[#This Row],[quotes]]+TwitterClean[[#This Row],[bookmarks]]</f>
        <v>45</v>
      </c>
      <c r="AB907" s="1">
        <f>TwitterClean[[#This Row],[Total_Engagements]]/TwitterClean[[#This Row],[views]]</f>
        <v>1.3797755565094745E-3</v>
      </c>
      <c r="AC907" s="3">
        <f>DATEVALUE(MID(TwitterClean[[#This Row],[date_posted]],2,10))</f>
        <v>45641</v>
      </c>
      <c r="AD907">
        <f>TIMEVALUE(MID(TwitterClean[[#This Row],[date_posted]],13,8))</f>
        <v>0.20211805555555556</v>
      </c>
      <c r="AE907" s="3" t="str">
        <f>TEXT(TwitterClean[[#This Row],[Post_Date]],"dddd")</f>
        <v>Sunday</v>
      </c>
      <c r="AF907">
        <f>HOUR(TwitterClean[[#This Row],[Post_Time]])</f>
        <v>4</v>
      </c>
      <c r="AG907" t="str">
        <f>IF(TwitterClean[[#This Row],[videos]]="Null","No","Yes")</f>
        <v>No</v>
      </c>
      <c r="AH907" t="str">
        <f>IF(TwitterClean[[#This Row],[photos]]="null","No","Yes")</f>
        <v>No</v>
      </c>
      <c r="AI907" t="str">
        <f>IF(TwitterClean[[#This Row],[hashtags]]="null","No","Yes")</f>
        <v>No</v>
      </c>
      <c r="AJ907" t="str">
        <f>IF(TwitterClean[[#This Row],[external_url]]="null","Yes","No")</f>
        <v>No</v>
      </c>
      <c r="AK907">
        <f>LEN(TwitterClean[[#This Row],[description]])</f>
        <v>248</v>
      </c>
      <c r="AL907" t="str">
        <f>IF(TwitterClean[[#This Row],[followers]]&lt;100000,"&lt;100K",IF(TwitterClean[[#This Row],[followers]]&lt;1000000,"100K-1M",IF(TwitterClean[[#This Row],[followers]]&lt;10000000,"1M-10M","10M+")))</f>
        <v>1M-10M</v>
      </c>
    </row>
    <row r="908" spans="1:38">
      <c r="A908">
        <v>1.8684396576644547E+18</v>
      </c>
      <c r="B908" t="s">
        <v>183</v>
      </c>
      <c r="C908" t="s">
        <v>184</v>
      </c>
      <c r="D908" t="s">
        <v>503</v>
      </c>
      <c r="E908" t="s">
        <v>504</v>
      </c>
      <c r="F908" t="s">
        <v>29</v>
      </c>
      <c r="G908" t="s">
        <v>505</v>
      </c>
      <c r="H908" t="s">
        <v>29</v>
      </c>
      <c r="I908">
        <v>6</v>
      </c>
      <c r="J908">
        <v>13</v>
      </c>
      <c r="K908">
        <v>40</v>
      </c>
      <c r="L908">
        <v>47859</v>
      </c>
      <c r="M908" t="s">
        <v>506</v>
      </c>
      <c r="N908" t="s">
        <v>29</v>
      </c>
      <c r="O908">
        <v>27122998</v>
      </c>
      <c r="P908" t="s">
        <v>190</v>
      </c>
      <c r="Q908">
        <v>402761</v>
      </c>
      <c r="R908" t="s">
        <v>191</v>
      </c>
      <c r="S908">
        <v>155</v>
      </c>
      <c r="T908" t="b">
        <v>0</v>
      </c>
      <c r="U908">
        <v>1</v>
      </c>
      <c r="V908">
        <v>6</v>
      </c>
      <c r="W908" t="s">
        <v>35</v>
      </c>
      <c r="X908" t="s">
        <v>507</v>
      </c>
      <c r="Y908" t="s">
        <v>29</v>
      </c>
      <c r="Z908" t="s">
        <v>37</v>
      </c>
      <c r="AA908">
        <f>TwitterClean[[#This Row],[likes]]+TwitterClean[[#This Row],[replies]]+TwitterClean[[#This Row],[reposts]]+TwitterClean[[#This Row],[quotes]]+TwitterClean[[#This Row],[bookmarks]]</f>
        <v>66</v>
      </c>
      <c r="AB908" s="1">
        <f>TwitterClean[[#This Row],[Total_Engagements]]/TwitterClean[[#This Row],[views]]</f>
        <v>1.3790509622014669E-3</v>
      </c>
      <c r="AC908" s="3">
        <f>DATEVALUE(MID(TwitterClean[[#This Row],[date_posted]],2,10))</f>
        <v>45641</v>
      </c>
      <c r="AD908">
        <f>TIMEVALUE(MID(TwitterClean[[#This Row],[date_posted]],13,8))</f>
        <v>0.98266203703703703</v>
      </c>
      <c r="AE908" s="3" t="str">
        <f>TEXT(TwitterClean[[#This Row],[Post_Date]],"dddd")</f>
        <v>Sunday</v>
      </c>
      <c r="AF908">
        <f>HOUR(TwitterClean[[#This Row],[Post_Time]])</f>
        <v>23</v>
      </c>
      <c r="AG908" t="str">
        <f>IF(TwitterClean[[#This Row],[videos]]="Null","No","Yes")</f>
        <v>No</v>
      </c>
      <c r="AH908" t="str">
        <f>IF(TwitterClean[[#This Row],[photos]]="null","No","Yes")</f>
        <v>No</v>
      </c>
      <c r="AI908" t="str">
        <f>IF(TwitterClean[[#This Row],[hashtags]]="null","No","Yes")</f>
        <v>No</v>
      </c>
      <c r="AJ908" t="str">
        <f>IF(TwitterClean[[#This Row],[external_url]]="null","Yes","No")</f>
        <v>No</v>
      </c>
      <c r="AK908">
        <f>LEN(TwitterClean[[#This Row],[description]])</f>
        <v>214</v>
      </c>
      <c r="AL908" t="str">
        <f>IF(TwitterClean[[#This Row],[followers]]&lt;100000,"&lt;100K",IF(TwitterClean[[#This Row],[followers]]&lt;1000000,"100K-1M",IF(TwitterClean[[#This Row],[followers]]&lt;10000000,"1M-10M","10M+")))</f>
        <v>10M+</v>
      </c>
    </row>
    <row r="909" spans="1:38">
      <c r="A909">
        <v>1.8683747360880151E+18</v>
      </c>
      <c r="B909" t="s">
        <v>183</v>
      </c>
      <c r="C909" t="s">
        <v>184</v>
      </c>
      <c r="D909" t="s">
        <v>380</v>
      </c>
      <c r="E909" t="s">
        <v>381</v>
      </c>
      <c r="F909" t="s">
        <v>29</v>
      </c>
      <c r="G909" t="s">
        <v>382</v>
      </c>
      <c r="H909" t="s">
        <v>29</v>
      </c>
      <c r="I909">
        <v>13</v>
      </c>
      <c r="J909">
        <v>8</v>
      </c>
      <c r="K909">
        <v>45</v>
      </c>
      <c r="L909">
        <v>54392</v>
      </c>
      <c r="M909" t="s">
        <v>383</v>
      </c>
      <c r="N909" t="s">
        <v>29</v>
      </c>
      <c r="O909">
        <v>27122602</v>
      </c>
      <c r="P909" t="s">
        <v>190</v>
      </c>
      <c r="Q909">
        <v>402760</v>
      </c>
      <c r="R909" t="s">
        <v>191</v>
      </c>
      <c r="S909">
        <v>155</v>
      </c>
      <c r="T909" t="b">
        <v>0</v>
      </c>
      <c r="U909">
        <v>2</v>
      </c>
      <c r="V909">
        <v>7</v>
      </c>
      <c r="W909" t="s">
        <v>35</v>
      </c>
      <c r="X909" t="s">
        <v>384</v>
      </c>
      <c r="Y909" t="s">
        <v>29</v>
      </c>
      <c r="Z909" t="s">
        <v>37</v>
      </c>
      <c r="AA909">
        <f>TwitterClean[[#This Row],[likes]]+TwitterClean[[#This Row],[replies]]+TwitterClean[[#This Row],[reposts]]+TwitterClean[[#This Row],[quotes]]+TwitterClean[[#This Row],[bookmarks]]</f>
        <v>75</v>
      </c>
      <c r="AB909" s="1">
        <f>TwitterClean[[#This Row],[Total_Engagements]]/TwitterClean[[#This Row],[views]]</f>
        <v>1.3788792469480806E-3</v>
      </c>
      <c r="AC909" s="3">
        <f>DATEVALUE(MID(TwitterClean[[#This Row],[date_posted]],2,10))</f>
        <v>45641</v>
      </c>
      <c r="AD909">
        <f>TIMEVALUE(MID(TwitterClean[[#This Row],[date_posted]],13,8))</f>
        <v>0.80351851851851852</v>
      </c>
      <c r="AE909" s="3" t="str">
        <f>TEXT(TwitterClean[[#This Row],[Post_Date]],"dddd")</f>
        <v>Sunday</v>
      </c>
      <c r="AF909">
        <f>HOUR(TwitterClean[[#This Row],[Post_Time]])</f>
        <v>19</v>
      </c>
      <c r="AG909" t="str">
        <f>IF(TwitterClean[[#This Row],[videos]]="Null","No","Yes")</f>
        <v>No</v>
      </c>
      <c r="AH909" t="str">
        <f>IF(TwitterClean[[#This Row],[photos]]="null","No","Yes")</f>
        <v>No</v>
      </c>
      <c r="AI909" t="str">
        <f>IF(TwitterClean[[#This Row],[hashtags]]="null","No","Yes")</f>
        <v>No</v>
      </c>
      <c r="AJ909" t="str">
        <f>IF(TwitterClean[[#This Row],[external_url]]="null","Yes","No")</f>
        <v>No</v>
      </c>
      <c r="AK909">
        <f>LEN(TwitterClean[[#This Row],[description]])</f>
        <v>100</v>
      </c>
      <c r="AL909" t="str">
        <f>IF(TwitterClean[[#This Row],[followers]]&lt;100000,"&lt;100K",IF(TwitterClean[[#This Row],[followers]]&lt;1000000,"100K-1M",IF(TwitterClean[[#This Row],[followers]]&lt;10000000,"1M-10M","10M+")))</f>
        <v>10M+</v>
      </c>
    </row>
    <row r="910" spans="1:38">
      <c r="A910">
        <v>1.8681138148576916E+18</v>
      </c>
      <c r="B910" t="s">
        <v>183</v>
      </c>
      <c r="C910" t="s">
        <v>184</v>
      </c>
      <c r="D910" t="s">
        <v>826</v>
      </c>
      <c r="E910" t="s">
        <v>827</v>
      </c>
      <c r="F910" t="s">
        <v>828</v>
      </c>
      <c r="G910" t="s">
        <v>829</v>
      </c>
      <c r="H910" t="s">
        <v>29</v>
      </c>
      <c r="I910">
        <v>5</v>
      </c>
      <c r="J910">
        <v>13</v>
      </c>
      <c r="K910">
        <v>59</v>
      </c>
      <c r="L910">
        <v>66873</v>
      </c>
      <c r="M910" t="s">
        <v>830</v>
      </c>
      <c r="N910" t="s">
        <v>29</v>
      </c>
      <c r="O910">
        <v>27123000</v>
      </c>
      <c r="P910" t="s">
        <v>190</v>
      </c>
      <c r="Q910">
        <v>402760</v>
      </c>
      <c r="R910" t="s">
        <v>191</v>
      </c>
      <c r="S910">
        <v>155</v>
      </c>
      <c r="T910" t="b">
        <v>0</v>
      </c>
      <c r="U910">
        <v>3</v>
      </c>
      <c r="V910">
        <v>12</v>
      </c>
      <c r="W910" t="s">
        <v>35</v>
      </c>
      <c r="X910" t="s">
        <v>29</v>
      </c>
      <c r="Y910" t="s">
        <v>29</v>
      </c>
      <c r="Z910" t="s">
        <v>37</v>
      </c>
      <c r="AA910">
        <f>TwitterClean[[#This Row],[likes]]+TwitterClean[[#This Row],[replies]]+TwitterClean[[#This Row],[reposts]]+TwitterClean[[#This Row],[quotes]]+TwitterClean[[#This Row],[bookmarks]]</f>
        <v>92</v>
      </c>
      <c r="AB910" s="1">
        <f>TwitterClean[[#This Row],[Total_Engagements]]/TwitterClean[[#This Row],[views]]</f>
        <v>1.3757420782677613E-3</v>
      </c>
      <c r="AC910" s="3">
        <f>DATEVALUE(MID(TwitterClean[[#This Row],[date_posted]],2,10))</f>
        <v>45641</v>
      </c>
      <c r="AD910">
        <f>TIMEVALUE(MID(TwitterClean[[#This Row],[date_posted]],13,8))</f>
        <v>8.3506944444444439E-2</v>
      </c>
      <c r="AE910" s="3" t="str">
        <f>TEXT(TwitterClean[[#This Row],[Post_Date]],"dddd")</f>
        <v>Sunday</v>
      </c>
      <c r="AF910">
        <f>HOUR(TwitterClean[[#This Row],[Post_Time]])</f>
        <v>2</v>
      </c>
      <c r="AG910" t="str">
        <f>IF(TwitterClean[[#This Row],[videos]]="Null","No","Yes")</f>
        <v>No</v>
      </c>
      <c r="AH910" t="str">
        <f>IF(TwitterClean[[#This Row],[photos]]="null","No","Yes")</f>
        <v>Yes</v>
      </c>
      <c r="AI910" t="str">
        <f>IF(TwitterClean[[#This Row],[hashtags]]="null","No","Yes")</f>
        <v>No</v>
      </c>
      <c r="AJ910" t="str">
        <f>IF(TwitterClean[[#This Row],[external_url]]="null","Yes","No")</f>
        <v>No</v>
      </c>
      <c r="AK910">
        <f>LEN(TwitterClean[[#This Row],[description]])</f>
        <v>79</v>
      </c>
      <c r="AL910" t="str">
        <f>IF(TwitterClean[[#This Row],[followers]]&lt;100000,"&lt;100K",IF(TwitterClean[[#This Row],[followers]]&lt;1000000,"100K-1M",IF(TwitterClean[[#This Row],[followers]]&lt;10000000,"1M-10M","10M+")))</f>
        <v>10M+</v>
      </c>
    </row>
    <row r="911" spans="1:38">
      <c r="A911">
        <v>1.8681858239605806E+18</v>
      </c>
      <c r="B911" t="s">
        <v>1646</v>
      </c>
      <c r="C911" t="s">
        <v>1647</v>
      </c>
      <c r="D911" t="s">
        <v>1682</v>
      </c>
      <c r="E911" t="s">
        <v>1683</v>
      </c>
      <c r="F911" t="s">
        <v>29</v>
      </c>
      <c r="G911" t="s">
        <v>1684</v>
      </c>
      <c r="H911" t="s">
        <v>29</v>
      </c>
      <c r="I911">
        <v>2</v>
      </c>
      <c r="J911">
        <v>1</v>
      </c>
      <c r="K911">
        <v>10</v>
      </c>
      <c r="L911">
        <v>11266</v>
      </c>
      <c r="M911" t="s">
        <v>1685</v>
      </c>
      <c r="N911" t="s">
        <v>1686</v>
      </c>
      <c r="O911">
        <v>3768943</v>
      </c>
      <c r="P911" t="s">
        <v>1653</v>
      </c>
      <c r="Q911">
        <v>897934</v>
      </c>
      <c r="R911" t="s">
        <v>1654</v>
      </c>
      <c r="S911">
        <v>28</v>
      </c>
      <c r="T911" t="b">
        <v>0</v>
      </c>
      <c r="U911">
        <v>0</v>
      </c>
      <c r="V911">
        <v>2</v>
      </c>
      <c r="W911" t="s">
        <v>35</v>
      </c>
      <c r="X911" t="s">
        <v>1687</v>
      </c>
      <c r="Y911" t="s">
        <v>29</v>
      </c>
      <c r="Z911" t="s">
        <v>37</v>
      </c>
      <c r="AA911">
        <f>TwitterClean[[#This Row],[likes]]+TwitterClean[[#This Row],[replies]]+TwitterClean[[#This Row],[reposts]]+TwitterClean[[#This Row],[quotes]]+TwitterClean[[#This Row],[bookmarks]]</f>
        <v>15</v>
      </c>
      <c r="AB911" s="1">
        <f>TwitterClean[[#This Row],[Total_Engagements]]/TwitterClean[[#This Row],[views]]</f>
        <v>1.331439730161548E-3</v>
      </c>
      <c r="AC911" s="3">
        <f>DATEVALUE(MID(TwitterClean[[#This Row],[date_posted]],2,10))</f>
        <v>45641</v>
      </c>
      <c r="AD911">
        <f>TIMEVALUE(MID(TwitterClean[[#This Row],[date_posted]],13,8))</f>
        <v>0.28222222222222221</v>
      </c>
      <c r="AE911" s="3" t="str">
        <f>TEXT(TwitterClean[[#This Row],[Post_Date]],"dddd")</f>
        <v>Sunday</v>
      </c>
      <c r="AF911">
        <f>HOUR(TwitterClean[[#This Row],[Post_Time]])</f>
        <v>6</v>
      </c>
      <c r="AG911" t="str">
        <f>IF(TwitterClean[[#This Row],[videos]]="Null","No","Yes")</f>
        <v>No</v>
      </c>
      <c r="AH911" t="str">
        <f>IF(TwitterClean[[#This Row],[photos]]="null","No","Yes")</f>
        <v>No</v>
      </c>
      <c r="AI911" t="str">
        <f>IF(TwitterClean[[#This Row],[hashtags]]="null","No","Yes")</f>
        <v>Yes</v>
      </c>
      <c r="AJ911" t="str">
        <f>IF(TwitterClean[[#This Row],[external_url]]="null","Yes","No")</f>
        <v>No</v>
      </c>
      <c r="AK911">
        <f>LEN(TwitterClean[[#This Row],[description]])</f>
        <v>106</v>
      </c>
      <c r="AL911" t="str">
        <f>IF(TwitterClean[[#This Row],[followers]]&lt;100000,"&lt;100K",IF(TwitterClean[[#This Row],[followers]]&lt;1000000,"100K-1M",IF(TwitterClean[[#This Row],[followers]]&lt;10000000,"1M-10M","10M+")))</f>
        <v>1M-10M</v>
      </c>
    </row>
    <row r="912" spans="1:38">
      <c r="A912">
        <v>1.8683420030559524E+18</v>
      </c>
      <c r="B912" t="s">
        <v>4280</v>
      </c>
      <c r="C912" t="s">
        <v>4280</v>
      </c>
      <c r="D912" t="s">
        <v>4281</v>
      </c>
      <c r="E912" t="s">
        <v>4282</v>
      </c>
      <c r="F912" t="s">
        <v>29</v>
      </c>
      <c r="G912" t="s">
        <v>4283</v>
      </c>
      <c r="H912" t="s">
        <v>29</v>
      </c>
      <c r="I912">
        <v>32</v>
      </c>
      <c r="J912">
        <v>4</v>
      </c>
      <c r="K912">
        <v>53</v>
      </c>
      <c r="L912">
        <v>74110</v>
      </c>
      <c r="M912" t="s">
        <v>4284</v>
      </c>
      <c r="N912" t="s">
        <v>29</v>
      </c>
      <c r="O912">
        <v>2356528</v>
      </c>
      <c r="P912" t="s">
        <v>4285</v>
      </c>
      <c r="Q912">
        <v>338240</v>
      </c>
      <c r="R912" t="s">
        <v>4286</v>
      </c>
      <c r="S912">
        <v>1981</v>
      </c>
      <c r="T912" t="b">
        <v>0</v>
      </c>
      <c r="U912">
        <v>2</v>
      </c>
      <c r="V912">
        <v>7</v>
      </c>
      <c r="W912" t="s">
        <v>35</v>
      </c>
      <c r="X912" t="s">
        <v>4287</v>
      </c>
      <c r="Y912" t="s">
        <v>29</v>
      </c>
      <c r="Z912" t="s">
        <v>37</v>
      </c>
      <c r="AA912">
        <f>TwitterClean[[#This Row],[likes]]+TwitterClean[[#This Row],[replies]]+TwitterClean[[#This Row],[reposts]]+TwitterClean[[#This Row],[quotes]]+TwitterClean[[#This Row],[bookmarks]]</f>
        <v>98</v>
      </c>
      <c r="AB912" s="1">
        <f>TwitterClean[[#This Row],[Total_Engagements]]/TwitterClean[[#This Row],[views]]</f>
        <v>1.3223586560518149E-3</v>
      </c>
      <c r="AC912" s="3">
        <f>DATEVALUE(MID(TwitterClean[[#This Row],[date_posted]],2,10))</f>
        <v>45641</v>
      </c>
      <c r="AD912">
        <f>TIMEVALUE(MID(TwitterClean[[#This Row],[date_posted]],13,8))</f>
        <v>0.71319444444444446</v>
      </c>
      <c r="AE912" s="3" t="str">
        <f>TEXT(TwitterClean[[#This Row],[Post_Date]],"dddd")</f>
        <v>Sunday</v>
      </c>
      <c r="AF912">
        <f>HOUR(TwitterClean[[#This Row],[Post_Time]])</f>
        <v>17</v>
      </c>
      <c r="AG912" t="str">
        <f>IF(TwitterClean[[#This Row],[videos]]="Null","No","Yes")</f>
        <v>No</v>
      </c>
      <c r="AH912" t="str">
        <f>IF(TwitterClean[[#This Row],[photos]]="null","No","Yes")</f>
        <v>No</v>
      </c>
      <c r="AI912" t="str">
        <f>IF(TwitterClean[[#This Row],[hashtags]]="null","No","Yes")</f>
        <v>No</v>
      </c>
      <c r="AJ912" t="str">
        <f>IF(TwitterClean[[#This Row],[external_url]]="null","Yes","No")</f>
        <v>No</v>
      </c>
      <c r="AK912">
        <f>LEN(TwitterClean[[#This Row],[description]])</f>
        <v>52</v>
      </c>
      <c r="AL912" t="str">
        <f>IF(TwitterClean[[#This Row],[followers]]&lt;100000,"&lt;100K",IF(TwitterClean[[#This Row],[followers]]&lt;1000000,"100K-1M",IF(TwitterClean[[#This Row],[followers]]&lt;10000000,"1M-10M","10M+")))</f>
        <v>1M-10M</v>
      </c>
    </row>
    <row r="913" spans="1:38">
      <c r="A913">
        <v>1.8681089814003878E+18</v>
      </c>
      <c r="B913" t="s">
        <v>2935</v>
      </c>
      <c r="C913" t="s">
        <v>2936</v>
      </c>
      <c r="D913" t="s">
        <v>3498</v>
      </c>
      <c r="E913" t="s">
        <v>3923</v>
      </c>
      <c r="F913" t="s">
        <v>29</v>
      </c>
      <c r="G913" t="s">
        <v>3924</v>
      </c>
      <c r="H913" t="s">
        <v>29</v>
      </c>
      <c r="I913">
        <v>9</v>
      </c>
      <c r="J913">
        <v>5</v>
      </c>
      <c r="K913">
        <v>19</v>
      </c>
      <c r="L913">
        <v>34880</v>
      </c>
      <c r="M913" t="s">
        <v>3925</v>
      </c>
      <c r="N913" t="s">
        <v>29</v>
      </c>
      <c r="O913">
        <v>9564233</v>
      </c>
      <c r="P913" t="s">
        <v>2941</v>
      </c>
      <c r="Q913">
        <v>1125277</v>
      </c>
      <c r="R913" t="s">
        <v>2942</v>
      </c>
      <c r="S913">
        <v>93</v>
      </c>
      <c r="T913" t="b">
        <v>0</v>
      </c>
      <c r="U913">
        <v>2</v>
      </c>
      <c r="V913">
        <v>11</v>
      </c>
      <c r="W913" t="s">
        <v>35</v>
      </c>
      <c r="X913" t="s">
        <v>3502</v>
      </c>
      <c r="Y913" t="s">
        <v>29</v>
      </c>
      <c r="Z913" t="s">
        <v>37</v>
      </c>
      <c r="AA913">
        <f>TwitterClean[[#This Row],[likes]]+TwitterClean[[#This Row],[replies]]+TwitterClean[[#This Row],[reposts]]+TwitterClean[[#This Row],[quotes]]+TwitterClean[[#This Row],[bookmarks]]</f>
        <v>46</v>
      </c>
      <c r="AB913" s="1">
        <f>TwitterClean[[#This Row],[Total_Engagements]]/TwitterClean[[#This Row],[views]]</f>
        <v>1.3188073394495414E-3</v>
      </c>
      <c r="AC913" s="3">
        <f>DATEVALUE(MID(TwitterClean[[#This Row],[date_posted]],2,10))</f>
        <v>45641</v>
      </c>
      <c r="AD913">
        <f>TIMEVALUE(MID(TwitterClean[[#This Row],[date_posted]],13,8))</f>
        <v>7.0173611111111117E-2</v>
      </c>
      <c r="AE913" s="3" t="str">
        <f>TEXT(TwitterClean[[#This Row],[Post_Date]],"dddd")</f>
        <v>Sunday</v>
      </c>
      <c r="AF913">
        <f>HOUR(TwitterClean[[#This Row],[Post_Time]])</f>
        <v>1</v>
      </c>
      <c r="AG913" t="str">
        <f>IF(TwitterClean[[#This Row],[videos]]="Null","No","Yes")</f>
        <v>No</v>
      </c>
      <c r="AH913" t="str">
        <f>IF(TwitterClean[[#This Row],[photos]]="null","No","Yes")</f>
        <v>No</v>
      </c>
      <c r="AI913" t="str">
        <f>IF(TwitterClean[[#This Row],[hashtags]]="null","No","Yes")</f>
        <v>No</v>
      </c>
      <c r="AJ913" t="str">
        <f>IF(TwitterClean[[#This Row],[external_url]]="null","Yes","No")</f>
        <v>No</v>
      </c>
      <c r="AK913">
        <f>LEN(TwitterClean[[#This Row],[description]])</f>
        <v>72</v>
      </c>
      <c r="AL913" t="str">
        <f>IF(TwitterClean[[#This Row],[followers]]&lt;100000,"&lt;100K",IF(TwitterClean[[#This Row],[followers]]&lt;1000000,"100K-1M",IF(TwitterClean[[#This Row],[followers]]&lt;10000000,"1M-10M","10M+")))</f>
        <v>1M-10M</v>
      </c>
    </row>
    <row r="914" spans="1:38">
      <c r="A914">
        <v>1.8682812118790554E+18</v>
      </c>
      <c r="B914" t="s">
        <v>2935</v>
      </c>
      <c r="C914" t="s">
        <v>2936</v>
      </c>
      <c r="D914" t="s">
        <v>2965</v>
      </c>
      <c r="E914" t="s">
        <v>2966</v>
      </c>
      <c r="F914" t="s">
        <v>29</v>
      </c>
      <c r="G914" t="s">
        <v>2967</v>
      </c>
      <c r="H914" t="s">
        <v>29</v>
      </c>
      <c r="I914">
        <v>7</v>
      </c>
      <c r="J914">
        <v>10</v>
      </c>
      <c r="K914">
        <v>23</v>
      </c>
      <c r="L914">
        <v>32969</v>
      </c>
      <c r="M914" t="s">
        <v>2968</v>
      </c>
      <c r="N914" t="s">
        <v>29</v>
      </c>
      <c r="O914">
        <v>9564155</v>
      </c>
      <c r="P914" t="s">
        <v>2941</v>
      </c>
      <c r="Q914">
        <v>1125277</v>
      </c>
      <c r="R914" t="s">
        <v>2942</v>
      </c>
      <c r="S914">
        <v>93</v>
      </c>
      <c r="T914" t="b">
        <v>0</v>
      </c>
      <c r="U914">
        <v>1</v>
      </c>
      <c r="V914">
        <v>2</v>
      </c>
      <c r="W914" t="s">
        <v>35</v>
      </c>
      <c r="X914" t="s">
        <v>2969</v>
      </c>
      <c r="Y914" t="s">
        <v>29</v>
      </c>
      <c r="Z914" t="s">
        <v>37</v>
      </c>
      <c r="AA914">
        <f>TwitterClean[[#This Row],[likes]]+TwitterClean[[#This Row],[replies]]+TwitterClean[[#This Row],[reposts]]+TwitterClean[[#This Row],[quotes]]+TwitterClean[[#This Row],[bookmarks]]</f>
        <v>43</v>
      </c>
      <c r="AB914" s="1">
        <f>TwitterClean[[#This Row],[Total_Engagements]]/TwitterClean[[#This Row],[views]]</f>
        <v>1.3042555127544056E-3</v>
      </c>
      <c r="AC914" s="3">
        <f>DATEVALUE(MID(TwitterClean[[#This Row],[date_posted]],2,10))</f>
        <v>45641</v>
      </c>
      <c r="AD914">
        <f>TIMEVALUE(MID(TwitterClean[[#This Row],[date_posted]],13,8))</f>
        <v>0.54543981481481485</v>
      </c>
      <c r="AE914" s="3" t="str">
        <f>TEXT(TwitterClean[[#This Row],[Post_Date]],"dddd")</f>
        <v>Sunday</v>
      </c>
      <c r="AF914">
        <f>HOUR(TwitterClean[[#This Row],[Post_Time]])</f>
        <v>13</v>
      </c>
      <c r="AG914" t="str">
        <f>IF(TwitterClean[[#This Row],[videos]]="Null","No","Yes")</f>
        <v>No</v>
      </c>
      <c r="AH914" t="str">
        <f>IF(TwitterClean[[#This Row],[photos]]="null","No","Yes")</f>
        <v>No</v>
      </c>
      <c r="AI914" t="str">
        <f>IF(TwitterClean[[#This Row],[hashtags]]="null","No","Yes")</f>
        <v>No</v>
      </c>
      <c r="AJ914" t="str">
        <f>IF(TwitterClean[[#This Row],[external_url]]="null","Yes","No")</f>
        <v>No</v>
      </c>
      <c r="AK914">
        <f>LEN(TwitterClean[[#This Row],[description]])</f>
        <v>207</v>
      </c>
      <c r="AL914" t="str">
        <f>IF(TwitterClean[[#This Row],[followers]]&lt;100000,"&lt;100K",IF(TwitterClean[[#This Row],[followers]]&lt;1000000,"100K-1M",IF(TwitterClean[[#This Row],[followers]]&lt;10000000,"1M-10M","10M+")))</f>
        <v>1M-10M</v>
      </c>
    </row>
    <row r="915" spans="1:38">
      <c r="A915">
        <v>1.8683666655886054E+18</v>
      </c>
      <c r="B915" t="s">
        <v>4280</v>
      </c>
      <c r="C915" t="s">
        <v>4280</v>
      </c>
      <c r="D915" t="s">
        <v>4333</v>
      </c>
      <c r="E915" t="s">
        <v>4334</v>
      </c>
      <c r="F915" t="s">
        <v>29</v>
      </c>
      <c r="G915" t="s">
        <v>4335</v>
      </c>
      <c r="H915" t="s">
        <v>29</v>
      </c>
      <c r="I915">
        <v>9</v>
      </c>
      <c r="J915">
        <v>4</v>
      </c>
      <c r="K915">
        <v>25</v>
      </c>
      <c r="L915">
        <v>32337</v>
      </c>
      <c r="M915" t="s">
        <v>4336</v>
      </c>
      <c r="N915" t="s">
        <v>29</v>
      </c>
      <c r="O915">
        <v>2356528</v>
      </c>
      <c r="P915" t="s">
        <v>4285</v>
      </c>
      <c r="Q915">
        <v>338240</v>
      </c>
      <c r="R915" t="s">
        <v>4286</v>
      </c>
      <c r="S915">
        <v>1981</v>
      </c>
      <c r="T915" t="b">
        <v>0</v>
      </c>
      <c r="U915">
        <v>2</v>
      </c>
      <c r="V915">
        <v>2</v>
      </c>
      <c r="W915" t="s">
        <v>35</v>
      </c>
      <c r="X915" t="s">
        <v>4337</v>
      </c>
      <c r="Y915" t="s">
        <v>29</v>
      </c>
      <c r="Z915" t="s">
        <v>37</v>
      </c>
      <c r="AA915">
        <f>TwitterClean[[#This Row],[likes]]+TwitterClean[[#This Row],[replies]]+TwitterClean[[#This Row],[reposts]]+TwitterClean[[#This Row],[quotes]]+TwitterClean[[#This Row],[bookmarks]]</f>
        <v>42</v>
      </c>
      <c r="AB915" s="1">
        <f>TwitterClean[[#This Row],[Total_Engagements]]/TwitterClean[[#This Row],[views]]</f>
        <v>1.2988217830967623E-3</v>
      </c>
      <c r="AC915" s="3">
        <f>DATEVALUE(MID(TwitterClean[[#This Row],[date_posted]],2,10))</f>
        <v>45641</v>
      </c>
      <c r="AD915">
        <f>TIMEVALUE(MID(TwitterClean[[#This Row],[date_posted]],13,8))</f>
        <v>0.78125</v>
      </c>
      <c r="AE915" s="3" t="str">
        <f>TEXT(TwitterClean[[#This Row],[Post_Date]],"dddd")</f>
        <v>Sunday</v>
      </c>
      <c r="AF915">
        <f>HOUR(TwitterClean[[#This Row],[Post_Time]])</f>
        <v>18</v>
      </c>
      <c r="AG915" t="str">
        <f>IF(TwitterClean[[#This Row],[videos]]="Null","No","Yes")</f>
        <v>No</v>
      </c>
      <c r="AH915" t="str">
        <f>IF(TwitterClean[[#This Row],[photos]]="null","No","Yes")</f>
        <v>No</v>
      </c>
      <c r="AI915" t="str">
        <f>IF(TwitterClean[[#This Row],[hashtags]]="null","No","Yes")</f>
        <v>No</v>
      </c>
      <c r="AJ915" t="str">
        <f>IF(TwitterClean[[#This Row],[external_url]]="null","Yes","No")</f>
        <v>No</v>
      </c>
      <c r="AK915">
        <f>LEN(TwitterClean[[#This Row],[description]])</f>
        <v>86</v>
      </c>
      <c r="AL915" t="str">
        <f>IF(TwitterClean[[#This Row],[followers]]&lt;100000,"&lt;100K",IF(TwitterClean[[#This Row],[followers]]&lt;1000000,"100K-1M",IF(TwitterClean[[#This Row],[followers]]&lt;10000000,"1M-10M","10M+")))</f>
        <v>1M-10M</v>
      </c>
    </row>
    <row r="916" spans="1:38">
      <c r="A916">
        <v>1.8683574856751314E+18</v>
      </c>
      <c r="B916" t="s">
        <v>3168</v>
      </c>
      <c r="C916" t="s">
        <v>3169</v>
      </c>
      <c r="D916" t="s">
        <v>4765</v>
      </c>
      <c r="E916" t="s">
        <v>4766</v>
      </c>
      <c r="F916" t="s">
        <v>4767</v>
      </c>
      <c r="G916" t="s">
        <v>4768</v>
      </c>
      <c r="H916" t="s">
        <v>29</v>
      </c>
      <c r="I916">
        <v>3</v>
      </c>
      <c r="J916">
        <v>8</v>
      </c>
      <c r="K916">
        <v>47</v>
      </c>
      <c r="L916">
        <v>48625</v>
      </c>
      <c r="M916" t="s">
        <v>52</v>
      </c>
      <c r="N916" t="s">
        <v>3636</v>
      </c>
      <c r="O916">
        <v>294711</v>
      </c>
      <c r="P916" t="s">
        <v>3175</v>
      </c>
      <c r="Q916">
        <v>66342</v>
      </c>
      <c r="R916" t="s">
        <v>3176</v>
      </c>
      <c r="S916">
        <v>1449</v>
      </c>
      <c r="T916" t="b">
        <v>0</v>
      </c>
      <c r="U916">
        <v>4</v>
      </c>
      <c r="V916">
        <v>1</v>
      </c>
      <c r="W916" t="s">
        <v>35</v>
      </c>
      <c r="X916" t="s">
        <v>29</v>
      </c>
      <c r="Y916" t="s">
        <v>29</v>
      </c>
      <c r="Z916" t="s">
        <v>37</v>
      </c>
      <c r="AA916">
        <f>TwitterClean[[#This Row],[likes]]+TwitterClean[[#This Row],[replies]]+TwitterClean[[#This Row],[reposts]]+TwitterClean[[#This Row],[quotes]]+TwitterClean[[#This Row],[bookmarks]]</f>
        <v>63</v>
      </c>
      <c r="AB916" s="1">
        <f>TwitterClean[[#This Row],[Total_Engagements]]/TwitterClean[[#This Row],[views]]</f>
        <v>1.2956298200514139E-3</v>
      </c>
      <c r="AC916" s="3">
        <f>DATEVALUE(MID(TwitterClean[[#This Row],[date_posted]],2,10))</f>
        <v>45641</v>
      </c>
      <c r="AD916">
        <f>TIMEVALUE(MID(TwitterClean[[#This Row],[date_posted]],13,8))</f>
        <v>0.75591435185185185</v>
      </c>
      <c r="AE916" s="3" t="str">
        <f>TEXT(TwitterClean[[#This Row],[Post_Date]],"dddd")</f>
        <v>Sunday</v>
      </c>
      <c r="AF916">
        <f>HOUR(TwitterClean[[#This Row],[Post_Time]])</f>
        <v>18</v>
      </c>
      <c r="AG916" t="str">
        <f>IF(TwitterClean[[#This Row],[videos]]="Null","No","Yes")</f>
        <v>No</v>
      </c>
      <c r="AH916" t="str">
        <f>IF(TwitterClean[[#This Row],[photos]]="null","No","Yes")</f>
        <v>Yes</v>
      </c>
      <c r="AI916" t="str">
        <f>IF(TwitterClean[[#This Row],[hashtags]]="null","No","Yes")</f>
        <v>Yes</v>
      </c>
      <c r="AJ916" t="str">
        <f>IF(TwitterClean[[#This Row],[external_url]]="null","Yes","No")</f>
        <v>No</v>
      </c>
      <c r="AK916">
        <f>LEN(TwitterClean[[#This Row],[description]])</f>
        <v>126</v>
      </c>
      <c r="AL916" t="str">
        <f>IF(TwitterClean[[#This Row],[followers]]&lt;100000,"&lt;100K",IF(TwitterClean[[#This Row],[followers]]&lt;1000000,"100K-1M",IF(TwitterClean[[#This Row],[followers]]&lt;10000000,"1M-10M","10M+")))</f>
        <v>100K-1M</v>
      </c>
    </row>
    <row r="917" spans="1:38">
      <c r="A917">
        <v>1.8685146544161833E+18</v>
      </c>
      <c r="B917" t="s">
        <v>2935</v>
      </c>
      <c r="C917" t="s">
        <v>2936</v>
      </c>
      <c r="D917" t="s">
        <v>3123</v>
      </c>
      <c r="E917" t="s">
        <v>3124</v>
      </c>
      <c r="F917" t="s">
        <v>29</v>
      </c>
      <c r="G917" t="s">
        <v>3125</v>
      </c>
      <c r="H917" t="s">
        <v>29</v>
      </c>
      <c r="I917">
        <v>8</v>
      </c>
      <c r="J917">
        <v>4</v>
      </c>
      <c r="K917">
        <v>9</v>
      </c>
      <c r="L917">
        <v>17850</v>
      </c>
      <c r="M917" t="s">
        <v>3126</v>
      </c>
      <c r="N917" t="s">
        <v>29</v>
      </c>
      <c r="O917">
        <v>9564154</v>
      </c>
      <c r="P917" t="s">
        <v>2941</v>
      </c>
      <c r="Q917">
        <v>1125277</v>
      </c>
      <c r="R917" t="s">
        <v>2942</v>
      </c>
      <c r="S917">
        <v>93</v>
      </c>
      <c r="T917" t="b">
        <v>0</v>
      </c>
      <c r="U917">
        <v>1</v>
      </c>
      <c r="V917">
        <v>1</v>
      </c>
      <c r="W917" t="s">
        <v>35</v>
      </c>
      <c r="X917" t="s">
        <v>3127</v>
      </c>
      <c r="Y917" t="s">
        <v>29</v>
      </c>
      <c r="Z917" t="s">
        <v>37</v>
      </c>
      <c r="AA917">
        <f>TwitterClean[[#This Row],[likes]]+TwitterClean[[#This Row],[replies]]+TwitterClean[[#This Row],[reposts]]+TwitterClean[[#This Row],[quotes]]+TwitterClean[[#This Row],[bookmarks]]</f>
        <v>23</v>
      </c>
      <c r="AB917" s="1">
        <f>TwitterClean[[#This Row],[Total_Engagements]]/TwitterClean[[#This Row],[views]]</f>
        <v>1.288515406162465E-3</v>
      </c>
      <c r="AC917" s="3">
        <f>DATEVALUE(MID(TwitterClean[[#This Row],[date_posted]],2,10))</f>
        <v>45642</v>
      </c>
      <c r="AD917">
        <f>TIMEVALUE(MID(TwitterClean[[#This Row],[date_posted]],13,8))</f>
        <v>0.18961805555555555</v>
      </c>
      <c r="AE917" s="3" t="str">
        <f>TEXT(TwitterClean[[#This Row],[Post_Date]],"dddd")</f>
        <v>Monday</v>
      </c>
      <c r="AF917">
        <f>HOUR(TwitterClean[[#This Row],[Post_Time]])</f>
        <v>4</v>
      </c>
      <c r="AG917" t="str">
        <f>IF(TwitterClean[[#This Row],[videos]]="Null","No","Yes")</f>
        <v>No</v>
      </c>
      <c r="AH917" t="str">
        <f>IF(TwitterClean[[#This Row],[photos]]="null","No","Yes")</f>
        <v>No</v>
      </c>
      <c r="AI917" t="str">
        <f>IF(TwitterClean[[#This Row],[hashtags]]="null","No","Yes")</f>
        <v>No</v>
      </c>
      <c r="AJ917" t="str">
        <f>IF(TwitterClean[[#This Row],[external_url]]="null","Yes","No")</f>
        <v>No</v>
      </c>
      <c r="AK917">
        <f>LEN(TwitterClean[[#This Row],[description]])</f>
        <v>177</v>
      </c>
      <c r="AL917" t="str">
        <f>IF(TwitterClean[[#This Row],[followers]]&lt;100000,"&lt;100K",IF(TwitterClean[[#This Row],[followers]]&lt;1000000,"100K-1M",IF(TwitterClean[[#This Row],[followers]]&lt;10000000,"1M-10M","10M+")))</f>
        <v>1M-10M</v>
      </c>
    </row>
    <row r="918" spans="1:38">
      <c r="A918">
        <v>1.8683993959698516E+18</v>
      </c>
      <c r="B918" t="s">
        <v>183</v>
      </c>
      <c r="C918" t="s">
        <v>184</v>
      </c>
      <c r="D918" t="s">
        <v>1082</v>
      </c>
      <c r="E918" t="s">
        <v>1083</v>
      </c>
      <c r="F918" t="s">
        <v>29</v>
      </c>
      <c r="G918" t="s">
        <v>1084</v>
      </c>
      <c r="H918" t="s">
        <v>29</v>
      </c>
      <c r="I918">
        <v>17</v>
      </c>
      <c r="J918">
        <v>10</v>
      </c>
      <c r="K918">
        <v>37</v>
      </c>
      <c r="L918">
        <v>52905</v>
      </c>
      <c r="M918" t="s">
        <v>1085</v>
      </c>
      <c r="N918" t="s">
        <v>29</v>
      </c>
      <c r="O918">
        <v>27122999</v>
      </c>
      <c r="P918" t="s">
        <v>190</v>
      </c>
      <c r="Q918">
        <v>402761</v>
      </c>
      <c r="R918" t="s">
        <v>191</v>
      </c>
      <c r="S918">
        <v>155</v>
      </c>
      <c r="T918" t="b">
        <v>0</v>
      </c>
      <c r="U918">
        <v>2</v>
      </c>
      <c r="V918">
        <v>2</v>
      </c>
      <c r="W918" t="s">
        <v>35</v>
      </c>
      <c r="X918" t="s">
        <v>1086</v>
      </c>
      <c r="Y918" t="s">
        <v>29</v>
      </c>
      <c r="Z918" t="s">
        <v>37</v>
      </c>
      <c r="AA918">
        <f>TwitterClean[[#This Row],[likes]]+TwitterClean[[#This Row],[replies]]+TwitterClean[[#This Row],[reposts]]+TwitterClean[[#This Row],[quotes]]+TwitterClean[[#This Row],[bookmarks]]</f>
        <v>68</v>
      </c>
      <c r="AB918" s="1">
        <f>TwitterClean[[#This Row],[Total_Engagements]]/TwitterClean[[#This Row],[views]]</f>
        <v>1.2853227483224647E-3</v>
      </c>
      <c r="AC918" s="3">
        <f>DATEVALUE(MID(TwitterClean[[#This Row],[date_posted]],2,10))</f>
        <v>45641</v>
      </c>
      <c r="AD918">
        <f>TIMEVALUE(MID(TwitterClean[[#This Row],[date_posted]],13,8))</f>
        <v>0.87156250000000002</v>
      </c>
      <c r="AE918" s="3" t="str">
        <f>TEXT(TwitterClean[[#This Row],[Post_Date]],"dddd")</f>
        <v>Sunday</v>
      </c>
      <c r="AF918">
        <f>HOUR(TwitterClean[[#This Row],[Post_Time]])</f>
        <v>20</v>
      </c>
      <c r="AG918" t="str">
        <f>IF(TwitterClean[[#This Row],[videos]]="Null","No","Yes")</f>
        <v>No</v>
      </c>
      <c r="AH918" t="str">
        <f>IF(TwitterClean[[#This Row],[photos]]="null","No","Yes")</f>
        <v>No</v>
      </c>
      <c r="AI918" t="str">
        <f>IF(TwitterClean[[#This Row],[hashtags]]="null","No","Yes")</f>
        <v>No</v>
      </c>
      <c r="AJ918" t="str">
        <f>IF(TwitterClean[[#This Row],[external_url]]="null","Yes","No")</f>
        <v>No</v>
      </c>
      <c r="AK918">
        <f>LEN(TwitterClean[[#This Row],[description]])</f>
        <v>119</v>
      </c>
      <c r="AL918" t="str">
        <f>IF(TwitterClean[[#This Row],[followers]]&lt;100000,"&lt;100K",IF(TwitterClean[[#This Row],[followers]]&lt;1000000,"100K-1M",IF(TwitterClean[[#This Row],[followers]]&lt;10000000,"1M-10M","10M+")))</f>
        <v>10M+</v>
      </c>
    </row>
    <row r="919" spans="1:38">
      <c r="A919">
        <v>1.8681525894112873E+18</v>
      </c>
      <c r="B919" t="s">
        <v>183</v>
      </c>
      <c r="C919" t="s">
        <v>184</v>
      </c>
      <c r="D919" t="s">
        <v>1110</v>
      </c>
      <c r="E919" t="s">
        <v>1111</v>
      </c>
      <c r="F919" t="s">
        <v>29</v>
      </c>
      <c r="G919" t="s">
        <v>1112</v>
      </c>
      <c r="H919" t="s">
        <v>29</v>
      </c>
      <c r="I919">
        <v>7</v>
      </c>
      <c r="J919">
        <v>14</v>
      </c>
      <c r="K919">
        <v>44</v>
      </c>
      <c r="L919">
        <v>59265</v>
      </c>
      <c r="M919" t="s">
        <v>1113</v>
      </c>
      <c r="N919" t="s">
        <v>29</v>
      </c>
      <c r="O919">
        <v>27123001</v>
      </c>
      <c r="P919" t="s">
        <v>190</v>
      </c>
      <c r="Q919">
        <v>402760</v>
      </c>
      <c r="R919" t="s">
        <v>191</v>
      </c>
      <c r="S919">
        <v>155</v>
      </c>
      <c r="T919" t="b">
        <v>0</v>
      </c>
      <c r="U919">
        <v>1</v>
      </c>
      <c r="V919">
        <v>10</v>
      </c>
      <c r="W919" t="s">
        <v>35</v>
      </c>
      <c r="X919" t="s">
        <v>1114</v>
      </c>
      <c r="Y919" t="s">
        <v>29</v>
      </c>
      <c r="Z919" t="s">
        <v>37</v>
      </c>
      <c r="AA919">
        <f>TwitterClean[[#This Row],[likes]]+TwitterClean[[#This Row],[replies]]+TwitterClean[[#This Row],[reposts]]+TwitterClean[[#This Row],[quotes]]+TwitterClean[[#This Row],[bookmarks]]</f>
        <v>76</v>
      </c>
      <c r="AB919" s="1">
        <f>TwitterClean[[#This Row],[Total_Engagements]]/TwitterClean[[#This Row],[views]]</f>
        <v>1.282375769847296E-3</v>
      </c>
      <c r="AC919" s="3">
        <f>DATEVALUE(MID(TwitterClean[[#This Row],[date_posted]],2,10))</f>
        <v>45641</v>
      </c>
      <c r="AD919">
        <f>TIMEVALUE(MID(TwitterClean[[#This Row],[date_posted]],13,8))</f>
        <v>0.19050925925925927</v>
      </c>
      <c r="AE919" s="3" t="str">
        <f>TEXT(TwitterClean[[#This Row],[Post_Date]],"dddd")</f>
        <v>Sunday</v>
      </c>
      <c r="AF919">
        <f>HOUR(TwitterClean[[#This Row],[Post_Time]])</f>
        <v>4</v>
      </c>
      <c r="AG919" t="str">
        <f>IF(TwitterClean[[#This Row],[videos]]="Null","No","Yes")</f>
        <v>No</v>
      </c>
      <c r="AH919" t="str">
        <f>IF(TwitterClean[[#This Row],[photos]]="null","No","Yes")</f>
        <v>No</v>
      </c>
      <c r="AI919" t="str">
        <f>IF(TwitterClean[[#This Row],[hashtags]]="null","No","Yes")</f>
        <v>No</v>
      </c>
      <c r="AJ919" t="str">
        <f>IF(TwitterClean[[#This Row],[external_url]]="null","Yes","No")</f>
        <v>No</v>
      </c>
      <c r="AK919">
        <f>LEN(TwitterClean[[#This Row],[description]])</f>
        <v>237</v>
      </c>
      <c r="AL919" t="str">
        <f>IF(TwitterClean[[#This Row],[followers]]&lt;100000,"&lt;100K",IF(TwitterClean[[#This Row],[followers]]&lt;1000000,"100K-1M",IF(TwitterClean[[#This Row],[followers]]&lt;10000000,"1M-10M","10M+")))</f>
        <v>10M+</v>
      </c>
    </row>
    <row r="920" spans="1:38">
      <c r="A920">
        <v>1.8682689954109033E+18</v>
      </c>
      <c r="B920" t="s">
        <v>2230</v>
      </c>
      <c r="C920" t="s">
        <v>2231</v>
      </c>
      <c r="D920" t="s">
        <v>2539</v>
      </c>
      <c r="E920" t="s">
        <v>2540</v>
      </c>
      <c r="F920" t="s">
        <v>2541</v>
      </c>
      <c r="G920" t="s">
        <v>2542</v>
      </c>
      <c r="H920" t="s">
        <v>29</v>
      </c>
      <c r="I920">
        <v>18</v>
      </c>
      <c r="J920">
        <v>1</v>
      </c>
      <c r="K920">
        <v>13</v>
      </c>
      <c r="L920">
        <v>26797</v>
      </c>
      <c r="M920" t="s">
        <v>2543</v>
      </c>
      <c r="N920" t="s">
        <v>29</v>
      </c>
      <c r="O920">
        <v>3313891</v>
      </c>
      <c r="P920" t="s">
        <v>2237</v>
      </c>
      <c r="Q920">
        <v>706459</v>
      </c>
      <c r="R920" t="s">
        <v>2238</v>
      </c>
      <c r="S920">
        <v>10308</v>
      </c>
      <c r="T920" t="b">
        <v>0</v>
      </c>
      <c r="U920">
        <v>1</v>
      </c>
      <c r="V920">
        <v>1</v>
      </c>
      <c r="W920" t="s">
        <v>35</v>
      </c>
      <c r="X920" t="s">
        <v>29</v>
      </c>
      <c r="Y920" t="s">
        <v>29</v>
      </c>
      <c r="Z920" t="s">
        <v>37</v>
      </c>
      <c r="AA920">
        <f>TwitterClean[[#This Row],[likes]]+TwitterClean[[#This Row],[replies]]+TwitterClean[[#This Row],[reposts]]+TwitterClean[[#This Row],[quotes]]+TwitterClean[[#This Row],[bookmarks]]</f>
        <v>34</v>
      </c>
      <c r="AB920" s="1">
        <f>TwitterClean[[#This Row],[Total_Engagements]]/TwitterClean[[#This Row],[views]]</f>
        <v>1.2687987461282978E-3</v>
      </c>
      <c r="AC920" s="3">
        <f>DATEVALUE(MID(TwitterClean[[#This Row],[date_posted]],2,10))</f>
        <v>45641</v>
      </c>
      <c r="AD920">
        <f>TIMEVALUE(MID(TwitterClean[[#This Row],[date_posted]],13,8))</f>
        <v>0.51172453703703702</v>
      </c>
      <c r="AE920" s="3" t="str">
        <f>TEXT(TwitterClean[[#This Row],[Post_Date]],"dddd")</f>
        <v>Sunday</v>
      </c>
      <c r="AF920">
        <f>HOUR(TwitterClean[[#This Row],[Post_Time]])</f>
        <v>12</v>
      </c>
      <c r="AG920" t="str">
        <f>IF(TwitterClean[[#This Row],[videos]]="Null","No","Yes")</f>
        <v>No</v>
      </c>
      <c r="AH920" t="str">
        <f>IF(TwitterClean[[#This Row],[photos]]="null","No","Yes")</f>
        <v>Yes</v>
      </c>
      <c r="AI920" t="str">
        <f>IF(TwitterClean[[#This Row],[hashtags]]="null","No","Yes")</f>
        <v>No</v>
      </c>
      <c r="AJ920" t="str">
        <f>IF(TwitterClean[[#This Row],[external_url]]="null","Yes","No")</f>
        <v>No</v>
      </c>
      <c r="AK920">
        <f>LEN(TwitterClean[[#This Row],[description]])</f>
        <v>56</v>
      </c>
      <c r="AL920" t="str">
        <f>IF(TwitterClean[[#This Row],[followers]]&lt;100000,"&lt;100K",IF(TwitterClean[[#This Row],[followers]]&lt;1000000,"100K-1M",IF(TwitterClean[[#This Row],[followers]]&lt;10000000,"1M-10M","10M+")))</f>
        <v>1M-10M</v>
      </c>
    </row>
    <row r="921" spans="1:38">
      <c r="A921">
        <v>1.8681338246446454E+18</v>
      </c>
      <c r="B921" t="s">
        <v>183</v>
      </c>
      <c r="C921" t="s">
        <v>184</v>
      </c>
      <c r="D921" t="s">
        <v>218</v>
      </c>
      <c r="E921" t="s">
        <v>219</v>
      </c>
      <c r="F921" t="s">
        <v>29</v>
      </c>
      <c r="G921" t="s">
        <v>220</v>
      </c>
      <c r="H921" t="s">
        <v>29</v>
      </c>
      <c r="I921">
        <v>18</v>
      </c>
      <c r="J921">
        <v>16</v>
      </c>
      <c r="K921">
        <v>41</v>
      </c>
      <c r="L921">
        <v>64541</v>
      </c>
      <c r="M921" t="s">
        <v>221</v>
      </c>
      <c r="N921" t="s">
        <v>29</v>
      </c>
      <c r="O921">
        <v>27122605</v>
      </c>
      <c r="P921" t="s">
        <v>190</v>
      </c>
      <c r="Q921">
        <v>402760</v>
      </c>
      <c r="R921" t="s">
        <v>191</v>
      </c>
      <c r="S921">
        <v>155</v>
      </c>
      <c r="T921" t="b">
        <v>0</v>
      </c>
      <c r="U921">
        <v>1</v>
      </c>
      <c r="V921">
        <v>4</v>
      </c>
      <c r="W921" t="s">
        <v>35</v>
      </c>
      <c r="X921" t="s">
        <v>222</v>
      </c>
      <c r="Y921" t="s">
        <v>29</v>
      </c>
      <c r="Z921" t="s">
        <v>37</v>
      </c>
      <c r="AA921">
        <f>TwitterClean[[#This Row],[likes]]+TwitterClean[[#This Row],[replies]]+TwitterClean[[#This Row],[reposts]]+TwitterClean[[#This Row],[quotes]]+TwitterClean[[#This Row],[bookmarks]]</f>
        <v>80</v>
      </c>
      <c r="AB921" s="1">
        <f>TwitterClean[[#This Row],[Total_Engagements]]/TwitterClean[[#This Row],[views]]</f>
        <v>1.2395221642056988E-3</v>
      </c>
      <c r="AC921" s="3">
        <f>DATEVALUE(MID(TwitterClean[[#This Row],[date_posted]],2,10))</f>
        <v>45641</v>
      </c>
      <c r="AD921">
        <f>TIMEVALUE(MID(TwitterClean[[#This Row],[date_posted]],13,8))</f>
        <v>0.13872685185185185</v>
      </c>
      <c r="AE921" s="3" t="str">
        <f>TEXT(TwitterClean[[#This Row],[Post_Date]],"dddd")</f>
        <v>Sunday</v>
      </c>
      <c r="AF921">
        <f>HOUR(TwitterClean[[#This Row],[Post_Time]])</f>
        <v>3</v>
      </c>
      <c r="AG921" t="str">
        <f>IF(TwitterClean[[#This Row],[videos]]="Null","No","Yes")</f>
        <v>No</v>
      </c>
      <c r="AH921" t="str">
        <f>IF(TwitterClean[[#This Row],[photos]]="null","No","Yes")</f>
        <v>No</v>
      </c>
      <c r="AI921" t="str">
        <f>IF(TwitterClean[[#This Row],[hashtags]]="null","No","Yes")</f>
        <v>No</v>
      </c>
      <c r="AJ921" t="str">
        <f>IF(TwitterClean[[#This Row],[external_url]]="null","Yes","No")</f>
        <v>No</v>
      </c>
      <c r="AK921">
        <f>LEN(TwitterClean[[#This Row],[description]])</f>
        <v>248</v>
      </c>
      <c r="AL921" t="str">
        <f>IF(TwitterClean[[#This Row],[followers]]&lt;100000,"&lt;100K",IF(TwitterClean[[#This Row],[followers]]&lt;1000000,"100K-1M",IF(TwitterClean[[#This Row],[followers]]&lt;10000000,"1M-10M","10M+")))</f>
        <v>10M+</v>
      </c>
    </row>
    <row r="922" spans="1:38">
      <c r="A922">
        <v>1.8682396488597998E+18</v>
      </c>
      <c r="B922" t="s">
        <v>183</v>
      </c>
      <c r="C922" t="s">
        <v>184</v>
      </c>
      <c r="D922" t="s">
        <v>390</v>
      </c>
      <c r="E922" t="s">
        <v>391</v>
      </c>
      <c r="F922" t="s">
        <v>29</v>
      </c>
      <c r="G922" t="s">
        <v>392</v>
      </c>
      <c r="H922" t="s">
        <v>29</v>
      </c>
      <c r="I922">
        <v>18</v>
      </c>
      <c r="J922">
        <v>5</v>
      </c>
      <c r="K922">
        <v>25</v>
      </c>
      <c r="L922">
        <v>46011</v>
      </c>
      <c r="M922" t="s">
        <v>393</v>
      </c>
      <c r="N922" t="s">
        <v>29</v>
      </c>
      <c r="O922">
        <v>27122999</v>
      </c>
      <c r="P922" t="s">
        <v>190</v>
      </c>
      <c r="Q922">
        <v>402760</v>
      </c>
      <c r="R922" t="s">
        <v>191</v>
      </c>
      <c r="S922">
        <v>155</v>
      </c>
      <c r="T922" t="b">
        <v>0</v>
      </c>
      <c r="U922">
        <v>2</v>
      </c>
      <c r="V922">
        <v>7</v>
      </c>
      <c r="W922" t="s">
        <v>35</v>
      </c>
      <c r="X922" t="s">
        <v>394</v>
      </c>
      <c r="Y922" t="s">
        <v>29</v>
      </c>
      <c r="Z922" t="s">
        <v>37</v>
      </c>
      <c r="AA922">
        <f>TwitterClean[[#This Row],[likes]]+TwitterClean[[#This Row],[replies]]+TwitterClean[[#This Row],[reposts]]+TwitterClean[[#This Row],[quotes]]+TwitterClean[[#This Row],[bookmarks]]</f>
        <v>57</v>
      </c>
      <c r="AB922" s="1">
        <f>TwitterClean[[#This Row],[Total_Engagements]]/TwitterClean[[#This Row],[views]]</f>
        <v>1.2388341918236944E-3</v>
      </c>
      <c r="AC922" s="3">
        <f>DATEVALUE(MID(TwitterClean[[#This Row],[date_posted]],2,10))</f>
        <v>45641</v>
      </c>
      <c r="AD922">
        <f>TIMEVALUE(MID(TwitterClean[[#This Row],[date_posted]],13,8))</f>
        <v>0.4307523148148148</v>
      </c>
      <c r="AE922" s="3" t="str">
        <f>TEXT(TwitterClean[[#This Row],[Post_Date]],"dddd")</f>
        <v>Sunday</v>
      </c>
      <c r="AF922">
        <f>HOUR(TwitterClean[[#This Row],[Post_Time]])</f>
        <v>10</v>
      </c>
      <c r="AG922" t="str">
        <f>IF(TwitterClean[[#This Row],[videos]]="Null","No","Yes")</f>
        <v>No</v>
      </c>
      <c r="AH922" t="str">
        <f>IF(TwitterClean[[#This Row],[photos]]="null","No","Yes")</f>
        <v>No</v>
      </c>
      <c r="AI922" t="str">
        <f>IF(TwitterClean[[#This Row],[hashtags]]="null","No","Yes")</f>
        <v>No</v>
      </c>
      <c r="AJ922" t="str">
        <f>IF(TwitterClean[[#This Row],[external_url]]="null","Yes","No")</f>
        <v>No</v>
      </c>
      <c r="AK922">
        <f>LEN(TwitterClean[[#This Row],[description]])</f>
        <v>19</v>
      </c>
      <c r="AL922" t="str">
        <f>IF(TwitterClean[[#This Row],[followers]]&lt;100000,"&lt;100K",IF(TwitterClean[[#This Row],[followers]]&lt;1000000,"100K-1M",IF(TwitterClean[[#This Row],[followers]]&lt;10000000,"1M-10M","10M+")))</f>
        <v>10M+</v>
      </c>
    </row>
    <row r="923" spans="1:38">
      <c r="A923">
        <v>1.8684470397652667E+18</v>
      </c>
      <c r="B923" t="s">
        <v>183</v>
      </c>
      <c r="C923" t="s">
        <v>184</v>
      </c>
      <c r="D923" t="s">
        <v>787</v>
      </c>
      <c r="E923" t="s">
        <v>788</v>
      </c>
      <c r="F923" t="s">
        <v>29</v>
      </c>
      <c r="G923" t="s">
        <v>789</v>
      </c>
      <c r="H923" t="s">
        <v>29</v>
      </c>
      <c r="I923">
        <v>7</v>
      </c>
      <c r="J923">
        <v>12</v>
      </c>
      <c r="K923">
        <v>32</v>
      </c>
      <c r="L923">
        <v>46114</v>
      </c>
      <c r="M923" t="s">
        <v>790</v>
      </c>
      <c r="N923" t="s">
        <v>29</v>
      </c>
      <c r="O923">
        <v>27122998</v>
      </c>
      <c r="P923" t="s">
        <v>190</v>
      </c>
      <c r="Q923">
        <v>402761</v>
      </c>
      <c r="R923" t="s">
        <v>191</v>
      </c>
      <c r="S923">
        <v>155</v>
      </c>
      <c r="T923" t="b">
        <v>0</v>
      </c>
      <c r="U923">
        <v>2</v>
      </c>
      <c r="V923">
        <v>4</v>
      </c>
      <c r="W923" t="s">
        <v>35</v>
      </c>
      <c r="X923" t="s">
        <v>791</v>
      </c>
      <c r="Y923" t="s">
        <v>29</v>
      </c>
      <c r="Z923" t="s">
        <v>37</v>
      </c>
      <c r="AA923">
        <f>TwitterClean[[#This Row],[likes]]+TwitterClean[[#This Row],[replies]]+TwitterClean[[#This Row],[reposts]]+TwitterClean[[#This Row],[quotes]]+TwitterClean[[#This Row],[bookmarks]]</f>
        <v>57</v>
      </c>
      <c r="AB923" s="1">
        <f>TwitterClean[[#This Row],[Total_Engagements]]/TwitterClean[[#This Row],[views]]</f>
        <v>1.2360671379624409E-3</v>
      </c>
      <c r="AC923" s="3">
        <f>DATEVALUE(MID(TwitterClean[[#This Row],[date_posted]],2,10))</f>
        <v>45642</v>
      </c>
      <c r="AD923">
        <f>TIMEVALUE(MID(TwitterClean[[#This Row],[date_posted]],13,8))</f>
        <v>3.0439814814814813E-3</v>
      </c>
      <c r="AE923" s="3" t="str">
        <f>TEXT(TwitterClean[[#This Row],[Post_Date]],"dddd")</f>
        <v>Monday</v>
      </c>
      <c r="AF923">
        <f>HOUR(TwitterClean[[#This Row],[Post_Time]])</f>
        <v>0</v>
      </c>
      <c r="AG923" t="str">
        <f>IF(TwitterClean[[#This Row],[videos]]="Null","No","Yes")</f>
        <v>No</v>
      </c>
      <c r="AH923" t="str">
        <f>IF(TwitterClean[[#This Row],[photos]]="null","No","Yes")</f>
        <v>No</v>
      </c>
      <c r="AI923" t="str">
        <f>IF(TwitterClean[[#This Row],[hashtags]]="null","No","Yes")</f>
        <v>No</v>
      </c>
      <c r="AJ923" t="str">
        <f>IF(TwitterClean[[#This Row],[external_url]]="null","Yes","No")</f>
        <v>No</v>
      </c>
      <c r="AK923">
        <f>LEN(TwitterClean[[#This Row],[description]])</f>
        <v>164</v>
      </c>
      <c r="AL923" t="str">
        <f>IF(TwitterClean[[#This Row],[followers]]&lt;100000,"&lt;100K",IF(TwitterClean[[#This Row],[followers]]&lt;1000000,"100K-1M",IF(TwitterClean[[#This Row],[followers]]&lt;10000000,"1M-10M","10M+")))</f>
        <v>10M+</v>
      </c>
    </row>
    <row r="924" spans="1:38">
      <c r="A924">
        <v>1.8685156722731663E+18</v>
      </c>
      <c r="B924" t="s">
        <v>2935</v>
      </c>
      <c r="C924" t="s">
        <v>2936</v>
      </c>
      <c r="D924" t="s">
        <v>2937</v>
      </c>
      <c r="E924" t="s">
        <v>2938</v>
      </c>
      <c r="F924" t="s">
        <v>29</v>
      </c>
      <c r="G924" t="s">
        <v>2939</v>
      </c>
      <c r="H924" t="s">
        <v>29</v>
      </c>
      <c r="I924">
        <v>6</v>
      </c>
      <c r="J924">
        <v>2</v>
      </c>
      <c r="K924">
        <v>10</v>
      </c>
      <c r="L924">
        <v>17284</v>
      </c>
      <c r="M924" t="s">
        <v>2940</v>
      </c>
      <c r="N924" t="s">
        <v>29</v>
      </c>
      <c r="O924">
        <v>9564153</v>
      </c>
      <c r="P924" t="s">
        <v>2941</v>
      </c>
      <c r="Q924">
        <v>1125277</v>
      </c>
      <c r="R924" t="s">
        <v>2942</v>
      </c>
      <c r="S924">
        <v>93</v>
      </c>
      <c r="T924" t="b">
        <v>0</v>
      </c>
      <c r="U924">
        <v>1</v>
      </c>
      <c r="V924">
        <v>2</v>
      </c>
      <c r="W924" t="s">
        <v>35</v>
      </c>
      <c r="X924" t="s">
        <v>2943</v>
      </c>
      <c r="Y924" t="s">
        <v>29</v>
      </c>
      <c r="Z924" t="s">
        <v>37</v>
      </c>
      <c r="AA924">
        <f>TwitterClean[[#This Row],[likes]]+TwitterClean[[#This Row],[replies]]+TwitterClean[[#This Row],[reposts]]+TwitterClean[[#This Row],[quotes]]+TwitterClean[[#This Row],[bookmarks]]</f>
        <v>21</v>
      </c>
      <c r="AB924" s="1">
        <f>TwitterClean[[#This Row],[Total_Engagements]]/TwitterClean[[#This Row],[views]]</f>
        <v>1.214996528581347E-3</v>
      </c>
      <c r="AC924" s="3">
        <f>DATEVALUE(MID(TwitterClean[[#This Row],[date_posted]],2,10))</f>
        <v>45642</v>
      </c>
      <c r="AD924">
        <f>TIMEVALUE(MID(TwitterClean[[#This Row],[date_posted]],13,8))</f>
        <v>0.19243055555555555</v>
      </c>
      <c r="AE924" s="3" t="str">
        <f>TEXT(TwitterClean[[#This Row],[Post_Date]],"dddd")</f>
        <v>Monday</v>
      </c>
      <c r="AF924">
        <f>HOUR(TwitterClean[[#This Row],[Post_Time]])</f>
        <v>4</v>
      </c>
      <c r="AG924" t="str">
        <f>IF(TwitterClean[[#This Row],[videos]]="Null","No","Yes")</f>
        <v>No</v>
      </c>
      <c r="AH924" t="str">
        <f>IF(TwitterClean[[#This Row],[photos]]="null","No","Yes")</f>
        <v>No</v>
      </c>
      <c r="AI924" t="str">
        <f>IF(TwitterClean[[#This Row],[hashtags]]="null","No","Yes")</f>
        <v>No</v>
      </c>
      <c r="AJ924" t="str">
        <f>IF(TwitterClean[[#This Row],[external_url]]="null","Yes","No")</f>
        <v>No</v>
      </c>
      <c r="AK924">
        <f>LEN(TwitterClean[[#This Row],[description]])</f>
        <v>103</v>
      </c>
      <c r="AL924" t="str">
        <f>IF(TwitterClean[[#This Row],[followers]]&lt;100000,"&lt;100K",IF(TwitterClean[[#This Row],[followers]]&lt;1000000,"100K-1M",IF(TwitterClean[[#This Row],[followers]]&lt;10000000,"1M-10M","10M+")))</f>
        <v>1M-10M</v>
      </c>
    </row>
    <row r="925" spans="1:38">
      <c r="A925">
        <v>1.8683586296796122E+18</v>
      </c>
      <c r="B925" t="s">
        <v>183</v>
      </c>
      <c r="C925" t="s">
        <v>184</v>
      </c>
      <c r="D925" t="s">
        <v>517</v>
      </c>
      <c r="E925" t="s">
        <v>518</v>
      </c>
      <c r="F925" t="s">
        <v>29</v>
      </c>
      <c r="G925" t="s">
        <v>519</v>
      </c>
      <c r="H925" t="s">
        <v>29</v>
      </c>
      <c r="I925">
        <v>8</v>
      </c>
      <c r="J925">
        <v>9</v>
      </c>
      <c r="K925">
        <v>42</v>
      </c>
      <c r="L925">
        <v>51046</v>
      </c>
      <c r="M925" t="s">
        <v>520</v>
      </c>
      <c r="N925" t="s">
        <v>29</v>
      </c>
      <c r="O925">
        <v>27122998</v>
      </c>
      <c r="P925" t="s">
        <v>190</v>
      </c>
      <c r="Q925">
        <v>402760</v>
      </c>
      <c r="R925" t="s">
        <v>191</v>
      </c>
      <c r="S925">
        <v>155</v>
      </c>
      <c r="T925" t="b">
        <v>0</v>
      </c>
      <c r="U925">
        <v>1</v>
      </c>
      <c r="V925">
        <v>2</v>
      </c>
      <c r="W925" t="s">
        <v>35</v>
      </c>
      <c r="X925" t="s">
        <v>521</v>
      </c>
      <c r="Y925" t="s">
        <v>29</v>
      </c>
      <c r="Z925" t="s">
        <v>37</v>
      </c>
      <c r="AA925">
        <f>TwitterClean[[#This Row],[likes]]+TwitterClean[[#This Row],[replies]]+TwitterClean[[#This Row],[reposts]]+TwitterClean[[#This Row],[quotes]]+TwitterClean[[#This Row],[bookmarks]]</f>
        <v>62</v>
      </c>
      <c r="AB925" s="1">
        <f>TwitterClean[[#This Row],[Total_Engagements]]/TwitterClean[[#This Row],[views]]</f>
        <v>1.2145907612741448E-3</v>
      </c>
      <c r="AC925" s="3">
        <f>DATEVALUE(MID(TwitterClean[[#This Row],[date_posted]],2,10))</f>
        <v>45641</v>
      </c>
      <c r="AD925">
        <f>TIMEVALUE(MID(TwitterClean[[#This Row],[date_posted]],13,8))</f>
        <v>0.75907407407407412</v>
      </c>
      <c r="AE925" s="3" t="str">
        <f>TEXT(TwitterClean[[#This Row],[Post_Date]],"dddd")</f>
        <v>Sunday</v>
      </c>
      <c r="AF925">
        <f>HOUR(TwitterClean[[#This Row],[Post_Time]])</f>
        <v>18</v>
      </c>
      <c r="AG925" t="str">
        <f>IF(TwitterClean[[#This Row],[videos]]="Null","No","Yes")</f>
        <v>No</v>
      </c>
      <c r="AH925" t="str">
        <f>IF(TwitterClean[[#This Row],[photos]]="null","No","Yes")</f>
        <v>No</v>
      </c>
      <c r="AI925" t="str">
        <f>IF(TwitterClean[[#This Row],[hashtags]]="null","No","Yes")</f>
        <v>No</v>
      </c>
      <c r="AJ925" t="str">
        <f>IF(TwitterClean[[#This Row],[external_url]]="null","Yes","No")</f>
        <v>No</v>
      </c>
      <c r="AK925">
        <f>LEN(TwitterClean[[#This Row],[description]])</f>
        <v>187</v>
      </c>
      <c r="AL925" t="str">
        <f>IF(TwitterClean[[#This Row],[followers]]&lt;100000,"&lt;100K",IF(TwitterClean[[#This Row],[followers]]&lt;1000000,"100K-1M",IF(TwitterClean[[#This Row],[followers]]&lt;10000000,"1M-10M","10M+")))</f>
        <v>10M+</v>
      </c>
    </row>
    <row r="926" spans="1:38">
      <c r="A926">
        <v>1.8681694822685166E+18</v>
      </c>
      <c r="B926" t="s">
        <v>2935</v>
      </c>
      <c r="C926" t="s">
        <v>2936</v>
      </c>
      <c r="D926" t="s">
        <v>3703</v>
      </c>
      <c r="E926" t="s">
        <v>3704</v>
      </c>
      <c r="F926" t="s">
        <v>29</v>
      </c>
      <c r="G926" t="s">
        <v>3705</v>
      </c>
      <c r="H926" t="s">
        <v>29</v>
      </c>
      <c r="I926">
        <v>11</v>
      </c>
      <c r="J926">
        <v>7</v>
      </c>
      <c r="K926">
        <v>19</v>
      </c>
      <c r="L926">
        <v>33021</v>
      </c>
      <c r="M926" t="s">
        <v>3706</v>
      </c>
      <c r="N926" t="s">
        <v>29</v>
      </c>
      <c r="O926">
        <v>9564155</v>
      </c>
      <c r="P926" t="s">
        <v>2941</v>
      </c>
      <c r="Q926">
        <v>1125277</v>
      </c>
      <c r="R926" t="s">
        <v>2942</v>
      </c>
      <c r="S926">
        <v>93</v>
      </c>
      <c r="T926" t="b">
        <v>0</v>
      </c>
      <c r="U926">
        <v>1</v>
      </c>
      <c r="V926">
        <v>2</v>
      </c>
      <c r="W926" t="s">
        <v>35</v>
      </c>
      <c r="X926" t="s">
        <v>3707</v>
      </c>
      <c r="Y926" t="s">
        <v>29</v>
      </c>
      <c r="Z926" t="s">
        <v>37</v>
      </c>
      <c r="AA926">
        <f>TwitterClean[[#This Row],[likes]]+TwitterClean[[#This Row],[replies]]+TwitterClean[[#This Row],[reposts]]+TwitterClean[[#This Row],[quotes]]+TwitterClean[[#This Row],[bookmarks]]</f>
        <v>40</v>
      </c>
      <c r="AB926" s="1">
        <f>TwitterClean[[#This Row],[Total_Engagements]]/TwitterClean[[#This Row],[views]]</f>
        <v>1.2113503528057902E-3</v>
      </c>
      <c r="AC926" s="3">
        <f>DATEVALUE(MID(TwitterClean[[#This Row],[date_posted]],2,10))</f>
        <v>45641</v>
      </c>
      <c r="AD926">
        <f>TIMEVALUE(MID(TwitterClean[[#This Row],[date_posted]],13,8))</f>
        <v>0.23712962962962963</v>
      </c>
      <c r="AE926" s="3" t="str">
        <f>TEXT(TwitterClean[[#This Row],[Post_Date]],"dddd")</f>
        <v>Sunday</v>
      </c>
      <c r="AF926">
        <f>HOUR(TwitterClean[[#This Row],[Post_Time]])</f>
        <v>5</v>
      </c>
      <c r="AG926" t="str">
        <f>IF(TwitterClean[[#This Row],[videos]]="Null","No","Yes")</f>
        <v>No</v>
      </c>
      <c r="AH926" t="str">
        <f>IF(TwitterClean[[#This Row],[photos]]="null","No","Yes")</f>
        <v>No</v>
      </c>
      <c r="AI926" t="str">
        <f>IF(TwitterClean[[#This Row],[hashtags]]="null","No","Yes")</f>
        <v>No</v>
      </c>
      <c r="AJ926" t="str">
        <f>IF(TwitterClean[[#This Row],[external_url]]="null","Yes","No")</f>
        <v>No</v>
      </c>
      <c r="AK926">
        <f>LEN(TwitterClean[[#This Row],[description]])</f>
        <v>246</v>
      </c>
      <c r="AL926" t="str">
        <f>IF(TwitterClean[[#This Row],[followers]]&lt;100000,"&lt;100K",IF(TwitterClean[[#This Row],[followers]]&lt;1000000,"100K-1M",IF(TwitterClean[[#This Row],[followers]]&lt;10000000,"1M-10M","10M+")))</f>
        <v>1M-10M</v>
      </c>
    </row>
    <row r="927" spans="1:38">
      <c r="A927">
        <v>1.8683334855611233E+18</v>
      </c>
      <c r="B927" t="s">
        <v>183</v>
      </c>
      <c r="C927" t="s">
        <v>184</v>
      </c>
      <c r="D927" t="s">
        <v>1173</v>
      </c>
      <c r="E927" t="s">
        <v>1174</v>
      </c>
      <c r="F927" t="s">
        <v>29</v>
      </c>
      <c r="G927" t="s">
        <v>1175</v>
      </c>
      <c r="H927" t="s">
        <v>29</v>
      </c>
      <c r="I927">
        <v>19</v>
      </c>
      <c r="J927">
        <v>10</v>
      </c>
      <c r="K927">
        <v>25</v>
      </c>
      <c r="L927">
        <v>47198</v>
      </c>
      <c r="M927" t="s">
        <v>1176</v>
      </c>
      <c r="N927" t="s">
        <v>29</v>
      </c>
      <c r="O927">
        <v>27122998</v>
      </c>
      <c r="P927" t="s">
        <v>190</v>
      </c>
      <c r="Q927">
        <v>402760</v>
      </c>
      <c r="R927" t="s">
        <v>191</v>
      </c>
      <c r="S927">
        <v>155</v>
      </c>
      <c r="T927" t="b">
        <v>0</v>
      </c>
      <c r="U927">
        <v>2</v>
      </c>
      <c r="V927">
        <v>1</v>
      </c>
      <c r="W927" t="s">
        <v>35</v>
      </c>
      <c r="X927" t="s">
        <v>1177</v>
      </c>
      <c r="Y927" t="s">
        <v>29</v>
      </c>
      <c r="Z927" t="s">
        <v>37</v>
      </c>
      <c r="AA927">
        <f>TwitterClean[[#This Row],[likes]]+TwitterClean[[#This Row],[replies]]+TwitterClean[[#This Row],[reposts]]+TwitterClean[[#This Row],[quotes]]+TwitterClean[[#This Row],[bookmarks]]</f>
        <v>57</v>
      </c>
      <c r="AB927" s="1">
        <f>TwitterClean[[#This Row],[Total_Engagements]]/TwitterClean[[#This Row],[views]]</f>
        <v>1.2076782914530277E-3</v>
      </c>
      <c r="AC927" s="3">
        <f>DATEVALUE(MID(TwitterClean[[#This Row],[date_posted]],2,10))</f>
        <v>45641</v>
      </c>
      <c r="AD927">
        <f>TIMEVALUE(MID(TwitterClean[[#This Row],[date_posted]],13,8))</f>
        <v>0.68968750000000001</v>
      </c>
      <c r="AE927" s="3" t="str">
        <f>TEXT(TwitterClean[[#This Row],[Post_Date]],"dddd")</f>
        <v>Sunday</v>
      </c>
      <c r="AF927">
        <f>HOUR(TwitterClean[[#This Row],[Post_Time]])</f>
        <v>16</v>
      </c>
      <c r="AG927" t="str">
        <f>IF(TwitterClean[[#This Row],[videos]]="Null","No","Yes")</f>
        <v>No</v>
      </c>
      <c r="AH927" t="str">
        <f>IF(TwitterClean[[#This Row],[photos]]="null","No","Yes")</f>
        <v>No</v>
      </c>
      <c r="AI927" t="str">
        <f>IF(TwitterClean[[#This Row],[hashtags]]="null","No","Yes")</f>
        <v>No</v>
      </c>
      <c r="AJ927" t="str">
        <f>IF(TwitterClean[[#This Row],[external_url]]="null","Yes","No")</f>
        <v>No</v>
      </c>
      <c r="AK927">
        <f>LEN(TwitterClean[[#This Row],[description]])</f>
        <v>253</v>
      </c>
      <c r="AL927" t="str">
        <f>IF(TwitterClean[[#This Row],[followers]]&lt;100000,"&lt;100K",IF(TwitterClean[[#This Row],[followers]]&lt;1000000,"100K-1M",IF(TwitterClean[[#This Row],[followers]]&lt;10000000,"1M-10M","10M+")))</f>
        <v>10M+</v>
      </c>
    </row>
    <row r="928" spans="1:38">
      <c r="A928">
        <v>1.8683253036904366E+18</v>
      </c>
      <c r="B928" t="s">
        <v>2935</v>
      </c>
      <c r="C928" t="s">
        <v>2936</v>
      </c>
      <c r="D928" t="s">
        <v>2980</v>
      </c>
      <c r="E928" t="s">
        <v>2981</v>
      </c>
      <c r="F928" t="s">
        <v>29</v>
      </c>
      <c r="G928" t="s">
        <v>2982</v>
      </c>
      <c r="H928" t="s">
        <v>2983</v>
      </c>
      <c r="I928">
        <v>9</v>
      </c>
      <c r="J928">
        <v>5</v>
      </c>
      <c r="K928">
        <v>15</v>
      </c>
      <c r="L928">
        <v>26505</v>
      </c>
      <c r="M928" t="s">
        <v>2984</v>
      </c>
      <c r="N928" t="s">
        <v>29</v>
      </c>
      <c r="O928">
        <v>9564155</v>
      </c>
      <c r="P928" t="s">
        <v>2941</v>
      </c>
      <c r="Q928">
        <v>1125277</v>
      </c>
      <c r="R928" t="s">
        <v>2942</v>
      </c>
      <c r="S928">
        <v>93</v>
      </c>
      <c r="T928" t="b">
        <v>0</v>
      </c>
      <c r="U928">
        <v>0</v>
      </c>
      <c r="V928">
        <v>3</v>
      </c>
      <c r="W928" t="s">
        <v>35</v>
      </c>
      <c r="X928" t="s">
        <v>2985</v>
      </c>
      <c r="Y928" t="s">
        <v>29</v>
      </c>
      <c r="Z928" t="s">
        <v>37</v>
      </c>
      <c r="AA928">
        <f>TwitterClean[[#This Row],[likes]]+TwitterClean[[#This Row],[replies]]+TwitterClean[[#This Row],[reposts]]+TwitterClean[[#This Row],[quotes]]+TwitterClean[[#This Row],[bookmarks]]</f>
        <v>32</v>
      </c>
      <c r="AB928" s="1">
        <f>TwitterClean[[#This Row],[Total_Engagements]]/TwitterClean[[#This Row],[views]]</f>
        <v>1.2073193737030749E-3</v>
      </c>
      <c r="AC928" s="3">
        <f>DATEVALUE(MID(TwitterClean[[#This Row],[date_posted]],2,10))</f>
        <v>45641</v>
      </c>
      <c r="AD928">
        <f>TIMEVALUE(MID(TwitterClean[[#This Row],[date_posted]],13,8))</f>
        <v>0.66710648148148144</v>
      </c>
      <c r="AE928" s="3" t="str">
        <f>TEXT(TwitterClean[[#This Row],[Post_Date]],"dddd")</f>
        <v>Sunday</v>
      </c>
      <c r="AF928">
        <f>HOUR(TwitterClean[[#This Row],[Post_Time]])</f>
        <v>16</v>
      </c>
      <c r="AG928" t="str">
        <f>IF(TwitterClean[[#This Row],[videos]]="Null","No","Yes")</f>
        <v>No</v>
      </c>
      <c r="AH928" t="str">
        <f>IF(TwitterClean[[#This Row],[photos]]="null","No","Yes")</f>
        <v>No</v>
      </c>
      <c r="AI928" t="str">
        <f>IF(TwitterClean[[#This Row],[hashtags]]="null","No","Yes")</f>
        <v>No</v>
      </c>
      <c r="AJ928" t="str">
        <f>IF(TwitterClean[[#This Row],[external_url]]="null","Yes","No")</f>
        <v>No</v>
      </c>
      <c r="AK928">
        <f>LEN(TwitterClean[[#This Row],[description]])</f>
        <v>176</v>
      </c>
      <c r="AL928" t="str">
        <f>IF(TwitterClean[[#This Row],[followers]]&lt;100000,"&lt;100K",IF(TwitterClean[[#This Row],[followers]]&lt;1000000,"100K-1M",IF(TwitterClean[[#This Row],[followers]]&lt;10000000,"1M-10M","10M+")))</f>
        <v>1M-10M</v>
      </c>
    </row>
    <row r="929" spans="1:38">
      <c r="A929">
        <v>1.8685128845247613E+18</v>
      </c>
      <c r="B929" t="s">
        <v>2935</v>
      </c>
      <c r="C929" t="s">
        <v>2936</v>
      </c>
      <c r="D929" t="s">
        <v>3459</v>
      </c>
      <c r="E929" t="s">
        <v>3460</v>
      </c>
      <c r="F929" t="s">
        <v>29</v>
      </c>
      <c r="G929" t="s">
        <v>3461</v>
      </c>
      <c r="H929" t="s">
        <v>29</v>
      </c>
      <c r="I929">
        <v>3</v>
      </c>
      <c r="J929">
        <v>3</v>
      </c>
      <c r="K929">
        <v>12</v>
      </c>
      <c r="L929">
        <v>19108</v>
      </c>
      <c r="M929" t="s">
        <v>3462</v>
      </c>
      <c r="N929" t="s">
        <v>29</v>
      </c>
      <c r="O929">
        <v>9564154</v>
      </c>
      <c r="P929" t="s">
        <v>2941</v>
      </c>
      <c r="Q929">
        <v>1125277</v>
      </c>
      <c r="R929" t="s">
        <v>2942</v>
      </c>
      <c r="S929">
        <v>93</v>
      </c>
      <c r="T929" t="b">
        <v>0</v>
      </c>
      <c r="U929">
        <v>2</v>
      </c>
      <c r="V929">
        <v>3</v>
      </c>
      <c r="W929" t="s">
        <v>35</v>
      </c>
      <c r="X929" t="s">
        <v>3463</v>
      </c>
      <c r="Y929" t="s">
        <v>29</v>
      </c>
      <c r="Z929" t="s">
        <v>37</v>
      </c>
      <c r="AA929">
        <f>TwitterClean[[#This Row],[likes]]+TwitterClean[[#This Row],[replies]]+TwitterClean[[#This Row],[reposts]]+TwitterClean[[#This Row],[quotes]]+TwitterClean[[#This Row],[bookmarks]]</f>
        <v>23</v>
      </c>
      <c r="AB929" s="1">
        <f>TwitterClean[[#This Row],[Total_Engagements]]/TwitterClean[[#This Row],[views]]</f>
        <v>1.2036843207033703E-3</v>
      </c>
      <c r="AC929" s="3">
        <f>DATEVALUE(MID(TwitterClean[[#This Row],[date_posted]],2,10))</f>
        <v>45642</v>
      </c>
      <c r="AD929">
        <f>TIMEVALUE(MID(TwitterClean[[#This Row],[date_posted]],13,8))</f>
        <v>0.1847337962962963</v>
      </c>
      <c r="AE929" s="3" t="str">
        <f>TEXT(TwitterClean[[#This Row],[Post_Date]],"dddd")</f>
        <v>Monday</v>
      </c>
      <c r="AF929">
        <f>HOUR(TwitterClean[[#This Row],[Post_Time]])</f>
        <v>4</v>
      </c>
      <c r="AG929" t="str">
        <f>IF(TwitterClean[[#This Row],[videos]]="Null","No","Yes")</f>
        <v>No</v>
      </c>
      <c r="AH929" t="str">
        <f>IF(TwitterClean[[#This Row],[photos]]="null","No","Yes")</f>
        <v>No</v>
      </c>
      <c r="AI929" t="str">
        <f>IF(TwitterClean[[#This Row],[hashtags]]="null","No","Yes")</f>
        <v>No</v>
      </c>
      <c r="AJ929" t="str">
        <f>IF(TwitterClean[[#This Row],[external_url]]="null","Yes","No")</f>
        <v>No</v>
      </c>
      <c r="AK929">
        <f>LEN(TwitterClean[[#This Row],[description]])</f>
        <v>78</v>
      </c>
      <c r="AL929" t="str">
        <f>IF(TwitterClean[[#This Row],[followers]]&lt;100000,"&lt;100K",IF(TwitterClean[[#This Row],[followers]]&lt;1000000,"100K-1M",IF(TwitterClean[[#This Row],[followers]]&lt;10000000,"1M-10M","10M+")))</f>
        <v>1M-10M</v>
      </c>
    </row>
    <row r="930" spans="1:38">
      <c r="A930">
        <v>1.8684761786438003E+18</v>
      </c>
      <c r="B930" t="s">
        <v>183</v>
      </c>
      <c r="C930" t="s">
        <v>184</v>
      </c>
      <c r="D930" t="s">
        <v>772</v>
      </c>
      <c r="E930" t="s">
        <v>773</v>
      </c>
      <c r="F930" t="s">
        <v>774</v>
      </c>
      <c r="G930" t="s">
        <v>775</v>
      </c>
      <c r="H930" t="s">
        <v>29</v>
      </c>
      <c r="I930">
        <v>9</v>
      </c>
      <c r="J930">
        <v>8</v>
      </c>
      <c r="K930">
        <v>26</v>
      </c>
      <c r="L930">
        <v>37553</v>
      </c>
      <c r="M930" t="s">
        <v>776</v>
      </c>
      <c r="N930" t="s">
        <v>29</v>
      </c>
      <c r="O930">
        <v>27122999</v>
      </c>
      <c r="P930" t="s">
        <v>190</v>
      </c>
      <c r="Q930">
        <v>402761</v>
      </c>
      <c r="R930" t="s">
        <v>191</v>
      </c>
      <c r="S930">
        <v>155</v>
      </c>
      <c r="T930" t="b">
        <v>0</v>
      </c>
      <c r="U930">
        <v>1</v>
      </c>
      <c r="V930">
        <v>1</v>
      </c>
      <c r="W930" t="s">
        <v>35</v>
      </c>
      <c r="X930" t="s">
        <v>29</v>
      </c>
      <c r="Y930" t="s">
        <v>29</v>
      </c>
      <c r="Z930" t="s">
        <v>37</v>
      </c>
      <c r="AA930">
        <f>TwitterClean[[#This Row],[likes]]+TwitterClean[[#This Row],[replies]]+TwitterClean[[#This Row],[reposts]]+TwitterClean[[#This Row],[quotes]]+TwitterClean[[#This Row],[bookmarks]]</f>
        <v>45</v>
      </c>
      <c r="AB930" s="1">
        <f>TwitterClean[[#This Row],[Total_Engagements]]/TwitterClean[[#This Row],[views]]</f>
        <v>1.1983063936303357E-3</v>
      </c>
      <c r="AC930" s="3">
        <f>DATEVALUE(MID(TwitterClean[[#This Row],[date_posted]],2,10))</f>
        <v>45642</v>
      </c>
      <c r="AD930">
        <f>TIMEVALUE(MID(TwitterClean[[#This Row],[date_posted]],13,8))</f>
        <v>8.3449074074074078E-2</v>
      </c>
      <c r="AE930" s="3" t="str">
        <f>TEXT(TwitterClean[[#This Row],[Post_Date]],"dddd")</f>
        <v>Monday</v>
      </c>
      <c r="AF930">
        <f>HOUR(TwitterClean[[#This Row],[Post_Time]])</f>
        <v>2</v>
      </c>
      <c r="AG930" t="str">
        <f>IF(TwitterClean[[#This Row],[videos]]="Null","No","Yes")</f>
        <v>No</v>
      </c>
      <c r="AH930" t="str">
        <f>IF(TwitterClean[[#This Row],[photos]]="null","No","Yes")</f>
        <v>Yes</v>
      </c>
      <c r="AI930" t="str">
        <f>IF(TwitterClean[[#This Row],[hashtags]]="null","No","Yes")</f>
        <v>No</v>
      </c>
      <c r="AJ930" t="str">
        <f>IF(TwitterClean[[#This Row],[external_url]]="null","Yes","No")</f>
        <v>No</v>
      </c>
      <c r="AK930">
        <f>LEN(TwitterClean[[#This Row],[description]])</f>
        <v>99</v>
      </c>
      <c r="AL930" t="str">
        <f>IF(TwitterClean[[#This Row],[followers]]&lt;100000,"&lt;100K",IF(TwitterClean[[#This Row],[followers]]&lt;1000000,"100K-1M",IF(TwitterClean[[#This Row],[followers]]&lt;10000000,"1M-10M","10M+")))</f>
        <v>10M+</v>
      </c>
    </row>
    <row r="931" spans="1:38">
      <c r="A931">
        <v>1.8684232556330598E+18</v>
      </c>
      <c r="B931" t="s">
        <v>2935</v>
      </c>
      <c r="C931" t="s">
        <v>2936</v>
      </c>
      <c r="D931" t="s">
        <v>3586</v>
      </c>
      <c r="E931" t="s">
        <v>3587</v>
      </c>
      <c r="F931" t="s">
        <v>29</v>
      </c>
      <c r="G931" t="s">
        <v>3588</v>
      </c>
      <c r="H931" t="s">
        <v>29</v>
      </c>
      <c r="I931">
        <v>8</v>
      </c>
      <c r="J931">
        <v>4</v>
      </c>
      <c r="K931">
        <v>20</v>
      </c>
      <c r="L931">
        <v>28515</v>
      </c>
      <c r="M931" t="s">
        <v>3589</v>
      </c>
      <c r="N931" t="s">
        <v>29</v>
      </c>
      <c r="O931">
        <v>9564156</v>
      </c>
      <c r="P931" t="s">
        <v>2941</v>
      </c>
      <c r="Q931">
        <v>1125277</v>
      </c>
      <c r="R931" t="s">
        <v>2942</v>
      </c>
      <c r="S931">
        <v>93</v>
      </c>
      <c r="T931" t="b">
        <v>0</v>
      </c>
      <c r="U931">
        <v>1</v>
      </c>
      <c r="V931">
        <v>1</v>
      </c>
      <c r="W931" t="s">
        <v>35</v>
      </c>
      <c r="X931" t="s">
        <v>3590</v>
      </c>
      <c r="Y931" t="s">
        <v>29</v>
      </c>
      <c r="Z931" t="s">
        <v>37</v>
      </c>
      <c r="AA931">
        <f>TwitterClean[[#This Row],[likes]]+TwitterClean[[#This Row],[replies]]+TwitterClean[[#This Row],[reposts]]+TwitterClean[[#This Row],[quotes]]+TwitterClean[[#This Row],[bookmarks]]</f>
        <v>34</v>
      </c>
      <c r="AB931" s="1">
        <f>TwitterClean[[#This Row],[Total_Engagements]]/TwitterClean[[#This Row],[views]]</f>
        <v>1.1923549009293355E-3</v>
      </c>
      <c r="AC931" s="3">
        <f>DATEVALUE(MID(TwitterClean[[#This Row],[date_posted]],2,10))</f>
        <v>45641</v>
      </c>
      <c r="AD931">
        <f>TIMEVALUE(MID(TwitterClean[[#This Row],[date_posted]],13,8))</f>
        <v>0.93740740740740736</v>
      </c>
      <c r="AE931" s="3" t="str">
        <f>TEXT(TwitterClean[[#This Row],[Post_Date]],"dddd")</f>
        <v>Sunday</v>
      </c>
      <c r="AF931">
        <f>HOUR(TwitterClean[[#This Row],[Post_Time]])</f>
        <v>22</v>
      </c>
      <c r="AG931" t="str">
        <f>IF(TwitterClean[[#This Row],[videos]]="Null","No","Yes")</f>
        <v>No</v>
      </c>
      <c r="AH931" t="str">
        <f>IF(TwitterClean[[#This Row],[photos]]="null","No","Yes")</f>
        <v>No</v>
      </c>
      <c r="AI931" t="str">
        <f>IF(TwitterClean[[#This Row],[hashtags]]="null","No","Yes")</f>
        <v>No</v>
      </c>
      <c r="AJ931" t="str">
        <f>IF(TwitterClean[[#This Row],[external_url]]="null","Yes","No")</f>
        <v>No</v>
      </c>
      <c r="AK931">
        <f>LEN(TwitterClean[[#This Row],[description]])</f>
        <v>150</v>
      </c>
      <c r="AL931" t="str">
        <f>IF(TwitterClean[[#This Row],[followers]]&lt;100000,"&lt;100K",IF(TwitterClean[[#This Row],[followers]]&lt;1000000,"100K-1M",IF(TwitterClean[[#This Row],[followers]]&lt;10000000,"1M-10M","10M+")))</f>
        <v>1M-10M</v>
      </c>
    </row>
    <row r="932" spans="1:38">
      <c r="A932">
        <v>1.8684874938650588E+18</v>
      </c>
      <c r="B932" t="s">
        <v>2935</v>
      </c>
      <c r="C932" t="s">
        <v>2936</v>
      </c>
      <c r="D932" t="s">
        <v>3682</v>
      </c>
      <c r="E932" t="s">
        <v>3683</v>
      </c>
      <c r="F932" t="s">
        <v>29</v>
      </c>
      <c r="G932" t="s">
        <v>3684</v>
      </c>
      <c r="H932" t="s">
        <v>29</v>
      </c>
      <c r="I932">
        <v>2</v>
      </c>
      <c r="J932">
        <v>6</v>
      </c>
      <c r="K932">
        <v>27</v>
      </c>
      <c r="L932">
        <v>31103</v>
      </c>
      <c r="M932" t="s">
        <v>3685</v>
      </c>
      <c r="N932" t="s">
        <v>29</v>
      </c>
      <c r="O932">
        <v>9564156</v>
      </c>
      <c r="P932" t="s">
        <v>2941</v>
      </c>
      <c r="Q932">
        <v>1125277</v>
      </c>
      <c r="R932" t="s">
        <v>2942</v>
      </c>
      <c r="S932">
        <v>93</v>
      </c>
      <c r="T932" t="b">
        <v>0</v>
      </c>
      <c r="U932">
        <v>1</v>
      </c>
      <c r="V932">
        <v>1</v>
      </c>
      <c r="W932" t="s">
        <v>35</v>
      </c>
      <c r="X932" t="s">
        <v>2979</v>
      </c>
      <c r="Y932" t="s">
        <v>29</v>
      </c>
      <c r="Z932" t="s">
        <v>37</v>
      </c>
      <c r="AA932">
        <f>TwitterClean[[#This Row],[likes]]+TwitterClean[[#This Row],[replies]]+TwitterClean[[#This Row],[reposts]]+TwitterClean[[#This Row],[quotes]]+TwitterClean[[#This Row],[bookmarks]]</f>
        <v>37</v>
      </c>
      <c r="AB932" s="1">
        <f>TwitterClean[[#This Row],[Total_Engagements]]/TwitterClean[[#This Row],[views]]</f>
        <v>1.1895958589203614E-3</v>
      </c>
      <c r="AC932" s="3">
        <f>DATEVALUE(MID(TwitterClean[[#This Row],[date_posted]],2,10))</f>
        <v>45642</v>
      </c>
      <c r="AD932">
        <f>TIMEVALUE(MID(TwitterClean[[#This Row],[date_posted]],13,8))</f>
        <v>0.11467592592592593</v>
      </c>
      <c r="AE932" s="3" t="str">
        <f>TEXT(TwitterClean[[#This Row],[Post_Date]],"dddd")</f>
        <v>Monday</v>
      </c>
      <c r="AF932">
        <f>HOUR(TwitterClean[[#This Row],[Post_Time]])</f>
        <v>2</v>
      </c>
      <c r="AG932" t="str">
        <f>IF(TwitterClean[[#This Row],[videos]]="Null","No","Yes")</f>
        <v>No</v>
      </c>
      <c r="AH932" t="str">
        <f>IF(TwitterClean[[#This Row],[photos]]="null","No","Yes")</f>
        <v>No</v>
      </c>
      <c r="AI932" t="str">
        <f>IF(TwitterClean[[#This Row],[hashtags]]="null","No","Yes")</f>
        <v>No</v>
      </c>
      <c r="AJ932" t="str">
        <f>IF(TwitterClean[[#This Row],[external_url]]="null","Yes","No")</f>
        <v>No</v>
      </c>
      <c r="AK932">
        <f>LEN(TwitterClean[[#This Row],[description]])</f>
        <v>126</v>
      </c>
      <c r="AL932" t="str">
        <f>IF(TwitterClean[[#This Row],[followers]]&lt;100000,"&lt;100K",IF(TwitterClean[[#This Row],[followers]]&lt;1000000,"100K-1M",IF(TwitterClean[[#This Row],[followers]]&lt;10000000,"1M-10M","10M+")))</f>
        <v>1M-10M</v>
      </c>
    </row>
    <row r="933" spans="1:38">
      <c r="A933">
        <v>1.8682305324980636E+18</v>
      </c>
      <c r="B933" t="s">
        <v>2935</v>
      </c>
      <c r="C933" t="s">
        <v>2936</v>
      </c>
      <c r="D933" t="s">
        <v>3149</v>
      </c>
      <c r="E933" t="s">
        <v>3150</v>
      </c>
      <c r="F933" t="s">
        <v>29</v>
      </c>
      <c r="G933" t="s">
        <v>3151</v>
      </c>
      <c r="H933" t="s">
        <v>29</v>
      </c>
      <c r="I933">
        <v>9</v>
      </c>
      <c r="J933">
        <v>5</v>
      </c>
      <c r="K933">
        <v>24</v>
      </c>
      <c r="L933">
        <v>35431</v>
      </c>
      <c r="M933" t="s">
        <v>3152</v>
      </c>
      <c r="N933" t="s">
        <v>29</v>
      </c>
      <c r="O933">
        <v>9564231</v>
      </c>
      <c r="P933" t="s">
        <v>2941</v>
      </c>
      <c r="Q933">
        <v>1125277</v>
      </c>
      <c r="R933" t="s">
        <v>2942</v>
      </c>
      <c r="S933">
        <v>93</v>
      </c>
      <c r="T933" t="b">
        <v>0</v>
      </c>
      <c r="U933">
        <v>1</v>
      </c>
      <c r="V933">
        <v>3</v>
      </c>
      <c r="W933" t="s">
        <v>35</v>
      </c>
      <c r="X933" t="s">
        <v>3153</v>
      </c>
      <c r="Y933" t="s">
        <v>29</v>
      </c>
      <c r="Z933" t="s">
        <v>37</v>
      </c>
      <c r="AA933">
        <f>TwitterClean[[#This Row],[likes]]+TwitterClean[[#This Row],[replies]]+TwitterClean[[#This Row],[reposts]]+TwitterClean[[#This Row],[quotes]]+TwitterClean[[#This Row],[bookmarks]]</f>
        <v>42</v>
      </c>
      <c r="AB933" s="1">
        <f>TwitterClean[[#This Row],[Total_Engagements]]/TwitterClean[[#This Row],[views]]</f>
        <v>1.185402613530524E-3</v>
      </c>
      <c r="AC933" s="3">
        <f>DATEVALUE(MID(TwitterClean[[#This Row],[date_posted]],2,10))</f>
        <v>45641</v>
      </c>
      <c r="AD933">
        <f>TIMEVALUE(MID(TwitterClean[[#This Row],[date_posted]],13,8))</f>
        <v>0.40559027777777779</v>
      </c>
      <c r="AE933" s="3" t="str">
        <f>TEXT(TwitterClean[[#This Row],[Post_Date]],"dddd")</f>
        <v>Sunday</v>
      </c>
      <c r="AF933">
        <f>HOUR(TwitterClean[[#This Row],[Post_Time]])</f>
        <v>9</v>
      </c>
      <c r="AG933" t="str">
        <f>IF(TwitterClean[[#This Row],[videos]]="Null","No","Yes")</f>
        <v>No</v>
      </c>
      <c r="AH933" t="str">
        <f>IF(TwitterClean[[#This Row],[photos]]="null","No","Yes")</f>
        <v>No</v>
      </c>
      <c r="AI933" t="str">
        <f>IF(TwitterClean[[#This Row],[hashtags]]="null","No","Yes")</f>
        <v>No</v>
      </c>
      <c r="AJ933" t="str">
        <f>IF(TwitterClean[[#This Row],[external_url]]="null","Yes","No")</f>
        <v>No</v>
      </c>
      <c r="AK933">
        <f>LEN(TwitterClean[[#This Row],[description]])</f>
        <v>224</v>
      </c>
      <c r="AL933" t="str">
        <f>IF(TwitterClean[[#This Row],[followers]]&lt;100000,"&lt;100K",IF(TwitterClean[[#This Row],[followers]]&lt;1000000,"100K-1M",IF(TwitterClean[[#This Row],[followers]]&lt;10000000,"1M-10M","10M+")))</f>
        <v>1M-10M</v>
      </c>
    </row>
    <row r="934" spans="1:38">
      <c r="A934">
        <v>1.8681705490855037E+18</v>
      </c>
      <c r="B934" t="s">
        <v>183</v>
      </c>
      <c r="C934" t="s">
        <v>184</v>
      </c>
      <c r="D934" t="s">
        <v>400</v>
      </c>
      <c r="E934" t="s">
        <v>401</v>
      </c>
      <c r="F934" t="s">
        <v>29</v>
      </c>
      <c r="G934" t="s">
        <v>402</v>
      </c>
      <c r="H934" t="s">
        <v>29</v>
      </c>
      <c r="I934">
        <v>11</v>
      </c>
      <c r="J934">
        <v>9</v>
      </c>
      <c r="K934">
        <v>31</v>
      </c>
      <c r="L934">
        <v>54146</v>
      </c>
      <c r="M934" t="s">
        <v>403</v>
      </c>
      <c r="N934" t="s">
        <v>29</v>
      </c>
      <c r="O934">
        <v>27122605</v>
      </c>
      <c r="P934" t="s">
        <v>190</v>
      </c>
      <c r="Q934">
        <v>402760</v>
      </c>
      <c r="R934" t="s">
        <v>191</v>
      </c>
      <c r="S934">
        <v>155</v>
      </c>
      <c r="T934" t="b">
        <v>0</v>
      </c>
      <c r="U934">
        <v>4</v>
      </c>
      <c r="V934">
        <v>9</v>
      </c>
      <c r="W934" t="s">
        <v>35</v>
      </c>
      <c r="X934" t="s">
        <v>404</v>
      </c>
      <c r="Y934" t="s">
        <v>29</v>
      </c>
      <c r="Z934" t="s">
        <v>37</v>
      </c>
      <c r="AA934">
        <f>TwitterClean[[#This Row],[likes]]+TwitterClean[[#This Row],[replies]]+TwitterClean[[#This Row],[reposts]]+TwitterClean[[#This Row],[quotes]]+TwitterClean[[#This Row],[bookmarks]]</f>
        <v>64</v>
      </c>
      <c r="AB934" s="1">
        <f>TwitterClean[[#This Row],[Total_Engagements]]/TwitterClean[[#This Row],[views]]</f>
        <v>1.181989435969416E-3</v>
      </c>
      <c r="AC934" s="3">
        <f>DATEVALUE(MID(TwitterClean[[#This Row],[date_posted]],2,10))</f>
        <v>45641</v>
      </c>
      <c r="AD934">
        <f>TIMEVALUE(MID(TwitterClean[[#This Row],[date_posted]],13,8))</f>
        <v>0.24006944444444445</v>
      </c>
      <c r="AE934" s="3" t="str">
        <f>TEXT(TwitterClean[[#This Row],[Post_Date]],"dddd")</f>
        <v>Sunday</v>
      </c>
      <c r="AF934">
        <f>HOUR(TwitterClean[[#This Row],[Post_Time]])</f>
        <v>5</v>
      </c>
      <c r="AG934" t="str">
        <f>IF(TwitterClean[[#This Row],[videos]]="Null","No","Yes")</f>
        <v>No</v>
      </c>
      <c r="AH934" t="str">
        <f>IF(TwitterClean[[#This Row],[photos]]="null","No","Yes")</f>
        <v>No</v>
      </c>
      <c r="AI934" t="str">
        <f>IF(TwitterClean[[#This Row],[hashtags]]="null","No","Yes")</f>
        <v>No</v>
      </c>
      <c r="AJ934" t="str">
        <f>IF(TwitterClean[[#This Row],[external_url]]="null","Yes","No")</f>
        <v>No</v>
      </c>
      <c r="AK934">
        <f>LEN(TwitterClean[[#This Row],[description]])</f>
        <v>216</v>
      </c>
      <c r="AL934" t="str">
        <f>IF(TwitterClean[[#This Row],[followers]]&lt;100000,"&lt;100K",IF(TwitterClean[[#This Row],[followers]]&lt;1000000,"100K-1M",IF(TwitterClean[[#This Row],[followers]]&lt;10000000,"1M-10M","10M+")))</f>
        <v>10M+</v>
      </c>
    </row>
    <row r="935" spans="1:38">
      <c r="A935">
        <v>1.8683347141273439E+18</v>
      </c>
      <c r="B935" t="s">
        <v>2935</v>
      </c>
      <c r="C935" t="s">
        <v>2936</v>
      </c>
      <c r="D935" t="s">
        <v>3128</v>
      </c>
      <c r="E935" t="s">
        <v>3129</v>
      </c>
      <c r="F935" t="s">
        <v>29</v>
      </c>
      <c r="G935" t="s">
        <v>3130</v>
      </c>
      <c r="H935" t="s">
        <v>29</v>
      </c>
      <c r="I935">
        <v>9</v>
      </c>
      <c r="J935">
        <v>6</v>
      </c>
      <c r="K935">
        <v>13</v>
      </c>
      <c r="L935">
        <v>28831</v>
      </c>
      <c r="M935" t="s">
        <v>3131</v>
      </c>
      <c r="N935" t="s">
        <v>29</v>
      </c>
      <c r="O935">
        <v>9564155</v>
      </c>
      <c r="P935" t="s">
        <v>2941</v>
      </c>
      <c r="Q935">
        <v>1125277</v>
      </c>
      <c r="R935" t="s">
        <v>2942</v>
      </c>
      <c r="S935">
        <v>93</v>
      </c>
      <c r="T935" t="b">
        <v>0</v>
      </c>
      <c r="U935">
        <v>3</v>
      </c>
      <c r="V935">
        <v>3</v>
      </c>
      <c r="W935" t="s">
        <v>35</v>
      </c>
      <c r="X935" t="s">
        <v>3132</v>
      </c>
      <c r="Y935" t="s">
        <v>29</v>
      </c>
      <c r="Z935" t="s">
        <v>37</v>
      </c>
      <c r="AA935">
        <f>TwitterClean[[#This Row],[likes]]+TwitterClean[[#This Row],[replies]]+TwitterClean[[#This Row],[reposts]]+TwitterClean[[#This Row],[quotes]]+TwitterClean[[#This Row],[bookmarks]]</f>
        <v>34</v>
      </c>
      <c r="AB935" s="1">
        <f>TwitterClean[[#This Row],[Total_Engagements]]/TwitterClean[[#This Row],[views]]</f>
        <v>1.1792861850091914E-3</v>
      </c>
      <c r="AC935" s="3">
        <f>DATEVALUE(MID(TwitterClean[[#This Row],[date_posted]],2,10))</f>
        <v>45641</v>
      </c>
      <c r="AD935">
        <f>TIMEVALUE(MID(TwitterClean[[#This Row],[date_posted]],13,8))</f>
        <v>0.69307870370370372</v>
      </c>
      <c r="AE935" s="3" t="str">
        <f>TEXT(TwitterClean[[#This Row],[Post_Date]],"dddd")</f>
        <v>Sunday</v>
      </c>
      <c r="AF935">
        <f>HOUR(TwitterClean[[#This Row],[Post_Time]])</f>
        <v>16</v>
      </c>
      <c r="AG935" t="str">
        <f>IF(TwitterClean[[#This Row],[videos]]="Null","No","Yes")</f>
        <v>No</v>
      </c>
      <c r="AH935" t="str">
        <f>IF(TwitterClean[[#This Row],[photos]]="null","No","Yes")</f>
        <v>No</v>
      </c>
      <c r="AI935" t="str">
        <f>IF(TwitterClean[[#This Row],[hashtags]]="null","No","Yes")</f>
        <v>No</v>
      </c>
      <c r="AJ935" t="str">
        <f>IF(TwitterClean[[#This Row],[external_url]]="null","Yes","No")</f>
        <v>No</v>
      </c>
      <c r="AK935">
        <f>LEN(TwitterClean[[#This Row],[description]])</f>
        <v>171</v>
      </c>
      <c r="AL935" t="str">
        <f>IF(TwitterClean[[#This Row],[followers]]&lt;100000,"&lt;100K",IF(TwitterClean[[#This Row],[followers]]&lt;1000000,"100K-1M",IF(TwitterClean[[#This Row],[followers]]&lt;10000000,"1M-10M","10M+")))</f>
        <v>1M-10M</v>
      </c>
    </row>
    <row r="936" spans="1:38">
      <c r="A936">
        <v>1.8685174202619453E+18</v>
      </c>
      <c r="B936" t="s">
        <v>2935</v>
      </c>
      <c r="C936" t="s">
        <v>2936</v>
      </c>
      <c r="D936" t="s">
        <v>3824</v>
      </c>
      <c r="E936" t="s">
        <v>3825</v>
      </c>
      <c r="F936" t="s">
        <v>29</v>
      </c>
      <c r="G936" t="s">
        <v>3826</v>
      </c>
      <c r="H936" t="s">
        <v>29</v>
      </c>
      <c r="I936">
        <v>2</v>
      </c>
      <c r="J936">
        <v>3</v>
      </c>
      <c r="K936">
        <v>10</v>
      </c>
      <c r="L936">
        <v>15293</v>
      </c>
      <c r="M936" t="s">
        <v>3827</v>
      </c>
      <c r="N936" t="s">
        <v>29</v>
      </c>
      <c r="O936">
        <v>9564155</v>
      </c>
      <c r="P936" t="s">
        <v>2941</v>
      </c>
      <c r="Q936">
        <v>1125277</v>
      </c>
      <c r="R936" t="s">
        <v>2942</v>
      </c>
      <c r="S936">
        <v>93</v>
      </c>
      <c r="T936" t="b">
        <v>0</v>
      </c>
      <c r="U936">
        <v>1</v>
      </c>
      <c r="V936">
        <v>2</v>
      </c>
      <c r="W936" t="s">
        <v>35</v>
      </c>
      <c r="X936" t="s">
        <v>3828</v>
      </c>
      <c r="Y936" t="s">
        <v>29</v>
      </c>
      <c r="Z936" t="s">
        <v>37</v>
      </c>
      <c r="AA936">
        <f>TwitterClean[[#This Row],[likes]]+TwitterClean[[#This Row],[replies]]+TwitterClean[[#This Row],[reposts]]+TwitterClean[[#This Row],[quotes]]+TwitterClean[[#This Row],[bookmarks]]</f>
        <v>18</v>
      </c>
      <c r="AB936" s="1">
        <f>TwitterClean[[#This Row],[Total_Engagements]]/TwitterClean[[#This Row],[views]]</f>
        <v>1.1770090891257438E-3</v>
      </c>
      <c r="AC936" s="3">
        <f>DATEVALUE(MID(TwitterClean[[#This Row],[date_posted]],2,10))</f>
        <v>45642</v>
      </c>
      <c r="AD936">
        <f>TIMEVALUE(MID(TwitterClean[[#This Row],[date_posted]],13,8))</f>
        <v>0.19725694444444444</v>
      </c>
      <c r="AE936" s="3" t="str">
        <f>TEXT(TwitterClean[[#This Row],[Post_Date]],"dddd")</f>
        <v>Monday</v>
      </c>
      <c r="AF936">
        <f>HOUR(TwitterClean[[#This Row],[Post_Time]])</f>
        <v>4</v>
      </c>
      <c r="AG936" t="str">
        <f>IF(TwitterClean[[#This Row],[videos]]="Null","No","Yes")</f>
        <v>No</v>
      </c>
      <c r="AH936" t="str">
        <f>IF(TwitterClean[[#This Row],[photos]]="null","No","Yes")</f>
        <v>No</v>
      </c>
      <c r="AI936" t="str">
        <f>IF(TwitterClean[[#This Row],[hashtags]]="null","No","Yes")</f>
        <v>No</v>
      </c>
      <c r="AJ936" t="str">
        <f>IF(TwitterClean[[#This Row],[external_url]]="null","Yes","No")</f>
        <v>No</v>
      </c>
      <c r="AK936">
        <f>LEN(TwitterClean[[#This Row],[description]])</f>
        <v>150</v>
      </c>
      <c r="AL936" t="str">
        <f>IF(TwitterClean[[#This Row],[followers]]&lt;100000,"&lt;100K",IF(TwitterClean[[#This Row],[followers]]&lt;1000000,"100K-1M",IF(TwitterClean[[#This Row],[followers]]&lt;10000000,"1M-10M","10M+")))</f>
        <v>1M-10M</v>
      </c>
    </row>
    <row r="937" spans="1:38">
      <c r="A937">
        <v>1.8685181848080061E+18</v>
      </c>
      <c r="B937" t="s">
        <v>2935</v>
      </c>
      <c r="C937" t="s">
        <v>2936</v>
      </c>
      <c r="D937" t="s">
        <v>3800</v>
      </c>
      <c r="E937" t="s">
        <v>3801</v>
      </c>
      <c r="F937" t="s">
        <v>29</v>
      </c>
      <c r="G937" t="s">
        <v>3802</v>
      </c>
      <c r="H937" t="s">
        <v>29</v>
      </c>
      <c r="I937">
        <v>5</v>
      </c>
      <c r="J937">
        <v>3</v>
      </c>
      <c r="K937">
        <v>8</v>
      </c>
      <c r="L937">
        <v>16574</v>
      </c>
      <c r="M937" t="s">
        <v>3803</v>
      </c>
      <c r="N937" t="s">
        <v>29</v>
      </c>
      <c r="O937">
        <v>9564153</v>
      </c>
      <c r="P937" t="s">
        <v>2941</v>
      </c>
      <c r="Q937">
        <v>1125277</v>
      </c>
      <c r="R937" t="s">
        <v>2942</v>
      </c>
      <c r="S937">
        <v>93</v>
      </c>
      <c r="T937" t="b">
        <v>0</v>
      </c>
      <c r="U937">
        <v>1</v>
      </c>
      <c r="V937">
        <v>2</v>
      </c>
      <c r="W937" t="s">
        <v>35</v>
      </c>
      <c r="X937" t="s">
        <v>3804</v>
      </c>
      <c r="Y937" t="s">
        <v>29</v>
      </c>
      <c r="Z937" t="s">
        <v>37</v>
      </c>
      <c r="AA937">
        <f>TwitterClean[[#This Row],[likes]]+TwitterClean[[#This Row],[replies]]+TwitterClean[[#This Row],[reposts]]+TwitterClean[[#This Row],[quotes]]+TwitterClean[[#This Row],[bookmarks]]</f>
        <v>19</v>
      </c>
      <c r="AB937" s="1">
        <f>TwitterClean[[#This Row],[Total_Engagements]]/TwitterClean[[#This Row],[views]]</f>
        <v>1.1463738385422951E-3</v>
      </c>
      <c r="AC937" s="3">
        <f>DATEVALUE(MID(TwitterClean[[#This Row],[date_posted]],2,10))</f>
        <v>45642</v>
      </c>
      <c r="AD937">
        <f>TIMEVALUE(MID(TwitterClean[[#This Row],[date_posted]],13,8))</f>
        <v>0.19936342592592593</v>
      </c>
      <c r="AE937" s="3" t="str">
        <f>TEXT(TwitterClean[[#This Row],[Post_Date]],"dddd")</f>
        <v>Monday</v>
      </c>
      <c r="AF937">
        <f>HOUR(TwitterClean[[#This Row],[Post_Time]])</f>
        <v>4</v>
      </c>
      <c r="AG937" t="str">
        <f>IF(TwitterClean[[#This Row],[videos]]="Null","No","Yes")</f>
        <v>No</v>
      </c>
      <c r="AH937" t="str">
        <f>IF(TwitterClean[[#This Row],[photos]]="null","No","Yes")</f>
        <v>No</v>
      </c>
      <c r="AI937" t="str">
        <f>IF(TwitterClean[[#This Row],[hashtags]]="null","No","Yes")</f>
        <v>No</v>
      </c>
      <c r="AJ937" t="str">
        <f>IF(TwitterClean[[#This Row],[external_url]]="null","Yes","No")</f>
        <v>No</v>
      </c>
      <c r="AK937">
        <f>LEN(TwitterClean[[#This Row],[description]])</f>
        <v>212</v>
      </c>
      <c r="AL937" t="str">
        <f>IF(TwitterClean[[#This Row],[followers]]&lt;100000,"&lt;100K",IF(TwitterClean[[#This Row],[followers]]&lt;1000000,"100K-1M",IF(TwitterClean[[#This Row],[followers]]&lt;10000000,"1M-10M","10M+")))</f>
        <v>1M-10M</v>
      </c>
    </row>
    <row r="938" spans="1:38">
      <c r="A938">
        <v>1.8684175005656479E+18</v>
      </c>
      <c r="B938" t="s">
        <v>4280</v>
      </c>
      <c r="C938" t="s">
        <v>4280</v>
      </c>
      <c r="D938" t="s">
        <v>4390</v>
      </c>
      <c r="E938" t="s">
        <v>4391</v>
      </c>
      <c r="F938" t="s">
        <v>29</v>
      </c>
      <c r="G938" t="s">
        <v>4392</v>
      </c>
      <c r="H938" t="s">
        <v>29</v>
      </c>
      <c r="I938">
        <v>3</v>
      </c>
      <c r="J938">
        <v>2</v>
      </c>
      <c r="K938">
        <v>35</v>
      </c>
      <c r="L938">
        <v>36697</v>
      </c>
      <c r="M938" t="s">
        <v>4393</v>
      </c>
      <c r="N938" t="s">
        <v>29</v>
      </c>
      <c r="O938">
        <v>2356528</v>
      </c>
      <c r="P938" t="s">
        <v>4285</v>
      </c>
      <c r="Q938">
        <v>338240</v>
      </c>
      <c r="R938" t="s">
        <v>4286</v>
      </c>
      <c r="S938">
        <v>1981</v>
      </c>
      <c r="T938" t="b">
        <v>0</v>
      </c>
      <c r="U938">
        <v>1</v>
      </c>
      <c r="V938">
        <v>1</v>
      </c>
      <c r="W938" t="s">
        <v>35</v>
      </c>
      <c r="X938" t="s">
        <v>4394</v>
      </c>
      <c r="Y938" t="s">
        <v>29</v>
      </c>
      <c r="Z938" t="s">
        <v>37</v>
      </c>
      <c r="AA938">
        <f>TwitterClean[[#This Row],[likes]]+TwitterClean[[#This Row],[replies]]+TwitterClean[[#This Row],[reposts]]+TwitterClean[[#This Row],[quotes]]+TwitterClean[[#This Row],[bookmarks]]</f>
        <v>42</v>
      </c>
      <c r="AB938" s="1">
        <f>TwitterClean[[#This Row],[Total_Engagements]]/TwitterClean[[#This Row],[views]]</f>
        <v>1.1445077254271466E-3</v>
      </c>
      <c r="AC938" s="3">
        <f>DATEVALUE(MID(TwitterClean[[#This Row],[date_posted]],2,10))</f>
        <v>45641</v>
      </c>
      <c r="AD938">
        <f>TIMEVALUE(MID(TwitterClean[[#This Row],[date_posted]],13,8))</f>
        <v>0.92152777777777772</v>
      </c>
      <c r="AE938" s="3" t="str">
        <f>TEXT(TwitterClean[[#This Row],[Post_Date]],"dddd")</f>
        <v>Sunday</v>
      </c>
      <c r="AF938">
        <f>HOUR(TwitterClean[[#This Row],[Post_Time]])</f>
        <v>22</v>
      </c>
      <c r="AG938" t="str">
        <f>IF(TwitterClean[[#This Row],[videos]]="Null","No","Yes")</f>
        <v>No</v>
      </c>
      <c r="AH938" t="str">
        <f>IF(TwitterClean[[#This Row],[photos]]="null","No","Yes")</f>
        <v>No</v>
      </c>
      <c r="AI938" t="str">
        <f>IF(TwitterClean[[#This Row],[hashtags]]="null","No","Yes")</f>
        <v>No</v>
      </c>
      <c r="AJ938" t="str">
        <f>IF(TwitterClean[[#This Row],[external_url]]="null","Yes","No")</f>
        <v>No</v>
      </c>
      <c r="AK938">
        <f>LEN(TwitterClean[[#This Row],[description]])</f>
        <v>84</v>
      </c>
      <c r="AL938" t="str">
        <f>IF(TwitterClean[[#This Row],[followers]]&lt;100000,"&lt;100K",IF(TwitterClean[[#This Row],[followers]]&lt;1000000,"100K-1M",IF(TwitterClean[[#This Row],[followers]]&lt;10000000,"1M-10M","10M+")))</f>
        <v>1M-10M</v>
      </c>
    </row>
    <row r="939" spans="1:38">
      <c r="A939">
        <v>1.8685008280608893E+18</v>
      </c>
      <c r="B939" t="s">
        <v>2935</v>
      </c>
      <c r="C939" t="s">
        <v>2936</v>
      </c>
      <c r="D939" t="s">
        <v>2944</v>
      </c>
      <c r="E939" t="s">
        <v>2945</v>
      </c>
      <c r="F939" t="s">
        <v>29</v>
      </c>
      <c r="G939" t="s">
        <v>2946</v>
      </c>
      <c r="H939" t="s">
        <v>29</v>
      </c>
      <c r="I939">
        <v>2</v>
      </c>
      <c r="J939">
        <v>8</v>
      </c>
      <c r="K939">
        <v>21</v>
      </c>
      <c r="L939">
        <v>34093</v>
      </c>
      <c r="M939" t="s">
        <v>2947</v>
      </c>
      <c r="N939" t="s">
        <v>29</v>
      </c>
      <c r="O939">
        <v>9564156</v>
      </c>
      <c r="P939" t="s">
        <v>2941</v>
      </c>
      <c r="Q939">
        <v>1125277</v>
      </c>
      <c r="R939" t="s">
        <v>2942</v>
      </c>
      <c r="S939">
        <v>93</v>
      </c>
      <c r="T939" t="b">
        <v>0</v>
      </c>
      <c r="U939">
        <v>3</v>
      </c>
      <c r="V939">
        <v>5</v>
      </c>
      <c r="W939" t="s">
        <v>35</v>
      </c>
      <c r="X939" t="s">
        <v>2948</v>
      </c>
      <c r="Y939" t="s">
        <v>29</v>
      </c>
      <c r="Z939" t="s">
        <v>37</v>
      </c>
      <c r="AA939">
        <f>TwitterClean[[#This Row],[likes]]+TwitterClean[[#This Row],[replies]]+TwitterClean[[#This Row],[reposts]]+TwitterClean[[#This Row],[quotes]]+TwitterClean[[#This Row],[bookmarks]]</f>
        <v>39</v>
      </c>
      <c r="AB939" s="1">
        <f>TwitterClean[[#This Row],[Total_Engagements]]/TwitterClean[[#This Row],[views]]</f>
        <v>1.1439298389698766E-3</v>
      </c>
      <c r="AC939" s="3">
        <f>DATEVALUE(MID(TwitterClean[[#This Row],[date_posted]],2,10))</f>
        <v>45642</v>
      </c>
      <c r="AD939">
        <f>TIMEVALUE(MID(TwitterClean[[#This Row],[date_posted]],13,8))</f>
        <v>0.1514699074074074</v>
      </c>
      <c r="AE939" s="3" t="str">
        <f>TEXT(TwitterClean[[#This Row],[Post_Date]],"dddd")</f>
        <v>Monday</v>
      </c>
      <c r="AF939">
        <f>HOUR(TwitterClean[[#This Row],[Post_Time]])</f>
        <v>3</v>
      </c>
      <c r="AG939" t="str">
        <f>IF(TwitterClean[[#This Row],[videos]]="Null","No","Yes")</f>
        <v>No</v>
      </c>
      <c r="AH939" t="str">
        <f>IF(TwitterClean[[#This Row],[photos]]="null","No","Yes")</f>
        <v>No</v>
      </c>
      <c r="AI939" t="str">
        <f>IF(TwitterClean[[#This Row],[hashtags]]="null","No","Yes")</f>
        <v>No</v>
      </c>
      <c r="AJ939" t="str">
        <f>IF(TwitterClean[[#This Row],[external_url]]="null","Yes","No")</f>
        <v>No</v>
      </c>
      <c r="AK939">
        <f>LEN(TwitterClean[[#This Row],[description]])</f>
        <v>139</v>
      </c>
      <c r="AL939" t="str">
        <f>IF(TwitterClean[[#This Row],[followers]]&lt;100000,"&lt;100K",IF(TwitterClean[[#This Row],[followers]]&lt;1000000,"100K-1M",IF(TwitterClean[[#This Row],[followers]]&lt;10000000,"1M-10M","10M+")))</f>
        <v>1M-10M</v>
      </c>
    </row>
    <row r="940" spans="1:38">
      <c r="A940">
        <v>1.868373978110153E+18</v>
      </c>
      <c r="B940" t="s">
        <v>183</v>
      </c>
      <c r="C940" t="s">
        <v>184</v>
      </c>
      <c r="D940" t="s">
        <v>1095</v>
      </c>
      <c r="E940" t="s">
        <v>1096</v>
      </c>
      <c r="F940" t="s">
        <v>29</v>
      </c>
      <c r="G940" t="s">
        <v>1097</v>
      </c>
      <c r="H940" t="s">
        <v>29</v>
      </c>
      <c r="I940">
        <v>11</v>
      </c>
      <c r="J940">
        <v>8</v>
      </c>
      <c r="K940">
        <v>34</v>
      </c>
      <c r="L940">
        <v>50273</v>
      </c>
      <c r="M940" t="s">
        <v>1098</v>
      </c>
      <c r="N940" t="s">
        <v>29</v>
      </c>
      <c r="O940">
        <v>27122999</v>
      </c>
      <c r="P940" t="s">
        <v>190</v>
      </c>
      <c r="Q940">
        <v>402760</v>
      </c>
      <c r="R940" t="s">
        <v>191</v>
      </c>
      <c r="S940">
        <v>155</v>
      </c>
      <c r="T940" t="b">
        <v>0</v>
      </c>
      <c r="U940">
        <v>3</v>
      </c>
      <c r="V940">
        <v>1</v>
      </c>
      <c r="W940" t="s">
        <v>35</v>
      </c>
      <c r="X940" t="s">
        <v>1099</v>
      </c>
      <c r="Y940" t="s">
        <v>29</v>
      </c>
      <c r="Z940" t="s">
        <v>37</v>
      </c>
      <c r="AA940">
        <f>TwitterClean[[#This Row],[likes]]+TwitterClean[[#This Row],[replies]]+TwitterClean[[#This Row],[reposts]]+TwitterClean[[#This Row],[quotes]]+TwitterClean[[#This Row],[bookmarks]]</f>
        <v>57</v>
      </c>
      <c r="AB940" s="1">
        <f>TwitterClean[[#This Row],[Total_Engagements]]/TwitterClean[[#This Row],[views]]</f>
        <v>1.133809400672329E-3</v>
      </c>
      <c r="AC940" s="3">
        <f>DATEVALUE(MID(TwitterClean[[#This Row],[date_posted]],2,10))</f>
        <v>45641</v>
      </c>
      <c r="AD940">
        <f>TIMEVALUE(MID(TwitterClean[[#This Row],[date_posted]],13,8))</f>
        <v>0.80142361111111116</v>
      </c>
      <c r="AE940" s="3" t="str">
        <f>TEXT(TwitterClean[[#This Row],[Post_Date]],"dddd")</f>
        <v>Sunday</v>
      </c>
      <c r="AF940">
        <f>HOUR(TwitterClean[[#This Row],[Post_Time]])</f>
        <v>19</v>
      </c>
      <c r="AG940" t="str">
        <f>IF(TwitterClean[[#This Row],[videos]]="Null","No","Yes")</f>
        <v>No</v>
      </c>
      <c r="AH940" t="str">
        <f>IF(TwitterClean[[#This Row],[photos]]="null","No","Yes")</f>
        <v>No</v>
      </c>
      <c r="AI940" t="str">
        <f>IF(TwitterClean[[#This Row],[hashtags]]="null","No","Yes")</f>
        <v>No</v>
      </c>
      <c r="AJ940" t="str">
        <f>IF(TwitterClean[[#This Row],[external_url]]="null","Yes","No")</f>
        <v>No</v>
      </c>
      <c r="AK940">
        <f>LEN(TwitterClean[[#This Row],[description]])</f>
        <v>197</v>
      </c>
      <c r="AL940" t="str">
        <f>IF(TwitterClean[[#This Row],[followers]]&lt;100000,"&lt;100K",IF(TwitterClean[[#This Row],[followers]]&lt;1000000,"100K-1M",IF(TwitterClean[[#This Row],[followers]]&lt;10000000,"1M-10M","10M+")))</f>
        <v>10M+</v>
      </c>
    </row>
    <row r="941" spans="1:38">
      <c r="A941">
        <v>1.8682124282001408E+18</v>
      </c>
      <c r="B941" t="s">
        <v>183</v>
      </c>
      <c r="C941" t="s">
        <v>184</v>
      </c>
      <c r="D941" t="s">
        <v>1105</v>
      </c>
      <c r="E941" t="s">
        <v>1106</v>
      </c>
      <c r="F941" t="s">
        <v>29</v>
      </c>
      <c r="G941" t="s">
        <v>1107</v>
      </c>
      <c r="H941" t="s">
        <v>29</v>
      </c>
      <c r="I941">
        <v>10</v>
      </c>
      <c r="J941">
        <v>9</v>
      </c>
      <c r="K941">
        <v>28</v>
      </c>
      <c r="L941">
        <v>44524</v>
      </c>
      <c r="M941" t="s">
        <v>1108</v>
      </c>
      <c r="N941" t="s">
        <v>29</v>
      </c>
      <c r="O941">
        <v>27123001</v>
      </c>
      <c r="P941" t="s">
        <v>190</v>
      </c>
      <c r="Q941">
        <v>402760</v>
      </c>
      <c r="R941" t="s">
        <v>191</v>
      </c>
      <c r="S941">
        <v>155</v>
      </c>
      <c r="T941" t="b">
        <v>0</v>
      </c>
      <c r="U941">
        <v>1</v>
      </c>
      <c r="V941">
        <v>2</v>
      </c>
      <c r="W941" t="s">
        <v>35</v>
      </c>
      <c r="X941" t="s">
        <v>1109</v>
      </c>
      <c r="Y941" t="s">
        <v>29</v>
      </c>
      <c r="Z941" t="s">
        <v>37</v>
      </c>
      <c r="AA941">
        <f>TwitterClean[[#This Row],[likes]]+TwitterClean[[#This Row],[replies]]+TwitterClean[[#This Row],[reposts]]+TwitterClean[[#This Row],[quotes]]+TwitterClean[[#This Row],[bookmarks]]</f>
        <v>50</v>
      </c>
      <c r="AB941" s="1">
        <f>TwitterClean[[#This Row],[Total_Engagements]]/TwitterClean[[#This Row],[views]]</f>
        <v>1.1229898481717726E-3</v>
      </c>
      <c r="AC941" s="3">
        <f>DATEVALUE(MID(TwitterClean[[#This Row],[date_posted]],2,10))</f>
        <v>45641</v>
      </c>
      <c r="AD941">
        <f>TIMEVALUE(MID(TwitterClean[[#This Row],[date_posted]],13,8))</f>
        <v>0.35563657407407406</v>
      </c>
      <c r="AE941" s="3" t="str">
        <f>TEXT(TwitterClean[[#This Row],[Post_Date]],"dddd")</f>
        <v>Sunday</v>
      </c>
      <c r="AF941">
        <f>HOUR(TwitterClean[[#This Row],[Post_Time]])</f>
        <v>8</v>
      </c>
      <c r="AG941" t="str">
        <f>IF(TwitterClean[[#This Row],[videos]]="Null","No","Yes")</f>
        <v>No</v>
      </c>
      <c r="AH941" t="str">
        <f>IF(TwitterClean[[#This Row],[photos]]="null","No","Yes")</f>
        <v>No</v>
      </c>
      <c r="AI941" t="str">
        <f>IF(TwitterClean[[#This Row],[hashtags]]="null","No","Yes")</f>
        <v>No</v>
      </c>
      <c r="AJ941" t="str">
        <f>IF(TwitterClean[[#This Row],[external_url]]="null","Yes","No")</f>
        <v>No</v>
      </c>
      <c r="AK941">
        <f>LEN(TwitterClean[[#This Row],[description]])</f>
        <v>181</v>
      </c>
      <c r="AL941" t="str">
        <f>IF(TwitterClean[[#This Row],[followers]]&lt;100000,"&lt;100K",IF(TwitterClean[[#This Row],[followers]]&lt;1000000,"100K-1M",IF(TwitterClean[[#This Row],[followers]]&lt;10000000,"1M-10M","10M+")))</f>
        <v>10M+</v>
      </c>
    </row>
    <row r="942" spans="1:38">
      <c r="A942">
        <v>1.8682179624542047E+18</v>
      </c>
      <c r="B942" t="s">
        <v>183</v>
      </c>
      <c r="C942" t="s">
        <v>184</v>
      </c>
      <c r="D942" t="s">
        <v>938</v>
      </c>
      <c r="E942" t="s">
        <v>939</v>
      </c>
      <c r="F942" t="s">
        <v>29</v>
      </c>
      <c r="G942" t="s">
        <v>940</v>
      </c>
      <c r="H942" t="s">
        <v>29</v>
      </c>
      <c r="I942">
        <v>8</v>
      </c>
      <c r="J942">
        <v>7</v>
      </c>
      <c r="K942">
        <v>23</v>
      </c>
      <c r="L942">
        <v>41169</v>
      </c>
      <c r="M942" t="s">
        <v>941</v>
      </c>
      <c r="N942" t="s">
        <v>29</v>
      </c>
      <c r="O942">
        <v>27123000</v>
      </c>
      <c r="P942" t="s">
        <v>190</v>
      </c>
      <c r="Q942">
        <v>402760</v>
      </c>
      <c r="R942" t="s">
        <v>191</v>
      </c>
      <c r="S942">
        <v>155</v>
      </c>
      <c r="T942" t="b">
        <v>0</v>
      </c>
      <c r="U942">
        <v>1</v>
      </c>
      <c r="V942">
        <v>7</v>
      </c>
      <c r="W942" t="s">
        <v>35</v>
      </c>
      <c r="X942" t="s">
        <v>942</v>
      </c>
      <c r="Y942" t="s">
        <v>29</v>
      </c>
      <c r="Z942" t="s">
        <v>37</v>
      </c>
      <c r="AA942">
        <f>TwitterClean[[#This Row],[likes]]+TwitterClean[[#This Row],[replies]]+TwitterClean[[#This Row],[reposts]]+TwitterClean[[#This Row],[quotes]]+TwitterClean[[#This Row],[bookmarks]]</f>
        <v>46</v>
      </c>
      <c r="AB942" s="1">
        <f>TwitterClean[[#This Row],[Total_Engagements]]/TwitterClean[[#This Row],[views]]</f>
        <v>1.1173455755544221E-3</v>
      </c>
      <c r="AC942" s="3">
        <f>DATEVALUE(MID(TwitterClean[[#This Row],[date_posted]],2,10))</f>
        <v>45641</v>
      </c>
      <c r="AD942">
        <f>TIMEVALUE(MID(TwitterClean[[#This Row],[date_posted]],13,8))</f>
        <v>0.3709027777777778</v>
      </c>
      <c r="AE942" s="3" t="str">
        <f>TEXT(TwitterClean[[#This Row],[Post_Date]],"dddd")</f>
        <v>Sunday</v>
      </c>
      <c r="AF942">
        <f>HOUR(TwitterClean[[#This Row],[Post_Time]])</f>
        <v>8</v>
      </c>
      <c r="AG942" t="str">
        <f>IF(TwitterClean[[#This Row],[videos]]="Null","No","Yes")</f>
        <v>No</v>
      </c>
      <c r="AH942" t="str">
        <f>IF(TwitterClean[[#This Row],[photos]]="null","No","Yes")</f>
        <v>No</v>
      </c>
      <c r="AI942" t="str">
        <f>IF(TwitterClean[[#This Row],[hashtags]]="null","No","Yes")</f>
        <v>No</v>
      </c>
      <c r="AJ942" t="str">
        <f>IF(TwitterClean[[#This Row],[external_url]]="null","Yes","No")</f>
        <v>No</v>
      </c>
      <c r="AK942">
        <f>LEN(TwitterClean[[#This Row],[description]])</f>
        <v>226</v>
      </c>
      <c r="AL942" t="str">
        <f>IF(TwitterClean[[#This Row],[followers]]&lt;100000,"&lt;100K",IF(TwitterClean[[#This Row],[followers]]&lt;1000000,"100K-1M",IF(TwitterClean[[#This Row],[followers]]&lt;10000000,"1M-10M","10M+")))</f>
        <v>10M+</v>
      </c>
    </row>
    <row r="943" spans="1:38">
      <c r="A943">
        <v>1.8680882161646717E+18</v>
      </c>
      <c r="B943" t="s">
        <v>183</v>
      </c>
      <c r="C943" t="s">
        <v>184</v>
      </c>
      <c r="D943" t="s">
        <v>223</v>
      </c>
      <c r="E943" t="s">
        <v>224</v>
      </c>
      <c r="F943" t="s">
        <v>29</v>
      </c>
      <c r="G943" t="s">
        <v>225</v>
      </c>
      <c r="H943" t="s">
        <v>29</v>
      </c>
      <c r="I943">
        <v>12</v>
      </c>
      <c r="J943">
        <v>12</v>
      </c>
      <c r="K943">
        <v>33</v>
      </c>
      <c r="L943">
        <v>64864</v>
      </c>
      <c r="M943" t="s">
        <v>226</v>
      </c>
      <c r="N943" t="s">
        <v>29</v>
      </c>
      <c r="O943">
        <v>27123001</v>
      </c>
      <c r="P943" t="s">
        <v>190</v>
      </c>
      <c r="Q943">
        <v>402760</v>
      </c>
      <c r="R943" t="s">
        <v>191</v>
      </c>
      <c r="S943">
        <v>155</v>
      </c>
      <c r="T943" t="b">
        <v>0</v>
      </c>
      <c r="U943">
        <v>2</v>
      </c>
      <c r="V943">
        <v>13</v>
      </c>
      <c r="W943" t="s">
        <v>35</v>
      </c>
      <c r="X943" t="s">
        <v>227</v>
      </c>
      <c r="Y943" t="s">
        <v>29</v>
      </c>
      <c r="Z943" t="s">
        <v>37</v>
      </c>
      <c r="AA943">
        <f>TwitterClean[[#This Row],[likes]]+TwitterClean[[#This Row],[replies]]+TwitterClean[[#This Row],[reposts]]+TwitterClean[[#This Row],[quotes]]+TwitterClean[[#This Row],[bookmarks]]</f>
        <v>72</v>
      </c>
      <c r="AB943" s="1">
        <f>TwitterClean[[#This Row],[Total_Engagements]]/TwitterClean[[#This Row],[views]]</f>
        <v>1.110014800197336E-3</v>
      </c>
      <c r="AC943" s="3">
        <f>DATEVALUE(MID(TwitterClean[[#This Row],[date_posted]],2,10))</f>
        <v>45641</v>
      </c>
      <c r="AD943">
        <f>TIMEVALUE(MID(TwitterClean[[#This Row],[date_posted]],13,8))</f>
        <v>1.2870370370370371E-2</v>
      </c>
      <c r="AE943" s="3" t="str">
        <f>TEXT(TwitterClean[[#This Row],[Post_Date]],"dddd")</f>
        <v>Sunday</v>
      </c>
      <c r="AF943">
        <f>HOUR(TwitterClean[[#This Row],[Post_Time]])</f>
        <v>0</v>
      </c>
      <c r="AG943" t="str">
        <f>IF(TwitterClean[[#This Row],[videos]]="Null","No","Yes")</f>
        <v>No</v>
      </c>
      <c r="AH943" t="str">
        <f>IF(TwitterClean[[#This Row],[photos]]="null","No","Yes")</f>
        <v>No</v>
      </c>
      <c r="AI943" t="str">
        <f>IF(TwitterClean[[#This Row],[hashtags]]="null","No","Yes")</f>
        <v>No</v>
      </c>
      <c r="AJ943" t="str">
        <f>IF(TwitterClean[[#This Row],[external_url]]="null","Yes","No")</f>
        <v>No</v>
      </c>
      <c r="AK943">
        <f>LEN(TwitterClean[[#This Row],[description]])</f>
        <v>43</v>
      </c>
      <c r="AL943" t="str">
        <f>IF(TwitterClean[[#This Row],[followers]]&lt;100000,"&lt;100K",IF(TwitterClean[[#This Row],[followers]]&lt;1000000,"100K-1M",IF(TwitterClean[[#This Row],[followers]]&lt;10000000,"1M-10M","10M+")))</f>
        <v>10M+</v>
      </c>
    </row>
    <row r="944" spans="1:38">
      <c r="A944">
        <v>1.8682736484290481E+18</v>
      </c>
      <c r="B944" t="s">
        <v>2935</v>
      </c>
      <c r="C944" t="s">
        <v>2936</v>
      </c>
      <c r="D944" t="s">
        <v>2970</v>
      </c>
      <c r="E944" t="s">
        <v>2971</v>
      </c>
      <c r="F944" t="s">
        <v>29</v>
      </c>
      <c r="G944" t="s">
        <v>2972</v>
      </c>
      <c r="H944" t="s">
        <v>29</v>
      </c>
      <c r="I944">
        <v>6</v>
      </c>
      <c r="J944">
        <v>6</v>
      </c>
      <c r="K944">
        <v>25</v>
      </c>
      <c r="L944">
        <v>36381</v>
      </c>
      <c r="M944" t="s">
        <v>2973</v>
      </c>
      <c r="N944" t="s">
        <v>29</v>
      </c>
      <c r="O944">
        <v>9564231</v>
      </c>
      <c r="P944" t="s">
        <v>2941</v>
      </c>
      <c r="Q944">
        <v>1125277</v>
      </c>
      <c r="R944" t="s">
        <v>2942</v>
      </c>
      <c r="S944">
        <v>93</v>
      </c>
      <c r="T944" t="b">
        <v>0</v>
      </c>
      <c r="U944">
        <v>1</v>
      </c>
      <c r="V944">
        <v>2</v>
      </c>
      <c r="W944" t="s">
        <v>35</v>
      </c>
      <c r="X944" t="s">
        <v>2974</v>
      </c>
      <c r="Y944" t="s">
        <v>29</v>
      </c>
      <c r="Z944" t="s">
        <v>37</v>
      </c>
      <c r="AA944">
        <f>TwitterClean[[#This Row],[likes]]+TwitterClean[[#This Row],[replies]]+TwitterClean[[#This Row],[reposts]]+TwitterClean[[#This Row],[quotes]]+TwitterClean[[#This Row],[bookmarks]]</f>
        <v>40</v>
      </c>
      <c r="AB944" s="1">
        <f>TwitterClean[[#This Row],[Total_Engagements]]/TwitterClean[[#This Row],[views]]</f>
        <v>1.0994750006871718E-3</v>
      </c>
      <c r="AC944" s="3">
        <f>DATEVALUE(MID(TwitterClean[[#This Row],[date_posted]],2,10))</f>
        <v>45641</v>
      </c>
      <c r="AD944">
        <f>TIMEVALUE(MID(TwitterClean[[#This Row],[date_posted]],13,8))</f>
        <v>0.52457175925925925</v>
      </c>
      <c r="AE944" s="3" t="str">
        <f>TEXT(TwitterClean[[#This Row],[Post_Date]],"dddd")</f>
        <v>Sunday</v>
      </c>
      <c r="AF944">
        <f>HOUR(TwitterClean[[#This Row],[Post_Time]])</f>
        <v>12</v>
      </c>
      <c r="AG944" t="str">
        <f>IF(TwitterClean[[#This Row],[videos]]="Null","No","Yes")</f>
        <v>No</v>
      </c>
      <c r="AH944" t="str">
        <f>IF(TwitterClean[[#This Row],[photos]]="null","No","Yes")</f>
        <v>No</v>
      </c>
      <c r="AI944" t="str">
        <f>IF(TwitterClean[[#This Row],[hashtags]]="null","No","Yes")</f>
        <v>No</v>
      </c>
      <c r="AJ944" t="str">
        <f>IF(TwitterClean[[#This Row],[external_url]]="null","Yes","No")</f>
        <v>No</v>
      </c>
      <c r="AK944">
        <f>LEN(TwitterClean[[#This Row],[description]])</f>
        <v>142</v>
      </c>
      <c r="AL944" t="str">
        <f>IF(TwitterClean[[#This Row],[followers]]&lt;100000,"&lt;100K",IF(TwitterClean[[#This Row],[followers]]&lt;1000000,"100K-1M",IF(TwitterClean[[#This Row],[followers]]&lt;10000000,"1M-10M","10M+")))</f>
        <v>1M-10M</v>
      </c>
    </row>
    <row r="945" spans="1:38">
      <c r="A945">
        <v>1.8680963940886162E+18</v>
      </c>
      <c r="B945" t="s">
        <v>2935</v>
      </c>
      <c r="C945" t="s">
        <v>2936</v>
      </c>
      <c r="D945" t="s">
        <v>2989</v>
      </c>
      <c r="E945" t="s">
        <v>3834</v>
      </c>
      <c r="F945" t="s">
        <v>29</v>
      </c>
      <c r="G945" t="s">
        <v>3835</v>
      </c>
      <c r="H945" t="s">
        <v>29</v>
      </c>
      <c r="I945">
        <v>8</v>
      </c>
      <c r="J945">
        <v>4</v>
      </c>
      <c r="K945">
        <v>21</v>
      </c>
      <c r="L945">
        <v>35071</v>
      </c>
      <c r="M945" t="s">
        <v>3836</v>
      </c>
      <c r="N945" t="s">
        <v>29</v>
      </c>
      <c r="O945">
        <v>9564157</v>
      </c>
      <c r="P945" t="s">
        <v>2941</v>
      </c>
      <c r="Q945">
        <v>1125277</v>
      </c>
      <c r="R945" t="s">
        <v>2942</v>
      </c>
      <c r="S945">
        <v>93</v>
      </c>
      <c r="T945" t="b">
        <v>0</v>
      </c>
      <c r="U945">
        <v>1</v>
      </c>
      <c r="V945">
        <v>4</v>
      </c>
      <c r="W945" t="s">
        <v>35</v>
      </c>
      <c r="X945" t="s">
        <v>2993</v>
      </c>
      <c r="Y945" t="s">
        <v>29</v>
      </c>
      <c r="Z945" t="s">
        <v>37</v>
      </c>
      <c r="AA945">
        <f>TwitterClean[[#This Row],[likes]]+TwitterClean[[#This Row],[replies]]+TwitterClean[[#This Row],[reposts]]+TwitterClean[[#This Row],[quotes]]+TwitterClean[[#This Row],[bookmarks]]</f>
        <v>38</v>
      </c>
      <c r="AB945" s="1">
        <f>TwitterClean[[#This Row],[Total_Engagements]]/TwitterClean[[#This Row],[views]]</f>
        <v>1.0835162955148128E-3</v>
      </c>
      <c r="AC945" s="3">
        <f>DATEVALUE(MID(TwitterClean[[#This Row],[date_posted]],2,10))</f>
        <v>45641</v>
      </c>
      <c r="AD945">
        <f>TIMEVALUE(MID(TwitterClean[[#This Row],[date_posted]],13,8))</f>
        <v>3.5439814814814813E-2</v>
      </c>
      <c r="AE945" s="3" t="str">
        <f>TEXT(TwitterClean[[#This Row],[Post_Date]],"dddd")</f>
        <v>Sunday</v>
      </c>
      <c r="AF945">
        <f>HOUR(TwitterClean[[#This Row],[Post_Time]])</f>
        <v>0</v>
      </c>
      <c r="AG945" t="str">
        <f>IF(TwitterClean[[#This Row],[videos]]="Null","No","Yes")</f>
        <v>No</v>
      </c>
      <c r="AH945" t="str">
        <f>IF(TwitterClean[[#This Row],[photos]]="null","No","Yes")</f>
        <v>No</v>
      </c>
      <c r="AI945" t="str">
        <f>IF(TwitterClean[[#This Row],[hashtags]]="null","No","Yes")</f>
        <v>No</v>
      </c>
      <c r="AJ945" t="str">
        <f>IF(TwitterClean[[#This Row],[external_url]]="null","Yes","No")</f>
        <v>No</v>
      </c>
      <c r="AK945">
        <f>LEN(TwitterClean[[#This Row],[description]])</f>
        <v>248</v>
      </c>
      <c r="AL945" t="str">
        <f>IF(TwitterClean[[#This Row],[followers]]&lt;100000,"&lt;100K",IF(TwitterClean[[#This Row],[followers]]&lt;1000000,"100K-1M",IF(TwitterClean[[#This Row],[followers]]&lt;10000000,"1M-10M","10M+")))</f>
        <v>1M-10M</v>
      </c>
    </row>
    <row r="946" spans="1:38">
      <c r="A946">
        <v>1.8683261645377208E+18</v>
      </c>
      <c r="B946" t="s">
        <v>2935</v>
      </c>
      <c r="C946" t="s">
        <v>2936</v>
      </c>
      <c r="D946" t="s">
        <v>3320</v>
      </c>
      <c r="E946" t="s">
        <v>3321</v>
      </c>
      <c r="F946" t="s">
        <v>29</v>
      </c>
      <c r="G946" t="s">
        <v>3322</v>
      </c>
      <c r="H946" t="s">
        <v>3323</v>
      </c>
      <c r="I946">
        <v>5</v>
      </c>
      <c r="J946">
        <v>5</v>
      </c>
      <c r="K946">
        <v>18</v>
      </c>
      <c r="L946">
        <v>29656</v>
      </c>
      <c r="M946" t="s">
        <v>3324</v>
      </c>
      <c r="N946" t="s">
        <v>29</v>
      </c>
      <c r="O946">
        <v>9564155</v>
      </c>
      <c r="P946" t="s">
        <v>2941</v>
      </c>
      <c r="Q946">
        <v>1125277</v>
      </c>
      <c r="R946" t="s">
        <v>2942</v>
      </c>
      <c r="S946">
        <v>93</v>
      </c>
      <c r="T946" t="b">
        <v>0</v>
      </c>
      <c r="U946">
        <v>0</v>
      </c>
      <c r="V946">
        <v>4</v>
      </c>
      <c r="W946" t="s">
        <v>35</v>
      </c>
      <c r="X946" t="s">
        <v>29</v>
      </c>
      <c r="Y946" t="s">
        <v>3325</v>
      </c>
      <c r="Z946" t="s">
        <v>37</v>
      </c>
      <c r="AA946">
        <f>TwitterClean[[#This Row],[likes]]+TwitterClean[[#This Row],[replies]]+TwitterClean[[#This Row],[reposts]]+TwitterClean[[#This Row],[quotes]]+TwitterClean[[#This Row],[bookmarks]]</f>
        <v>32</v>
      </c>
      <c r="AB946" s="1">
        <f>TwitterClean[[#This Row],[Total_Engagements]]/TwitterClean[[#This Row],[views]]</f>
        <v>1.0790396547073105E-3</v>
      </c>
      <c r="AC946" s="3">
        <f>DATEVALUE(MID(TwitterClean[[#This Row],[date_posted]],2,10))</f>
        <v>45641</v>
      </c>
      <c r="AD946">
        <f>TIMEVALUE(MID(TwitterClean[[#This Row],[date_posted]],13,8))</f>
        <v>0.66949074074074078</v>
      </c>
      <c r="AE946" s="3" t="str">
        <f>TEXT(TwitterClean[[#This Row],[Post_Date]],"dddd")</f>
        <v>Sunday</v>
      </c>
      <c r="AF946">
        <f>HOUR(TwitterClean[[#This Row],[Post_Time]])</f>
        <v>16</v>
      </c>
      <c r="AG946" t="str">
        <f>IF(TwitterClean[[#This Row],[videos]]="Null","No","Yes")</f>
        <v>Yes</v>
      </c>
      <c r="AH946" t="str">
        <f>IF(TwitterClean[[#This Row],[photos]]="null","No","Yes")</f>
        <v>No</v>
      </c>
      <c r="AI946" t="str">
        <f>IF(TwitterClean[[#This Row],[hashtags]]="null","No","Yes")</f>
        <v>No</v>
      </c>
      <c r="AJ946" t="str">
        <f>IF(TwitterClean[[#This Row],[external_url]]="null","Yes","No")</f>
        <v>No</v>
      </c>
      <c r="AK946">
        <f>LEN(TwitterClean[[#This Row],[description]])</f>
        <v>161</v>
      </c>
      <c r="AL946" t="str">
        <f>IF(TwitterClean[[#This Row],[followers]]&lt;100000,"&lt;100K",IF(TwitterClean[[#This Row],[followers]]&lt;1000000,"100K-1M",IF(TwitterClean[[#This Row],[followers]]&lt;10000000,"1M-10M","10M+")))</f>
        <v>1M-10M</v>
      </c>
    </row>
    <row r="947" spans="1:38">
      <c r="A947">
        <v>1.86825604684782E+18</v>
      </c>
      <c r="B947" t="s">
        <v>183</v>
      </c>
      <c r="C947" t="s">
        <v>184</v>
      </c>
      <c r="D947" t="s">
        <v>198</v>
      </c>
      <c r="E947" t="s">
        <v>199</v>
      </c>
      <c r="F947" t="s">
        <v>29</v>
      </c>
      <c r="G947" t="s">
        <v>200</v>
      </c>
      <c r="H947" t="s">
        <v>29</v>
      </c>
      <c r="I947">
        <v>6</v>
      </c>
      <c r="J947">
        <v>13</v>
      </c>
      <c r="K947">
        <v>32</v>
      </c>
      <c r="L947">
        <v>51286</v>
      </c>
      <c r="M947" t="s">
        <v>201</v>
      </c>
      <c r="N947" t="s">
        <v>29</v>
      </c>
      <c r="O947">
        <v>27122998</v>
      </c>
      <c r="P947" t="s">
        <v>190</v>
      </c>
      <c r="Q947">
        <v>402760</v>
      </c>
      <c r="R947" t="s">
        <v>191</v>
      </c>
      <c r="S947">
        <v>155</v>
      </c>
      <c r="T947" t="b">
        <v>0</v>
      </c>
      <c r="U947">
        <v>1</v>
      </c>
      <c r="V947">
        <v>3</v>
      </c>
      <c r="W947" t="s">
        <v>35</v>
      </c>
      <c r="X947" t="s">
        <v>202</v>
      </c>
      <c r="Y947" t="s">
        <v>29</v>
      </c>
      <c r="Z947" t="s">
        <v>37</v>
      </c>
      <c r="AA947">
        <f>TwitterClean[[#This Row],[likes]]+TwitterClean[[#This Row],[replies]]+TwitterClean[[#This Row],[reposts]]+TwitterClean[[#This Row],[quotes]]+TwitterClean[[#This Row],[bookmarks]]</f>
        <v>55</v>
      </c>
      <c r="AB947" s="1">
        <f>TwitterClean[[#This Row],[Total_Engagements]]/TwitterClean[[#This Row],[views]]</f>
        <v>1.0724174238583629E-3</v>
      </c>
      <c r="AC947" s="3">
        <f>DATEVALUE(MID(TwitterClean[[#This Row],[date_posted]],2,10))</f>
        <v>45641</v>
      </c>
      <c r="AD947">
        <f>TIMEVALUE(MID(TwitterClean[[#This Row],[date_posted]],13,8))</f>
        <v>0.47599537037037037</v>
      </c>
      <c r="AE947" s="3" t="str">
        <f>TEXT(TwitterClean[[#This Row],[Post_Date]],"dddd")</f>
        <v>Sunday</v>
      </c>
      <c r="AF947">
        <f>HOUR(TwitterClean[[#This Row],[Post_Time]])</f>
        <v>11</v>
      </c>
      <c r="AG947" t="str">
        <f>IF(TwitterClean[[#This Row],[videos]]="Null","No","Yes")</f>
        <v>No</v>
      </c>
      <c r="AH947" t="str">
        <f>IF(TwitterClean[[#This Row],[photos]]="null","No","Yes")</f>
        <v>No</v>
      </c>
      <c r="AI947" t="str">
        <f>IF(TwitterClean[[#This Row],[hashtags]]="null","No","Yes")</f>
        <v>No</v>
      </c>
      <c r="AJ947" t="str">
        <f>IF(TwitterClean[[#This Row],[external_url]]="null","Yes","No")</f>
        <v>No</v>
      </c>
      <c r="AK947">
        <f>LEN(TwitterClean[[#This Row],[description]])</f>
        <v>152</v>
      </c>
      <c r="AL947" t="str">
        <f>IF(TwitterClean[[#This Row],[followers]]&lt;100000,"&lt;100K",IF(TwitterClean[[#This Row],[followers]]&lt;1000000,"100K-1M",IF(TwitterClean[[#This Row],[followers]]&lt;10000000,"1M-10M","10M+")))</f>
        <v>10M+</v>
      </c>
    </row>
    <row r="948" spans="1:38">
      <c r="A948">
        <v>1.8683105580819622E+18</v>
      </c>
      <c r="B948" t="s">
        <v>2935</v>
      </c>
      <c r="C948" t="s">
        <v>2936</v>
      </c>
      <c r="D948" t="s">
        <v>3703</v>
      </c>
      <c r="E948" t="s">
        <v>3912</v>
      </c>
      <c r="F948" t="s">
        <v>29</v>
      </c>
      <c r="G948" t="s">
        <v>3913</v>
      </c>
      <c r="H948" t="s">
        <v>29</v>
      </c>
      <c r="I948">
        <v>4</v>
      </c>
      <c r="J948">
        <v>6</v>
      </c>
      <c r="K948">
        <v>17</v>
      </c>
      <c r="L948">
        <v>28156</v>
      </c>
      <c r="M948" t="s">
        <v>3914</v>
      </c>
      <c r="N948" t="s">
        <v>29</v>
      </c>
      <c r="O948">
        <v>9564155</v>
      </c>
      <c r="P948" t="s">
        <v>2941</v>
      </c>
      <c r="Q948">
        <v>1125277</v>
      </c>
      <c r="R948" t="s">
        <v>2942</v>
      </c>
      <c r="S948">
        <v>93</v>
      </c>
      <c r="T948" t="b">
        <v>0</v>
      </c>
      <c r="U948">
        <v>1</v>
      </c>
      <c r="V948">
        <v>2</v>
      </c>
      <c r="W948" t="s">
        <v>35</v>
      </c>
      <c r="X948" t="s">
        <v>3707</v>
      </c>
      <c r="Y948" t="s">
        <v>29</v>
      </c>
      <c r="Z948" t="s">
        <v>37</v>
      </c>
      <c r="AA948">
        <f>TwitterClean[[#This Row],[likes]]+TwitterClean[[#This Row],[replies]]+TwitterClean[[#This Row],[reposts]]+TwitterClean[[#This Row],[quotes]]+TwitterClean[[#This Row],[bookmarks]]</f>
        <v>30</v>
      </c>
      <c r="AB948" s="1">
        <f>TwitterClean[[#This Row],[Total_Engagements]]/TwitterClean[[#This Row],[views]]</f>
        <v>1.0654922574229295E-3</v>
      </c>
      <c r="AC948" s="3">
        <f>DATEVALUE(MID(TwitterClean[[#This Row],[date_posted]],2,10))</f>
        <v>45641</v>
      </c>
      <c r="AD948">
        <f>TIMEVALUE(MID(TwitterClean[[#This Row],[date_posted]],13,8))</f>
        <v>0.62642361111111111</v>
      </c>
      <c r="AE948" s="3" t="str">
        <f>TEXT(TwitterClean[[#This Row],[Post_Date]],"dddd")</f>
        <v>Sunday</v>
      </c>
      <c r="AF948">
        <f>HOUR(TwitterClean[[#This Row],[Post_Time]])</f>
        <v>15</v>
      </c>
      <c r="AG948" t="str">
        <f>IF(TwitterClean[[#This Row],[videos]]="Null","No","Yes")</f>
        <v>No</v>
      </c>
      <c r="AH948" t="str">
        <f>IF(TwitterClean[[#This Row],[photos]]="null","No","Yes")</f>
        <v>No</v>
      </c>
      <c r="AI948" t="str">
        <f>IF(TwitterClean[[#This Row],[hashtags]]="null","No","Yes")</f>
        <v>No</v>
      </c>
      <c r="AJ948" t="str">
        <f>IF(TwitterClean[[#This Row],[external_url]]="null","Yes","No")</f>
        <v>No</v>
      </c>
      <c r="AK948">
        <f>LEN(TwitterClean[[#This Row],[description]])</f>
        <v>246</v>
      </c>
      <c r="AL948" t="str">
        <f>IF(TwitterClean[[#This Row],[followers]]&lt;100000,"&lt;100K",IF(TwitterClean[[#This Row],[followers]]&lt;1000000,"100K-1M",IF(TwitterClean[[#This Row],[followers]]&lt;10000000,"1M-10M","10M+")))</f>
        <v>1M-10M</v>
      </c>
    </row>
    <row r="949" spans="1:38">
      <c r="A949">
        <v>1.8682277620974349E+18</v>
      </c>
      <c r="B949" t="s">
        <v>183</v>
      </c>
      <c r="C949" t="s">
        <v>184</v>
      </c>
      <c r="D949" t="s">
        <v>395</v>
      </c>
      <c r="E949" t="s">
        <v>396</v>
      </c>
      <c r="F949" t="s">
        <v>29</v>
      </c>
      <c r="G949" t="s">
        <v>397</v>
      </c>
      <c r="H949" t="s">
        <v>29</v>
      </c>
      <c r="I949">
        <v>16</v>
      </c>
      <c r="J949">
        <v>6</v>
      </c>
      <c r="K949">
        <v>26</v>
      </c>
      <c r="L949">
        <v>47941</v>
      </c>
      <c r="M949" t="s">
        <v>398</v>
      </c>
      <c r="N949" t="s">
        <v>29</v>
      </c>
      <c r="O949">
        <v>27122999</v>
      </c>
      <c r="P949" t="s">
        <v>190</v>
      </c>
      <c r="Q949">
        <v>402760</v>
      </c>
      <c r="R949" t="s">
        <v>191</v>
      </c>
      <c r="S949">
        <v>155</v>
      </c>
      <c r="T949" t="b">
        <v>0</v>
      </c>
      <c r="U949">
        <v>1</v>
      </c>
      <c r="V949">
        <v>2</v>
      </c>
      <c r="W949" t="s">
        <v>35</v>
      </c>
      <c r="X949" t="s">
        <v>399</v>
      </c>
      <c r="Y949" t="s">
        <v>29</v>
      </c>
      <c r="Z949" t="s">
        <v>37</v>
      </c>
      <c r="AA949">
        <f>TwitterClean[[#This Row],[likes]]+TwitterClean[[#This Row],[replies]]+TwitterClean[[#This Row],[reposts]]+TwitterClean[[#This Row],[quotes]]+TwitterClean[[#This Row],[bookmarks]]</f>
        <v>51</v>
      </c>
      <c r="AB949" s="1">
        <f>TwitterClean[[#This Row],[Total_Engagements]]/TwitterClean[[#This Row],[views]]</f>
        <v>1.0638075968377797E-3</v>
      </c>
      <c r="AC949" s="3">
        <f>DATEVALUE(MID(TwitterClean[[#This Row],[date_posted]],2,10))</f>
        <v>45641</v>
      </c>
      <c r="AD949">
        <f>TIMEVALUE(MID(TwitterClean[[#This Row],[date_posted]],13,8))</f>
        <v>0.39795138888888887</v>
      </c>
      <c r="AE949" s="3" t="str">
        <f>TEXT(TwitterClean[[#This Row],[Post_Date]],"dddd")</f>
        <v>Sunday</v>
      </c>
      <c r="AF949">
        <f>HOUR(TwitterClean[[#This Row],[Post_Time]])</f>
        <v>9</v>
      </c>
      <c r="AG949" t="str">
        <f>IF(TwitterClean[[#This Row],[videos]]="Null","No","Yes")</f>
        <v>No</v>
      </c>
      <c r="AH949" t="str">
        <f>IF(TwitterClean[[#This Row],[photos]]="null","No","Yes")</f>
        <v>No</v>
      </c>
      <c r="AI949" t="str">
        <f>IF(TwitterClean[[#This Row],[hashtags]]="null","No","Yes")</f>
        <v>No</v>
      </c>
      <c r="AJ949" t="str">
        <f>IF(TwitterClean[[#This Row],[external_url]]="null","Yes","No")</f>
        <v>No</v>
      </c>
      <c r="AK949">
        <f>LEN(TwitterClean[[#This Row],[description]])</f>
        <v>208</v>
      </c>
      <c r="AL949" t="str">
        <f>IF(TwitterClean[[#This Row],[followers]]&lt;100000,"&lt;100K",IF(TwitterClean[[#This Row],[followers]]&lt;1000000,"100K-1M",IF(TwitterClean[[#This Row],[followers]]&lt;10000000,"1M-10M","10M+")))</f>
        <v>10M+</v>
      </c>
    </row>
    <row r="950" spans="1:38">
      <c r="A950">
        <v>1.868281193692607E+18</v>
      </c>
      <c r="B950" t="s">
        <v>183</v>
      </c>
      <c r="C950" t="s">
        <v>184</v>
      </c>
      <c r="D950" t="s">
        <v>924</v>
      </c>
      <c r="E950" t="s">
        <v>925</v>
      </c>
      <c r="F950" t="s">
        <v>29</v>
      </c>
      <c r="G950" t="s">
        <v>926</v>
      </c>
      <c r="H950" t="s">
        <v>29</v>
      </c>
      <c r="I950">
        <v>7</v>
      </c>
      <c r="J950">
        <v>12</v>
      </c>
      <c r="K950">
        <v>34</v>
      </c>
      <c r="L950">
        <v>54717</v>
      </c>
      <c r="M950" t="s">
        <v>927</v>
      </c>
      <c r="N950" t="s">
        <v>29</v>
      </c>
      <c r="O950">
        <v>27122998</v>
      </c>
      <c r="P950" t="s">
        <v>190</v>
      </c>
      <c r="Q950">
        <v>402760</v>
      </c>
      <c r="R950" t="s">
        <v>191</v>
      </c>
      <c r="S950">
        <v>155</v>
      </c>
      <c r="T950" t="b">
        <v>0</v>
      </c>
      <c r="U950">
        <v>1</v>
      </c>
      <c r="V950">
        <v>4</v>
      </c>
      <c r="W950" t="s">
        <v>35</v>
      </c>
      <c r="X950" t="s">
        <v>928</v>
      </c>
      <c r="Y950" t="s">
        <v>29</v>
      </c>
      <c r="Z950" t="s">
        <v>37</v>
      </c>
      <c r="AA950">
        <f>TwitterClean[[#This Row],[likes]]+TwitterClean[[#This Row],[replies]]+TwitterClean[[#This Row],[reposts]]+TwitterClean[[#This Row],[quotes]]+TwitterClean[[#This Row],[bookmarks]]</f>
        <v>58</v>
      </c>
      <c r="AB950" s="1">
        <f>TwitterClean[[#This Row],[Total_Engagements]]/TwitterClean[[#This Row],[views]]</f>
        <v>1.0599996344828847E-3</v>
      </c>
      <c r="AC950" s="3">
        <f>DATEVALUE(MID(TwitterClean[[#This Row],[date_posted]],2,10))</f>
        <v>45641</v>
      </c>
      <c r="AD950">
        <f>TIMEVALUE(MID(TwitterClean[[#This Row],[date_posted]],13,8))</f>
        <v>0.54539351851851847</v>
      </c>
      <c r="AE950" s="3" t="str">
        <f>TEXT(TwitterClean[[#This Row],[Post_Date]],"dddd")</f>
        <v>Sunday</v>
      </c>
      <c r="AF950">
        <f>HOUR(TwitterClean[[#This Row],[Post_Time]])</f>
        <v>13</v>
      </c>
      <c r="AG950" t="str">
        <f>IF(TwitterClean[[#This Row],[videos]]="Null","No","Yes")</f>
        <v>No</v>
      </c>
      <c r="AH950" t="str">
        <f>IF(TwitterClean[[#This Row],[photos]]="null","No","Yes")</f>
        <v>No</v>
      </c>
      <c r="AI950" t="str">
        <f>IF(TwitterClean[[#This Row],[hashtags]]="null","No","Yes")</f>
        <v>No</v>
      </c>
      <c r="AJ950" t="str">
        <f>IF(TwitterClean[[#This Row],[external_url]]="null","Yes","No")</f>
        <v>No</v>
      </c>
      <c r="AK950">
        <f>LEN(TwitterClean[[#This Row],[description]])</f>
        <v>94</v>
      </c>
      <c r="AL950" t="str">
        <f>IF(TwitterClean[[#This Row],[followers]]&lt;100000,"&lt;100K",IF(TwitterClean[[#This Row],[followers]]&lt;1000000,"100K-1M",IF(TwitterClean[[#This Row],[followers]]&lt;10000000,"1M-10M","10M+")))</f>
        <v>10M+</v>
      </c>
    </row>
    <row r="951" spans="1:38">
      <c r="A951">
        <v>1.8683817550293036E+18</v>
      </c>
      <c r="B951" t="s">
        <v>3224</v>
      </c>
      <c r="C951" t="s">
        <v>3225</v>
      </c>
      <c r="D951" t="s">
        <v>3226</v>
      </c>
      <c r="E951" t="s">
        <v>3227</v>
      </c>
      <c r="F951" t="s">
        <v>29</v>
      </c>
      <c r="G951" t="s">
        <v>3228</v>
      </c>
      <c r="H951" t="s">
        <v>3229</v>
      </c>
      <c r="I951">
        <v>9</v>
      </c>
      <c r="J951">
        <v>11</v>
      </c>
      <c r="K951">
        <v>69</v>
      </c>
      <c r="L951">
        <v>85891</v>
      </c>
      <c r="M951" t="s">
        <v>52</v>
      </c>
      <c r="N951" t="s">
        <v>29</v>
      </c>
      <c r="O951">
        <v>2999631</v>
      </c>
      <c r="P951" t="s">
        <v>3230</v>
      </c>
      <c r="Q951">
        <v>183050</v>
      </c>
      <c r="R951" t="s">
        <v>3231</v>
      </c>
      <c r="S951">
        <v>920</v>
      </c>
      <c r="T951" t="b">
        <v>0</v>
      </c>
      <c r="U951">
        <v>1</v>
      </c>
      <c r="V951">
        <v>1</v>
      </c>
      <c r="W951" t="s">
        <v>35</v>
      </c>
      <c r="X951" t="s">
        <v>29</v>
      </c>
      <c r="Y951" t="s">
        <v>3232</v>
      </c>
      <c r="Z951" t="s">
        <v>37</v>
      </c>
      <c r="AA951">
        <f>TwitterClean[[#This Row],[likes]]+TwitterClean[[#This Row],[replies]]+TwitterClean[[#This Row],[reposts]]+TwitterClean[[#This Row],[quotes]]+TwitterClean[[#This Row],[bookmarks]]</f>
        <v>91</v>
      </c>
      <c r="AB951" s="1">
        <f>TwitterClean[[#This Row],[Total_Engagements]]/TwitterClean[[#This Row],[views]]</f>
        <v>1.0594823671863176E-3</v>
      </c>
      <c r="AC951" s="3">
        <f>DATEVALUE(MID(TwitterClean[[#This Row],[date_posted]],2,10))</f>
        <v>45641</v>
      </c>
      <c r="AD951">
        <f>TIMEVALUE(MID(TwitterClean[[#This Row],[date_posted]],13,8))</f>
        <v>0.8228819444444444</v>
      </c>
      <c r="AE951" s="3" t="str">
        <f>TEXT(TwitterClean[[#This Row],[Post_Date]],"dddd")</f>
        <v>Sunday</v>
      </c>
      <c r="AF951">
        <f>HOUR(TwitterClean[[#This Row],[Post_Time]])</f>
        <v>19</v>
      </c>
      <c r="AG951" t="str">
        <f>IF(TwitterClean[[#This Row],[videos]]="Null","No","Yes")</f>
        <v>Yes</v>
      </c>
      <c r="AH951" t="str">
        <f>IF(TwitterClean[[#This Row],[photos]]="null","No","Yes")</f>
        <v>No</v>
      </c>
      <c r="AI951" t="str">
        <f>IF(TwitterClean[[#This Row],[hashtags]]="null","No","Yes")</f>
        <v>No</v>
      </c>
      <c r="AJ951" t="str">
        <f>IF(TwitterClean[[#This Row],[external_url]]="null","Yes","No")</f>
        <v>No</v>
      </c>
      <c r="AK951">
        <f>LEN(TwitterClean[[#This Row],[description]])</f>
        <v>145</v>
      </c>
      <c r="AL951" t="str">
        <f>IF(TwitterClean[[#This Row],[followers]]&lt;100000,"&lt;100K",IF(TwitterClean[[#This Row],[followers]]&lt;1000000,"100K-1M",IF(TwitterClean[[#This Row],[followers]]&lt;10000000,"1M-10M","10M+")))</f>
        <v>1M-10M</v>
      </c>
    </row>
    <row r="952" spans="1:38">
      <c r="A952">
        <v>1.8682689228074642E+18</v>
      </c>
      <c r="B952" t="s">
        <v>183</v>
      </c>
      <c r="C952" t="s">
        <v>184</v>
      </c>
      <c r="D952" t="s">
        <v>806</v>
      </c>
      <c r="E952" t="s">
        <v>807</v>
      </c>
      <c r="F952" t="s">
        <v>29</v>
      </c>
      <c r="G952" t="s">
        <v>808</v>
      </c>
      <c r="H952" t="s">
        <v>29</v>
      </c>
      <c r="I952">
        <v>14</v>
      </c>
      <c r="J952">
        <v>9</v>
      </c>
      <c r="K952">
        <v>28</v>
      </c>
      <c r="L952">
        <v>53683</v>
      </c>
      <c r="M952" t="s">
        <v>809</v>
      </c>
      <c r="N952" t="s">
        <v>29</v>
      </c>
      <c r="O952">
        <v>27122998</v>
      </c>
      <c r="P952" t="s">
        <v>190</v>
      </c>
      <c r="Q952">
        <v>402760</v>
      </c>
      <c r="R952" t="s">
        <v>191</v>
      </c>
      <c r="S952">
        <v>155</v>
      </c>
      <c r="T952" t="b">
        <v>0</v>
      </c>
      <c r="U952">
        <v>1</v>
      </c>
      <c r="V952">
        <v>4</v>
      </c>
      <c r="W952" t="s">
        <v>35</v>
      </c>
      <c r="X952" t="s">
        <v>810</v>
      </c>
      <c r="Y952" t="s">
        <v>29</v>
      </c>
      <c r="Z952" t="s">
        <v>37</v>
      </c>
      <c r="AA952">
        <f>TwitterClean[[#This Row],[likes]]+TwitterClean[[#This Row],[replies]]+TwitterClean[[#This Row],[reposts]]+TwitterClean[[#This Row],[quotes]]+TwitterClean[[#This Row],[bookmarks]]</f>
        <v>56</v>
      </c>
      <c r="AB952" s="1">
        <f>TwitterClean[[#This Row],[Total_Engagements]]/TwitterClean[[#This Row],[views]]</f>
        <v>1.0431607771547789E-3</v>
      </c>
      <c r="AC952" s="3">
        <f>DATEVALUE(MID(TwitterClean[[#This Row],[date_posted]],2,10))</f>
        <v>45641</v>
      </c>
      <c r="AD952">
        <f>TIMEVALUE(MID(TwitterClean[[#This Row],[date_posted]],13,8))</f>
        <v>0.5115277777777778</v>
      </c>
      <c r="AE952" s="3" t="str">
        <f>TEXT(TwitterClean[[#This Row],[Post_Date]],"dddd")</f>
        <v>Sunday</v>
      </c>
      <c r="AF952">
        <f>HOUR(TwitterClean[[#This Row],[Post_Time]])</f>
        <v>12</v>
      </c>
      <c r="AG952" t="str">
        <f>IF(TwitterClean[[#This Row],[videos]]="Null","No","Yes")</f>
        <v>No</v>
      </c>
      <c r="AH952" t="str">
        <f>IF(TwitterClean[[#This Row],[photos]]="null","No","Yes")</f>
        <v>No</v>
      </c>
      <c r="AI952" t="str">
        <f>IF(TwitterClean[[#This Row],[hashtags]]="null","No","Yes")</f>
        <v>No</v>
      </c>
      <c r="AJ952" t="str">
        <f>IF(TwitterClean[[#This Row],[external_url]]="null","Yes","No")</f>
        <v>No</v>
      </c>
      <c r="AK952">
        <f>LEN(TwitterClean[[#This Row],[description]])</f>
        <v>149</v>
      </c>
      <c r="AL952" t="str">
        <f>IF(TwitterClean[[#This Row],[followers]]&lt;100000,"&lt;100K",IF(TwitterClean[[#This Row],[followers]]&lt;1000000,"100K-1M",IF(TwitterClean[[#This Row],[followers]]&lt;10000000,"1M-10M","10M+")))</f>
        <v>10M+</v>
      </c>
    </row>
    <row r="953" spans="1:38">
      <c r="A953">
        <v>1.8684469884227994E+18</v>
      </c>
      <c r="B953" t="s">
        <v>2935</v>
      </c>
      <c r="C953" t="s">
        <v>2936</v>
      </c>
      <c r="D953" t="s">
        <v>3580</v>
      </c>
      <c r="E953" t="s">
        <v>3581</v>
      </c>
      <c r="F953" t="s">
        <v>29</v>
      </c>
      <c r="G953" t="s">
        <v>3582</v>
      </c>
      <c r="H953" t="s">
        <v>3583</v>
      </c>
      <c r="I953">
        <v>7</v>
      </c>
      <c r="J953">
        <v>3</v>
      </c>
      <c r="K953">
        <v>17</v>
      </c>
      <c r="L953">
        <v>27025</v>
      </c>
      <c r="M953" t="s">
        <v>3584</v>
      </c>
      <c r="N953" t="s">
        <v>29</v>
      </c>
      <c r="O953">
        <v>9564232</v>
      </c>
      <c r="P953" t="s">
        <v>2941</v>
      </c>
      <c r="Q953">
        <v>1125277</v>
      </c>
      <c r="R953" t="s">
        <v>2942</v>
      </c>
      <c r="S953">
        <v>93</v>
      </c>
      <c r="T953" t="b">
        <v>0</v>
      </c>
      <c r="U953">
        <v>0</v>
      </c>
      <c r="V953">
        <v>1</v>
      </c>
      <c r="W953" t="s">
        <v>35</v>
      </c>
      <c r="X953" t="s">
        <v>3585</v>
      </c>
      <c r="Y953" t="s">
        <v>29</v>
      </c>
      <c r="Z953" t="s">
        <v>37</v>
      </c>
      <c r="AA953">
        <f>TwitterClean[[#This Row],[likes]]+TwitterClean[[#This Row],[replies]]+TwitterClean[[#This Row],[reposts]]+TwitterClean[[#This Row],[quotes]]+TwitterClean[[#This Row],[bookmarks]]</f>
        <v>28</v>
      </c>
      <c r="AB953" s="1">
        <f>TwitterClean[[#This Row],[Total_Engagements]]/TwitterClean[[#This Row],[views]]</f>
        <v>1.0360777058279372E-3</v>
      </c>
      <c r="AC953" s="3">
        <f>DATEVALUE(MID(TwitterClean[[#This Row],[date_posted]],2,10))</f>
        <v>45642</v>
      </c>
      <c r="AD953">
        <f>TIMEVALUE(MID(TwitterClean[[#This Row],[date_posted]],13,8))</f>
        <v>2.8935185185185184E-3</v>
      </c>
      <c r="AE953" s="3" t="str">
        <f>TEXT(TwitterClean[[#This Row],[Post_Date]],"dddd")</f>
        <v>Monday</v>
      </c>
      <c r="AF953">
        <f>HOUR(TwitterClean[[#This Row],[Post_Time]])</f>
        <v>0</v>
      </c>
      <c r="AG953" t="str">
        <f>IF(TwitterClean[[#This Row],[videos]]="Null","No","Yes")</f>
        <v>No</v>
      </c>
      <c r="AH953" t="str">
        <f>IF(TwitterClean[[#This Row],[photos]]="null","No","Yes")</f>
        <v>No</v>
      </c>
      <c r="AI953" t="str">
        <f>IF(TwitterClean[[#This Row],[hashtags]]="null","No","Yes")</f>
        <v>No</v>
      </c>
      <c r="AJ953" t="str">
        <f>IF(TwitterClean[[#This Row],[external_url]]="null","Yes","No")</f>
        <v>No</v>
      </c>
      <c r="AK953">
        <f>LEN(TwitterClean[[#This Row],[description]])</f>
        <v>177</v>
      </c>
      <c r="AL953" t="str">
        <f>IF(TwitterClean[[#This Row],[followers]]&lt;100000,"&lt;100K",IF(TwitterClean[[#This Row],[followers]]&lt;1000000,"100K-1M",IF(TwitterClean[[#This Row],[followers]]&lt;10000000,"1M-10M","10M+")))</f>
        <v>1M-10M</v>
      </c>
    </row>
    <row r="954" spans="1:38">
      <c r="A954">
        <v>1.8682544295661202E+18</v>
      </c>
      <c r="B954" t="s">
        <v>2935</v>
      </c>
      <c r="C954" t="s">
        <v>2936</v>
      </c>
      <c r="D954" t="s">
        <v>3815</v>
      </c>
      <c r="E954" t="s">
        <v>3816</v>
      </c>
      <c r="F954" t="s">
        <v>29</v>
      </c>
      <c r="G954" t="s">
        <v>3817</v>
      </c>
      <c r="H954" t="s">
        <v>29</v>
      </c>
      <c r="I954">
        <v>6</v>
      </c>
      <c r="J954">
        <v>2</v>
      </c>
      <c r="K954">
        <v>18</v>
      </c>
      <c r="L954">
        <v>30919</v>
      </c>
      <c r="M954" t="s">
        <v>3818</v>
      </c>
      <c r="N954" t="s">
        <v>29</v>
      </c>
      <c r="O954">
        <v>9564155</v>
      </c>
      <c r="P954" t="s">
        <v>2941</v>
      </c>
      <c r="Q954">
        <v>1125277</v>
      </c>
      <c r="R954" t="s">
        <v>2942</v>
      </c>
      <c r="S954">
        <v>93</v>
      </c>
      <c r="T954" t="b">
        <v>0</v>
      </c>
      <c r="U954">
        <v>1</v>
      </c>
      <c r="V954">
        <v>5</v>
      </c>
      <c r="W954" t="s">
        <v>35</v>
      </c>
      <c r="X954" t="s">
        <v>3609</v>
      </c>
      <c r="Y954" t="s">
        <v>29</v>
      </c>
      <c r="Z954" t="s">
        <v>37</v>
      </c>
      <c r="AA954">
        <f>TwitterClean[[#This Row],[likes]]+TwitterClean[[#This Row],[replies]]+TwitterClean[[#This Row],[reposts]]+TwitterClean[[#This Row],[quotes]]+TwitterClean[[#This Row],[bookmarks]]</f>
        <v>32</v>
      </c>
      <c r="AB954" s="1">
        <f>TwitterClean[[#This Row],[Total_Engagements]]/TwitterClean[[#This Row],[views]]</f>
        <v>1.0349623209030046E-3</v>
      </c>
      <c r="AC954" s="3">
        <f>DATEVALUE(MID(TwitterClean[[#This Row],[date_posted]],2,10))</f>
        <v>45641</v>
      </c>
      <c r="AD954">
        <f>TIMEVALUE(MID(TwitterClean[[#This Row],[date_posted]],13,8))</f>
        <v>0.47153935185185186</v>
      </c>
      <c r="AE954" s="3" t="str">
        <f>TEXT(TwitterClean[[#This Row],[Post_Date]],"dddd")</f>
        <v>Sunday</v>
      </c>
      <c r="AF954">
        <f>HOUR(TwitterClean[[#This Row],[Post_Time]])</f>
        <v>11</v>
      </c>
      <c r="AG954" t="str">
        <f>IF(TwitterClean[[#This Row],[videos]]="Null","No","Yes")</f>
        <v>No</v>
      </c>
      <c r="AH954" t="str">
        <f>IF(TwitterClean[[#This Row],[photos]]="null","No","Yes")</f>
        <v>No</v>
      </c>
      <c r="AI954" t="str">
        <f>IF(TwitterClean[[#This Row],[hashtags]]="null","No","Yes")</f>
        <v>No</v>
      </c>
      <c r="AJ954" t="str">
        <f>IF(TwitterClean[[#This Row],[external_url]]="null","Yes","No")</f>
        <v>No</v>
      </c>
      <c r="AK954">
        <f>LEN(TwitterClean[[#This Row],[description]])</f>
        <v>199</v>
      </c>
      <c r="AL954" t="str">
        <f>IF(TwitterClean[[#This Row],[followers]]&lt;100000,"&lt;100K",IF(TwitterClean[[#This Row],[followers]]&lt;1000000,"100K-1M",IF(TwitterClean[[#This Row],[followers]]&lt;10000000,"1M-10M","10M+")))</f>
        <v>1M-10M</v>
      </c>
    </row>
    <row r="955" spans="1:38">
      <c r="A955">
        <v>1.8681390225701563E+18</v>
      </c>
      <c r="B955" t="s">
        <v>183</v>
      </c>
      <c r="C955" t="s">
        <v>184</v>
      </c>
      <c r="D955" t="s">
        <v>678</v>
      </c>
      <c r="E955" t="s">
        <v>679</v>
      </c>
      <c r="F955" t="s">
        <v>29</v>
      </c>
      <c r="G955" t="s">
        <v>680</v>
      </c>
      <c r="H955" t="s">
        <v>29</v>
      </c>
      <c r="I955">
        <v>6</v>
      </c>
      <c r="J955">
        <v>7</v>
      </c>
      <c r="K955">
        <v>29</v>
      </c>
      <c r="L955">
        <v>59964</v>
      </c>
      <c r="M955" t="s">
        <v>681</v>
      </c>
      <c r="N955" t="s">
        <v>29</v>
      </c>
      <c r="O955">
        <v>27123001</v>
      </c>
      <c r="P955" t="s">
        <v>190</v>
      </c>
      <c r="Q955">
        <v>402760</v>
      </c>
      <c r="R955" t="s">
        <v>191</v>
      </c>
      <c r="S955">
        <v>155</v>
      </c>
      <c r="T955" t="b">
        <v>0</v>
      </c>
      <c r="U955">
        <v>2</v>
      </c>
      <c r="V955">
        <v>18</v>
      </c>
      <c r="W955" t="s">
        <v>35</v>
      </c>
      <c r="X955" t="s">
        <v>682</v>
      </c>
      <c r="Y955" t="s">
        <v>29</v>
      </c>
      <c r="Z955" t="s">
        <v>37</v>
      </c>
      <c r="AA955">
        <f>TwitterClean[[#This Row],[likes]]+TwitterClean[[#This Row],[replies]]+TwitterClean[[#This Row],[reposts]]+TwitterClean[[#This Row],[quotes]]+TwitterClean[[#This Row],[bookmarks]]</f>
        <v>62</v>
      </c>
      <c r="AB955" s="1">
        <f>TwitterClean[[#This Row],[Total_Engagements]]/TwitterClean[[#This Row],[views]]</f>
        <v>1.0339537055566673E-3</v>
      </c>
      <c r="AC955" s="3">
        <f>DATEVALUE(MID(TwitterClean[[#This Row],[date_posted]],2,10))</f>
        <v>45641</v>
      </c>
      <c r="AD955">
        <f>TIMEVALUE(MID(TwitterClean[[#This Row],[date_posted]],13,8))</f>
        <v>0.15306712962962962</v>
      </c>
      <c r="AE955" s="3" t="str">
        <f>TEXT(TwitterClean[[#This Row],[Post_Date]],"dddd")</f>
        <v>Sunday</v>
      </c>
      <c r="AF955">
        <f>HOUR(TwitterClean[[#This Row],[Post_Time]])</f>
        <v>3</v>
      </c>
      <c r="AG955" t="str">
        <f>IF(TwitterClean[[#This Row],[videos]]="Null","No","Yes")</f>
        <v>No</v>
      </c>
      <c r="AH955" t="str">
        <f>IF(TwitterClean[[#This Row],[photos]]="null","No","Yes")</f>
        <v>No</v>
      </c>
      <c r="AI955" t="str">
        <f>IF(TwitterClean[[#This Row],[hashtags]]="null","No","Yes")</f>
        <v>No</v>
      </c>
      <c r="AJ955" t="str">
        <f>IF(TwitterClean[[#This Row],[external_url]]="null","Yes","No")</f>
        <v>No</v>
      </c>
      <c r="AK955">
        <f>LEN(TwitterClean[[#This Row],[description]])</f>
        <v>42</v>
      </c>
      <c r="AL955" t="str">
        <f>IF(TwitterClean[[#This Row],[followers]]&lt;100000,"&lt;100K",IF(TwitterClean[[#This Row],[followers]]&lt;1000000,"100K-1M",IF(TwitterClean[[#This Row],[followers]]&lt;10000000,"1M-10M","10M+")))</f>
        <v>10M+</v>
      </c>
    </row>
    <row r="956" spans="1:38">
      <c r="A956">
        <v>1.865999768633111E+18</v>
      </c>
      <c r="B956" t="s">
        <v>1008</v>
      </c>
      <c r="C956" t="s">
        <v>1009</v>
      </c>
      <c r="D956" t="s">
        <v>1010</v>
      </c>
      <c r="E956" t="s">
        <v>1011</v>
      </c>
      <c r="F956" t="s">
        <v>29</v>
      </c>
      <c r="G956" t="s">
        <v>1012</v>
      </c>
      <c r="H956" t="s">
        <v>29</v>
      </c>
      <c r="I956">
        <v>4</v>
      </c>
      <c r="J956">
        <v>14</v>
      </c>
      <c r="K956">
        <v>69</v>
      </c>
      <c r="L956">
        <v>93098</v>
      </c>
      <c r="M956" t="s">
        <v>1013</v>
      </c>
      <c r="N956" t="s">
        <v>1014</v>
      </c>
      <c r="O956">
        <v>290284</v>
      </c>
      <c r="P956" t="s">
        <v>1015</v>
      </c>
      <c r="Q956">
        <v>28025</v>
      </c>
      <c r="R956" t="s">
        <v>1016</v>
      </c>
      <c r="S956">
        <v>102</v>
      </c>
      <c r="T956" t="b">
        <v>0</v>
      </c>
      <c r="U956">
        <v>5</v>
      </c>
      <c r="V956">
        <v>4</v>
      </c>
      <c r="W956" t="s">
        <v>35</v>
      </c>
      <c r="X956" t="s">
        <v>29</v>
      </c>
      <c r="Y956" t="s">
        <v>29</v>
      </c>
      <c r="Z956" t="s">
        <v>37</v>
      </c>
      <c r="AA956">
        <f>TwitterClean[[#This Row],[likes]]+TwitterClean[[#This Row],[replies]]+TwitterClean[[#This Row],[reposts]]+TwitterClean[[#This Row],[quotes]]+TwitterClean[[#This Row],[bookmarks]]</f>
        <v>96</v>
      </c>
      <c r="AB956" s="1">
        <f>TwitterClean[[#This Row],[Total_Engagements]]/TwitterClean[[#This Row],[views]]</f>
        <v>1.0311714537369224E-3</v>
      </c>
      <c r="AC956" s="3">
        <f>DATEVALUE(MID(TwitterClean[[#This Row],[date_posted]],2,10))</f>
        <v>45635</v>
      </c>
      <c r="AD956">
        <f>TIMEVALUE(MID(TwitterClean[[#This Row],[date_posted]],13,8))</f>
        <v>0.24986111111111112</v>
      </c>
      <c r="AE956" s="3" t="str">
        <f>TEXT(TwitterClean[[#This Row],[Post_Date]],"dddd")</f>
        <v>Monday</v>
      </c>
      <c r="AF956">
        <f>HOUR(TwitterClean[[#This Row],[Post_Time]])</f>
        <v>5</v>
      </c>
      <c r="AG956" t="str">
        <f>IF(TwitterClean[[#This Row],[videos]]="Null","No","Yes")</f>
        <v>No</v>
      </c>
      <c r="AH956" t="str">
        <f>IF(TwitterClean[[#This Row],[photos]]="null","No","Yes")</f>
        <v>No</v>
      </c>
      <c r="AI956" t="str">
        <f>IF(TwitterClean[[#This Row],[hashtags]]="null","No","Yes")</f>
        <v>Yes</v>
      </c>
      <c r="AJ956" t="str">
        <f>IF(TwitterClean[[#This Row],[external_url]]="null","Yes","No")</f>
        <v>No</v>
      </c>
      <c r="AK956">
        <f>LEN(TwitterClean[[#This Row],[description]])</f>
        <v>148</v>
      </c>
      <c r="AL956" t="str">
        <f>IF(TwitterClean[[#This Row],[followers]]&lt;100000,"&lt;100K",IF(TwitterClean[[#This Row],[followers]]&lt;1000000,"100K-1M",IF(TwitterClean[[#This Row],[followers]]&lt;10000000,"1M-10M","10M+")))</f>
        <v>100K-1M</v>
      </c>
    </row>
    <row r="957" spans="1:38">
      <c r="A957">
        <v>1.8683223885316874E+18</v>
      </c>
      <c r="B957" t="s">
        <v>183</v>
      </c>
      <c r="C957" t="s">
        <v>184</v>
      </c>
      <c r="D957" t="s">
        <v>522</v>
      </c>
      <c r="E957" t="s">
        <v>523</v>
      </c>
      <c r="F957" t="s">
        <v>29</v>
      </c>
      <c r="G957" t="s">
        <v>524</v>
      </c>
      <c r="H957" t="s">
        <v>29</v>
      </c>
      <c r="I957">
        <v>6</v>
      </c>
      <c r="J957">
        <v>6</v>
      </c>
      <c r="K957">
        <v>32</v>
      </c>
      <c r="L957">
        <v>46570</v>
      </c>
      <c r="M957" t="s">
        <v>525</v>
      </c>
      <c r="N957" t="s">
        <v>29</v>
      </c>
      <c r="O957">
        <v>27122998</v>
      </c>
      <c r="P957" t="s">
        <v>190</v>
      </c>
      <c r="Q957">
        <v>402760</v>
      </c>
      <c r="R957" t="s">
        <v>191</v>
      </c>
      <c r="S957">
        <v>155</v>
      </c>
      <c r="T957" t="b">
        <v>0</v>
      </c>
      <c r="U957">
        <v>1</v>
      </c>
      <c r="V957">
        <v>3</v>
      </c>
      <c r="W957" t="s">
        <v>35</v>
      </c>
      <c r="X957" t="s">
        <v>526</v>
      </c>
      <c r="Y957" t="s">
        <v>29</v>
      </c>
      <c r="Z957" t="s">
        <v>37</v>
      </c>
      <c r="AA957">
        <f>TwitterClean[[#This Row],[likes]]+TwitterClean[[#This Row],[replies]]+TwitterClean[[#This Row],[reposts]]+TwitterClean[[#This Row],[quotes]]+TwitterClean[[#This Row],[bookmarks]]</f>
        <v>48</v>
      </c>
      <c r="AB957" s="1">
        <f>TwitterClean[[#This Row],[Total_Engagements]]/TwitterClean[[#This Row],[views]]</f>
        <v>1.0307064633884476E-3</v>
      </c>
      <c r="AC957" s="3">
        <f>DATEVALUE(MID(TwitterClean[[#This Row],[date_posted]],2,10))</f>
        <v>45641</v>
      </c>
      <c r="AD957">
        <f>TIMEVALUE(MID(TwitterClean[[#This Row],[date_posted]],13,8))</f>
        <v>0.6590625</v>
      </c>
      <c r="AE957" s="3" t="str">
        <f>TEXT(TwitterClean[[#This Row],[Post_Date]],"dddd")</f>
        <v>Sunday</v>
      </c>
      <c r="AF957">
        <f>HOUR(TwitterClean[[#This Row],[Post_Time]])</f>
        <v>15</v>
      </c>
      <c r="AG957" t="str">
        <f>IF(TwitterClean[[#This Row],[videos]]="Null","No","Yes")</f>
        <v>No</v>
      </c>
      <c r="AH957" t="str">
        <f>IF(TwitterClean[[#This Row],[photos]]="null","No","Yes")</f>
        <v>No</v>
      </c>
      <c r="AI957" t="str">
        <f>IF(TwitterClean[[#This Row],[hashtags]]="null","No","Yes")</f>
        <v>No</v>
      </c>
      <c r="AJ957" t="str">
        <f>IF(TwitterClean[[#This Row],[external_url]]="null","Yes","No")</f>
        <v>No</v>
      </c>
      <c r="AK957">
        <f>LEN(TwitterClean[[#This Row],[description]])</f>
        <v>118</v>
      </c>
      <c r="AL957" t="str">
        <f>IF(TwitterClean[[#This Row],[followers]]&lt;100000,"&lt;100K",IF(TwitterClean[[#This Row],[followers]]&lt;1000000,"100K-1M",IF(TwitterClean[[#This Row],[followers]]&lt;10000000,"1M-10M","10M+")))</f>
        <v>10M+</v>
      </c>
    </row>
    <row r="958" spans="1:38">
      <c r="A958">
        <v>1.8684768047568817E+18</v>
      </c>
      <c r="B958" t="s">
        <v>2935</v>
      </c>
      <c r="C958" t="s">
        <v>2936</v>
      </c>
      <c r="D958" t="s">
        <v>3883</v>
      </c>
      <c r="E958" t="s">
        <v>3884</v>
      </c>
      <c r="F958" t="s">
        <v>29</v>
      </c>
      <c r="G958" t="s">
        <v>3885</v>
      </c>
      <c r="H958" t="s">
        <v>29</v>
      </c>
      <c r="I958">
        <v>4</v>
      </c>
      <c r="J958">
        <v>9</v>
      </c>
      <c r="K958">
        <v>20</v>
      </c>
      <c r="L958">
        <v>36034</v>
      </c>
      <c r="M958" t="s">
        <v>3886</v>
      </c>
      <c r="N958" t="s">
        <v>29</v>
      </c>
      <c r="O958">
        <v>9564154</v>
      </c>
      <c r="P958" t="s">
        <v>2941</v>
      </c>
      <c r="Q958">
        <v>1125277</v>
      </c>
      <c r="R958" t="s">
        <v>2942</v>
      </c>
      <c r="S958">
        <v>93</v>
      </c>
      <c r="T958" t="b">
        <v>0</v>
      </c>
      <c r="U958">
        <v>1</v>
      </c>
      <c r="V958">
        <v>3</v>
      </c>
      <c r="W958" t="s">
        <v>35</v>
      </c>
      <c r="X958" t="s">
        <v>3887</v>
      </c>
      <c r="Y958" t="s">
        <v>29</v>
      </c>
      <c r="Z958" t="s">
        <v>37</v>
      </c>
      <c r="AA958">
        <f>TwitterClean[[#This Row],[likes]]+TwitterClean[[#This Row],[replies]]+TwitterClean[[#This Row],[reposts]]+TwitterClean[[#This Row],[quotes]]+TwitterClean[[#This Row],[bookmarks]]</f>
        <v>37</v>
      </c>
      <c r="AB958" s="1">
        <f>TwitterClean[[#This Row],[Total_Engagements]]/TwitterClean[[#This Row],[views]]</f>
        <v>1.0268080146528279E-3</v>
      </c>
      <c r="AC958" s="3">
        <f>DATEVALUE(MID(TwitterClean[[#This Row],[date_posted]],2,10))</f>
        <v>45642</v>
      </c>
      <c r="AD958">
        <f>TIMEVALUE(MID(TwitterClean[[#This Row],[date_posted]],13,8))</f>
        <v>8.5173611111111117E-2</v>
      </c>
      <c r="AE958" s="3" t="str">
        <f>TEXT(TwitterClean[[#This Row],[Post_Date]],"dddd")</f>
        <v>Monday</v>
      </c>
      <c r="AF958">
        <f>HOUR(TwitterClean[[#This Row],[Post_Time]])</f>
        <v>2</v>
      </c>
      <c r="AG958" t="str">
        <f>IF(TwitterClean[[#This Row],[videos]]="Null","No","Yes")</f>
        <v>No</v>
      </c>
      <c r="AH958" t="str">
        <f>IF(TwitterClean[[#This Row],[photos]]="null","No","Yes")</f>
        <v>No</v>
      </c>
      <c r="AI958" t="str">
        <f>IF(TwitterClean[[#This Row],[hashtags]]="null","No","Yes")</f>
        <v>No</v>
      </c>
      <c r="AJ958" t="str">
        <f>IF(TwitterClean[[#This Row],[external_url]]="null","Yes","No")</f>
        <v>No</v>
      </c>
      <c r="AK958">
        <f>LEN(TwitterClean[[#This Row],[description]])</f>
        <v>177</v>
      </c>
      <c r="AL958" t="str">
        <f>IF(TwitterClean[[#This Row],[followers]]&lt;100000,"&lt;100K",IF(TwitterClean[[#This Row],[followers]]&lt;1000000,"100K-1M",IF(TwitterClean[[#This Row],[followers]]&lt;10000000,"1M-10M","10M+")))</f>
        <v>1M-10M</v>
      </c>
    </row>
    <row r="959" spans="1:38">
      <c r="A959">
        <v>1.8681693989570153E+18</v>
      </c>
      <c r="B959" t="s">
        <v>2935</v>
      </c>
      <c r="C959" t="s">
        <v>2936</v>
      </c>
      <c r="D959" t="s">
        <v>3498</v>
      </c>
      <c r="E959" t="s">
        <v>3499</v>
      </c>
      <c r="F959" t="s">
        <v>29</v>
      </c>
      <c r="G959" t="s">
        <v>3500</v>
      </c>
      <c r="H959" t="s">
        <v>29</v>
      </c>
      <c r="I959">
        <v>6</v>
      </c>
      <c r="J959">
        <v>6</v>
      </c>
      <c r="K959">
        <v>18</v>
      </c>
      <c r="L959">
        <v>32267</v>
      </c>
      <c r="M959" t="s">
        <v>3501</v>
      </c>
      <c r="N959" t="s">
        <v>29</v>
      </c>
      <c r="O959">
        <v>9564155</v>
      </c>
      <c r="P959" t="s">
        <v>2941</v>
      </c>
      <c r="Q959">
        <v>1125277</v>
      </c>
      <c r="R959" t="s">
        <v>2942</v>
      </c>
      <c r="S959">
        <v>93</v>
      </c>
      <c r="T959" t="b">
        <v>0</v>
      </c>
      <c r="U959">
        <v>1</v>
      </c>
      <c r="V959">
        <v>2</v>
      </c>
      <c r="W959" t="s">
        <v>35</v>
      </c>
      <c r="X959" t="s">
        <v>3502</v>
      </c>
      <c r="Y959" t="s">
        <v>29</v>
      </c>
      <c r="Z959" t="s">
        <v>37</v>
      </c>
      <c r="AA959">
        <f>TwitterClean[[#This Row],[likes]]+TwitterClean[[#This Row],[replies]]+TwitterClean[[#This Row],[reposts]]+TwitterClean[[#This Row],[quotes]]+TwitterClean[[#This Row],[bookmarks]]</f>
        <v>33</v>
      </c>
      <c r="AB959" s="1">
        <f>TwitterClean[[#This Row],[Total_Engagements]]/TwitterClean[[#This Row],[views]]</f>
        <v>1.0227167074720303E-3</v>
      </c>
      <c r="AC959" s="3">
        <f>DATEVALUE(MID(TwitterClean[[#This Row],[date_posted]],2,10))</f>
        <v>45641</v>
      </c>
      <c r="AD959">
        <f>TIMEVALUE(MID(TwitterClean[[#This Row],[date_posted]],13,8))</f>
        <v>0.23689814814814814</v>
      </c>
      <c r="AE959" s="3" t="str">
        <f>TEXT(TwitterClean[[#This Row],[Post_Date]],"dddd")</f>
        <v>Sunday</v>
      </c>
      <c r="AF959">
        <f>HOUR(TwitterClean[[#This Row],[Post_Time]])</f>
        <v>5</v>
      </c>
      <c r="AG959" t="str">
        <f>IF(TwitterClean[[#This Row],[videos]]="Null","No","Yes")</f>
        <v>No</v>
      </c>
      <c r="AH959" t="str">
        <f>IF(TwitterClean[[#This Row],[photos]]="null","No","Yes")</f>
        <v>No</v>
      </c>
      <c r="AI959" t="str">
        <f>IF(TwitterClean[[#This Row],[hashtags]]="null","No","Yes")</f>
        <v>No</v>
      </c>
      <c r="AJ959" t="str">
        <f>IF(TwitterClean[[#This Row],[external_url]]="null","Yes","No")</f>
        <v>No</v>
      </c>
      <c r="AK959">
        <f>LEN(TwitterClean[[#This Row],[description]])</f>
        <v>72</v>
      </c>
      <c r="AL959" t="str">
        <f>IF(TwitterClean[[#This Row],[followers]]&lt;100000,"&lt;100K",IF(TwitterClean[[#This Row],[followers]]&lt;1000000,"100K-1M",IF(TwitterClean[[#This Row],[followers]]&lt;10000000,"1M-10M","10M+")))</f>
        <v>1M-10M</v>
      </c>
    </row>
    <row r="960" spans="1:38">
      <c r="A960">
        <v>1.8682826268149924E+18</v>
      </c>
      <c r="B960" t="s">
        <v>2935</v>
      </c>
      <c r="C960" t="s">
        <v>2936</v>
      </c>
      <c r="D960" t="s">
        <v>3690</v>
      </c>
      <c r="E960" t="s">
        <v>3691</v>
      </c>
      <c r="F960" t="s">
        <v>29</v>
      </c>
      <c r="G960" t="s">
        <v>3692</v>
      </c>
      <c r="H960" t="s">
        <v>29</v>
      </c>
      <c r="I960">
        <v>6</v>
      </c>
      <c r="J960">
        <v>4</v>
      </c>
      <c r="K960">
        <v>17</v>
      </c>
      <c r="L960">
        <v>32534</v>
      </c>
      <c r="M960" t="s">
        <v>3693</v>
      </c>
      <c r="N960" t="s">
        <v>29</v>
      </c>
      <c r="O960">
        <v>9564155</v>
      </c>
      <c r="P960" t="s">
        <v>2941</v>
      </c>
      <c r="Q960">
        <v>1125277</v>
      </c>
      <c r="R960" t="s">
        <v>2942</v>
      </c>
      <c r="S960">
        <v>93</v>
      </c>
      <c r="T960" t="b">
        <v>0</v>
      </c>
      <c r="U960">
        <v>1</v>
      </c>
      <c r="V960">
        <v>5</v>
      </c>
      <c r="W960" t="s">
        <v>35</v>
      </c>
      <c r="X960" t="s">
        <v>3694</v>
      </c>
      <c r="Y960" t="s">
        <v>29</v>
      </c>
      <c r="Z960" t="s">
        <v>37</v>
      </c>
      <c r="AA960">
        <f>TwitterClean[[#This Row],[likes]]+TwitterClean[[#This Row],[replies]]+TwitterClean[[#This Row],[reposts]]+TwitterClean[[#This Row],[quotes]]+TwitterClean[[#This Row],[bookmarks]]</f>
        <v>33</v>
      </c>
      <c r="AB960" s="1">
        <f>TwitterClean[[#This Row],[Total_Engagements]]/TwitterClean[[#This Row],[views]]</f>
        <v>1.0143234769779308E-3</v>
      </c>
      <c r="AC960" s="3">
        <f>DATEVALUE(MID(TwitterClean[[#This Row],[date_posted]],2,10))</f>
        <v>45641</v>
      </c>
      <c r="AD960">
        <f>TIMEVALUE(MID(TwitterClean[[#This Row],[date_posted]],13,8))</f>
        <v>0.54934027777777783</v>
      </c>
      <c r="AE960" s="3" t="str">
        <f>TEXT(TwitterClean[[#This Row],[Post_Date]],"dddd")</f>
        <v>Sunday</v>
      </c>
      <c r="AF960">
        <f>HOUR(TwitterClean[[#This Row],[Post_Time]])</f>
        <v>13</v>
      </c>
      <c r="AG960" t="str">
        <f>IF(TwitterClean[[#This Row],[videos]]="Null","No","Yes")</f>
        <v>No</v>
      </c>
      <c r="AH960" t="str">
        <f>IF(TwitterClean[[#This Row],[photos]]="null","No","Yes")</f>
        <v>No</v>
      </c>
      <c r="AI960" t="str">
        <f>IF(TwitterClean[[#This Row],[hashtags]]="null","No","Yes")</f>
        <v>No</v>
      </c>
      <c r="AJ960" t="str">
        <f>IF(TwitterClean[[#This Row],[external_url]]="null","Yes","No")</f>
        <v>No</v>
      </c>
      <c r="AK960">
        <f>LEN(TwitterClean[[#This Row],[description]])</f>
        <v>32</v>
      </c>
      <c r="AL960" t="str">
        <f>IF(TwitterClean[[#This Row],[followers]]&lt;100000,"&lt;100K",IF(TwitterClean[[#This Row],[followers]]&lt;1000000,"100K-1M",IF(TwitterClean[[#This Row],[followers]]&lt;10000000,"1M-10M","10M+")))</f>
        <v>1M-10M</v>
      </c>
    </row>
    <row r="961" spans="1:38">
      <c r="A961">
        <v>1.8682768014510451E+18</v>
      </c>
      <c r="B961" t="s">
        <v>2935</v>
      </c>
      <c r="C961" t="s">
        <v>2936</v>
      </c>
      <c r="D961" t="s">
        <v>3143</v>
      </c>
      <c r="E961" t="s">
        <v>3144</v>
      </c>
      <c r="F961" t="s">
        <v>29</v>
      </c>
      <c r="G961" t="s">
        <v>3145</v>
      </c>
      <c r="H961" t="s">
        <v>3146</v>
      </c>
      <c r="I961">
        <v>4</v>
      </c>
      <c r="J961">
        <v>2</v>
      </c>
      <c r="K961">
        <v>22</v>
      </c>
      <c r="L961">
        <v>30879</v>
      </c>
      <c r="M961" t="s">
        <v>3147</v>
      </c>
      <c r="N961" t="s">
        <v>29</v>
      </c>
      <c r="O961">
        <v>9564155</v>
      </c>
      <c r="P961" t="s">
        <v>2941</v>
      </c>
      <c r="Q961">
        <v>1125277</v>
      </c>
      <c r="R961" t="s">
        <v>2942</v>
      </c>
      <c r="S961">
        <v>93</v>
      </c>
      <c r="T961" t="b">
        <v>0</v>
      </c>
      <c r="U961">
        <v>0</v>
      </c>
      <c r="V961">
        <v>3</v>
      </c>
      <c r="W961" t="s">
        <v>35</v>
      </c>
      <c r="X961" t="s">
        <v>3148</v>
      </c>
      <c r="Y961" t="s">
        <v>29</v>
      </c>
      <c r="Z961" t="s">
        <v>37</v>
      </c>
      <c r="AA961">
        <f>TwitterClean[[#This Row],[likes]]+TwitterClean[[#This Row],[replies]]+TwitterClean[[#This Row],[reposts]]+TwitterClean[[#This Row],[quotes]]+TwitterClean[[#This Row],[bookmarks]]</f>
        <v>31</v>
      </c>
      <c r="AB961" s="1">
        <f>TwitterClean[[#This Row],[Total_Engagements]]/TwitterClean[[#This Row],[views]]</f>
        <v>1.003918520677483E-3</v>
      </c>
      <c r="AC961" s="3">
        <f>DATEVALUE(MID(TwitterClean[[#This Row],[date_posted]],2,10))</f>
        <v>45641</v>
      </c>
      <c r="AD961">
        <f>TIMEVALUE(MID(TwitterClean[[#This Row],[date_posted]],13,8))</f>
        <v>0.53327546296296291</v>
      </c>
      <c r="AE961" s="3" t="str">
        <f>TEXT(TwitterClean[[#This Row],[Post_Date]],"dddd")</f>
        <v>Sunday</v>
      </c>
      <c r="AF961">
        <f>HOUR(TwitterClean[[#This Row],[Post_Time]])</f>
        <v>12</v>
      </c>
      <c r="AG961" t="str">
        <f>IF(TwitterClean[[#This Row],[videos]]="Null","No","Yes")</f>
        <v>No</v>
      </c>
      <c r="AH961" t="str">
        <f>IF(TwitterClean[[#This Row],[photos]]="null","No","Yes")</f>
        <v>No</v>
      </c>
      <c r="AI961" t="str">
        <f>IF(TwitterClean[[#This Row],[hashtags]]="null","No","Yes")</f>
        <v>No</v>
      </c>
      <c r="AJ961" t="str">
        <f>IF(TwitterClean[[#This Row],[external_url]]="null","Yes","No")</f>
        <v>No</v>
      </c>
      <c r="AK961">
        <f>LEN(TwitterClean[[#This Row],[description]])</f>
        <v>196</v>
      </c>
      <c r="AL961" t="str">
        <f>IF(TwitterClean[[#This Row],[followers]]&lt;100000,"&lt;100K",IF(TwitterClean[[#This Row],[followers]]&lt;1000000,"100K-1M",IF(TwitterClean[[#This Row],[followers]]&lt;10000000,"1M-10M","10M+")))</f>
        <v>1M-10M</v>
      </c>
    </row>
    <row r="962" spans="1:38">
      <c r="A962">
        <v>1.8684245834112699E+18</v>
      </c>
      <c r="B962" t="s">
        <v>3224</v>
      </c>
      <c r="C962" t="s">
        <v>3225</v>
      </c>
      <c r="D962" t="s">
        <v>3423</v>
      </c>
      <c r="E962" t="s">
        <v>3424</v>
      </c>
      <c r="F962" t="s">
        <v>29</v>
      </c>
      <c r="G962" t="s">
        <v>3425</v>
      </c>
      <c r="H962" t="s">
        <v>3426</v>
      </c>
      <c r="I962">
        <v>14</v>
      </c>
      <c r="J962">
        <v>10</v>
      </c>
      <c r="K962">
        <v>208</v>
      </c>
      <c r="L962">
        <v>241905</v>
      </c>
      <c r="M962" t="s">
        <v>52</v>
      </c>
      <c r="N962" t="s">
        <v>29</v>
      </c>
      <c r="O962">
        <v>2999631</v>
      </c>
      <c r="P962" t="s">
        <v>3230</v>
      </c>
      <c r="Q962">
        <v>183050</v>
      </c>
      <c r="R962" t="s">
        <v>3231</v>
      </c>
      <c r="S962">
        <v>920</v>
      </c>
      <c r="T962" t="b">
        <v>0</v>
      </c>
      <c r="U962">
        <v>2</v>
      </c>
      <c r="V962">
        <v>8</v>
      </c>
      <c r="W962" t="s">
        <v>35</v>
      </c>
      <c r="X962" t="s">
        <v>29</v>
      </c>
      <c r="Y962" t="s">
        <v>3427</v>
      </c>
      <c r="Z962" t="s">
        <v>37</v>
      </c>
      <c r="AA962">
        <f>TwitterClean[[#This Row],[likes]]+TwitterClean[[#This Row],[replies]]+TwitterClean[[#This Row],[reposts]]+TwitterClean[[#This Row],[quotes]]+TwitterClean[[#This Row],[bookmarks]]</f>
        <v>242</v>
      </c>
      <c r="AB962" s="1">
        <f>TwitterClean[[#This Row],[Total_Engagements]]/TwitterClean[[#This Row],[views]]</f>
        <v>1.0003927161489014E-3</v>
      </c>
      <c r="AC962" s="3">
        <f>DATEVALUE(MID(TwitterClean[[#This Row],[date_posted]],2,10))</f>
        <v>45641</v>
      </c>
      <c r="AD962">
        <f>TIMEVALUE(MID(TwitterClean[[#This Row],[date_posted]],13,8))</f>
        <v>0.94106481481481485</v>
      </c>
      <c r="AE962" s="3" t="str">
        <f>TEXT(TwitterClean[[#This Row],[Post_Date]],"dddd")</f>
        <v>Sunday</v>
      </c>
      <c r="AF962">
        <f>HOUR(TwitterClean[[#This Row],[Post_Time]])</f>
        <v>22</v>
      </c>
      <c r="AG962" t="str">
        <f>IF(TwitterClean[[#This Row],[videos]]="Null","No","Yes")</f>
        <v>Yes</v>
      </c>
      <c r="AH962" t="str">
        <f>IF(TwitterClean[[#This Row],[photos]]="null","No","Yes")</f>
        <v>No</v>
      </c>
      <c r="AI962" t="str">
        <f>IF(TwitterClean[[#This Row],[hashtags]]="null","No","Yes")</f>
        <v>No</v>
      </c>
      <c r="AJ962" t="str">
        <f>IF(TwitterClean[[#This Row],[external_url]]="null","Yes","No")</f>
        <v>No</v>
      </c>
      <c r="AK962">
        <f>LEN(TwitterClean[[#This Row],[description]])</f>
        <v>263</v>
      </c>
      <c r="AL962" t="str">
        <f>IF(TwitterClean[[#This Row],[followers]]&lt;100000,"&lt;100K",IF(TwitterClean[[#This Row],[followers]]&lt;1000000,"100K-1M",IF(TwitterClean[[#This Row],[followers]]&lt;10000000,"1M-10M","10M+")))</f>
        <v>1M-10M</v>
      </c>
    </row>
    <row r="963" spans="1:38">
      <c r="A963">
        <v>1.8684311424345705E+18</v>
      </c>
      <c r="B963" t="s">
        <v>2935</v>
      </c>
      <c r="C963" t="s">
        <v>2936</v>
      </c>
      <c r="D963" t="s">
        <v>3308</v>
      </c>
      <c r="E963" t="s">
        <v>3309</v>
      </c>
      <c r="F963" t="s">
        <v>29</v>
      </c>
      <c r="G963" t="s">
        <v>3310</v>
      </c>
      <c r="H963" t="s">
        <v>3311</v>
      </c>
      <c r="I963">
        <v>3</v>
      </c>
      <c r="J963">
        <v>3</v>
      </c>
      <c r="K963">
        <v>20</v>
      </c>
      <c r="L963">
        <v>29398</v>
      </c>
      <c r="M963" t="s">
        <v>3312</v>
      </c>
      <c r="N963" t="s">
        <v>29</v>
      </c>
      <c r="O963">
        <v>9564156</v>
      </c>
      <c r="P963" t="s">
        <v>2941</v>
      </c>
      <c r="Q963">
        <v>1125277</v>
      </c>
      <c r="R963" t="s">
        <v>2942</v>
      </c>
      <c r="S963">
        <v>93</v>
      </c>
      <c r="T963" t="b">
        <v>0</v>
      </c>
      <c r="U963">
        <v>1</v>
      </c>
      <c r="V963">
        <v>2</v>
      </c>
      <c r="W963" t="s">
        <v>35</v>
      </c>
      <c r="X963" t="s">
        <v>3313</v>
      </c>
      <c r="Y963" t="s">
        <v>29</v>
      </c>
      <c r="Z963" t="s">
        <v>37</v>
      </c>
      <c r="AA963">
        <f>TwitterClean[[#This Row],[likes]]+TwitterClean[[#This Row],[replies]]+TwitterClean[[#This Row],[reposts]]+TwitterClean[[#This Row],[quotes]]+TwitterClean[[#This Row],[bookmarks]]</f>
        <v>29</v>
      </c>
      <c r="AB963" s="1">
        <f>TwitterClean[[#This Row],[Total_Engagements]]/TwitterClean[[#This Row],[views]]</f>
        <v>9.8646166405877943E-4</v>
      </c>
      <c r="AC963" s="3">
        <f>DATEVALUE(MID(TwitterClean[[#This Row],[date_posted]],2,10))</f>
        <v>45641</v>
      </c>
      <c r="AD963">
        <f>TIMEVALUE(MID(TwitterClean[[#This Row],[date_posted]],13,8))</f>
        <v>0.95916666666666661</v>
      </c>
      <c r="AE963" s="3" t="str">
        <f>TEXT(TwitterClean[[#This Row],[Post_Date]],"dddd")</f>
        <v>Sunday</v>
      </c>
      <c r="AF963">
        <f>HOUR(TwitterClean[[#This Row],[Post_Time]])</f>
        <v>23</v>
      </c>
      <c r="AG963" t="str">
        <f>IF(TwitterClean[[#This Row],[videos]]="Null","No","Yes")</f>
        <v>No</v>
      </c>
      <c r="AH963" t="str">
        <f>IF(TwitterClean[[#This Row],[photos]]="null","No","Yes")</f>
        <v>No</v>
      </c>
      <c r="AI963" t="str">
        <f>IF(TwitterClean[[#This Row],[hashtags]]="null","No","Yes")</f>
        <v>No</v>
      </c>
      <c r="AJ963" t="str">
        <f>IF(TwitterClean[[#This Row],[external_url]]="null","Yes","No")</f>
        <v>No</v>
      </c>
      <c r="AK963">
        <f>LEN(TwitterClean[[#This Row],[description]])</f>
        <v>114</v>
      </c>
      <c r="AL963" t="str">
        <f>IF(TwitterClean[[#This Row],[followers]]&lt;100000,"&lt;100K",IF(TwitterClean[[#This Row],[followers]]&lt;1000000,"100K-1M",IF(TwitterClean[[#This Row],[followers]]&lt;10000000,"1M-10M","10M+")))</f>
        <v>1M-10M</v>
      </c>
    </row>
    <row r="964" spans="1:38">
      <c r="A964">
        <v>1.8682091477301248E+18</v>
      </c>
      <c r="B964" t="s">
        <v>183</v>
      </c>
      <c r="C964" t="s">
        <v>184</v>
      </c>
      <c r="D964" t="s">
        <v>532</v>
      </c>
      <c r="E964" t="s">
        <v>533</v>
      </c>
      <c r="F964" t="s">
        <v>29</v>
      </c>
      <c r="G964" t="s">
        <v>534</v>
      </c>
      <c r="H964" t="s">
        <v>29</v>
      </c>
      <c r="I964">
        <v>16</v>
      </c>
      <c r="J964">
        <v>8</v>
      </c>
      <c r="K964">
        <v>16</v>
      </c>
      <c r="L964">
        <v>46183</v>
      </c>
      <c r="M964" t="s">
        <v>535</v>
      </c>
      <c r="N964" t="s">
        <v>29</v>
      </c>
      <c r="O964">
        <v>27123001</v>
      </c>
      <c r="P964" t="s">
        <v>190</v>
      </c>
      <c r="Q964">
        <v>402760</v>
      </c>
      <c r="R964" t="s">
        <v>191</v>
      </c>
      <c r="S964">
        <v>155</v>
      </c>
      <c r="T964" t="b">
        <v>0</v>
      </c>
      <c r="U964">
        <v>2</v>
      </c>
      <c r="V964">
        <v>3</v>
      </c>
      <c r="W964" t="s">
        <v>35</v>
      </c>
      <c r="X964" t="s">
        <v>536</v>
      </c>
      <c r="Y964" t="s">
        <v>29</v>
      </c>
      <c r="Z964" t="s">
        <v>37</v>
      </c>
      <c r="AA964">
        <f>TwitterClean[[#This Row],[likes]]+TwitterClean[[#This Row],[replies]]+TwitterClean[[#This Row],[reposts]]+TwitterClean[[#This Row],[quotes]]+TwitterClean[[#This Row],[bookmarks]]</f>
        <v>45</v>
      </c>
      <c r="AB964" s="1">
        <f>TwitterClean[[#This Row],[Total_Engagements]]/TwitterClean[[#This Row],[views]]</f>
        <v>9.7438451378212764E-4</v>
      </c>
      <c r="AC964" s="3">
        <f>DATEVALUE(MID(TwitterClean[[#This Row],[date_posted]],2,10))</f>
        <v>45641</v>
      </c>
      <c r="AD964">
        <f>TIMEVALUE(MID(TwitterClean[[#This Row],[date_posted]],13,8))</f>
        <v>0.34658564814814813</v>
      </c>
      <c r="AE964" s="3" t="str">
        <f>TEXT(TwitterClean[[#This Row],[Post_Date]],"dddd")</f>
        <v>Sunday</v>
      </c>
      <c r="AF964">
        <f>HOUR(TwitterClean[[#This Row],[Post_Time]])</f>
        <v>8</v>
      </c>
      <c r="AG964" t="str">
        <f>IF(TwitterClean[[#This Row],[videos]]="Null","No","Yes")</f>
        <v>No</v>
      </c>
      <c r="AH964" t="str">
        <f>IF(TwitterClean[[#This Row],[photos]]="null","No","Yes")</f>
        <v>No</v>
      </c>
      <c r="AI964" t="str">
        <f>IF(TwitterClean[[#This Row],[hashtags]]="null","No","Yes")</f>
        <v>No</v>
      </c>
      <c r="AJ964" t="str">
        <f>IF(TwitterClean[[#This Row],[external_url]]="null","Yes","No")</f>
        <v>No</v>
      </c>
      <c r="AK964">
        <f>LEN(TwitterClean[[#This Row],[description]])</f>
        <v>167</v>
      </c>
      <c r="AL964" t="str">
        <f>IF(TwitterClean[[#This Row],[followers]]&lt;100000,"&lt;100K",IF(TwitterClean[[#This Row],[followers]]&lt;1000000,"100K-1M",IF(TwitterClean[[#This Row],[followers]]&lt;10000000,"1M-10M","10M+")))</f>
        <v>10M+</v>
      </c>
    </row>
    <row r="965" spans="1:38">
      <c r="A965">
        <v>1.8684848271391708E+18</v>
      </c>
      <c r="B965" t="s">
        <v>183</v>
      </c>
      <c r="C965" t="s">
        <v>184</v>
      </c>
      <c r="D965" t="s">
        <v>494</v>
      </c>
      <c r="E965" t="s">
        <v>495</v>
      </c>
      <c r="F965" t="s">
        <v>29</v>
      </c>
      <c r="G965" t="s">
        <v>496</v>
      </c>
      <c r="H965" t="s">
        <v>29</v>
      </c>
      <c r="I965">
        <v>4</v>
      </c>
      <c r="J965">
        <v>3</v>
      </c>
      <c r="K965">
        <v>16</v>
      </c>
      <c r="L965">
        <v>30218</v>
      </c>
      <c r="M965" t="s">
        <v>497</v>
      </c>
      <c r="N965" t="s">
        <v>29</v>
      </c>
      <c r="O965">
        <v>27122603</v>
      </c>
      <c r="P965" t="s">
        <v>190</v>
      </c>
      <c r="Q965">
        <v>402761</v>
      </c>
      <c r="R965" t="s">
        <v>191</v>
      </c>
      <c r="S965">
        <v>155</v>
      </c>
      <c r="T965" t="b">
        <v>0</v>
      </c>
      <c r="U965">
        <v>1</v>
      </c>
      <c r="V965">
        <v>5</v>
      </c>
      <c r="W965" t="s">
        <v>35</v>
      </c>
      <c r="X965" t="s">
        <v>498</v>
      </c>
      <c r="Y965" t="s">
        <v>29</v>
      </c>
      <c r="Z965" t="s">
        <v>37</v>
      </c>
      <c r="AA965">
        <f>TwitterClean[[#This Row],[likes]]+TwitterClean[[#This Row],[replies]]+TwitterClean[[#This Row],[reposts]]+TwitterClean[[#This Row],[quotes]]+TwitterClean[[#This Row],[bookmarks]]</f>
        <v>29</v>
      </c>
      <c r="AB965" s="1">
        <f>TwitterClean[[#This Row],[Total_Engagements]]/TwitterClean[[#This Row],[views]]</f>
        <v>9.5969289827255275E-4</v>
      </c>
      <c r="AC965" s="3">
        <f>DATEVALUE(MID(TwitterClean[[#This Row],[date_posted]],2,10))</f>
        <v>45642</v>
      </c>
      <c r="AD965">
        <f>TIMEVALUE(MID(TwitterClean[[#This Row],[date_posted]],13,8))</f>
        <v>0.10731481481481482</v>
      </c>
      <c r="AE965" s="3" t="str">
        <f>TEXT(TwitterClean[[#This Row],[Post_Date]],"dddd")</f>
        <v>Monday</v>
      </c>
      <c r="AF965">
        <f>HOUR(TwitterClean[[#This Row],[Post_Time]])</f>
        <v>2</v>
      </c>
      <c r="AG965" t="str">
        <f>IF(TwitterClean[[#This Row],[videos]]="Null","No","Yes")</f>
        <v>No</v>
      </c>
      <c r="AH965" t="str">
        <f>IF(TwitterClean[[#This Row],[photos]]="null","No","Yes")</f>
        <v>No</v>
      </c>
      <c r="AI965" t="str">
        <f>IF(TwitterClean[[#This Row],[hashtags]]="null","No","Yes")</f>
        <v>No</v>
      </c>
      <c r="AJ965" t="str">
        <f>IF(TwitterClean[[#This Row],[external_url]]="null","Yes","No")</f>
        <v>No</v>
      </c>
      <c r="AK965">
        <f>LEN(TwitterClean[[#This Row],[description]])</f>
        <v>49</v>
      </c>
      <c r="AL965" t="str">
        <f>IF(TwitterClean[[#This Row],[followers]]&lt;100000,"&lt;100K",IF(TwitterClean[[#This Row],[followers]]&lt;1000000,"100K-1M",IF(TwitterClean[[#This Row],[followers]]&lt;10000000,"1M-10M","10M+")))</f>
        <v>10M+</v>
      </c>
    </row>
    <row r="966" spans="1:38">
      <c r="A966">
        <v>1.8683253058001841E+18</v>
      </c>
      <c r="B966" t="s">
        <v>2935</v>
      </c>
      <c r="C966" t="s">
        <v>2936</v>
      </c>
      <c r="D966" t="s">
        <v>3591</v>
      </c>
      <c r="E966" t="s">
        <v>3592</v>
      </c>
      <c r="F966" t="s">
        <v>29</v>
      </c>
      <c r="G966" t="s">
        <v>3593</v>
      </c>
      <c r="H966" t="s">
        <v>3594</v>
      </c>
      <c r="I966">
        <v>9</v>
      </c>
      <c r="J966">
        <v>5</v>
      </c>
      <c r="K966">
        <v>11</v>
      </c>
      <c r="L966">
        <v>27237</v>
      </c>
      <c r="M966" t="s">
        <v>3595</v>
      </c>
      <c r="N966" t="s">
        <v>29</v>
      </c>
      <c r="O966">
        <v>9564155</v>
      </c>
      <c r="P966" t="s">
        <v>2941</v>
      </c>
      <c r="Q966">
        <v>1125277</v>
      </c>
      <c r="R966" t="s">
        <v>2942</v>
      </c>
      <c r="S966">
        <v>93</v>
      </c>
      <c r="T966" t="b">
        <v>0</v>
      </c>
      <c r="U966">
        <v>0</v>
      </c>
      <c r="V966">
        <v>1</v>
      </c>
      <c r="W966" t="s">
        <v>35</v>
      </c>
      <c r="X966" t="s">
        <v>3596</v>
      </c>
      <c r="Y966" t="s">
        <v>29</v>
      </c>
      <c r="Z966" t="s">
        <v>37</v>
      </c>
      <c r="AA966">
        <f>TwitterClean[[#This Row],[likes]]+TwitterClean[[#This Row],[replies]]+TwitterClean[[#This Row],[reposts]]+TwitterClean[[#This Row],[quotes]]+TwitterClean[[#This Row],[bookmarks]]</f>
        <v>26</v>
      </c>
      <c r="AB966" s="1">
        <f>TwitterClean[[#This Row],[Total_Engagements]]/TwitterClean[[#This Row],[views]]</f>
        <v>9.5458383816132469E-4</v>
      </c>
      <c r="AC966" s="3">
        <f>DATEVALUE(MID(TwitterClean[[#This Row],[date_posted]],2,10))</f>
        <v>45641</v>
      </c>
      <c r="AD966">
        <f>TIMEVALUE(MID(TwitterClean[[#This Row],[date_posted]],13,8))</f>
        <v>0.66711805555555559</v>
      </c>
      <c r="AE966" s="3" t="str">
        <f>TEXT(TwitterClean[[#This Row],[Post_Date]],"dddd")</f>
        <v>Sunday</v>
      </c>
      <c r="AF966">
        <f>HOUR(TwitterClean[[#This Row],[Post_Time]])</f>
        <v>16</v>
      </c>
      <c r="AG966" t="str">
        <f>IF(TwitterClean[[#This Row],[videos]]="Null","No","Yes")</f>
        <v>No</v>
      </c>
      <c r="AH966" t="str">
        <f>IF(TwitterClean[[#This Row],[photos]]="null","No","Yes")</f>
        <v>No</v>
      </c>
      <c r="AI966" t="str">
        <f>IF(TwitterClean[[#This Row],[hashtags]]="null","No","Yes")</f>
        <v>No</v>
      </c>
      <c r="AJ966" t="str">
        <f>IF(TwitterClean[[#This Row],[external_url]]="null","Yes","No")</f>
        <v>No</v>
      </c>
      <c r="AK966">
        <f>LEN(TwitterClean[[#This Row],[description]])</f>
        <v>160</v>
      </c>
      <c r="AL966" t="str">
        <f>IF(TwitterClean[[#This Row],[followers]]&lt;100000,"&lt;100K",IF(TwitterClean[[#This Row],[followers]]&lt;1000000,"100K-1M",IF(TwitterClean[[#This Row],[followers]]&lt;10000000,"1M-10M","10M+")))</f>
        <v>1M-10M</v>
      </c>
    </row>
    <row r="967" spans="1:38">
      <c r="A967">
        <v>1.8683088036843277E+18</v>
      </c>
      <c r="B967" t="s">
        <v>2935</v>
      </c>
      <c r="C967" t="s">
        <v>2936</v>
      </c>
      <c r="D967" t="s">
        <v>2960</v>
      </c>
      <c r="E967" t="s">
        <v>2961</v>
      </c>
      <c r="F967" t="s">
        <v>29</v>
      </c>
      <c r="G967" t="s">
        <v>2962</v>
      </c>
      <c r="H967" t="s">
        <v>29</v>
      </c>
      <c r="I967">
        <v>53</v>
      </c>
      <c r="J967">
        <v>25</v>
      </c>
      <c r="K967">
        <v>94</v>
      </c>
      <c r="L967">
        <v>204533</v>
      </c>
      <c r="M967" t="s">
        <v>2963</v>
      </c>
      <c r="N967" t="s">
        <v>29</v>
      </c>
      <c r="O967">
        <v>9564155</v>
      </c>
      <c r="P967" t="s">
        <v>2941</v>
      </c>
      <c r="Q967">
        <v>1125277</v>
      </c>
      <c r="R967" t="s">
        <v>2942</v>
      </c>
      <c r="S967">
        <v>93</v>
      </c>
      <c r="T967" t="b">
        <v>0</v>
      </c>
      <c r="U967">
        <v>8</v>
      </c>
      <c r="V967">
        <v>15</v>
      </c>
      <c r="W967" t="s">
        <v>35</v>
      </c>
      <c r="X967" t="s">
        <v>2964</v>
      </c>
      <c r="Y967" t="s">
        <v>29</v>
      </c>
      <c r="Z967" t="s">
        <v>37</v>
      </c>
      <c r="AA967">
        <f>TwitterClean[[#This Row],[likes]]+TwitterClean[[#This Row],[replies]]+TwitterClean[[#This Row],[reposts]]+TwitterClean[[#This Row],[quotes]]+TwitterClean[[#This Row],[bookmarks]]</f>
        <v>195</v>
      </c>
      <c r="AB967" s="1">
        <f>TwitterClean[[#This Row],[Total_Engagements]]/TwitterClean[[#This Row],[views]]</f>
        <v>9.5339138427539812E-4</v>
      </c>
      <c r="AC967" s="3">
        <f>DATEVALUE(MID(TwitterClean[[#This Row],[date_posted]],2,10))</f>
        <v>45641</v>
      </c>
      <c r="AD967">
        <f>TIMEVALUE(MID(TwitterClean[[#This Row],[date_posted]],13,8))</f>
        <v>0.62157407407407406</v>
      </c>
      <c r="AE967" s="3" t="str">
        <f>TEXT(TwitterClean[[#This Row],[Post_Date]],"dddd")</f>
        <v>Sunday</v>
      </c>
      <c r="AF967">
        <f>HOUR(TwitterClean[[#This Row],[Post_Time]])</f>
        <v>14</v>
      </c>
      <c r="AG967" t="str">
        <f>IF(TwitterClean[[#This Row],[videos]]="Null","No","Yes")</f>
        <v>No</v>
      </c>
      <c r="AH967" t="str">
        <f>IF(TwitterClean[[#This Row],[photos]]="null","No","Yes")</f>
        <v>No</v>
      </c>
      <c r="AI967" t="str">
        <f>IF(TwitterClean[[#This Row],[hashtags]]="null","No","Yes")</f>
        <v>No</v>
      </c>
      <c r="AJ967" t="str">
        <f>IF(TwitterClean[[#This Row],[external_url]]="null","Yes","No")</f>
        <v>No</v>
      </c>
      <c r="AK967">
        <f>LEN(TwitterClean[[#This Row],[description]])</f>
        <v>212</v>
      </c>
      <c r="AL967" t="str">
        <f>IF(TwitterClean[[#This Row],[followers]]&lt;100000,"&lt;100K",IF(TwitterClean[[#This Row],[followers]]&lt;1000000,"100K-1M",IF(TwitterClean[[#This Row],[followers]]&lt;10000000,"1M-10M","10M+")))</f>
        <v>1M-10M</v>
      </c>
    </row>
    <row r="968" spans="1:38">
      <c r="A968">
        <v>1.868243451684311E+18</v>
      </c>
      <c r="B968" t="s">
        <v>183</v>
      </c>
      <c r="C968" t="s">
        <v>184</v>
      </c>
      <c r="D968" t="s">
        <v>934</v>
      </c>
      <c r="E968" t="s">
        <v>935</v>
      </c>
      <c r="F968" t="s">
        <v>29</v>
      </c>
      <c r="G968" t="s">
        <v>936</v>
      </c>
      <c r="H968" t="s">
        <v>29</v>
      </c>
      <c r="I968">
        <v>5</v>
      </c>
      <c r="J968">
        <v>6</v>
      </c>
      <c r="K968">
        <v>27</v>
      </c>
      <c r="L968">
        <v>47438</v>
      </c>
      <c r="M968" t="s">
        <v>937</v>
      </c>
      <c r="N968" t="s">
        <v>29</v>
      </c>
      <c r="O968">
        <v>27122998</v>
      </c>
      <c r="P968" t="s">
        <v>190</v>
      </c>
      <c r="Q968">
        <v>402760</v>
      </c>
      <c r="R968" t="s">
        <v>191</v>
      </c>
      <c r="S968">
        <v>155</v>
      </c>
      <c r="T968" t="b">
        <v>0</v>
      </c>
      <c r="U968">
        <v>2</v>
      </c>
      <c r="V968">
        <v>5</v>
      </c>
      <c r="W968" t="s">
        <v>35</v>
      </c>
      <c r="X968" t="s">
        <v>222</v>
      </c>
      <c r="Y968" t="s">
        <v>29</v>
      </c>
      <c r="Z968" t="s">
        <v>37</v>
      </c>
      <c r="AA968">
        <f>TwitterClean[[#This Row],[likes]]+TwitterClean[[#This Row],[replies]]+TwitterClean[[#This Row],[reposts]]+TwitterClean[[#This Row],[quotes]]+TwitterClean[[#This Row],[bookmarks]]</f>
        <v>45</v>
      </c>
      <c r="AB968" s="1">
        <f>TwitterClean[[#This Row],[Total_Engagements]]/TwitterClean[[#This Row],[views]]</f>
        <v>9.4860660230195197E-4</v>
      </c>
      <c r="AC968" s="3">
        <f>DATEVALUE(MID(TwitterClean[[#This Row],[date_posted]],2,10))</f>
        <v>45641</v>
      </c>
      <c r="AD968">
        <f>TIMEVALUE(MID(TwitterClean[[#This Row],[date_posted]],13,8))</f>
        <v>0.44123842592592594</v>
      </c>
      <c r="AE968" s="3" t="str">
        <f>TEXT(TwitterClean[[#This Row],[Post_Date]],"dddd")</f>
        <v>Sunday</v>
      </c>
      <c r="AF968">
        <f>HOUR(TwitterClean[[#This Row],[Post_Time]])</f>
        <v>10</v>
      </c>
      <c r="AG968" t="str">
        <f>IF(TwitterClean[[#This Row],[videos]]="Null","No","Yes")</f>
        <v>No</v>
      </c>
      <c r="AH968" t="str">
        <f>IF(TwitterClean[[#This Row],[photos]]="null","No","Yes")</f>
        <v>No</v>
      </c>
      <c r="AI968" t="str">
        <f>IF(TwitterClean[[#This Row],[hashtags]]="null","No","Yes")</f>
        <v>No</v>
      </c>
      <c r="AJ968" t="str">
        <f>IF(TwitterClean[[#This Row],[external_url]]="null","Yes","No")</f>
        <v>No</v>
      </c>
      <c r="AK968">
        <f>LEN(TwitterClean[[#This Row],[description]])</f>
        <v>197</v>
      </c>
      <c r="AL968" t="str">
        <f>IF(TwitterClean[[#This Row],[followers]]&lt;100000,"&lt;100K",IF(TwitterClean[[#This Row],[followers]]&lt;1000000,"100K-1M",IF(TwitterClean[[#This Row],[followers]]&lt;10000000,"1M-10M","10M+")))</f>
        <v>10M+</v>
      </c>
    </row>
    <row r="969" spans="1:38">
      <c r="A969">
        <v>1.868204947692458E+18</v>
      </c>
      <c r="B969" t="s">
        <v>2935</v>
      </c>
      <c r="C969" t="s">
        <v>2936</v>
      </c>
      <c r="D969" t="s">
        <v>3493</v>
      </c>
      <c r="E969" t="s">
        <v>3494</v>
      </c>
      <c r="F969" t="s">
        <v>29</v>
      </c>
      <c r="G969" t="s">
        <v>3495</v>
      </c>
      <c r="H969" t="s">
        <v>29</v>
      </c>
      <c r="I969">
        <v>3</v>
      </c>
      <c r="J969">
        <v>5</v>
      </c>
      <c r="K969">
        <v>15</v>
      </c>
      <c r="L969">
        <v>31312</v>
      </c>
      <c r="M969" t="s">
        <v>3496</v>
      </c>
      <c r="N969" t="s">
        <v>29</v>
      </c>
      <c r="O969">
        <v>9564155</v>
      </c>
      <c r="P969" t="s">
        <v>2941</v>
      </c>
      <c r="Q969">
        <v>1125277</v>
      </c>
      <c r="R969" t="s">
        <v>2942</v>
      </c>
      <c r="S969">
        <v>93</v>
      </c>
      <c r="T969" t="b">
        <v>0</v>
      </c>
      <c r="U969">
        <v>3</v>
      </c>
      <c r="V969">
        <v>3</v>
      </c>
      <c r="W969" t="s">
        <v>35</v>
      </c>
      <c r="X969" t="s">
        <v>3497</v>
      </c>
      <c r="Y969" t="s">
        <v>29</v>
      </c>
      <c r="Z969" t="s">
        <v>37</v>
      </c>
      <c r="AA969">
        <f>TwitterClean[[#This Row],[likes]]+TwitterClean[[#This Row],[replies]]+TwitterClean[[#This Row],[reposts]]+TwitterClean[[#This Row],[quotes]]+TwitterClean[[#This Row],[bookmarks]]</f>
        <v>29</v>
      </c>
      <c r="AB969" s="1">
        <f>TwitterClean[[#This Row],[Total_Engagements]]/TwitterClean[[#This Row],[views]]</f>
        <v>9.2616249361267245E-4</v>
      </c>
      <c r="AC969" s="3">
        <f>DATEVALUE(MID(TwitterClean[[#This Row],[date_posted]],2,10))</f>
        <v>45641</v>
      </c>
      <c r="AD969">
        <f>TIMEVALUE(MID(TwitterClean[[#This Row],[date_posted]],13,8))</f>
        <v>0.33498842592592593</v>
      </c>
      <c r="AE969" s="3" t="str">
        <f>TEXT(TwitterClean[[#This Row],[Post_Date]],"dddd")</f>
        <v>Sunday</v>
      </c>
      <c r="AF969">
        <f>HOUR(TwitterClean[[#This Row],[Post_Time]])</f>
        <v>8</v>
      </c>
      <c r="AG969" t="str">
        <f>IF(TwitterClean[[#This Row],[videos]]="Null","No","Yes")</f>
        <v>No</v>
      </c>
      <c r="AH969" t="str">
        <f>IF(TwitterClean[[#This Row],[photos]]="null","No","Yes")</f>
        <v>No</v>
      </c>
      <c r="AI969" t="str">
        <f>IF(TwitterClean[[#This Row],[hashtags]]="null","No","Yes")</f>
        <v>No</v>
      </c>
      <c r="AJ969" t="str">
        <f>IF(TwitterClean[[#This Row],[external_url]]="null","Yes","No")</f>
        <v>No</v>
      </c>
      <c r="AK969">
        <f>LEN(TwitterClean[[#This Row],[description]])</f>
        <v>181</v>
      </c>
      <c r="AL969" t="str">
        <f>IF(TwitterClean[[#This Row],[followers]]&lt;100000,"&lt;100K",IF(TwitterClean[[#This Row],[followers]]&lt;1000000,"100K-1M",IF(TwitterClean[[#This Row],[followers]]&lt;10000000,"1M-10M","10M+")))</f>
        <v>1M-10M</v>
      </c>
    </row>
    <row r="970" spans="1:38">
      <c r="A970">
        <v>1.8684518422433142E+18</v>
      </c>
      <c r="B970" t="s">
        <v>183</v>
      </c>
      <c r="C970" t="s">
        <v>184</v>
      </c>
      <c r="D970" t="s">
        <v>781</v>
      </c>
      <c r="E970" t="s">
        <v>782</v>
      </c>
      <c r="F970" t="s">
        <v>29</v>
      </c>
      <c r="G970" t="s">
        <v>783</v>
      </c>
      <c r="H970" t="s">
        <v>784</v>
      </c>
      <c r="I970">
        <v>6</v>
      </c>
      <c r="J970">
        <v>5</v>
      </c>
      <c r="K970">
        <v>23</v>
      </c>
      <c r="L970">
        <v>44137</v>
      </c>
      <c r="M970" t="s">
        <v>785</v>
      </c>
      <c r="N970" t="s">
        <v>29</v>
      </c>
      <c r="O970">
        <v>27122998</v>
      </c>
      <c r="P970" t="s">
        <v>190</v>
      </c>
      <c r="Q970">
        <v>402761</v>
      </c>
      <c r="R970" t="s">
        <v>191</v>
      </c>
      <c r="S970">
        <v>155</v>
      </c>
      <c r="T970" t="b">
        <v>0</v>
      </c>
      <c r="U970">
        <v>2</v>
      </c>
      <c r="V970">
        <v>4</v>
      </c>
      <c r="W970" t="s">
        <v>35</v>
      </c>
      <c r="X970" t="s">
        <v>786</v>
      </c>
      <c r="Y970" t="s">
        <v>29</v>
      </c>
      <c r="Z970" t="s">
        <v>37</v>
      </c>
      <c r="AA970">
        <f>TwitterClean[[#This Row],[likes]]+TwitterClean[[#This Row],[replies]]+TwitterClean[[#This Row],[reposts]]+TwitterClean[[#This Row],[quotes]]+TwitterClean[[#This Row],[bookmarks]]</f>
        <v>40</v>
      </c>
      <c r="AB970" s="1">
        <f>TwitterClean[[#This Row],[Total_Engagements]]/TwitterClean[[#This Row],[views]]</f>
        <v>9.0626911661417862E-4</v>
      </c>
      <c r="AC970" s="3">
        <f>DATEVALUE(MID(TwitterClean[[#This Row],[date_posted]],2,10))</f>
        <v>45642</v>
      </c>
      <c r="AD970">
        <f>TIMEVALUE(MID(TwitterClean[[#This Row],[date_posted]],13,8))</f>
        <v>1.6296296296296295E-2</v>
      </c>
      <c r="AE970" s="3" t="str">
        <f>TEXT(TwitterClean[[#This Row],[Post_Date]],"dddd")</f>
        <v>Monday</v>
      </c>
      <c r="AF970">
        <f>HOUR(TwitterClean[[#This Row],[Post_Time]])</f>
        <v>0</v>
      </c>
      <c r="AG970" t="str">
        <f>IF(TwitterClean[[#This Row],[videos]]="Null","No","Yes")</f>
        <v>No</v>
      </c>
      <c r="AH970" t="str">
        <f>IF(TwitterClean[[#This Row],[photos]]="null","No","Yes")</f>
        <v>No</v>
      </c>
      <c r="AI970" t="str">
        <f>IF(TwitterClean[[#This Row],[hashtags]]="null","No","Yes")</f>
        <v>No</v>
      </c>
      <c r="AJ970" t="str">
        <f>IF(TwitterClean[[#This Row],[external_url]]="null","Yes","No")</f>
        <v>No</v>
      </c>
      <c r="AK970">
        <f>LEN(TwitterClean[[#This Row],[description]])</f>
        <v>187</v>
      </c>
      <c r="AL970" t="str">
        <f>IF(TwitterClean[[#This Row],[followers]]&lt;100000,"&lt;100K",IF(TwitterClean[[#This Row],[followers]]&lt;1000000,"100K-1M",IF(TwitterClean[[#This Row],[followers]]&lt;10000000,"1M-10M","10M+")))</f>
        <v>10M+</v>
      </c>
    </row>
    <row r="971" spans="1:38">
      <c r="A971">
        <v>1.8684087135827272E+18</v>
      </c>
      <c r="B971" t="s">
        <v>183</v>
      </c>
      <c r="C971" t="s">
        <v>184</v>
      </c>
      <c r="D971" t="s">
        <v>648</v>
      </c>
      <c r="E971" t="s">
        <v>649</v>
      </c>
      <c r="F971" t="s">
        <v>29</v>
      </c>
      <c r="G971" t="s">
        <v>650</v>
      </c>
      <c r="H971" t="s">
        <v>29</v>
      </c>
      <c r="I971">
        <v>6</v>
      </c>
      <c r="J971">
        <v>5</v>
      </c>
      <c r="K971">
        <v>26</v>
      </c>
      <c r="L971">
        <v>54722</v>
      </c>
      <c r="M971" t="s">
        <v>651</v>
      </c>
      <c r="N971" t="s">
        <v>29</v>
      </c>
      <c r="O971">
        <v>27122999</v>
      </c>
      <c r="P971" t="s">
        <v>190</v>
      </c>
      <c r="Q971">
        <v>402761</v>
      </c>
      <c r="R971" t="s">
        <v>191</v>
      </c>
      <c r="S971">
        <v>155</v>
      </c>
      <c r="T971" t="b">
        <v>0</v>
      </c>
      <c r="U971">
        <v>1</v>
      </c>
      <c r="V971">
        <v>10</v>
      </c>
      <c r="W971" t="s">
        <v>35</v>
      </c>
      <c r="X971" t="s">
        <v>652</v>
      </c>
      <c r="Y971" t="s">
        <v>29</v>
      </c>
      <c r="Z971" t="s">
        <v>37</v>
      </c>
      <c r="AA971">
        <f>TwitterClean[[#This Row],[likes]]+TwitterClean[[#This Row],[replies]]+TwitterClean[[#This Row],[reposts]]+TwitterClean[[#This Row],[quotes]]+TwitterClean[[#This Row],[bookmarks]]</f>
        <v>48</v>
      </c>
      <c r="AB971" s="1">
        <f>TwitterClean[[#This Row],[Total_Engagements]]/TwitterClean[[#This Row],[views]]</f>
        <v>8.771609224809035E-4</v>
      </c>
      <c r="AC971" s="3">
        <f>DATEVALUE(MID(TwitterClean[[#This Row],[date_posted]],2,10))</f>
        <v>45641</v>
      </c>
      <c r="AD971">
        <f>TIMEVALUE(MID(TwitterClean[[#This Row],[date_posted]],13,8))</f>
        <v>0.89728009259259256</v>
      </c>
      <c r="AE971" s="3" t="str">
        <f>TEXT(TwitterClean[[#This Row],[Post_Date]],"dddd")</f>
        <v>Sunday</v>
      </c>
      <c r="AF971">
        <f>HOUR(TwitterClean[[#This Row],[Post_Time]])</f>
        <v>21</v>
      </c>
      <c r="AG971" t="str">
        <f>IF(TwitterClean[[#This Row],[videos]]="Null","No","Yes")</f>
        <v>No</v>
      </c>
      <c r="AH971" t="str">
        <f>IF(TwitterClean[[#This Row],[photos]]="null","No","Yes")</f>
        <v>No</v>
      </c>
      <c r="AI971" t="str">
        <f>IF(TwitterClean[[#This Row],[hashtags]]="null","No","Yes")</f>
        <v>No</v>
      </c>
      <c r="AJ971" t="str">
        <f>IF(TwitterClean[[#This Row],[external_url]]="null","Yes","No")</f>
        <v>No</v>
      </c>
      <c r="AK971">
        <f>LEN(TwitterClean[[#This Row],[description]])</f>
        <v>144</v>
      </c>
      <c r="AL971" t="str">
        <f>IF(TwitterClean[[#This Row],[followers]]&lt;100000,"&lt;100K",IF(TwitterClean[[#This Row],[followers]]&lt;1000000,"100K-1M",IF(TwitterClean[[#This Row],[followers]]&lt;10000000,"1M-10M","10M+")))</f>
        <v>10M+</v>
      </c>
    </row>
    <row r="972" spans="1:38">
      <c r="A972">
        <v>1.8684338792430717E+18</v>
      </c>
      <c r="B972" t="s">
        <v>183</v>
      </c>
      <c r="C972" t="s">
        <v>184</v>
      </c>
      <c r="D972" t="s">
        <v>792</v>
      </c>
      <c r="E972" t="s">
        <v>793</v>
      </c>
      <c r="F972" t="s">
        <v>29</v>
      </c>
      <c r="G972" t="s">
        <v>794</v>
      </c>
      <c r="H972" t="s">
        <v>29</v>
      </c>
      <c r="I972">
        <v>9</v>
      </c>
      <c r="J972">
        <v>5</v>
      </c>
      <c r="K972">
        <v>21</v>
      </c>
      <c r="L972">
        <v>47291</v>
      </c>
      <c r="M972" t="s">
        <v>795</v>
      </c>
      <c r="N972" t="s">
        <v>29</v>
      </c>
      <c r="O972">
        <v>27122999</v>
      </c>
      <c r="P972" t="s">
        <v>190</v>
      </c>
      <c r="Q972">
        <v>402761</v>
      </c>
      <c r="R972" t="s">
        <v>191</v>
      </c>
      <c r="S972">
        <v>155</v>
      </c>
      <c r="T972" t="b">
        <v>0</v>
      </c>
      <c r="U972">
        <v>1</v>
      </c>
      <c r="V972">
        <v>5</v>
      </c>
      <c r="W972" t="s">
        <v>35</v>
      </c>
      <c r="X972" t="s">
        <v>796</v>
      </c>
      <c r="Y972" t="s">
        <v>29</v>
      </c>
      <c r="Z972" t="s">
        <v>37</v>
      </c>
      <c r="AA972">
        <f>TwitterClean[[#This Row],[likes]]+TwitterClean[[#This Row],[replies]]+TwitterClean[[#This Row],[reposts]]+TwitterClean[[#This Row],[quotes]]+TwitterClean[[#This Row],[bookmarks]]</f>
        <v>41</v>
      </c>
      <c r="AB972" s="1">
        <f>TwitterClean[[#This Row],[Total_Engagements]]/TwitterClean[[#This Row],[views]]</f>
        <v>8.6697257406271808E-4</v>
      </c>
      <c r="AC972" s="3">
        <f>DATEVALUE(MID(TwitterClean[[#This Row],[date_posted]],2,10))</f>
        <v>45641</v>
      </c>
      <c r="AD972">
        <f>TIMEVALUE(MID(TwitterClean[[#This Row],[date_posted]],13,8))</f>
        <v>0.96672453703703709</v>
      </c>
      <c r="AE972" s="3" t="str">
        <f>TEXT(TwitterClean[[#This Row],[Post_Date]],"dddd")</f>
        <v>Sunday</v>
      </c>
      <c r="AF972">
        <f>HOUR(TwitterClean[[#This Row],[Post_Time]])</f>
        <v>23</v>
      </c>
      <c r="AG972" t="str">
        <f>IF(TwitterClean[[#This Row],[videos]]="Null","No","Yes")</f>
        <v>No</v>
      </c>
      <c r="AH972" t="str">
        <f>IF(TwitterClean[[#This Row],[photos]]="null","No","Yes")</f>
        <v>No</v>
      </c>
      <c r="AI972" t="str">
        <f>IF(TwitterClean[[#This Row],[hashtags]]="null","No","Yes")</f>
        <v>No</v>
      </c>
      <c r="AJ972" t="str">
        <f>IF(TwitterClean[[#This Row],[external_url]]="null","Yes","No")</f>
        <v>No</v>
      </c>
      <c r="AK972">
        <f>LEN(TwitterClean[[#This Row],[description]])</f>
        <v>133</v>
      </c>
      <c r="AL972" t="str">
        <f>IF(TwitterClean[[#This Row],[followers]]&lt;100000,"&lt;100K",IF(TwitterClean[[#This Row],[followers]]&lt;1000000,"100K-1M",IF(TwitterClean[[#This Row],[followers]]&lt;10000000,"1M-10M","10M+")))</f>
        <v>10M+</v>
      </c>
    </row>
    <row r="973" spans="1:38">
      <c r="A973">
        <v>1.8684195140244728E+18</v>
      </c>
      <c r="B973" t="s">
        <v>4280</v>
      </c>
      <c r="C973" t="s">
        <v>4280</v>
      </c>
      <c r="D973" t="s">
        <v>5107</v>
      </c>
      <c r="E973" t="s">
        <v>538</v>
      </c>
      <c r="F973" t="s">
        <v>29</v>
      </c>
      <c r="G973" t="s">
        <v>5108</v>
      </c>
      <c r="H973" t="s">
        <v>29</v>
      </c>
      <c r="I973">
        <v>9</v>
      </c>
      <c r="J973">
        <v>1</v>
      </c>
      <c r="K973">
        <v>16</v>
      </c>
      <c r="L973">
        <v>32434</v>
      </c>
      <c r="M973" t="s">
        <v>4629</v>
      </c>
      <c r="N973" t="s">
        <v>29</v>
      </c>
      <c r="O973">
        <v>2356528</v>
      </c>
      <c r="P973" t="s">
        <v>4285</v>
      </c>
      <c r="Q973">
        <v>338240</v>
      </c>
      <c r="R973" t="s">
        <v>4286</v>
      </c>
      <c r="S973">
        <v>1981</v>
      </c>
      <c r="T973" t="b">
        <v>0</v>
      </c>
      <c r="U973">
        <v>1</v>
      </c>
      <c r="V973">
        <v>1</v>
      </c>
      <c r="W973" t="s">
        <v>35</v>
      </c>
      <c r="X973" t="s">
        <v>4630</v>
      </c>
      <c r="Y973" t="s">
        <v>29</v>
      </c>
      <c r="Z973" t="s">
        <v>37</v>
      </c>
      <c r="AA973">
        <f>TwitterClean[[#This Row],[likes]]+TwitterClean[[#This Row],[replies]]+TwitterClean[[#This Row],[reposts]]+TwitterClean[[#This Row],[quotes]]+TwitterClean[[#This Row],[bookmarks]]</f>
        <v>28</v>
      </c>
      <c r="AB973" s="1">
        <f>TwitterClean[[#This Row],[Total_Engagements]]/TwitterClean[[#This Row],[views]]</f>
        <v>8.6329160757230071E-4</v>
      </c>
      <c r="AC973" s="3">
        <f>DATEVALUE(MID(TwitterClean[[#This Row],[date_posted]],2,10))</f>
        <v>45641</v>
      </c>
      <c r="AD973">
        <f>TIMEVALUE(MID(TwitterClean[[#This Row],[date_posted]],13,8))</f>
        <v>0.92708333333333337</v>
      </c>
      <c r="AE973" s="3" t="str">
        <f>TEXT(TwitterClean[[#This Row],[Post_Date]],"dddd")</f>
        <v>Sunday</v>
      </c>
      <c r="AF973">
        <f>HOUR(TwitterClean[[#This Row],[Post_Time]])</f>
        <v>22</v>
      </c>
      <c r="AG973" t="str">
        <f>IF(TwitterClean[[#This Row],[videos]]="Null","No","Yes")</f>
        <v>No</v>
      </c>
      <c r="AH973" t="str">
        <f>IF(TwitterClean[[#This Row],[photos]]="null","No","Yes")</f>
        <v>No</v>
      </c>
      <c r="AI973" t="str">
        <f>IF(TwitterClean[[#This Row],[hashtags]]="null","No","Yes")</f>
        <v>No</v>
      </c>
      <c r="AJ973" t="str">
        <f>IF(TwitterClean[[#This Row],[external_url]]="null","Yes","No")</f>
        <v>No</v>
      </c>
      <c r="AK973">
        <f>LEN(TwitterClean[[#This Row],[description]])</f>
        <v>72</v>
      </c>
      <c r="AL973" t="str">
        <f>IF(TwitterClean[[#This Row],[followers]]&lt;100000,"&lt;100K",IF(TwitterClean[[#This Row],[followers]]&lt;1000000,"100K-1M",IF(TwitterClean[[#This Row],[followers]]&lt;10000000,"1M-10M","10M+")))</f>
        <v>1M-10M</v>
      </c>
    </row>
    <row r="974" spans="1:38">
      <c r="A974">
        <v>1.8684361646689897E+18</v>
      </c>
      <c r="B974" t="s">
        <v>2935</v>
      </c>
      <c r="C974" t="s">
        <v>2936</v>
      </c>
      <c r="D974" t="s">
        <v>3576</v>
      </c>
      <c r="E974" t="s">
        <v>3577</v>
      </c>
      <c r="F974" t="s">
        <v>29</v>
      </c>
      <c r="G974" t="s">
        <v>3578</v>
      </c>
      <c r="H974" t="s">
        <v>29</v>
      </c>
      <c r="I974">
        <v>1</v>
      </c>
      <c r="J974">
        <v>3</v>
      </c>
      <c r="K974">
        <v>17</v>
      </c>
      <c r="L974">
        <v>28982</v>
      </c>
      <c r="M974" t="s">
        <v>3579</v>
      </c>
      <c r="N974" t="s">
        <v>29</v>
      </c>
      <c r="O974">
        <v>9564156</v>
      </c>
      <c r="P974" t="s">
        <v>2941</v>
      </c>
      <c r="Q974">
        <v>1125277</v>
      </c>
      <c r="R974" t="s">
        <v>2942</v>
      </c>
      <c r="S974">
        <v>93</v>
      </c>
      <c r="T974" t="b">
        <v>0</v>
      </c>
      <c r="U974">
        <v>1</v>
      </c>
      <c r="V974">
        <v>2</v>
      </c>
      <c r="W974" t="s">
        <v>35</v>
      </c>
      <c r="X974" t="s">
        <v>2979</v>
      </c>
      <c r="Y974" t="s">
        <v>29</v>
      </c>
      <c r="Z974" t="s">
        <v>37</v>
      </c>
      <c r="AA974">
        <f>TwitterClean[[#This Row],[likes]]+TwitterClean[[#This Row],[replies]]+TwitterClean[[#This Row],[reposts]]+TwitterClean[[#This Row],[quotes]]+TwitterClean[[#This Row],[bookmarks]]</f>
        <v>24</v>
      </c>
      <c r="AB974" s="1">
        <f>TwitterClean[[#This Row],[Total_Engagements]]/TwitterClean[[#This Row],[views]]</f>
        <v>8.2810020012421507E-4</v>
      </c>
      <c r="AC974" s="3">
        <f>DATEVALUE(MID(TwitterClean[[#This Row],[date_posted]],2,10))</f>
        <v>45641</v>
      </c>
      <c r="AD974">
        <f>TIMEVALUE(MID(TwitterClean[[#This Row],[date_posted]],13,8))</f>
        <v>0.97303240740740737</v>
      </c>
      <c r="AE974" s="3" t="str">
        <f>TEXT(TwitterClean[[#This Row],[Post_Date]],"dddd")</f>
        <v>Sunday</v>
      </c>
      <c r="AF974">
        <f>HOUR(TwitterClean[[#This Row],[Post_Time]])</f>
        <v>23</v>
      </c>
      <c r="AG974" t="str">
        <f>IF(TwitterClean[[#This Row],[videos]]="Null","No","Yes")</f>
        <v>No</v>
      </c>
      <c r="AH974" t="str">
        <f>IF(TwitterClean[[#This Row],[photos]]="null","No","Yes")</f>
        <v>No</v>
      </c>
      <c r="AI974" t="str">
        <f>IF(TwitterClean[[#This Row],[hashtags]]="null","No","Yes")</f>
        <v>No</v>
      </c>
      <c r="AJ974" t="str">
        <f>IF(TwitterClean[[#This Row],[external_url]]="null","Yes","No")</f>
        <v>No</v>
      </c>
      <c r="AK974">
        <f>LEN(TwitterClean[[#This Row],[description]])</f>
        <v>124</v>
      </c>
      <c r="AL974" t="str">
        <f>IF(TwitterClean[[#This Row],[followers]]&lt;100000,"&lt;100K",IF(TwitterClean[[#This Row],[followers]]&lt;1000000,"100K-1M",IF(TwitterClean[[#This Row],[followers]]&lt;10000000,"1M-10M","10M+")))</f>
        <v>1M-10M</v>
      </c>
    </row>
    <row r="975" spans="1:38">
      <c r="A975">
        <v>1.8685106425350067E+18</v>
      </c>
      <c r="B975" t="s">
        <v>2935</v>
      </c>
      <c r="C975" t="s">
        <v>2936</v>
      </c>
      <c r="D975" t="s">
        <v>3479</v>
      </c>
      <c r="E975" t="s">
        <v>3480</v>
      </c>
      <c r="F975" t="s">
        <v>29</v>
      </c>
      <c r="G975" t="s">
        <v>3481</v>
      </c>
      <c r="H975" t="s">
        <v>29</v>
      </c>
      <c r="I975">
        <v>2</v>
      </c>
      <c r="J975">
        <v>3</v>
      </c>
      <c r="K975">
        <v>9</v>
      </c>
      <c r="L975">
        <v>19744</v>
      </c>
      <c r="M975" t="s">
        <v>3482</v>
      </c>
      <c r="N975" t="s">
        <v>29</v>
      </c>
      <c r="O975">
        <v>9564155</v>
      </c>
      <c r="P975" t="s">
        <v>2941</v>
      </c>
      <c r="Q975">
        <v>1125277</v>
      </c>
      <c r="R975" t="s">
        <v>2942</v>
      </c>
      <c r="S975">
        <v>93</v>
      </c>
      <c r="T975" t="b">
        <v>0</v>
      </c>
      <c r="U975">
        <v>1</v>
      </c>
      <c r="V975">
        <v>1</v>
      </c>
      <c r="W975" t="s">
        <v>35</v>
      </c>
      <c r="X975" t="s">
        <v>3483</v>
      </c>
      <c r="Y975" t="s">
        <v>29</v>
      </c>
      <c r="Z975" t="s">
        <v>37</v>
      </c>
      <c r="AA975">
        <f>TwitterClean[[#This Row],[likes]]+TwitterClean[[#This Row],[replies]]+TwitterClean[[#This Row],[reposts]]+TwitterClean[[#This Row],[quotes]]+TwitterClean[[#This Row],[bookmarks]]</f>
        <v>16</v>
      </c>
      <c r="AB975" s="1">
        <f>TwitterClean[[#This Row],[Total_Engagements]]/TwitterClean[[#This Row],[views]]</f>
        <v>8.1037277147487841E-4</v>
      </c>
      <c r="AC975" s="3">
        <f>DATEVALUE(MID(TwitterClean[[#This Row],[date_posted]],2,10))</f>
        <v>45642</v>
      </c>
      <c r="AD975">
        <f>TIMEVALUE(MID(TwitterClean[[#This Row],[date_posted]],13,8))</f>
        <v>0.17855324074074075</v>
      </c>
      <c r="AE975" s="3" t="str">
        <f>TEXT(TwitterClean[[#This Row],[Post_Date]],"dddd")</f>
        <v>Monday</v>
      </c>
      <c r="AF975">
        <f>HOUR(TwitterClean[[#This Row],[Post_Time]])</f>
        <v>4</v>
      </c>
      <c r="AG975" t="str">
        <f>IF(TwitterClean[[#This Row],[videos]]="Null","No","Yes")</f>
        <v>No</v>
      </c>
      <c r="AH975" t="str">
        <f>IF(TwitterClean[[#This Row],[photos]]="null","No","Yes")</f>
        <v>No</v>
      </c>
      <c r="AI975" t="str">
        <f>IF(TwitterClean[[#This Row],[hashtags]]="null","No","Yes")</f>
        <v>No</v>
      </c>
      <c r="AJ975" t="str">
        <f>IF(TwitterClean[[#This Row],[external_url]]="null","Yes","No")</f>
        <v>No</v>
      </c>
      <c r="AK975">
        <f>LEN(TwitterClean[[#This Row],[description]])</f>
        <v>194</v>
      </c>
      <c r="AL975" t="str">
        <f>IF(TwitterClean[[#This Row],[followers]]&lt;100000,"&lt;100K",IF(TwitterClean[[#This Row],[followers]]&lt;1000000,"100K-1M",IF(TwitterClean[[#This Row],[followers]]&lt;10000000,"1M-10M","10M+")))</f>
        <v>1M-10M</v>
      </c>
    </row>
    <row r="976" spans="1:38">
      <c r="A976">
        <v>1.868303110046667E+18</v>
      </c>
      <c r="B976" t="s">
        <v>2935</v>
      </c>
      <c r="C976" t="s">
        <v>2936</v>
      </c>
      <c r="D976" t="s">
        <v>3349</v>
      </c>
      <c r="E976" t="s">
        <v>3350</v>
      </c>
      <c r="F976" t="s">
        <v>29</v>
      </c>
      <c r="G976" t="s">
        <v>3351</v>
      </c>
      <c r="H976" t="s">
        <v>3146</v>
      </c>
      <c r="I976">
        <v>2</v>
      </c>
      <c r="J976">
        <v>5</v>
      </c>
      <c r="K976">
        <v>13</v>
      </c>
      <c r="L976">
        <v>29831</v>
      </c>
      <c r="M976" t="s">
        <v>3352</v>
      </c>
      <c r="N976" t="s">
        <v>29</v>
      </c>
      <c r="O976">
        <v>9564155</v>
      </c>
      <c r="P976" t="s">
        <v>2941</v>
      </c>
      <c r="Q976">
        <v>1125277</v>
      </c>
      <c r="R976" t="s">
        <v>2942</v>
      </c>
      <c r="S976">
        <v>93</v>
      </c>
      <c r="T976" t="b">
        <v>0</v>
      </c>
      <c r="U976">
        <v>1</v>
      </c>
      <c r="V976">
        <v>3</v>
      </c>
      <c r="W976" t="s">
        <v>35</v>
      </c>
      <c r="X976" t="s">
        <v>3353</v>
      </c>
      <c r="Y976" t="s">
        <v>29</v>
      </c>
      <c r="Z976" t="s">
        <v>37</v>
      </c>
      <c r="AA976">
        <f>TwitterClean[[#This Row],[likes]]+TwitterClean[[#This Row],[replies]]+TwitterClean[[#This Row],[reposts]]+TwitterClean[[#This Row],[quotes]]+TwitterClean[[#This Row],[bookmarks]]</f>
        <v>24</v>
      </c>
      <c r="AB976" s="1">
        <f>TwitterClean[[#This Row],[Total_Engagements]]/TwitterClean[[#This Row],[views]]</f>
        <v>8.0453219804900943E-4</v>
      </c>
      <c r="AC976" s="3">
        <f>DATEVALUE(MID(TwitterClean[[#This Row],[date_posted]],2,10))</f>
        <v>45641</v>
      </c>
      <c r="AD976">
        <f>TIMEVALUE(MID(TwitterClean[[#This Row],[date_posted]],13,8))</f>
        <v>0.60586805555555556</v>
      </c>
      <c r="AE976" s="3" t="str">
        <f>TEXT(TwitterClean[[#This Row],[Post_Date]],"dddd")</f>
        <v>Sunday</v>
      </c>
      <c r="AF976">
        <f>HOUR(TwitterClean[[#This Row],[Post_Time]])</f>
        <v>14</v>
      </c>
      <c r="AG976" t="str">
        <f>IF(TwitterClean[[#This Row],[videos]]="Null","No","Yes")</f>
        <v>No</v>
      </c>
      <c r="AH976" t="str">
        <f>IF(TwitterClean[[#This Row],[photos]]="null","No","Yes")</f>
        <v>No</v>
      </c>
      <c r="AI976" t="str">
        <f>IF(TwitterClean[[#This Row],[hashtags]]="null","No","Yes")</f>
        <v>No</v>
      </c>
      <c r="AJ976" t="str">
        <f>IF(TwitterClean[[#This Row],[external_url]]="null","Yes","No")</f>
        <v>No</v>
      </c>
      <c r="AK976">
        <f>LEN(TwitterClean[[#This Row],[description]])</f>
        <v>153</v>
      </c>
      <c r="AL976" t="str">
        <f>IF(TwitterClean[[#This Row],[followers]]&lt;100000,"&lt;100K",IF(TwitterClean[[#This Row],[followers]]&lt;1000000,"100K-1M",IF(TwitterClean[[#This Row],[followers]]&lt;10000000,"1M-10M","10M+")))</f>
        <v>1M-10M</v>
      </c>
    </row>
    <row r="977" spans="1:38">
      <c r="A977">
        <v>1.8680873250176942E+18</v>
      </c>
      <c r="B977" t="s">
        <v>4280</v>
      </c>
      <c r="C977" t="s">
        <v>4280</v>
      </c>
      <c r="D977" t="s">
        <v>4395</v>
      </c>
      <c r="E977" t="s">
        <v>4396</v>
      </c>
      <c r="F977" t="s">
        <v>29</v>
      </c>
      <c r="G977" t="s">
        <v>4397</v>
      </c>
      <c r="H977" t="s">
        <v>29</v>
      </c>
      <c r="I977">
        <v>6</v>
      </c>
      <c r="J977">
        <v>3</v>
      </c>
      <c r="K977">
        <v>18</v>
      </c>
      <c r="L977">
        <v>36071</v>
      </c>
      <c r="M977" t="s">
        <v>4398</v>
      </c>
      <c r="N977" t="s">
        <v>29</v>
      </c>
      <c r="O977">
        <v>2356528</v>
      </c>
      <c r="P977" t="s">
        <v>4285</v>
      </c>
      <c r="Q977">
        <v>338240</v>
      </c>
      <c r="R977" t="s">
        <v>4286</v>
      </c>
      <c r="S977">
        <v>1981</v>
      </c>
      <c r="T977" t="b">
        <v>0</v>
      </c>
      <c r="U977">
        <v>1</v>
      </c>
      <c r="V977">
        <v>1</v>
      </c>
      <c r="W977" t="s">
        <v>35</v>
      </c>
      <c r="X977" t="s">
        <v>4399</v>
      </c>
      <c r="Y977" t="s">
        <v>29</v>
      </c>
      <c r="Z977" t="s">
        <v>37</v>
      </c>
      <c r="AA977">
        <f>TwitterClean[[#This Row],[likes]]+TwitterClean[[#This Row],[replies]]+TwitterClean[[#This Row],[reposts]]+TwitterClean[[#This Row],[quotes]]+TwitterClean[[#This Row],[bookmarks]]</f>
        <v>29</v>
      </c>
      <c r="AB977" s="1">
        <f>TwitterClean[[#This Row],[Total_Engagements]]/TwitterClean[[#This Row],[views]]</f>
        <v>8.0396994815779986E-4</v>
      </c>
      <c r="AC977" s="3">
        <f>DATEVALUE(MID(TwitterClean[[#This Row],[date_posted]],2,10))</f>
        <v>45641</v>
      </c>
      <c r="AD977">
        <f>TIMEVALUE(MID(TwitterClean[[#This Row],[date_posted]],13,8))</f>
        <v>1.0416666666666666E-2</v>
      </c>
      <c r="AE977" s="3" t="str">
        <f>TEXT(TwitterClean[[#This Row],[Post_Date]],"dddd")</f>
        <v>Sunday</v>
      </c>
      <c r="AF977">
        <f>HOUR(TwitterClean[[#This Row],[Post_Time]])</f>
        <v>0</v>
      </c>
      <c r="AG977" t="str">
        <f>IF(TwitterClean[[#This Row],[videos]]="Null","No","Yes")</f>
        <v>No</v>
      </c>
      <c r="AH977" t="str">
        <f>IF(TwitterClean[[#This Row],[photos]]="null","No","Yes")</f>
        <v>No</v>
      </c>
      <c r="AI977" t="str">
        <f>IF(TwitterClean[[#This Row],[hashtags]]="null","No","Yes")</f>
        <v>No</v>
      </c>
      <c r="AJ977" t="str">
        <f>IF(TwitterClean[[#This Row],[external_url]]="null","Yes","No")</f>
        <v>No</v>
      </c>
      <c r="AK977">
        <f>LEN(TwitterClean[[#This Row],[description]])</f>
        <v>86</v>
      </c>
      <c r="AL977" t="str">
        <f>IF(TwitterClean[[#This Row],[followers]]&lt;100000,"&lt;100K",IF(TwitterClean[[#This Row],[followers]]&lt;1000000,"100K-1M",IF(TwitterClean[[#This Row],[followers]]&lt;10000000,"1M-10M","10M+")))</f>
        <v>1M-10M</v>
      </c>
    </row>
    <row r="978" spans="1:38">
      <c r="A978">
        <v>1.8683953097489574E+18</v>
      </c>
      <c r="B978" t="s">
        <v>4280</v>
      </c>
      <c r="C978" t="s">
        <v>4280</v>
      </c>
      <c r="D978" t="s">
        <v>4326</v>
      </c>
      <c r="E978" t="s">
        <v>4327</v>
      </c>
      <c r="F978" t="s">
        <v>29</v>
      </c>
      <c r="G978" t="s">
        <v>4328</v>
      </c>
      <c r="H978" t="s">
        <v>4329</v>
      </c>
      <c r="I978">
        <v>4</v>
      </c>
      <c r="J978">
        <v>5</v>
      </c>
      <c r="K978">
        <v>21</v>
      </c>
      <c r="L978">
        <v>41355</v>
      </c>
      <c r="M978" t="s">
        <v>4330</v>
      </c>
      <c r="N978" t="s">
        <v>4331</v>
      </c>
      <c r="O978">
        <v>2356524</v>
      </c>
      <c r="P978" t="s">
        <v>4285</v>
      </c>
      <c r="Q978">
        <v>338240</v>
      </c>
      <c r="R978" t="s">
        <v>4286</v>
      </c>
      <c r="S978">
        <v>1981</v>
      </c>
      <c r="T978" t="b">
        <v>0</v>
      </c>
      <c r="U978">
        <v>0</v>
      </c>
      <c r="V978">
        <v>2</v>
      </c>
      <c r="W978" t="s">
        <v>35</v>
      </c>
      <c r="X978" t="s">
        <v>29</v>
      </c>
      <c r="Y978" t="s">
        <v>4332</v>
      </c>
      <c r="Z978" t="s">
        <v>37</v>
      </c>
      <c r="AA978">
        <f>TwitterClean[[#This Row],[likes]]+TwitterClean[[#This Row],[replies]]+TwitterClean[[#This Row],[reposts]]+TwitterClean[[#This Row],[quotes]]+TwitterClean[[#This Row],[bookmarks]]</f>
        <v>32</v>
      </c>
      <c r="AB978" s="1">
        <f>TwitterClean[[#This Row],[Total_Engagements]]/TwitterClean[[#This Row],[views]]</f>
        <v>7.7378793374440814E-4</v>
      </c>
      <c r="AC978" s="3">
        <f>DATEVALUE(MID(TwitterClean[[#This Row],[date_posted]],2,10))</f>
        <v>45641</v>
      </c>
      <c r="AD978">
        <f>TIMEVALUE(MID(TwitterClean[[#This Row],[date_posted]],13,8))</f>
        <v>0.86028935185185185</v>
      </c>
      <c r="AE978" s="3" t="str">
        <f>TEXT(TwitterClean[[#This Row],[Post_Date]],"dddd")</f>
        <v>Sunday</v>
      </c>
      <c r="AF978">
        <f>HOUR(TwitterClean[[#This Row],[Post_Time]])</f>
        <v>20</v>
      </c>
      <c r="AG978" t="str">
        <f>IF(TwitterClean[[#This Row],[videos]]="Null","No","Yes")</f>
        <v>Yes</v>
      </c>
      <c r="AH978" t="str">
        <f>IF(TwitterClean[[#This Row],[photos]]="null","No","Yes")</f>
        <v>No</v>
      </c>
      <c r="AI978" t="str">
        <f>IF(TwitterClean[[#This Row],[hashtags]]="null","No","Yes")</f>
        <v>Yes</v>
      </c>
      <c r="AJ978" t="str">
        <f>IF(TwitterClean[[#This Row],[external_url]]="null","Yes","No")</f>
        <v>No</v>
      </c>
      <c r="AK978">
        <f>LEN(TwitterClean[[#This Row],[description]])</f>
        <v>199</v>
      </c>
      <c r="AL978" t="str">
        <f>IF(TwitterClean[[#This Row],[followers]]&lt;100000,"&lt;100K",IF(TwitterClean[[#This Row],[followers]]&lt;1000000,"100K-1M",IF(TwitterClean[[#This Row],[followers]]&lt;10000000,"1M-10M","10M+")))</f>
        <v>1M-10M</v>
      </c>
    </row>
    <row r="979" spans="1:38">
      <c r="A979">
        <v>1.8683253020168893E+18</v>
      </c>
      <c r="B979" t="s">
        <v>2935</v>
      </c>
      <c r="C979" t="s">
        <v>2936</v>
      </c>
      <c r="D979" t="s">
        <v>3138</v>
      </c>
      <c r="E979" t="s">
        <v>2981</v>
      </c>
      <c r="F979" t="s">
        <v>29</v>
      </c>
      <c r="G979" t="s">
        <v>3139</v>
      </c>
      <c r="H979" t="s">
        <v>3140</v>
      </c>
      <c r="I979">
        <v>6</v>
      </c>
      <c r="J979">
        <v>1</v>
      </c>
      <c r="K979">
        <v>8</v>
      </c>
      <c r="L979">
        <v>24946</v>
      </c>
      <c r="M979" t="s">
        <v>3141</v>
      </c>
      <c r="N979" t="s">
        <v>29</v>
      </c>
      <c r="O979">
        <v>9564155</v>
      </c>
      <c r="P979" t="s">
        <v>2941</v>
      </c>
      <c r="Q979">
        <v>1125277</v>
      </c>
      <c r="R979" t="s">
        <v>2942</v>
      </c>
      <c r="S979">
        <v>93</v>
      </c>
      <c r="T979" t="b">
        <v>0</v>
      </c>
      <c r="U979">
        <v>0</v>
      </c>
      <c r="V979">
        <v>4</v>
      </c>
      <c r="W979" t="s">
        <v>35</v>
      </c>
      <c r="X979" t="s">
        <v>3142</v>
      </c>
      <c r="Y979" t="s">
        <v>29</v>
      </c>
      <c r="Z979" t="s">
        <v>37</v>
      </c>
      <c r="AA979">
        <f>TwitterClean[[#This Row],[likes]]+TwitterClean[[#This Row],[replies]]+TwitterClean[[#This Row],[reposts]]+TwitterClean[[#This Row],[quotes]]+TwitterClean[[#This Row],[bookmarks]]</f>
        <v>19</v>
      </c>
      <c r="AB979" s="1">
        <f>TwitterClean[[#This Row],[Total_Engagements]]/TwitterClean[[#This Row],[views]]</f>
        <v>7.616451535316283E-4</v>
      </c>
      <c r="AC979" s="3">
        <f>DATEVALUE(MID(TwitterClean[[#This Row],[date_posted]],2,10))</f>
        <v>45641</v>
      </c>
      <c r="AD979">
        <f>TIMEVALUE(MID(TwitterClean[[#This Row],[date_posted]],13,8))</f>
        <v>0.66710648148148144</v>
      </c>
      <c r="AE979" s="3" t="str">
        <f>TEXT(TwitterClean[[#This Row],[Post_Date]],"dddd")</f>
        <v>Sunday</v>
      </c>
      <c r="AF979">
        <f>HOUR(TwitterClean[[#This Row],[Post_Time]])</f>
        <v>16</v>
      </c>
      <c r="AG979" t="str">
        <f>IF(TwitterClean[[#This Row],[videos]]="Null","No","Yes")</f>
        <v>No</v>
      </c>
      <c r="AH979" t="str">
        <f>IF(TwitterClean[[#This Row],[photos]]="null","No","Yes")</f>
        <v>No</v>
      </c>
      <c r="AI979" t="str">
        <f>IF(TwitterClean[[#This Row],[hashtags]]="null","No","Yes")</f>
        <v>No</v>
      </c>
      <c r="AJ979" t="str">
        <f>IF(TwitterClean[[#This Row],[external_url]]="null","Yes","No")</f>
        <v>No</v>
      </c>
      <c r="AK979">
        <f>LEN(TwitterClean[[#This Row],[description]])</f>
        <v>134</v>
      </c>
      <c r="AL979" t="str">
        <f>IF(TwitterClean[[#This Row],[followers]]&lt;100000,"&lt;100K",IF(TwitterClean[[#This Row],[followers]]&lt;1000000,"100K-1M",IF(TwitterClean[[#This Row],[followers]]&lt;10000000,"1M-10M","10M+")))</f>
        <v>1M-10M</v>
      </c>
    </row>
    <row r="980" spans="1:38">
      <c r="A980">
        <v>1.8684726550089731E+18</v>
      </c>
      <c r="B980" t="s">
        <v>2935</v>
      </c>
      <c r="C980" t="s">
        <v>2936</v>
      </c>
      <c r="D980" t="s">
        <v>3464</v>
      </c>
      <c r="E980" t="s">
        <v>3465</v>
      </c>
      <c r="F980" t="s">
        <v>29</v>
      </c>
      <c r="G980" t="s">
        <v>3466</v>
      </c>
      <c r="H980" t="s">
        <v>29</v>
      </c>
      <c r="I980">
        <v>2</v>
      </c>
      <c r="J980">
        <v>4</v>
      </c>
      <c r="K980">
        <v>13</v>
      </c>
      <c r="L980">
        <v>30055</v>
      </c>
      <c r="M980" t="s">
        <v>3467</v>
      </c>
      <c r="N980" t="s">
        <v>29</v>
      </c>
      <c r="O980">
        <v>9564232</v>
      </c>
      <c r="P980" t="s">
        <v>2941</v>
      </c>
      <c r="Q980">
        <v>1125277</v>
      </c>
      <c r="R980" t="s">
        <v>2942</v>
      </c>
      <c r="S980">
        <v>93</v>
      </c>
      <c r="T980" t="b">
        <v>0</v>
      </c>
      <c r="U980">
        <v>2</v>
      </c>
      <c r="V980">
        <v>1</v>
      </c>
      <c r="W980" t="s">
        <v>35</v>
      </c>
      <c r="X980" t="s">
        <v>3468</v>
      </c>
      <c r="Y980" t="s">
        <v>29</v>
      </c>
      <c r="Z980" t="s">
        <v>37</v>
      </c>
      <c r="AA980">
        <f>TwitterClean[[#This Row],[likes]]+TwitterClean[[#This Row],[replies]]+TwitterClean[[#This Row],[reposts]]+TwitterClean[[#This Row],[quotes]]+TwitterClean[[#This Row],[bookmarks]]</f>
        <v>22</v>
      </c>
      <c r="AB980" s="1">
        <f>TwitterClean[[#This Row],[Total_Engagements]]/TwitterClean[[#This Row],[views]]</f>
        <v>7.3199134919314595E-4</v>
      </c>
      <c r="AC980" s="3">
        <f>DATEVALUE(MID(TwitterClean[[#This Row],[date_posted]],2,10))</f>
        <v>45642</v>
      </c>
      <c r="AD980">
        <f>TIMEVALUE(MID(TwitterClean[[#This Row],[date_posted]],13,8))</f>
        <v>7.3726851851851849E-2</v>
      </c>
      <c r="AE980" s="3" t="str">
        <f>TEXT(TwitterClean[[#This Row],[Post_Date]],"dddd")</f>
        <v>Monday</v>
      </c>
      <c r="AF980">
        <f>HOUR(TwitterClean[[#This Row],[Post_Time]])</f>
        <v>1</v>
      </c>
      <c r="AG980" t="str">
        <f>IF(TwitterClean[[#This Row],[videos]]="Null","No","Yes")</f>
        <v>No</v>
      </c>
      <c r="AH980" t="str">
        <f>IF(TwitterClean[[#This Row],[photos]]="null","No","Yes")</f>
        <v>No</v>
      </c>
      <c r="AI980" t="str">
        <f>IF(TwitterClean[[#This Row],[hashtags]]="null","No","Yes")</f>
        <v>No</v>
      </c>
      <c r="AJ980" t="str">
        <f>IF(TwitterClean[[#This Row],[external_url]]="null","Yes","No")</f>
        <v>No</v>
      </c>
      <c r="AK980">
        <f>LEN(TwitterClean[[#This Row],[description]])</f>
        <v>254</v>
      </c>
      <c r="AL980" t="str">
        <f>IF(TwitterClean[[#This Row],[followers]]&lt;100000,"&lt;100K",IF(TwitterClean[[#This Row],[followers]]&lt;1000000,"100K-1M",IF(TwitterClean[[#This Row],[followers]]&lt;10000000,"1M-10M","10M+")))</f>
        <v>1M-10M</v>
      </c>
    </row>
    <row r="981" spans="1:38">
      <c r="A981">
        <v>1.8681932964570849E+18</v>
      </c>
      <c r="B981" t="s">
        <v>2935</v>
      </c>
      <c r="C981" t="s">
        <v>2936</v>
      </c>
      <c r="D981" t="s">
        <v>3357</v>
      </c>
      <c r="E981" t="s">
        <v>3358</v>
      </c>
      <c r="F981" t="s">
        <v>29</v>
      </c>
      <c r="G981" t="s">
        <v>3359</v>
      </c>
      <c r="H981" t="s">
        <v>3360</v>
      </c>
      <c r="I981">
        <v>0</v>
      </c>
      <c r="J981">
        <v>4</v>
      </c>
      <c r="K981">
        <v>11</v>
      </c>
      <c r="L981">
        <v>24837</v>
      </c>
      <c r="M981" t="s">
        <v>3361</v>
      </c>
      <c r="N981" t="s">
        <v>29</v>
      </c>
      <c r="O981">
        <v>9564155</v>
      </c>
      <c r="P981" t="s">
        <v>2941</v>
      </c>
      <c r="Q981">
        <v>1125277</v>
      </c>
      <c r="R981" t="s">
        <v>2942</v>
      </c>
      <c r="S981">
        <v>93</v>
      </c>
      <c r="T981" t="b">
        <v>0</v>
      </c>
      <c r="U981">
        <v>1</v>
      </c>
      <c r="V981">
        <v>2</v>
      </c>
      <c r="W981" t="s">
        <v>35</v>
      </c>
      <c r="X981" t="s">
        <v>3362</v>
      </c>
      <c r="Y981" t="s">
        <v>29</v>
      </c>
      <c r="Z981" t="s">
        <v>37</v>
      </c>
      <c r="AA981">
        <f>TwitterClean[[#This Row],[likes]]+TwitterClean[[#This Row],[replies]]+TwitterClean[[#This Row],[reposts]]+TwitterClean[[#This Row],[quotes]]+TwitterClean[[#This Row],[bookmarks]]</f>
        <v>18</v>
      </c>
      <c r="AB981" s="1">
        <f>TwitterClean[[#This Row],[Total_Engagements]]/TwitterClean[[#This Row],[views]]</f>
        <v>7.247252083584974E-4</v>
      </c>
      <c r="AC981" s="3">
        <f>DATEVALUE(MID(TwitterClean[[#This Row],[date_posted]],2,10))</f>
        <v>45641</v>
      </c>
      <c r="AD981">
        <f>TIMEVALUE(MID(TwitterClean[[#This Row],[date_posted]],13,8))</f>
        <v>0.30283564814814817</v>
      </c>
      <c r="AE981" s="3" t="str">
        <f>TEXT(TwitterClean[[#This Row],[Post_Date]],"dddd")</f>
        <v>Sunday</v>
      </c>
      <c r="AF981">
        <f>HOUR(TwitterClean[[#This Row],[Post_Time]])</f>
        <v>7</v>
      </c>
      <c r="AG981" t="str">
        <f>IF(TwitterClean[[#This Row],[videos]]="Null","No","Yes")</f>
        <v>No</v>
      </c>
      <c r="AH981" t="str">
        <f>IF(TwitterClean[[#This Row],[photos]]="null","No","Yes")</f>
        <v>No</v>
      </c>
      <c r="AI981" t="str">
        <f>IF(TwitterClean[[#This Row],[hashtags]]="null","No","Yes")</f>
        <v>No</v>
      </c>
      <c r="AJ981" t="str">
        <f>IF(TwitterClean[[#This Row],[external_url]]="null","Yes","No")</f>
        <v>No</v>
      </c>
      <c r="AK981">
        <f>LEN(TwitterClean[[#This Row],[description]])</f>
        <v>246</v>
      </c>
      <c r="AL981" t="str">
        <f>IF(TwitterClean[[#This Row],[followers]]&lt;100000,"&lt;100K",IF(TwitterClean[[#This Row],[followers]]&lt;1000000,"100K-1M",IF(TwitterClean[[#This Row],[followers]]&lt;10000000,"1M-10M","10M+")))</f>
        <v>1M-10M</v>
      </c>
    </row>
    <row r="982" spans="1:38">
      <c r="A982">
        <v>1.868325302302028E+18</v>
      </c>
      <c r="B982" t="s">
        <v>2935</v>
      </c>
      <c r="C982" t="s">
        <v>2936</v>
      </c>
      <c r="D982" t="s">
        <v>3904</v>
      </c>
      <c r="E982" t="s">
        <v>2981</v>
      </c>
      <c r="F982" t="s">
        <v>29</v>
      </c>
      <c r="G982" t="s">
        <v>3905</v>
      </c>
      <c r="H982" t="s">
        <v>3906</v>
      </c>
      <c r="I982">
        <v>5</v>
      </c>
      <c r="J982">
        <v>1</v>
      </c>
      <c r="K982">
        <v>9</v>
      </c>
      <c r="L982">
        <v>25129</v>
      </c>
      <c r="M982" t="s">
        <v>3907</v>
      </c>
      <c r="N982" t="s">
        <v>29</v>
      </c>
      <c r="O982">
        <v>9564155</v>
      </c>
      <c r="P982" t="s">
        <v>2941</v>
      </c>
      <c r="Q982">
        <v>1125277</v>
      </c>
      <c r="R982" t="s">
        <v>2942</v>
      </c>
      <c r="S982">
        <v>93</v>
      </c>
      <c r="T982" t="b">
        <v>0</v>
      </c>
      <c r="U982">
        <v>0</v>
      </c>
      <c r="V982">
        <v>2</v>
      </c>
      <c r="W982" t="s">
        <v>35</v>
      </c>
      <c r="X982" t="s">
        <v>3908</v>
      </c>
      <c r="Y982" t="s">
        <v>29</v>
      </c>
      <c r="Z982" t="s">
        <v>37</v>
      </c>
      <c r="AA982">
        <f>TwitterClean[[#This Row],[likes]]+TwitterClean[[#This Row],[replies]]+TwitterClean[[#This Row],[reposts]]+TwitterClean[[#This Row],[quotes]]+TwitterClean[[#This Row],[bookmarks]]</f>
        <v>17</v>
      </c>
      <c r="AB982" s="1">
        <f>TwitterClean[[#This Row],[Total_Engagements]]/TwitterClean[[#This Row],[views]]</f>
        <v>6.7650921246368732E-4</v>
      </c>
      <c r="AC982" s="3">
        <f>DATEVALUE(MID(TwitterClean[[#This Row],[date_posted]],2,10))</f>
        <v>45641</v>
      </c>
      <c r="AD982">
        <f>TIMEVALUE(MID(TwitterClean[[#This Row],[date_posted]],13,8))</f>
        <v>0.66710648148148144</v>
      </c>
      <c r="AE982" s="3" t="str">
        <f>TEXT(TwitterClean[[#This Row],[Post_Date]],"dddd")</f>
        <v>Sunday</v>
      </c>
      <c r="AF982">
        <f>HOUR(TwitterClean[[#This Row],[Post_Time]])</f>
        <v>16</v>
      </c>
      <c r="AG982" t="str">
        <f>IF(TwitterClean[[#This Row],[videos]]="Null","No","Yes")</f>
        <v>No</v>
      </c>
      <c r="AH982" t="str">
        <f>IF(TwitterClean[[#This Row],[photos]]="null","No","Yes")</f>
        <v>No</v>
      </c>
      <c r="AI982" t="str">
        <f>IF(TwitterClean[[#This Row],[hashtags]]="null","No","Yes")</f>
        <v>No</v>
      </c>
      <c r="AJ982" t="str">
        <f>IF(TwitterClean[[#This Row],[external_url]]="null","Yes","No")</f>
        <v>No</v>
      </c>
      <c r="AK982">
        <f>LEN(TwitterClean[[#This Row],[description]])</f>
        <v>134</v>
      </c>
      <c r="AL982" t="str">
        <f>IF(TwitterClean[[#This Row],[followers]]&lt;100000,"&lt;100K",IF(TwitterClean[[#This Row],[followers]]&lt;1000000,"100K-1M",IF(TwitterClean[[#This Row],[followers]]&lt;10000000,"1M-10M","10M+")))</f>
        <v>1M-10M</v>
      </c>
    </row>
    <row r="983" spans="1:38">
      <c r="A983">
        <v>1.8684571605117624E+18</v>
      </c>
      <c r="B983" t="s">
        <v>2935</v>
      </c>
      <c r="C983" t="s">
        <v>2936</v>
      </c>
      <c r="D983" t="s">
        <v>2975</v>
      </c>
      <c r="E983" t="s">
        <v>2976</v>
      </c>
      <c r="F983" t="s">
        <v>29</v>
      </c>
      <c r="G983" t="s">
        <v>2977</v>
      </c>
      <c r="H983" t="s">
        <v>29</v>
      </c>
      <c r="I983">
        <v>3</v>
      </c>
      <c r="J983">
        <v>2</v>
      </c>
      <c r="K983">
        <v>11</v>
      </c>
      <c r="L983">
        <v>29195</v>
      </c>
      <c r="M983" t="s">
        <v>2978</v>
      </c>
      <c r="N983" t="s">
        <v>29</v>
      </c>
      <c r="O983">
        <v>9564231</v>
      </c>
      <c r="P983" t="s">
        <v>2941</v>
      </c>
      <c r="Q983">
        <v>1125277</v>
      </c>
      <c r="R983" t="s">
        <v>2942</v>
      </c>
      <c r="S983">
        <v>93</v>
      </c>
      <c r="T983" t="b">
        <v>0</v>
      </c>
      <c r="U983">
        <v>1</v>
      </c>
      <c r="V983">
        <v>2</v>
      </c>
      <c r="W983" t="s">
        <v>35</v>
      </c>
      <c r="X983" t="s">
        <v>2979</v>
      </c>
      <c r="Y983" t="s">
        <v>29</v>
      </c>
      <c r="Z983" t="s">
        <v>37</v>
      </c>
      <c r="AA983">
        <f>TwitterClean[[#This Row],[likes]]+TwitterClean[[#This Row],[replies]]+TwitterClean[[#This Row],[reposts]]+TwitterClean[[#This Row],[quotes]]+TwitterClean[[#This Row],[bookmarks]]</f>
        <v>19</v>
      </c>
      <c r="AB983" s="1">
        <f>TwitterClean[[#This Row],[Total_Engagements]]/TwitterClean[[#This Row],[views]]</f>
        <v>6.5079636924130846E-4</v>
      </c>
      <c r="AC983" s="3">
        <f>DATEVALUE(MID(TwitterClean[[#This Row],[date_posted]],2,10))</f>
        <v>45642</v>
      </c>
      <c r="AD983">
        <f>TIMEVALUE(MID(TwitterClean[[#This Row],[date_posted]],13,8))</f>
        <v>3.0960648148148147E-2</v>
      </c>
      <c r="AE983" s="3" t="str">
        <f>TEXT(TwitterClean[[#This Row],[Post_Date]],"dddd")</f>
        <v>Monday</v>
      </c>
      <c r="AF983">
        <f>HOUR(TwitterClean[[#This Row],[Post_Time]])</f>
        <v>0</v>
      </c>
      <c r="AG983" t="str">
        <f>IF(TwitterClean[[#This Row],[videos]]="Null","No","Yes")</f>
        <v>No</v>
      </c>
      <c r="AH983" t="str">
        <f>IF(TwitterClean[[#This Row],[photos]]="null","No","Yes")</f>
        <v>No</v>
      </c>
      <c r="AI983" t="str">
        <f>IF(TwitterClean[[#This Row],[hashtags]]="null","No","Yes")</f>
        <v>No</v>
      </c>
      <c r="AJ983" t="str">
        <f>IF(TwitterClean[[#This Row],[external_url]]="null","Yes","No")</f>
        <v>No</v>
      </c>
      <c r="AK983">
        <f>LEN(TwitterClean[[#This Row],[description]])</f>
        <v>131</v>
      </c>
      <c r="AL983" t="str">
        <f>IF(TwitterClean[[#This Row],[followers]]&lt;100000,"&lt;100K",IF(TwitterClean[[#This Row],[followers]]&lt;1000000,"100K-1M",IF(TwitterClean[[#This Row],[followers]]&lt;10000000,"1M-10M","10M+")))</f>
        <v>1M-10M</v>
      </c>
    </row>
    <row r="984" spans="1:38">
      <c r="A984">
        <v>1.86820731486541E+18</v>
      </c>
      <c r="B984" t="s">
        <v>183</v>
      </c>
      <c r="C984" t="s">
        <v>184</v>
      </c>
      <c r="D984" t="s">
        <v>943</v>
      </c>
      <c r="E984" t="s">
        <v>944</v>
      </c>
      <c r="F984" t="s">
        <v>29</v>
      </c>
      <c r="G984" t="s">
        <v>945</v>
      </c>
      <c r="H984" t="s">
        <v>29</v>
      </c>
      <c r="I984">
        <v>4</v>
      </c>
      <c r="J984">
        <v>4</v>
      </c>
      <c r="K984">
        <v>17</v>
      </c>
      <c r="L984">
        <v>44946</v>
      </c>
      <c r="M984" t="s">
        <v>946</v>
      </c>
      <c r="N984" t="s">
        <v>29</v>
      </c>
      <c r="O984">
        <v>27123001</v>
      </c>
      <c r="P984" t="s">
        <v>190</v>
      </c>
      <c r="Q984">
        <v>402760</v>
      </c>
      <c r="R984" t="s">
        <v>191</v>
      </c>
      <c r="S984">
        <v>155</v>
      </c>
      <c r="T984" t="b">
        <v>0</v>
      </c>
      <c r="U984">
        <v>1</v>
      </c>
      <c r="V984">
        <v>3</v>
      </c>
      <c r="W984" t="s">
        <v>35</v>
      </c>
      <c r="X984" t="s">
        <v>947</v>
      </c>
      <c r="Y984" t="s">
        <v>29</v>
      </c>
      <c r="Z984" t="s">
        <v>37</v>
      </c>
      <c r="AA984">
        <f>TwitterClean[[#This Row],[likes]]+TwitterClean[[#This Row],[replies]]+TwitterClean[[#This Row],[reposts]]+TwitterClean[[#This Row],[quotes]]+TwitterClean[[#This Row],[bookmarks]]</f>
        <v>29</v>
      </c>
      <c r="AB984" s="1">
        <f>TwitterClean[[#This Row],[Total_Engagements]]/TwitterClean[[#This Row],[views]]</f>
        <v>6.4521870689271572E-4</v>
      </c>
      <c r="AC984" s="3">
        <f>DATEVALUE(MID(TwitterClean[[#This Row],[date_posted]],2,10))</f>
        <v>45641</v>
      </c>
      <c r="AD984">
        <f>TIMEVALUE(MID(TwitterClean[[#This Row],[date_posted]],13,8))</f>
        <v>0.34152777777777776</v>
      </c>
      <c r="AE984" s="3" t="str">
        <f>TEXT(TwitterClean[[#This Row],[Post_Date]],"dddd")</f>
        <v>Sunday</v>
      </c>
      <c r="AF984">
        <f>HOUR(TwitterClean[[#This Row],[Post_Time]])</f>
        <v>8</v>
      </c>
      <c r="AG984" t="str">
        <f>IF(TwitterClean[[#This Row],[videos]]="Null","No","Yes")</f>
        <v>No</v>
      </c>
      <c r="AH984" t="str">
        <f>IF(TwitterClean[[#This Row],[photos]]="null","No","Yes")</f>
        <v>No</v>
      </c>
      <c r="AI984" t="str">
        <f>IF(TwitterClean[[#This Row],[hashtags]]="null","No","Yes")</f>
        <v>No</v>
      </c>
      <c r="AJ984" t="str">
        <f>IF(TwitterClean[[#This Row],[external_url]]="null","Yes","No")</f>
        <v>No</v>
      </c>
      <c r="AK984">
        <f>LEN(TwitterClean[[#This Row],[description]])</f>
        <v>207</v>
      </c>
      <c r="AL984" t="str">
        <f>IF(TwitterClean[[#This Row],[followers]]&lt;100000,"&lt;100K",IF(TwitterClean[[#This Row],[followers]]&lt;1000000,"100K-1M",IF(TwitterClean[[#This Row],[followers]]&lt;10000000,"1M-10M","10M+")))</f>
        <v>10M+</v>
      </c>
    </row>
    <row r="985" spans="1:38">
      <c r="A985">
        <v>1.8684286510599334E+18</v>
      </c>
      <c r="B985" t="s">
        <v>2935</v>
      </c>
      <c r="C985" t="s">
        <v>2936</v>
      </c>
      <c r="D985" t="s">
        <v>3899</v>
      </c>
      <c r="E985" t="s">
        <v>3900</v>
      </c>
      <c r="F985" t="s">
        <v>29</v>
      </c>
      <c r="G985" t="s">
        <v>3901</v>
      </c>
      <c r="H985" t="s">
        <v>29</v>
      </c>
      <c r="I985">
        <v>1</v>
      </c>
      <c r="J985">
        <v>3</v>
      </c>
      <c r="K985">
        <v>12</v>
      </c>
      <c r="L985">
        <v>29536</v>
      </c>
      <c r="M985" t="s">
        <v>3902</v>
      </c>
      <c r="N985" t="s">
        <v>29</v>
      </c>
      <c r="O985">
        <v>9564157</v>
      </c>
      <c r="P985" t="s">
        <v>2941</v>
      </c>
      <c r="Q985">
        <v>1125277</v>
      </c>
      <c r="R985" t="s">
        <v>2942</v>
      </c>
      <c r="S985">
        <v>93</v>
      </c>
      <c r="T985" t="b">
        <v>0</v>
      </c>
      <c r="U985">
        <v>1</v>
      </c>
      <c r="V985">
        <v>2</v>
      </c>
      <c r="W985" t="s">
        <v>35</v>
      </c>
      <c r="X985" t="s">
        <v>3903</v>
      </c>
      <c r="Y985" t="s">
        <v>29</v>
      </c>
      <c r="Z985" t="s">
        <v>37</v>
      </c>
      <c r="AA985">
        <f>TwitterClean[[#This Row],[likes]]+TwitterClean[[#This Row],[replies]]+TwitterClean[[#This Row],[reposts]]+TwitterClean[[#This Row],[quotes]]+TwitterClean[[#This Row],[bookmarks]]</f>
        <v>19</v>
      </c>
      <c r="AB985" s="1">
        <f>TwitterClean[[#This Row],[Total_Engagements]]/TwitterClean[[#This Row],[views]]</f>
        <v>6.4328277356446369E-4</v>
      </c>
      <c r="AC985" s="3">
        <f>DATEVALUE(MID(TwitterClean[[#This Row],[date_posted]],2,10))</f>
        <v>45641</v>
      </c>
      <c r="AD985">
        <f>TIMEVALUE(MID(TwitterClean[[#This Row],[date_posted]],13,8))</f>
        <v>0.95229166666666665</v>
      </c>
      <c r="AE985" s="3" t="str">
        <f>TEXT(TwitterClean[[#This Row],[Post_Date]],"dddd")</f>
        <v>Sunday</v>
      </c>
      <c r="AF985">
        <f>HOUR(TwitterClean[[#This Row],[Post_Time]])</f>
        <v>22</v>
      </c>
      <c r="AG985" t="str">
        <f>IF(TwitterClean[[#This Row],[videos]]="Null","No","Yes")</f>
        <v>No</v>
      </c>
      <c r="AH985" t="str">
        <f>IF(TwitterClean[[#This Row],[photos]]="null","No","Yes")</f>
        <v>No</v>
      </c>
      <c r="AI985" t="str">
        <f>IF(TwitterClean[[#This Row],[hashtags]]="null","No","Yes")</f>
        <v>No</v>
      </c>
      <c r="AJ985" t="str">
        <f>IF(TwitterClean[[#This Row],[external_url]]="null","Yes","No")</f>
        <v>No</v>
      </c>
      <c r="AK985">
        <f>LEN(TwitterClean[[#This Row],[description]])</f>
        <v>55</v>
      </c>
      <c r="AL985" t="str">
        <f>IF(TwitterClean[[#This Row],[followers]]&lt;100000,"&lt;100K",IF(TwitterClean[[#This Row],[followers]]&lt;1000000,"100K-1M",IF(TwitterClean[[#This Row],[followers]]&lt;10000000,"1M-10M","10M+")))</f>
        <v>1M-10M</v>
      </c>
    </row>
    <row r="986" spans="1:38">
      <c r="A986">
        <v>1.8681661619777536E+18</v>
      </c>
      <c r="B986" t="s">
        <v>183</v>
      </c>
      <c r="C986" t="s">
        <v>184</v>
      </c>
      <c r="D986" t="s">
        <v>673</v>
      </c>
      <c r="E986" t="s">
        <v>674</v>
      </c>
      <c r="F986" t="s">
        <v>29</v>
      </c>
      <c r="G986" t="s">
        <v>675</v>
      </c>
      <c r="H986" t="s">
        <v>29</v>
      </c>
      <c r="I986">
        <v>5</v>
      </c>
      <c r="J986">
        <v>6</v>
      </c>
      <c r="K986">
        <v>20</v>
      </c>
      <c r="L986">
        <v>51909</v>
      </c>
      <c r="M986" t="s">
        <v>676</v>
      </c>
      <c r="N986" t="s">
        <v>29</v>
      </c>
      <c r="O986">
        <v>27123001</v>
      </c>
      <c r="P986" t="s">
        <v>190</v>
      </c>
      <c r="Q986">
        <v>402760</v>
      </c>
      <c r="R986" t="s">
        <v>191</v>
      </c>
      <c r="S986">
        <v>155</v>
      </c>
      <c r="T986" t="b">
        <v>0</v>
      </c>
      <c r="U986">
        <v>1</v>
      </c>
      <c r="V986">
        <v>1</v>
      </c>
      <c r="W986" t="s">
        <v>35</v>
      </c>
      <c r="X986" t="s">
        <v>677</v>
      </c>
      <c r="Y986" t="s">
        <v>29</v>
      </c>
      <c r="Z986" t="s">
        <v>37</v>
      </c>
      <c r="AA986">
        <f>TwitterClean[[#This Row],[likes]]+TwitterClean[[#This Row],[replies]]+TwitterClean[[#This Row],[reposts]]+TwitterClean[[#This Row],[quotes]]+TwitterClean[[#This Row],[bookmarks]]</f>
        <v>33</v>
      </c>
      <c r="AB986" s="1">
        <f>TwitterClean[[#This Row],[Total_Engagements]]/TwitterClean[[#This Row],[views]]</f>
        <v>6.3572790845518119E-4</v>
      </c>
      <c r="AC986" s="3">
        <f>DATEVALUE(MID(TwitterClean[[#This Row],[date_posted]],2,10))</f>
        <v>45641</v>
      </c>
      <c r="AD986">
        <f>TIMEVALUE(MID(TwitterClean[[#This Row],[date_posted]],13,8))</f>
        <v>0.22796296296296295</v>
      </c>
      <c r="AE986" s="3" t="str">
        <f>TEXT(TwitterClean[[#This Row],[Post_Date]],"dddd")</f>
        <v>Sunday</v>
      </c>
      <c r="AF986">
        <f>HOUR(TwitterClean[[#This Row],[Post_Time]])</f>
        <v>5</v>
      </c>
      <c r="AG986" t="str">
        <f>IF(TwitterClean[[#This Row],[videos]]="Null","No","Yes")</f>
        <v>No</v>
      </c>
      <c r="AH986" t="str">
        <f>IF(TwitterClean[[#This Row],[photos]]="null","No","Yes")</f>
        <v>No</v>
      </c>
      <c r="AI986" t="str">
        <f>IF(TwitterClean[[#This Row],[hashtags]]="null","No","Yes")</f>
        <v>No</v>
      </c>
      <c r="AJ986" t="str">
        <f>IF(TwitterClean[[#This Row],[external_url]]="null","Yes","No")</f>
        <v>No</v>
      </c>
      <c r="AK986">
        <f>LEN(TwitterClean[[#This Row],[description]])</f>
        <v>200</v>
      </c>
      <c r="AL986" t="str">
        <f>IF(TwitterClean[[#This Row],[followers]]&lt;100000,"&lt;100K",IF(TwitterClean[[#This Row],[followers]]&lt;1000000,"100K-1M",IF(TwitterClean[[#This Row],[followers]]&lt;10000000,"1M-10M","10M+")))</f>
        <v>10M+</v>
      </c>
    </row>
    <row r="987" spans="1:38">
      <c r="A987">
        <v>1.8683699683806822E+18</v>
      </c>
      <c r="B987" t="s">
        <v>183</v>
      </c>
      <c r="C987" t="s">
        <v>184</v>
      </c>
      <c r="D987" t="s">
        <v>663</v>
      </c>
      <c r="E987" t="s">
        <v>664</v>
      </c>
      <c r="F987" t="s">
        <v>29</v>
      </c>
      <c r="G987" t="s">
        <v>665</v>
      </c>
      <c r="H987" t="s">
        <v>29</v>
      </c>
      <c r="I987">
        <v>1</v>
      </c>
      <c r="J987">
        <v>6</v>
      </c>
      <c r="K987">
        <v>21</v>
      </c>
      <c r="L987">
        <v>48463</v>
      </c>
      <c r="M987" t="s">
        <v>666</v>
      </c>
      <c r="N987" t="s">
        <v>29</v>
      </c>
      <c r="O987">
        <v>27122998</v>
      </c>
      <c r="P987" t="s">
        <v>190</v>
      </c>
      <c r="Q987">
        <v>402760</v>
      </c>
      <c r="R987" t="s">
        <v>191</v>
      </c>
      <c r="S987">
        <v>155</v>
      </c>
      <c r="T987" t="b">
        <v>0</v>
      </c>
      <c r="U987">
        <v>1</v>
      </c>
      <c r="V987">
        <v>1</v>
      </c>
      <c r="W987" t="s">
        <v>35</v>
      </c>
      <c r="X987" t="s">
        <v>667</v>
      </c>
      <c r="Y987" t="s">
        <v>29</v>
      </c>
      <c r="Z987" t="s">
        <v>37</v>
      </c>
      <c r="AA987">
        <f>TwitterClean[[#This Row],[likes]]+TwitterClean[[#This Row],[replies]]+TwitterClean[[#This Row],[reposts]]+TwitterClean[[#This Row],[quotes]]+TwitterClean[[#This Row],[bookmarks]]</f>
        <v>30</v>
      </c>
      <c r="AB987" s="1">
        <f>TwitterClean[[#This Row],[Total_Engagements]]/TwitterClean[[#This Row],[views]]</f>
        <v>6.1902894992055799E-4</v>
      </c>
      <c r="AC987" s="3">
        <f>DATEVALUE(MID(TwitterClean[[#This Row],[date_posted]],2,10))</f>
        <v>45641</v>
      </c>
      <c r="AD987">
        <f>TIMEVALUE(MID(TwitterClean[[#This Row],[date_posted]],13,8))</f>
        <v>0.79035879629629635</v>
      </c>
      <c r="AE987" s="3" t="str">
        <f>TEXT(TwitterClean[[#This Row],[Post_Date]],"dddd")</f>
        <v>Sunday</v>
      </c>
      <c r="AF987">
        <f>HOUR(TwitterClean[[#This Row],[Post_Time]])</f>
        <v>18</v>
      </c>
      <c r="AG987" t="str">
        <f>IF(TwitterClean[[#This Row],[videos]]="Null","No","Yes")</f>
        <v>No</v>
      </c>
      <c r="AH987" t="str">
        <f>IF(TwitterClean[[#This Row],[photos]]="null","No","Yes")</f>
        <v>No</v>
      </c>
      <c r="AI987" t="str">
        <f>IF(TwitterClean[[#This Row],[hashtags]]="null","No","Yes")</f>
        <v>No</v>
      </c>
      <c r="AJ987" t="str">
        <f>IF(TwitterClean[[#This Row],[external_url]]="null","Yes","No")</f>
        <v>No</v>
      </c>
      <c r="AK987">
        <f>LEN(TwitterClean[[#This Row],[description]])</f>
        <v>141</v>
      </c>
      <c r="AL987" t="str">
        <f>IF(TwitterClean[[#This Row],[followers]]&lt;100000,"&lt;100K",IF(TwitterClean[[#This Row],[followers]]&lt;1000000,"100K-1M",IF(TwitterClean[[#This Row],[followers]]&lt;10000000,"1M-10M","10M+")))</f>
        <v>10M+</v>
      </c>
    </row>
    <row r="988" spans="1:38">
      <c r="A988">
        <v>1.8682950174851891E+18</v>
      </c>
      <c r="B988" t="s">
        <v>183</v>
      </c>
      <c r="C988" t="s">
        <v>184</v>
      </c>
      <c r="D988" t="s">
        <v>193</v>
      </c>
      <c r="E988" t="s">
        <v>194</v>
      </c>
      <c r="F988" t="s">
        <v>195</v>
      </c>
      <c r="G988" t="s">
        <v>196</v>
      </c>
      <c r="H988" t="s">
        <v>29</v>
      </c>
      <c r="I988">
        <v>4</v>
      </c>
      <c r="J988">
        <v>5</v>
      </c>
      <c r="K988">
        <v>19</v>
      </c>
      <c r="L988">
        <v>52230</v>
      </c>
      <c r="M988" t="s">
        <v>197</v>
      </c>
      <c r="N988" t="s">
        <v>29</v>
      </c>
      <c r="O988">
        <v>27122998</v>
      </c>
      <c r="P988" t="s">
        <v>190</v>
      </c>
      <c r="Q988">
        <v>402760</v>
      </c>
      <c r="R988" t="s">
        <v>191</v>
      </c>
      <c r="S988">
        <v>155</v>
      </c>
      <c r="T988" t="b">
        <v>0</v>
      </c>
      <c r="U988">
        <v>1</v>
      </c>
      <c r="V988">
        <v>3</v>
      </c>
      <c r="W988" t="s">
        <v>35</v>
      </c>
      <c r="X988" t="s">
        <v>29</v>
      </c>
      <c r="Y988" t="s">
        <v>29</v>
      </c>
      <c r="Z988" t="s">
        <v>37</v>
      </c>
      <c r="AA988">
        <f>TwitterClean[[#This Row],[likes]]+TwitterClean[[#This Row],[replies]]+TwitterClean[[#This Row],[reposts]]+TwitterClean[[#This Row],[quotes]]+TwitterClean[[#This Row],[bookmarks]]</f>
        <v>32</v>
      </c>
      <c r="AB988" s="1">
        <f>TwitterClean[[#This Row],[Total_Engagements]]/TwitterClean[[#This Row],[views]]</f>
        <v>6.1267470802220945E-4</v>
      </c>
      <c r="AC988" s="3">
        <f>DATEVALUE(MID(TwitterClean[[#This Row],[date_posted]],2,10))</f>
        <v>45641</v>
      </c>
      <c r="AD988">
        <f>TIMEVALUE(MID(TwitterClean[[#This Row],[date_posted]],13,8))</f>
        <v>0.58354166666666663</v>
      </c>
      <c r="AE988" s="3" t="str">
        <f>TEXT(TwitterClean[[#This Row],[Post_Date]],"dddd")</f>
        <v>Sunday</v>
      </c>
      <c r="AF988">
        <f>HOUR(TwitterClean[[#This Row],[Post_Time]])</f>
        <v>14</v>
      </c>
      <c r="AG988" t="str">
        <f>IF(TwitterClean[[#This Row],[videos]]="Null","No","Yes")</f>
        <v>No</v>
      </c>
      <c r="AH988" t="str">
        <f>IF(TwitterClean[[#This Row],[photos]]="null","No","Yes")</f>
        <v>Yes</v>
      </c>
      <c r="AI988" t="str">
        <f>IF(TwitterClean[[#This Row],[hashtags]]="null","No","Yes")</f>
        <v>No</v>
      </c>
      <c r="AJ988" t="str">
        <f>IF(TwitterClean[[#This Row],[external_url]]="null","Yes","No")</f>
        <v>No</v>
      </c>
      <c r="AK988">
        <f>LEN(TwitterClean[[#This Row],[description]])</f>
        <v>129</v>
      </c>
      <c r="AL988" t="str">
        <f>IF(TwitterClean[[#This Row],[followers]]&lt;100000,"&lt;100K",IF(TwitterClean[[#This Row],[followers]]&lt;1000000,"100K-1M",IF(TwitterClean[[#This Row],[followers]]&lt;10000000,"1M-10M","10M+")))</f>
        <v>10M+</v>
      </c>
    </row>
    <row r="989" spans="1:38">
      <c r="A989">
        <v>1.8683774956842028E+18</v>
      </c>
      <c r="B989" t="s">
        <v>183</v>
      </c>
      <c r="C989" t="s">
        <v>184</v>
      </c>
      <c r="D989" t="s">
        <v>508</v>
      </c>
      <c r="E989" t="s">
        <v>509</v>
      </c>
      <c r="F989" t="s">
        <v>29</v>
      </c>
      <c r="G989" t="s">
        <v>510</v>
      </c>
      <c r="H989" t="s">
        <v>29</v>
      </c>
      <c r="I989">
        <v>2</v>
      </c>
      <c r="J989">
        <v>3</v>
      </c>
      <c r="K989">
        <v>18</v>
      </c>
      <c r="L989">
        <v>50107</v>
      </c>
      <c r="M989" t="s">
        <v>511</v>
      </c>
      <c r="N989" t="s">
        <v>29</v>
      </c>
      <c r="O989">
        <v>27122999</v>
      </c>
      <c r="P989" t="s">
        <v>190</v>
      </c>
      <c r="Q989">
        <v>402760</v>
      </c>
      <c r="R989" t="s">
        <v>191</v>
      </c>
      <c r="S989">
        <v>155</v>
      </c>
      <c r="T989" t="b">
        <v>0</v>
      </c>
      <c r="U989">
        <v>2</v>
      </c>
      <c r="V989">
        <v>5</v>
      </c>
      <c r="W989" t="s">
        <v>35</v>
      </c>
      <c r="X989" t="s">
        <v>512</v>
      </c>
      <c r="Y989" t="s">
        <v>29</v>
      </c>
      <c r="Z989" t="s">
        <v>37</v>
      </c>
      <c r="AA989">
        <f>TwitterClean[[#This Row],[likes]]+TwitterClean[[#This Row],[replies]]+TwitterClean[[#This Row],[reposts]]+TwitterClean[[#This Row],[quotes]]+TwitterClean[[#This Row],[bookmarks]]</f>
        <v>30</v>
      </c>
      <c r="AB989" s="1">
        <f>TwitterClean[[#This Row],[Total_Engagements]]/TwitterClean[[#This Row],[views]]</f>
        <v>5.9871874189235032E-4</v>
      </c>
      <c r="AC989" s="3">
        <f>DATEVALUE(MID(TwitterClean[[#This Row],[date_posted]],2,10))</f>
        <v>45641</v>
      </c>
      <c r="AD989">
        <f>TIMEVALUE(MID(TwitterClean[[#This Row],[date_posted]],13,8))</f>
        <v>0.8111342592592593</v>
      </c>
      <c r="AE989" s="3" t="str">
        <f>TEXT(TwitterClean[[#This Row],[Post_Date]],"dddd")</f>
        <v>Sunday</v>
      </c>
      <c r="AF989">
        <f>HOUR(TwitterClean[[#This Row],[Post_Time]])</f>
        <v>19</v>
      </c>
      <c r="AG989" t="str">
        <f>IF(TwitterClean[[#This Row],[videos]]="Null","No","Yes")</f>
        <v>No</v>
      </c>
      <c r="AH989" t="str">
        <f>IF(TwitterClean[[#This Row],[photos]]="null","No","Yes")</f>
        <v>No</v>
      </c>
      <c r="AI989" t="str">
        <f>IF(TwitterClean[[#This Row],[hashtags]]="null","No","Yes")</f>
        <v>No</v>
      </c>
      <c r="AJ989" t="str">
        <f>IF(TwitterClean[[#This Row],[external_url]]="null","Yes","No")</f>
        <v>No</v>
      </c>
      <c r="AK989">
        <f>LEN(TwitterClean[[#This Row],[description]])</f>
        <v>202</v>
      </c>
      <c r="AL989" t="str">
        <f>IF(TwitterClean[[#This Row],[followers]]&lt;100000,"&lt;100K",IF(TwitterClean[[#This Row],[followers]]&lt;1000000,"100K-1M",IF(TwitterClean[[#This Row],[followers]]&lt;10000000,"1M-10M","10M+")))</f>
        <v>10M+</v>
      </c>
    </row>
    <row r="990" spans="1:38">
      <c r="A990">
        <v>1.8684801782019978E+18</v>
      </c>
      <c r="B990" t="s">
        <v>183</v>
      </c>
      <c r="C990" t="s">
        <v>184</v>
      </c>
      <c r="D990" t="s">
        <v>499</v>
      </c>
      <c r="E990" t="s">
        <v>500</v>
      </c>
      <c r="F990" t="s">
        <v>29</v>
      </c>
      <c r="G990" t="s">
        <v>501</v>
      </c>
      <c r="H990" t="s">
        <v>188</v>
      </c>
      <c r="I990">
        <v>7</v>
      </c>
      <c r="J990">
        <v>1</v>
      </c>
      <c r="K990">
        <v>10</v>
      </c>
      <c r="L990">
        <v>35594</v>
      </c>
      <c r="M990" t="s">
        <v>502</v>
      </c>
      <c r="N990" t="s">
        <v>29</v>
      </c>
      <c r="O990">
        <v>27122997</v>
      </c>
      <c r="P990" t="s">
        <v>190</v>
      </c>
      <c r="Q990">
        <v>402761</v>
      </c>
      <c r="R990" t="s">
        <v>191</v>
      </c>
      <c r="S990">
        <v>155</v>
      </c>
      <c r="T990" t="b">
        <v>0</v>
      </c>
      <c r="U990">
        <v>0</v>
      </c>
      <c r="V990">
        <v>3</v>
      </c>
      <c r="W990" t="s">
        <v>35</v>
      </c>
      <c r="X990" t="s">
        <v>192</v>
      </c>
      <c r="Y990" t="s">
        <v>29</v>
      </c>
      <c r="Z990" t="s">
        <v>37</v>
      </c>
      <c r="AA990">
        <f>TwitterClean[[#This Row],[likes]]+TwitterClean[[#This Row],[replies]]+TwitterClean[[#This Row],[reposts]]+TwitterClean[[#This Row],[quotes]]+TwitterClean[[#This Row],[bookmarks]]</f>
        <v>21</v>
      </c>
      <c r="AB990" s="1">
        <f>TwitterClean[[#This Row],[Total_Engagements]]/TwitterClean[[#This Row],[views]]</f>
        <v>5.8998707647356298E-4</v>
      </c>
      <c r="AC990" s="3">
        <f>DATEVALUE(MID(TwitterClean[[#This Row],[date_posted]],2,10))</f>
        <v>45642</v>
      </c>
      <c r="AD990">
        <f>TIMEVALUE(MID(TwitterClean[[#This Row],[date_posted]],13,8))</f>
        <v>9.447916666666667E-2</v>
      </c>
      <c r="AE990" s="3" t="str">
        <f>TEXT(TwitterClean[[#This Row],[Post_Date]],"dddd")</f>
        <v>Monday</v>
      </c>
      <c r="AF990">
        <f>HOUR(TwitterClean[[#This Row],[Post_Time]])</f>
        <v>2</v>
      </c>
      <c r="AG990" t="str">
        <f>IF(TwitterClean[[#This Row],[videos]]="Null","No","Yes")</f>
        <v>No</v>
      </c>
      <c r="AH990" t="str">
        <f>IF(TwitterClean[[#This Row],[photos]]="null","No","Yes")</f>
        <v>No</v>
      </c>
      <c r="AI990" t="str">
        <f>IF(TwitterClean[[#This Row],[hashtags]]="null","No","Yes")</f>
        <v>No</v>
      </c>
      <c r="AJ990" t="str">
        <f>IF(TwitterClean[[#This Row],[external_url]]="null","Yes","No")</f>
        <v>No</v>
      </c>
      <c r="AK990">
        <f>LEN(TwitterClean[[#This Row],[description]])</f>
        <v>207</v>
      </c>
      <c r="AL990" t="str">
        <f>IF(TwitterClean[[#This Row],[followers]]&lt;100000,"&lt;100K",IF(TwitterClean[[#This Row],[followers]]&lt;1000000,"100K-1M",IF(TwitterClean[[#This Row],[followers]]&lt;10000000,"1M-10M","10M+")))</f>
        <v>10M+</v>
      </c>
    </row>
    <row r="991" spans="1:38">
      <c r="A991">
        <v>1.8681167795133153E+18</v>
      </c>
      <c r="B991" t="s">
        <v>183</v>
      </c>
      <c r="C991" t="s">
        <v>184</v>
      </c>
      <c r="D991" t="s">
        <v>816</v>
      </c>
      <c r="E991" t="s">
        <v>817</v>
      </c>
      <c r="F991" t="s">
        <v>29</v>
      </c>
      <c r="G991" t="s">
        <v>818</v>
      </c>
      <c r="H991" t="s">
        <v>29</v>
      </c>
      <c r="I991">
        <v>4</v>
      </c>
      <c r="J991">
        <v>5</v>
      </c>
      <c r="K991">
        <v>18</v>
      </c>
      <c r="L991">
        <v>56482</v>
      </c>
      <c r="M991" t="s">
        <v>819</v>
      </c>
      <c r="N991" t="s">
        <v>29</v>
      </c>
      <c r="O991">
        <v>27123001</v>
      </c>
      <c r="P991" t="s">
        <v>190</v>
      </c>
      <c r="Q991">
        <v>402760</v>
      </c>
      <c r="R991" t="s">
        <v>191</v>
      </c>
      <c r="S991">
        <v>155</v>
      </c>
      <c r="T991" t="b">
        <v>0</v>
      </c>
      <c r="U991">
        <v>1</v>
      </c>
      <c r="V991">
        <v>4</v>
      </c>
      <c r="W991" t="s">
        <v>35</v>
      </c>
      <c r="X991" t="s">
        <v>820</v>
      </c>
      <c r="Y991" t="s">
        <v>29</v>
      </c>
      <c r="Z991" t="s">
        <v>37</v>
      </c>
      <c r="AA991">
        <f>TwitterClean[[#This Row],[likes]]+TwitterClean[[#This Row],[replies]]+TwitterClean[[#This Row],[reposts]]+TwitterClean[[#This Row],[quotes]]+TwitterClean[[#This Row],[bookmarks]]</f>
        <v>32</v>
      </c>
      <c r="AB991" s="1">
        <f>TwitterClean[[#This Row],[Total_Engagements]]/TwitterClean[[#This Row],[views]]</f>
        <v>5.6655217591445066E-4</v>
      </c>
      <c r="AC991" s="3">
        <f>DATEVALUE(MID(TwitterClean[[#This Row],[date_posted]],2,10))</f>
        <v>45641</v>
      </c>
      <c r="AD991">
        <f>TIMEVALUE(MID(TwitterClean[[#This Row],[date_posted]],13,8))</f>
        <v>9.1689814814814821E-2</v>
      </c>
      <c r="AE991" s="3" t="str">
        <f>TEXT(TwitterClean[[#This Row],[Post_Date]],"dddd")</f>
        <v>Sunday</v>
      </c>
      <c r="AF991">
        <f>HOUR(TwitterClean[[#This Row],[Post_Time]])</f>
        <v>2</v>
      </c>
      <c r="AG991" t="str">
        <f>IF(TwitterClean[[#This Row],[videos]]="Null","No","Yes")</f>
        <v>No</v>
      </c>
      <c r="AH991" t="str">
        <f>IF(TwitterClean[[#This Row],[photos]]="null","No","Yes")</f>
        <v>No</v>
      </c>
      <c r="AI991" t="str">
        <f>IF(TwitterClean[[#This Row],[hashtags]]="null","No","Yes")</f>
        <v>No</v>
      </c>
      <c r="AJ991" t="str">
        <f>IF(TwitterClean[[#This Row],[external_url]]="null","Yes","No")</f>
        <v>No</v>
      </c>
      <c r="AK991">
        <f>LEN(TwitterClean[[#This Row],[description]])</f>
        <v>203</v>
      </c>
      <c r="AL991" t="str">
        <f>IF(TwitterClean[[#This Row],[followers]]&lt;100000,"&lt;100K",IF(TwitterClean[[#This Row],[followers]]&lt;1000000,"100K-1M",IF(TwitterClean[[#This Row],[followers]]&lt;10000000,"1M-10M","10M+")))</f>
        <v>10M+</v>
      </c>
    </row>
    <row r="992" spans="1:38">
      <c r="A992">
        <v>1.8684765003720461E+18</v>
      </c>
      <c r="B992" t="s">
        <v>2935</v>
      </c>
      <c r="C992" t="s">
        <v>2936</v>
      </c>
      <c r="D992" t="s">
        <v>3888</v>
      </c>
      <c r="E992" t="s">
        <v>3889</v>
      </c>
      <c r="F992" t="s">
        <v>29</v>
      </c>
      <c r="G992" t="s">
        <v>3890</v>
      </c>
      <c r="H992" t="s">
        <v>29</v>
      </c>
      <c r="I992">
        <v>1</v>
      </c>
      <c r="J992">
        <v>2</v>
      </c>
      <c r="K992">
        <v>11</v>
      </c>
      <c r="L992">
        <v>29774</v>
      </c>
      <c r="M992" t="s">
        <v>3891</v>
      </c>
      <c r="N992" t="s">
        <v>29</v>
      </c>
      <c r="O992">
        <v>9564154</v>
      </c>
      <c r="P992" t="s">
        <v>2941</v>
      </c>
      <c r="Q992">
        <v>1125277</v>
      </c>
      <c r="R992" t="s">
        <v>2942</v>
      </c>
      <c r="S992">
        <v>93</v>
      </c>
      <c r="T992" t="b">
        <v>0</v>
      </c>
      <c r="U992">
        <v>1</v>
      </c>
      <c r="V992">
        <v>1</v>
      </c>
      <c r="W992" t="s">
        <v>35</v>
      </c>
      <c r="X992" t="s">
        <v>3892</v>
      </c>
      <c r="Y992" t="s">
        <v>29</v>
      </c>
      <c r="Z992" t="s">
        <v>37</v>
      </c>
      <c r="AA992">
        <f>TwitterClean[[#This Row],[likes]]+TwitterClean[[#This Row],[replies]]+TwitterClean[[#This Row],[reposts]]+TwitterClean[[#This Row],[quotes]]+TwitterClean[[#This Row],[bookmarks]]</f>
        <v>16</v>
      </c>
      <c r="AB992" s="1">
        <f>TwitterClean[[#This Row],[Total_Engagements]]/TwitterClean[[#This Row],[views]]</f>
        <v>5.3738160811446229E-4</v>
      </c>
      <c r="AC992" s="3">
        <f>DATEVALUE(MID(TwitterClean[[#This Row],[date_posted]],2,10))</f>
        <v>45642</v>
      </c>
      <c r="AD992">
        <f>TIMEVALUE(MID(TwitterClean[[#This Row],[date_posted]],13,8))</f>
        <v>8.4328703703703697E-2</v>
      </c>
      <c r="AE992" s="3" t="str">
        <f>TEXT(TwitterClean[[#This Row],[Post_Date]],"dddd")</f>
        <v>Monday</v>
      </c>
      <c r="AF992">
        <f>HOUR(TwitterClean[[#This Row],[Post_Time]])</f>
        <v>2</v>
      </c>
      <c r="AG992" t="str">
        <f>IF(TwitterClean[[#This Row],[videos]]="Null","No","Yes")</f>
        <v>No</v>
      </c>
      <c r="AH992" t="str">
        <f>IF(TwitterClean[[#This Row],[photos]]="null","No","Yes")</f>
        <v>No</v>
      </c>
      <c r="AI992" t="str">
        <f>IF(TwitterClean[[#This Row],[hashtags]]="null","No","Yes")</f>
        <v>No</v>
      </c>
      <c r="AJ992" t="str">
        <f>IF(TwitterClean[[#This Row],[external_url]]="null","Yes","No")</f>
        <v>No</v>
      </c>
      <c r="AK992">
        <f>LEN(TwitterClean[[#This Row],[description]])</f>
        <v>194</v>
      </c>
      <c r="AL992" t="str">
        <f>IF(TwitterClean[[#This Row],[followers]]&lt;100000,"&lt;100K",IF(TwitterClean[[#This Row],[followers]]&lt;1000000,"100K-1M",IF(TwitterClean[[#This Row],[followers]]&lt;10000000,"1M-10M","10M+")))</f>
        <v>1M-10M</v>
      </c>
    </row>
    <row r="993" spans="1:38">
      <c r="A993">
        <v>1.8683878208987709E+18</v>
      </c>
      <c r="B993" t="s">
        <v>183</v>
      </c>
      <c r="C993" t="s">
        <v>184</v>
      </c>
      <c r="D993" t="s">
        <v>1087</v>
      </c>
      <c r="E993" t="s">
        <v>1088</v>
      </c>
      <c r="F993" t="s">
        <v>29</v>
      </c>
      <c r="G993" t="s">
        <v>1089</v>
      </c>
      <c r="H993" t="s">
        <v>29</v>
      </c>
      <c r="I993">
        <v>2</v>
      </c>
      <c r="J993">
        <v>9</v>
      </c>
      <c r="K993">
        <v>16</v>
      </c>
      <c r="L993">
        <v>55884</v>
      </c>
      <c r="M993" t="s">
        <v>1090</v>
      </c>
      <c r="N993" t="s">
        <v>29</v>
      </c>
      <c r="O993">
        <v>27122999</v>
      </c>
      <c r="P993" t="s">
        <v>190</v>
      </c>
      <c r="Q993">
        <v>402760</v>
      </c>
      <c r="R993" t="s">
        <v>191</v>
      </c>
      <c r="S993">
        <v>155</v>
      </c>
      <c r="T993" t="b">
        <v>0</v>
      </c>
      <c r="U993">
        <v>1</v>
      </c>
      <c r="V993">
        <v>1</v>
      </c>
      <c r="W993" t="s">
        <v>35</v>
      </c>
      <c r="X993" t="s">
        <v>202</v>
      </c>
      <c r="Y993" t="s">
        <v>29</v>
      </c>
      <c r="Z993" t="s">
        <v>37</v>
      </c>
      <c r="AA993">
        <f>TwitterClean[[#This Row],[likes]]+TwitterClean[[#This Row],[replies]]+TwitterClean[[#This Row],[reposts]]+TwitterClean[[#This Row],[quotes]]+TwitterClean[[#This Row],[bookmarks]]</f>
        <v>29</v>
      </c>
      <c r="AB993" s="1">
        <f>TwitterClean[[#This Row],[Total_Engagements]]/TwitterClean[[#This Row],[views]]</f>
        <v>5.1893207358098923E-4</v>
      </c>
      <c r="AC993" s="3">
        <f>DATEVALUE(MID(TwitterClean[[#This Row],[date_posted]],2,10))</f>
        <v>45641</v>
      </c>
      <c r="AD993">
        <f>TIMEVALUE(MID(TwitterClean[[#This Row],[date_posted]],13,8))</f>
        <v>0.83962962962962961</v>
      </c>
      <c r="AE993" s="3" t="str">
        <f>TEXT(TwitterClean[[#This Row],[Post_Date]],"dddd")</f>
        <v>Sunday</v>
      </c>
      <c r="AF993">
        <f>HOUR(TwitterClean[[#This Row],[Post_Time]])</f>
        <v>20</v>
      </c>
      <c r="AG993" t="str">
        <f>IF(TwitterClean[[#This Row],[videos]]="Null","No","Yes")</f>
        <v>No</v>
      </c>
      <c r="AH993" t="str">
        <f>IF(TwitterClean[[#This Row],[photos]]="null","No","Yes")</f>
        <v>No</v>
      </c>
      <c r="AI993" t="str">
        <f>IF(TwitterClean[[#This Row],[hashtags]]="null","No","Yes")</f>
        <v>No</v>
      </c>
      <c r="AJ993" t="str">
        <f>IF(TwitterClean[[#This Row],[external_url]]="null","Yes","No")</f>
        <v>No</v>
      </c>
      <c r="AK993">
        <f>LEN(TwitterClean[[#This Row],[description]])</f>
        <v>136</v>
      </c>
      <c r="AL993" t="str">
        <f>IF(TwitterClean[[#This Row],[followers]]&lt;100000,"&lt;100K",IF(TwitterClean[[#This Row],[followers]]&lt;1000000,"100K-1M",IF(TwitterClean[[#This Row],[followers]]&lt;10000000,"1M-10M","10M+")))</f>
        <v>10M+</v>
      </c>
    </row>
    <row r="994" spans="1:38">
      <c r="A994">
        <v>1.8683779966267354E+18</v>
      </c>
      <c r="B994" t="s">
        <v>183</v>
      </c>
      <c r="C994" t="s">
        <v>184</v>
      </c>
      <c r="D994" t="s">
        <v>375</v>
      </c>
      <c r="E994" t="s">
        <v>376</v>
      </c>
      <c r="F994" t="s">
        <v>29</v>
      </c>
      <c r="G994" t="s">
        <v>377</v>
      </c>
      <c r="H994" t="s">
        <v>29</v>
      </c>
      <c r="I994">
        <v>4</v>
      </c>
      <c r="J994">
        <v>4</v>
      </c>
      <c r="K994">
        <v>17</v>
      </c>
      <c r="L994">
        <v>52539</v>
      </c>
      <c r="M994" t="s">
        <v>378</v>
      </c>
      <c r="N994" t="s">
        <v>29</v>
      </c>
      <c r="O994">
        <v>27122998</v>
      </c>
      <c r="P994" t="s">
        <v>190</v>
      </c>
      <c r="Q994">
        <v>402760</v>
      </c>
      <c r="R994" t="s">
        <v>191</v>
      </c>
      <c r="S994">
        <v>155</v>
      </c>
      <c r="T994" t="b">
        <v>0</v>
      </c>
      <c r="U994">
        <v>1</v>
      </c>
      <c r="V994">
        <v>1</v>
      </c>
      <c r="W994" t="s">
        <v>35</v>
      </c>
      <c r="X994" t="s">
        <v>379</v>
      </c>
      <c r="Y994" t="s">
        <v>29</v>
      </c>
      <c r="Z994" t="s">
        <v>37</v>
      </c>
      <c r="AA994">
        <f>TwitterClean[[#This Row],[likes]]+TwitterClean[[#This Row],[replies]]+TwitterClean[[#This Row],[reposts]]+TwitterClean[[#This Row],[quotes]]+TwitterClean[[#This Row],[bookmarks]]</f>
        <v>27</v>
      </c>
      <c r="AB994" s="1">
        <f>TwitterClean[[#This Row],[Total_Engagements]]/TwitterClean[[#This Row],[views]]</f>
        <v>5.1390395706046941E-4</v>
      </c>
      <c r="AC994" s="3">
        <f>DATEVALUE(MID(TwitterClean[[#This Row],[date_posted]],2,10))</f>
        <v>45641</v>
      </c>
      <c r="AD994">
        <f>TIMEVALUE(MID(TwitterClean[[#This Row],[date_posted]],13,8))</f>
        <v>0.81251157407407404</v>
      </c>
      <c r="AE994" s="3" t="str">
        <f>TEXT(TwitterClean[[#This Row],[Post_Date]],"dddd")</f>
        <v>Sunday</v>
      </c>
      <c r="AF994">
        <f>HOUR(TwitterClean[[#This Row],[Post_Time]])</f>
        <v>19</v>
      </c>
      <c r="AG994" t="str">
        <f>IF(TwitterClean[[#This Row],[videos]]="Null","No","Yes")</f>
        <v>No</v>
      </c>
      <c r="AH994" t="str">
        <f>IF(TwitterClean[[#This Row],[photos]]="null","No","Yes")</f>
        <v>No</v>
      </c>
      <c r="AI994" t="str">
        <f>IF(TwitterClean[[#This Row],[hashtags]]="null","No","Yes")</f>
        <v>No</v>
      </c>
      <c r="AJ994" t="str">
        <f>IF(TwitterClean[[#This Row],[external_url]]="null","Yes","No")</f>
        <v>No</v>
      </c>
      <c r="AK994">
        <f>LEN(TwitterClean[[#This Row],[description]])</f>
        <v>221</v>
      </c>
      <c r="AL994" t="str">
        <f>IF(TwitterClean[[#This Row],[followers]]&lt;100000,"&lt;100K",IF(TwitterClean[[#This Row],[followers]]&lt;1000000,"100K-1M",IF(TwitterClean[[#This Row],[followers]]&lt;10000000,"1M-10M","10M+")))</f>
        <v>10M+</v>
      </c>
    </row>
    <row r="995" spans="1:38">
      <c r="A995">
        <v>1.8681093601754931E+18</v>
      </c>
      <c r="B995" t="s">
        <v>183</v>
      </c>
      <c r="C995" t="s">
        <v>184</v>
      </c>
      <c r="D995" t="s">
        <v>821</v>
      </c>
      <c r="E995" t="s">
        <v>822</v>
      </c>
      <c r="F995" t="s">
        <v>29</v>
      </c>
      <c r="G995" t="s">
        <v>823</v>
      </c>
      <c r="H995" t="s">
        <v>29</v>
      </c>
      <c r="I995">
        <v>4</v>
      </c>
      <c r="J995">
        <v>5</v>
      </c>
      <c r="K995">
        <v>14</v>
      </c>
      <c r="L995">
        <v>53069</v>
      </c>
      <c r="M995" t="s">
        <v>824</v>
      </c>
      <c r="N995" t="s">
        <v>29</v>
      </c>
      <c r="O995">
        <v>27123001</v>
      </c>
      <c r="P995" t="s">
        <v>190</v>
      </c>
      <c r="Q995">
        <v>402760</v>
      </c>
      <c r="R995" t="s">
        <v>191</v>
      </c>
      <c r="S995">
        <v>155</v>
      </c>
      <c r="T995" t="b">
        <v>0</v>
      </c>
      <c r="U995">
        <v>2</v>
      </c>
      <c r="V995">
        <v>2</v>
      </c>
      <c r="W995" t="s">
        <v>35</v>
      </c>
      <c r="X995" t="s">
        <v>825</v>
      </c>
      <c r="Y995" t="s">
        <v>29</v>
      </c>
      <c r="Z995" t="s">
        <v>37</v>
      </c>
      <c r="AA995">
        <f>TwitterClean[[#This Row],[likes]]+TwitterClean[[#This Row],[replies]]+TwitterClean[[#This Row],[reposts]]+TwitterClean[[#This Row],[quotes]]+TwitterClean[[#This Row],[bookmarks]]</f>
        <v>27</v>
      </c>
      <c r="AB995" s="1">
        <f>TwitterClean[[#This Row],[Total_Engagements]]/TwitterClean[[#This Row],[views]]</f>
        <v>5.0877159923872698E-4</v>
      </c>
      <c r="AC995" s="3">
        <f>DATEVALUE(MID(TwitterClean[[#This Row],[date_posted]],2,10))</f>
        <v>45641</v>
      </c>
      <c r="AD995">
        <f>TIMEVALUE(MID(TwitterClean[[#This Row],[date_posted]],13,8))</f>
        <v>7.121527777777778E-2</v>
      </c>
      <c r="AE995" s="3" t="str">
        <f>TEXT(TwitterClean[[#This Row],[Post_Date]],"dddd")</f>
        <v>Sunday</v>
      </c>
      <c r="AF995">
        <f>HOUR(TwitterClean[[#This Row],[Post_Time]])</f>
        <v>1</v>
      </c>
      <c r="AG995" t="str">
        <f>IF(TwitterClean[[#This Row],[videos]]="Null","No","Yes")</f>
        <v>No</v>
      </c>
      <c r="AH995" t="str">
        <f>IF(TwitterClean[[#This Row],[photos]]="null","No","Yes")</f>
        <v>No</v>
      </c>
      <c r="AI995" t="str">
        <f>IF(TwitterClean[[#This Row],[hashtags]]="null","No","Yes")</f>
        <v>No</v>
      </c>
      <c r="AJ995" t="str">
        <f>IF(TwitterClean[[#This Row],[external_url]]="null","Yes","No")</f>
        <v>No</v>
      </c>
      <c r="AK995">
        <f>LEN(TwitterClean[[#This Row],[description]])</f>
        <v>161</v>
      </c>
      <c r="AL995" t="str">
        <f>IF(TwitterClean[[#This Row],[followers]]&lt;100000,"&lt;100K",IF(TwitterClean[[#This Row],[followers]]&lt;1000000,"100K-1M",IF(TwitterClean[[#This Row],[followers]]&lt;10000000,"1M-10M","10M+")))</f>
        <v>10M+</v>
      </c>
    </row>
    <row r="996" spans="1:38">
      <c r="A996">
        <v>1.8685146966024561E+18</v>
      </c>
      <c r="B996" t="s">
        <v>2935</v>
      </c>
      <c r="C996" t="s">
        <v>2936</v>
      </c>
      <c r="D996" t="s">
        <v>3698</v>
      </c>
      <c r="E996" t="s">
        <v>3699</v>
      </c>
      <c r="F996" t="s">
        <v>29</v>
      </c>
      <c r="G996" t="s">
        <v>3700</v>
      </c>
      <c r="H996" t="s">
        <v>29</v>
      </c>
      <c r="I996">
        <v>3</v>
      </c>
      <c r="J996">
        <v>2</v>
      </c>
      <c r="K996">
        <v>2</v>
      </c>
      <c r="L996">
        <v>18442</v>
      </c>
      <c r="M996" t="s">
        <v>3701</v>
      </c>
      <c r="N996" t="s">
        <v>29</v>
      </c>
      <c r="O996">
        <v>9564155</v>
      </c>
      <c r="P996" t="s">
        <v>2941</v>
      </c>
      <c r="Q996">
        <v>1125277</v>
      </c>
      <c r="R996" t="s">
        <v>2942</v>
      </c>
      <c r="S996">
        <v>93</v>
      </c>
      <c r="T996" t="b">
        <v>0</v>
      </c>
      <c r="U996">
        <v>1</v>
      </c>
      <c r="V996">
        <v>1</v>
      </c>
      <c r="W996" t="s">
        <v>35</v>
      </c>
      <c r="X996" t="s">
        <v>3702</v>
      </c>
      <c r="Y996" t="s">
        <v>29</v>
      </c>
      <c r="Z996" t="s">
        <v>37</v>
      </c>
      <c r="AA996">
        <f>TwitterClean[[#This Row],[likes]]+TwitterClean[[#This Row],[replies]]+TwitterClean[[#This Row],[reposts]]+TwitterClean[[#This Row],[quotes]]+TwitterClean[[#This Row],[bookmarks]]</f>
        <v>9</v>
      </c>
      <c r="AB996" s="1">
        <f>TwitterClean[[#This Row],[Total_Engagements]]/TwitterClean[[#This Row],[views]]</f>
        <v>4.8801648411235223E-4</v>
      </c>
      <c r="AC996" s="3">
        <f>DATEVALUE(MID(TwitterClean[[#This Row],[date_posted]],2,10))</f>
        <v>45642</v>
      </c>
      <c r="AD996">
        <f>TIMEVALUE(MID(TwitterClean[[#This Row],[date_posted]],13,8))</f>
        <v>0.1897337962962963</v>
      </c>
      <c r="AE996" s="3" t="str">
        <f>TEXT(TwitterClean[[#This Row],[Post_Date]],"dddd")</f>
        <v>Monday</v>
      </c>
      <c r="AF996">
        <f>HOUR(TwitterClean[[#This Row],[Post_Time]])</f>
        <v>4</v>
      </c>
      <c r="AG996" t="str">
        <f>IF(TwitterClean[[#This Row],[videos]]="Null","No","Yes")</f>
        <v>No</v>
      </c>
      <c r="AH996" t="str">
        <f>IF(TwitterClean[[#This Row],[photos]]="null","No","Yes")</f>
        <v>No</v>
      </c>
      <c r="AI996" t="str">
        <f>IF(TwitterClean[[#This Row],[hashtags]]="null","No","Yes")</f>
        <v>No</v>
      </c>
      <c r="AJ996" t="str">
        <f>IF(TwitterClean[[#This Row],[external_url]]="null","Yes","No")</f>
        <v>No</v>
      </c>
      <c r="AK996">
        <f>LEN(TwitterClean[[#This Row],[description]])</f>
        <v>166</v>
      </c>
      <c r="AL996" t="str">
        <f>IF(TwitterClean[[#This Row],[followers]]&lt;100000,"&lt;100K",IF(TwitterClean[[#This Row],[followers]]&lt;1000000,"100K-1M",IF(TwitterClean[[#This Row],[followers]]&lt;10000000,"1M-10M","10M+")))</f>
        <v>1M-10M</v>
      </c>
    </row>
    <row r="997" spans="1:38">
      <c r="A997">
        <v>1.86841477922995E+18</v>
      </c>
      <c r="B997" t="s">
        <v>2935</v>
      </c>
      <c r="C997" t="s">
        <v>2936</v>
      </c>
      <c r="D997" t="s">
        <v>3314</v>
      </c>
      <c r="E997" t="s">
        <v>3315</v>
      </c>
      <c r="F997" t="s">
        <v>29</v>
      </c>
      <c r="G997" t="s">
        <v>3316</v>
      </c>
      <c r="H997" t="s">
        <v>3317</v>
      </c>
      <c r="I997">
        <v>2</v>
      </c>
      <c r="J997">
        <v>1</v>
      </c>
      <c r="K997">
        <v>8</v>
      </c>
      <c r="L997">
        <v>28756</v>
      </c>
      <c r="M997" t="s">
        <v>3318</v>
      </c>
      <c r="N997" t="s">
        <v>29</v>
      </c>
      <c r="O997">
        <v>9564156</v>
      </c>
      <c r="P997" t="s">
        <v>2941</v>
      </c>
      <c r="Q997">
        <v>1125277</v>
      </c>
      <c r="R997" t="s">
        <v>2942</v>
      </c>
      <c r="S997">
        <v>93</v>
      </c>
      <c r="T997" t="b">
        <v>0</v>
      </c>
      <c r="U997">
        <v>0</v>
      </c>
      <c r="V997">
        <v>3</v>
      </c>
      <c r="W997" t="s">
        <v>35</v>
      </c>
      <c r="X997" t="s">
        <v>3319</v>
      </c>
      <c r="Y997" t="s">
        <v>29</v>
      </c>
      <c r="Z997" t="s">
        <v>37</v>
      </c>
      <c r="AA997">
        <f>TwitterClean[[#This Row],[likes]]+TwitterClean[[#This Row],[replies]]+TwitterClean[[#This Row],[reposts]]+TwitterClean[[#This Row],[quotes]]+TwitterClean[[#This Row],[bookmarks]]</f>
        <v>14</v>
      </c>
      <c r="AB997" s="1">
        <f>TwitterClean[[#This Row],[Total_Engagements]]/TwitterClean[[#This Row],[views]]</f>
        <v>4.8685491723466409E-4</v>
      </c>
      <c r="AC997" s="3">
        <f>DATEVALUE(MID(TwitterClean[[#This Row],[date_posted]],2,10))</f>
        <v>45641</v>
      </c>
      <c r="AD997">
        <f>TIMEVALUE(MID(TwitterClean[[#This Row],[date_posted]],13,8))</f>
        <v>0.91401620370370373</v>
      </c>
      <c r="AE997" s="3" t="str">
        <f>TEXT(TwitterClean[[#This Row],[Post_Date]],"dddd")</f>
        <v>Sunday</v>
      </c>
      <c r="AF997">
        <f>HOUR(TwitterClean[[#This Row],[Post_Time]])</f>
        <v>21</v>
      </c>
      <c r="AG997" t="str">
        <f>IF(TwitterClean[[#This Row],[videos]]="Null","No","Yes")</f>
        <v>No</v>
      </c>
      <c r="AH997" t="str">
        <f>IF(TwitterClean[[#This Row],[photos]]="null","No","Yes")</f>
        <v>No</v>
      </c>
      <c r="AI997" t="str">
        <f>IF(TwitterClean[[#This Row],[hashtags]]="null","No","Yes")</f>
        <v>No</v>
      </c>
      <c r="AJ997" t="str">
        <f>IF(TwitterClean[[#This Row],[external_url]]="null","Yes","No")</f>
        <v>No</v>
      </c>
      <c r="AK997">
        <f>LEN(TwitterClean[[#This Row],[description]])</f>
        <v>85</v>
      </c>
      <c r="AL997" t="str">
        <f>IF(TwitterClean[[#This Row],[followers]]&lt;100000,"&lt;100K",IF(TwitterClean[[#This Row],[followers]]&lt;1000000,"100K-1M",IF(TwitterClean[[#This Row],[followers]]&lt;10000000,"1M-10M","10M+")))</f>
        <v>1M-10M</v>
      </c>
    </row>
    <row r="998" spans="1:38">
      <c r="A998">
        <v>1.8683974620014636E+18</v>
      </c>
      <c r="B998" t="s">
        <v>2935</v>
      </c>
      <c r="C998" t="s">
        <v>2936</v>
      </c>
      <c r="D998" t="s">
        <v>3117</v>
      </c>
      <c r="E998" t="s">
        <v>3118</v>
      </c>
      <c r="F998" t="s">
        <v>29</v>
      </c>
      <c r="G998" t="s">
        <v>3119</v>
      </c>
      <c r="H998" t="s">
        <v>3120</v>
      </c>
      <c r="I998">
        <v>4</v>
      </c>
      <c r="J998">
        <v>2</v>
      </c>
      <c r="K998">
        <v>7</v>
      </c>
      <c r="L998">
        <v>29900</v>
      </c>
      <c r="M998" t="s">
        <v>3121</v>
      </c>
      <c r="N998" t="s">
        <v>29</v>
      </c>
      <c r="O998">
        <v>9564156</v>
      </c>
      <c r="P998" t="s">
        <v>2941</v>
      </c>
      <c r="Q998">
        <v>1125277</v>
      </c>
      <c r="R998" t="s">
        <v>2942</v>
      </c>
      <c r="S998">
        <v>93</v>
      </c>
      <c r="T998" t="b">
        <v>0</v>
      </c>
      <c r="U998">
        <v>0</v>
      </c>
      <c r="V998">
        <v>1</v>
      </c>
      <c r="W998" t="s">
        <v>35</v>
      </c>
      <c r="X998" t="s">
        <v>3122</v>
      </c>
      <c r="Y998" t="s">
        <v>29</v>
      </c>
      <c r="Z998" t="s">
        <v>37</v>
      </c>
      <c r="AA998">
        <f>TwitterClean[[#This Row],[likes]]+TwitterClean[[#This Row],[replies]]+TwitterClean[[#This Row],[reposts]]+TwitterClean[[#This Row],[quotes]]+TwitterClean[[#This Row],[bookmarks]]</f>
        <v>14</v>
      </c>
      <c r="AB998" s="1">
        <f>TwitterClean[[#This Row],[Total_Engagements]]/TwitterClean[[#This Row],[views]]</f>
        <v>4.6822742474916389E-4</v>
      </c>
      <c r="AC998" s="3">
        <f>DATEVALUE(MID(TwitterClean[[#This Row],[date_posted]],2,10))</f>
        <v>45641</v>
      </c>
      <c r="AD998">
        <f>TIMEVALUE(MID(TwitterClean[[#This Row],[date_posted]],13,8))</f>
        <v>0.86622685185185189</v>
      </c>
      <c r="AE998" s="3" t="str">
        <f>TEXT(TwitterClean[[#This Row],[Post_Date]],"dddd")</f>
        <v>Sunday</v>
      </c>
      <c r="AF998">
        <f>HOUR(TwitterClean[[#This Row],[Post_Time]])</f>
        <v>20</v>
      </c>
      <c r="AG998" t="str">
        <f>IF(TwitterClean[[#This Row],[videos]]="Null","No","Yes")</f>
        <v>No</v>
      </c>
      <c r="AH998" t="str">
        <f>IF(TwitterClean[[#This Row],[photos]]="null","No","Yes")</f>
        <v>No</v>
      </c>
      <c r="AI998" t="str">
        <f>IF(TwitterClean[[#This Row],[hashtags]]="null","No","Yes")</f>
        <v>No</v>
      </c>
      <c r="AJ998" t="str">
        <f>IF(TwitterClean[[#This Row],[external_url]]="null","Yes","No")</f>
        <v>No</v>
      </c>
      <c r="AK998">
        <f>LEN(TwitterClean[[#This Row],[description]])</f>
        <v>99</v>
      </c>
      <c r="AL998" t="str">
        <f>IF(TwitterClean[[#This Row],[followers]]&lt;100000,"&lt;100K",IF(TwitterClean[[#This Row],[followers]]&lt;1000000,"100K-1M",IF(TwitterClean[[#This Row],[followers]]&lt;10000000,"1M-10M","10M+")))</f>
        <v>1M-10M</v>
      </c>
    </row>
    <row r="999" spans="1:38">
      <c r="A999">
        <v>1.8683111925669115E+18</v>
      </c>
      <c r="B999" t="s">
        <v>2935</v>
      </c>
      <c r="C999" t="s">
        <v>2936</v>
      </c>
      <c r="D999" t="s">
        <v>3326</v>
      </c>
      <c r="E999" t="s">
        <v>3327</v>
      </c>
      <c r="F999" t="s">
        <v>29</v>
      </c>
      <c r="G999" t="s">
        <v>3328</v>
      </c>
      <c r="H999" t="s">
        <v>3317</v>
      </c>
      <c r="I999">
        <v>3</v>
      </c>
      <c r="J999">
        <v>2</v>
      </c>
      <c r="K999">
        <v>5</v>
      </c>
      <c r="L999">
        <v>26664</v>
      </c>
      <c r="M999" t="s">
        <v>3329</v>
      </c>
      <c r="N999" t="s">
        <v>29</v>
      </c>
      <c r="O999">
        <v>9564155</v>
      </c>
      <c r="P999" t="s">
        <v>2941</v>
      </c>
      <c r="Q999">
        <v>1125277</v>
      </c>
      <c r="R999" t="s">
        <v>2942</v>
      </c>
      <c r="S999">
        <v>93</v>
      </c>
      <c r="T999" t="b">
        <v>0</v>
      </c>
      <c r="U999">
        <v>0</v>
      </c>
      <c r="V999">
        <v>2</v>
      </c>
      <c r="W999" t="s">
        <v>35</v>
      </c>
      <c r="X999" t="s">
        <v>3330</v>
      </c>
      <c r="Y999" t="s">
        <v>29</v>
      </c>
      <c r="Z999" t="s">
        <v>37</v>
      </c>
      <c r="AA999">
        <f>TwitterClean[[#This Row],[likes]]+TwitterClean[[#This Row],[replies]]+TwitterClean[[#This Row],[reposts]]+TwitterClean[[#This Row],[quotes]]+TwitterClean[[#This Row],[bookmarks]]</f>
        <v>12</v>
      </c>
      <c r="AB999" s="1">
        <f>TwitterClean[[#This Row],[Total_Engagements]]/TwitterClean[[#This Row],[views]]</f>
        <v>4.5004500450045003E-4</v>
      </c>
      <c r="AC999" s="3">
        <f>DATEVALUE(MID(TwitterClean[[#This Row],[date_posted]],2,10))</f>
        <v>45641</v>
      </c>
      <c r="AD999">
        <f>TIMEVALUE(MID(TwitterClean[[#This Row],[date_posted]],13,8))</f>
        <v>0.62817129629629631</v>
      </c>
      <c r="AE999" s="3" t="str">
        <f>TEXT(TwitterClean[[#This Row],[Post_Date]],"dddd")</f>
        <v>Sunday</v>
      </c>
      <c r="AF999">
        <f>HOUR(TwitterClean[[#This Row],[Post_Time]])</f>
        <v>15</v>
      </c>
      <c r="AG999" t="str">
        <f>IF(TwitterClean[[#This Row],[videos]]="Null","No","Yes")</f>
        <v>No</v>
      </c>
      <c r="AH999" t="str">
        <f>IF(TwitterClean[[#This Row],[photos]]="null","No","Yes")</f>
        <v>No</v>
      </c>
      <c r="AI999" t="str">
        <f>IF(TwitterClean[[#This Row],[hashtags]]="null","No","Yes")</f>
        <v>No</v>
      </c>
      <c r="AJ999" t="str">
        <f>IF(TwitterClean[[#This Row],[external_url]]="null","Yes","No")</f>
        <v>No</v>
      </c>
      <c r="AK999">
        <f>LEN(TwitterClean[[#This Row],[description]])</f>
        <v>40</v>
      </c>
      <c r="AL999" t="str">
        <f>IF(TwitterClean[[#This Row],[followers]]&lt;100000,"&lt;100K",IF(TwitterClean[[#This Row],[followers]]&lt;1000000,"100K-1M",IF(TwitterClean[[#This Row],[followers]]&lt;10000000,"1M-10M","10M+")))</f>
        <v>1M-10M</v>
      </c>
    </row>
    <row r="1000" spans="1:38">
      <c r="A1000">
        <v>1.8683432962185585E+18</v>
      </c>
      <c r="B1000" t="s">
        <v>183</v>
      </c>
      <c r="C1000" t="s">
        <v>184</v>
      </c>
      <c r="D1000" t="s">
        <v>1100</v>
      </c>
      <c r="E1000" t="s">
        <v>1101</v>
      </c>
      <c r="F1000" t="s">
        <v>29</v>
      </c>
      <c r="G1000" t="s">
        <v>1102</v>
      </c>
      <c r="H1000" t="s">
        <v>29</v>
      </c>
      <c r="I1000">
        <v>6</v>
      </c>
      <c r="J1000">
        <v>2</v>
      </c>
      <c r="K1000">
        <v>10</v>
      </c>
      <c r="L1000">
        <v>51203</v>
      </c>
      <c r="M1000" t="s">
        <v>1103</v>
      </c>
      <c r="N1000" t="s">
        <v>29</v>
      </c>
      <c r="O1000">
        <v>27122998</v>
      </c>
      <c r="P1000" t="s">
        <v>190</v>
      </c>
      <c r="Q1000">
        <v>402760</v>
      </c>
      <c r="R1000" t="s">
        <v>191</v>
      </c>
      <c r="S1000">
        <v>155</v>
      </c>
      <c r="T1000" t="b">
        <v>0</v>
      </c>
      <c r="U1000">
        <v>1</v>
      </c>
      <c r="V1000">
        <v>2</v>
      </c>
      <c r="W1000" t="s">
        <v>35</v>
      </c>
      <c r="X1000" t="s">
        <v>1104</v>
      </c>
      <c r="Y1000" t="s">
        <v>29</v>
      </c>
      <c r="Z1000" t="s">
        <v>37</v>
      </c>
      <c r="AA1000">
        <f>TwitterClean[[#This Row],[likes]]+TwitterClean[[#This Row],[replies]]+TwitterClean[[#This Row],[reposts]]+TwitterClean[[#This Row],[quotes]]+TwitterClean[[#This Row],[bookmarks]]</f>
        <v>21</v>
      </c>
      <c r="AB1000" s="1">
        <f>TwitterClean[[#This Row],[Total_Engagements]]/TwitterClean[[#This Row],[views]]</f>
        <v>4.1013221881530378E-4</v>
      </c>
      <c r="AC1000" s="3">
        <f>DATEVALUE(MID(TwitterClean[[#This Row],[date_posted]],2,10))</f>
        <v>45641</v>
      </c>
      <c r="AD1000">
        <f>TIMEVALUE(MID(TwitterClean[[#This Row],[date_posted]],13,8))</f>
        <v>0.71675925925925921</v>
      </c>
      <c r="AE1000" s="3" t="str">
        <f>TEXT(TwitterClean[[#This Row],[Post_Date]],"dddd")</f>
        <v>Sunday</v>
      </c>
      <c r="AF1000">
        <f>HOUR(TwitterClean[[#This Row],[Post_Time]])</f>
        <v>17</v>
      </c>
      <c r="AG1000" t="str">
        <f>IF(TwitterClean[[#This Row],[videos]]="Null","No","Yes")</f>
        <v>No</v>
      </c>
      <c r="AH1000" t="str">
        <f>IF(TwitterClean[[#This Row],[photos]]="null","No","Yes")</f>
        <v>No</v>
      </c>
      <c r="AI1000" t="str">
        <f>IF(TwitterClean[[#This Row],[hashtags]]="null","No","Yes")</f>
        <v>No</v>
      </c>
      <c r="AJ1000" t="str">
        <f>IF(TwitterClean[[#This Row],[external_url]]="null","Yes","No")</f>
        <v>No</v>
      </c>
      <c r="AK1000">
        <f>LEN(TwitterClean[[#This Row],[description]])</f>
        <v>115</v>
      </c>
      <c r="AL1000" t="str">
        <f>IF(TwitterClean[[#This Row],[followers]]&lt;100000,"&lt;100K",IF(TwitterClean[[#This Row],[followers]]&lt;1000000,"100K-1M",IF(TwitterClean[[#This Row],[followers]]&lt;10000000,"1M-10M","10M+")))</f>
        <v>10M+</v>
      </c>
    </row>
    <row r="1001" spans="1:38">
      <c r="A1001">
        <v>1.8683966323975455E+18</v>
      </c>
      <c r="B1001" t="s">
        <v>183</v>
      </c>
      <c r="C1001" t="s">
        <v>184</v>
      </c>
      <c r="D1001" t="s">
        <v>185</v>
      </c>
      <c r="E1001" t="s">
        <v>186</v>
      </c>
      <c r="F1001" t="s">
        <v>29</v>
      </c>
      <c r="G1001" t="s">
        <v>187</v>
      </c>
      <c r="H1001" t="s">
        <v>188</v>
      </c>
      <c r="I1001">
        <v>5</v>
      </c>
      <c r="J1001">
        <v>3</v>
      </c>
      <c r="K1001">
        <v>10</v>
      </c>
      <c r="L1001">
        <v>53994</v>
      </c>
      <c r="M1001" t="s">
        <v>189</v>
      </c>
      <c r="N1001" t="s">
        <v>29</v>
      </c>
      <c r="O1001">
        <v>27122999</v>
      </c>
      <c r="P1001" t="s">
        <v>190</v>
      </c>
      <c r="Q1001">
        <v>402761</v>
      </c>
      <c r="R1001" t="s">
        <v>191</v>
      </c>
      <c r="S1001">
        <v>155</v>
      </c>
      <c r="T1001" t="b">
        <v>0</v>
      </c>
      <c r="U1001">
        <v>0</v>
      </c>
      <c r="V1001">
        <v>3</v>
      </c>
      <c r="W1001" t="s">
        <v>35</v>
      </c>
      <c r="X1001" t="s">
        <v>192</v>
      </c>
      <c r="Y1001" t="s">
        <v>29</v>
      </c>
      <c r="Z1001" t="s">
        <v>37</v>
      </c>
      <c r="AA1001">
        <f>TwitterClean[[#This Row],[likes]]+TwitterClean[[#This Row],[replies]]+TwitterClean[[#This Row],[reposts]]+TwitterClean[[#This Row],[quotes]]+TwitterClean[[#This Row],[bookmarks]]</f>
        <v>21</v>
      </c>
      <c r="AB1001" s="1">
        <f>TwitterClean[[#This Row],[Total_Engagements]]/TwitterClean[[#This Row],[views]]</f>
        <v>3.88932103567063E-4</v>
      </c>
      <c r="AC1001" s="3">
        <f>DATEVALUE(MID(TwitterClean[[#This Row],[date_posted]],2,10))</f>
        <v>45641</v>
      </c>
      <c r="AD1001">
        <f>TIMEVALUE(MID(TwitterClean[[#This Row],[date_posted]],13,8))</f>
        <v>0.86393518518518519</v>
      </c>
      <c r="AE1001" s="3" t="str">
        <f>TEXT(TwitterClean[[#This Row],[Post_Date]],"dddd")</f>
        <v>Sunday</v>
      </c>
      <c r="AF1001">
        <f>HOUR(TwitterClean[[#This Row],[Post_Time]])</f>
        <v>20</v>
      </c>
      <c r="AG1001" t="str">
        <f>IF(TwitterClean[[#This Row],[videos]]="Null","No","Yes")</f>
        <v>No</v>
      </c>
      <c r="AH1001" t="str">
        <f>IF(TwitterClean[[#This Row],[photos]]="null","No","Yes")</f>
        <v>No</v>
      </c>
      <c r="AI1001" t="str">
        <f>IF(TwitterClean[[#This Row],[hashtags]]="null","No","Yes")</f>
        <v>No</v>
      </c>
      <c r="AJ1001" t="str">
        <f>IF(TwitterClean[[#This Row],[external_url]]="null","Yes","No")</f>
        <v>No</v>
      </c>
      <c r="AK1001">
        <f>LEN(TwitterClean[[#This Row],[description]])</f>
        <v>185</v>
      </c>
      <c r="AL1001" t="str">
        <f>IF(TwitterClean[[#This Row],[followers]]&lt;100000,"&lt;100K",IF(TwitterClean[[#This Row],[followers]]&lt;1000000,"100K-1M",IF(TwitterClean[[#This Row],[followers]]&lt;10000000,"1M-10M","10M+")))</f>
        <v>10M+</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D81C1-1106-40C8-A25E-B1237D890264}">
  <dimension ref="A1:B11"/>
  <sheetViews>
    <sheetView workbookViewId="0">
      <selection activeCell="B8" sqref="B8"/>
    </sheetView>
  </sheetViews>
  <sheetFormatPr defaultRowHeight="14.4"/>
  <cols>
    <col min="1" max="1" width="30.109375" customWidth="1"/>
    <col min="2" max="2" width="10" bestFit="1" customWidth="1"/>
  </cols>
  <sheetData>
    <row r="1" spans="1:2">
      <c r="A1" s="2" t="s">
        <v>5287</v>
      </c>
    </row>
    <row r="3" spans="1:2">
      <c r="A3" s="2" t="s">
        <v>5288</v>
      </c>
      <c r="B3" s="2" t="s">
        <v>5289</v>
      </c>
    </row>
    <row r="4" spans="1:2">
      <c r="A4" s="2" t="s">
        <v>5290</v>
      </c>
      <c r="B4">
        <f>COUNTA(TwitterClean[id])</f>
        <v>1000</v>
      </c>
    </row>
    <row r="5" spans="1:2">
      <c r="A5" s="2" t="s">
        <v>5291</v>
      </c>
      <c r="B5">
        <f>SUM(TwitterClean[views])</f>
        <v>265238969</v>
      </c>
    </row>
    <row r="6" spans="1:2">
      <c r="A6" s="2" t="s">
        <v>5292</v>
      </c>
      <c r="B6">
        <f>SUM(TwitterClean[likes])</f>
        <v>3418999</v>
      </c>
    </row>
    <row r="7" spans="1:2">
      <c r="A7" s="2" t="s">
        <v>5293</v>
      </c>
      <c r="B7">
        <f>SUM(TwitterClean[Total_Engagements])</f>
        <v>4301913</v>
      </c>
    </row>
    <row r="8" spans="1:2">
      <c r="A8" s="2" t="s">
        <v>5294</v>
      </c>
      <c r="B8" s="1">
        <f>AVERAGE(TwitterClean[Engagement_Rate])</f>
        <v>1.5723207598722602E-2</v>
      </c>
    </row>
    <row r="9" spans="1:2">
      <c r="A9" s="2" t="s">
        <v>5295</v>
      </c>
      <c r="B9" s="1">
        <f>B7/B5</f>
        <v>1.6219008150344605E-2</v>
      </c>
    </row>
    <row r="10" spans="1:2">
      <c r="A10" s="2" t="s">
        <v>5296</v>
      </c>
      <c r="B10" s="1">
        <f>MEDIAN(TwitterClean[Engagement_Rate])</f>
        <v>1.0006347069934038E-2</v>
      </c>
    </row>
    <row r="11" spans="1:2">
      <c r="A11" s="2" t="s">
        <v>5297</v>
      </c>
      <c r="B11" s="1">
        <f>MAX(TwitterClean[Engagement_Rate])</f>
        <v>0.12511128697200513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9525F-A8CC-453F-A67D-A20A6258EFBF}">
  <dimension ref="B2:U40"/>
  <sheetViews>
    <sheetView zoomScale="70" zoomScaleNormal="70" workbookViewId="0">
      <selection activeCell="Q22" sqref="Q22"/>
    </sheetView>
  </sheetViews>
  <sheetFormatPr defaultRowHeight="14.4"/>
  <cols>
    <col min="2" max="2" width="13" bestFit="1" customWidth="1"/>
    <col min="3" max="3" width="5.77734375" bestFit="1" customWidth="1"/>
    <col min="4" max="4" width="20" bestFit="1" customWidth="1"/>
    <col min="5" max="5" width="13.33203125" bestFit="1" customWidth="1"/>
    <col min="6" max="6" width="20" bestFit="1" customWidth="1"/>
    <col min="9" max="9" width="18.21875" bestFit="1" customWidth="1"/>
    <col min="10" max="10" width="5.77734375" bestFit="1" customWidth="1"/>
    <col min="11" max="11" width="13.33203125" bestFit="1" customWidth="1"/>
    <col min="12" max="12" width="16.109375" bestFit="1" customWidth="1"/>
    <col min="13" max="13" width="19.44140625" bestFit="1" customWidth="1"/>
    <col min="15" max="15" width="12.44140625" bestFit="1" customWidth="1"/>
    <col min="16" max="16" width="11.44140625" customWidth="1"/>
    <col min="17" max="17" width="12" bestFit="1" customWidth="1"/>
    <col min="18" max="18" width="15.33203125" bestFit="1" customWidth="1"/>
    <col min="19" max="19" width="7.77734375" customWidth="1"/>
    <col min="20" max="20" width="10.21875" customWidth="1"/>
    <col min="21" max="21" width="8.5546875" customWidth="1"/>
  </cols>
  <sheetData>
    <row r="2" spans="2:21">
      <c r="P2" t="s">
        <v>5339</v>
      </c>
    </row>
    <row r="3" spans="2:21">
      <c r="B3" s="4" t="s">
        <v>5312</v>
      </c>
      <c r="C3" t="s">
        <v>5302</v>
      </c>
      <c r="D3" t="s">
        <v>5291</v>
      </c>
      <c r="E3" t="s">
        <v>5293</v>
      </c>
      <c r="F3" t="s">
        <v>5303</v>
      </c>
      <c r="I3" s="4" t="s">
        <v>5313</v>
      </c>
      <c r="J3" t="s">
        <v>5302</v>
      </c>
      <c r="K3" t="s">
        <v>5319</v>
      </c>
      <c r="L3" t="s">
        <v>5320</v>
      </c>
      <c r="M3" t="s">
        <v>5303</v>
      </c>
    </row>
    <row r="4" spans="2:21">
      <c r="B4" s="6" t="s">
        <v>5304</v>
      </c>
      <c r="C4" s="17">
        <v>856</v>
      </c>
      <c r="D4" s="17">
        <v>101074131</v>
      </c>
      <c r="E4" s="17">
        <v>2121236</v>
      </c>
      <c r="F4" s="1">
        <v>1.6756738556513041E-2</v>
      </c>
      <c r="I4" s="6" t="s">
        <v>5317</v>
      </c>
      <c r="J4" s="17">
        <v>694</v>
      </c>
      <c r="K4" s="17">
        <v>277374.7190201729</v>
      </c>
      <c r="L4" s="17">
        <v>4549.7175792507205</v>
      </c>
      <c r="M4" s="1">
        <v>1.5678636772775537E-2</v>
      </c>
      <c r="P4" s="7"/>
      <c r="Q4" s="7" t="s">
        <v>5317</v>
      </c>
      <c r="R4" s="7" t="s">
        <v>5318</v>
      </c>
      <c r="T4" s="5" t="s">
        <v>5301</v>
      </c>
      <c r="U4" s="5" t="s">
        <v>5303</v>
      </c>
    </row>
    <row r="5" spans="2:21">
      <c r="B5" s="6" t="s">
        <v>5305</v>
      </c>
      <c r="C5" s="17">
        <v>89</v>
      </c>
      <c r="D5" s="17">
        <v>8062594</v>
      </c>
      <c r="E5" s="17">
        <v>74886</v>
      </c>
      <c r="F5" s="1">
        <v>8.3420612459613134E-3</v>
      </c>
      <c r="I5" s="6" t="s">
        <v>5318</v>
      </c>
      <c r="J5" s="17">
        <v>306</v>
      </c>
      <c r="K5" s="17">
        <v>237715.40522875817</v>
      </c>
      <c r="L5" s="17">
        <v>3739.8986928104573</v>
      </c>
      <c r="M5" s="1">
        <v>1.5824293066720254E-2</v>
      </c>
      <c r="P5" s="8" t="s">
        <v>5336</v>
      </c>
      <c r="Q5" s="1">
        <f>GETPIVOTDATA("Avg Engagement_Rate",$I$3,"Has_Video","No")</f>
        <v>1.5678636772775537E-2</v>
      </c>
      <c r="R5" s="1">
        <f>GETPIVOTDATA("Avg Engagement_Rate",$I$3,"Has_Video","Yes")</f>
        <v>1.5824293066720254E-2</v>
      </c>
      <c r="T5" s="6">
        <f>B16</f>
        <v>0</v>
      </c>
      <c r="U5" s="1">
        <f>GETPIVOTDATA("Avg Engagement_Rate",$B$15,"Post_Hour",T5)</f>
        <v>1.1467919271208164E-2</v>
      </c>
    </row>
    <row r="6" spans="2:21">
      <c r="B6" s="6" t="s">
        <v>5306</v>
      </c>
      <c r="C6" s="17">
        <v>12</v>
      </c>
      <c r="D6" s="17">
        <v>7271582</v>
      </c>
      <c r="E6" s="17">
        <v>29134</v>
      </c>
      <c r="F6" s="1">
        <v>1.0189702531806634E-2</v>
      </c>
      <c r="I6" s="6" t="s">
        <v>5311</v>
      </c>
      <c r="J6" s="17">
        <v>1000</v>
      </c>
      <c r="K6" s="17">
        <v>265238.96899999998</v>
      </c>
      <c r="L6" s="17">
        <v>4301.9129999999996</v>
      </c>
      <c r="M6" s="1">
        <v>1.5723207598722599E-2</v>
      </c>
      <c r="P6" s="8" t="s">
        <v>5337</v>
      </c>
      <c r="Q6" s="1">
        <f>GETPIVOTDATA("Avg Engagement Rate",$I$10,"Has_Photo","No")</f>
        <v>1.2549562107398595E-2</v>
      </c>
      <c r="R6" s="1">
        <f>GETPIVOTDATA("Avg Engagement Rate",$I$10,"Has_Photo","Yes")</f>
        <v>1.9509310991881114E-2</v>
      </c>
      <c r="T6" s="6">
        <f t="shared" ref="T6:T28" si="0">B17</f>
        <v>1</v>
      </c>
      <c r="U6" s="1">
        <f t="shared" ref="U6:U28" si="1">GETPIVOTDATA("Avg Engagement_Rate",$B$15,"Post_Hour",T6)</f>
        <v>9.6780030851505629E-3</v>
      </c>
    </row>
    <row r="7" spans="2:21">
      <c r="B7" s="6" t="s">
        <v>5307</v>
      </c>
      <c r="C7" s="17">
        <v>10</v>
      </c>
      <c r="D7" s="17">
        <v>6421391</v>
      </c>
      <c r="E7" s="17">
        <v>22242</v>
      </c>
      <c r="F7" s="1">
        <v>7.774195882054899E-3</v>
      </c>
      <c r="P7" s="8" t="s">
        <v>5338</v>
      </c>
      <c r="Q7" s="1">
        <f>GETPIVOTDATA("Avg Engagement Rate",$I$17,"Has_Hashtag","No")</f>
        <v>1.060315782200087E-2</v>
      </c>
      <c r="R7" s="1">
        <f>GETPIVOTDATA("Avg Engagement Rate",$I$17,"Has_Hashtag","Yes")</f>
        <v>1.9554293795290584E-2</v>
      </c>
      <c r="T7" s="6">
        <f t="shared" si="0"/>
        <v>2</v>
      </c>
      <c r="U7" s="1">
        <f t="shared" si="1"/>
        <v>1.4230399056522213E-2</v>
      </c>
    </row>
    <row r="8" spans="2:21">
      <c r="B8" s="6" t="s">
        <v>5308</v>
      </c>
      <c r="C8" s="17">
        <v>4</v>
      </c>
      <c r="D8" s="17">
        <v>307416</v>
      </c>
      <c r="E8" s="17">
        <v>2948</v>
      </c>
      <c r="F8" s="1">
        <v>8.1761148429097021E-3</v>
      </c>
      <c r="P8" s="8"/>
      <c r="T8" s="6">
        <f t="shared" si="0"/>
        <v>3</v>
      </c>
      <c r="U8" s="1">
        <f t="shared" si="1"/>
        <v>8.2153690101921945E-3</v>
      </c>
    </row>
    <row r="9" spans="2:21">
      <c r="B9" s="6" t="s">
        <v>5309</v>
      </c>
      <c r="C9" s="17">
        <v>19</v>
      </c>
      <c r="D9" s="17">
        <v>139585954</v>
      </c>
      <c r="E9" s="17">
        <v>2039840</v>
      </c>
      <c r="F9" s="1">
        <v>1.6540397276901098E-2</v>
      </c>
      <c r="T9" s="6">
        <f t="shared" si="0"/>
        <v>4</v>
      </c>
      <c r="U9" s="1">
        <f t="shared" si="1"/>
        <v>7.2681987044912804E-3</v>
      </c>
    </row>
    <row r="10" spans="2:21">
      <c r="B10" s="6" t="s">
        <v>5310</v>
      </c>
      <c r="C10" s="17">
        <v>10</v>
      </c>
      <c r="D10" s="17">
        <v>2515901</v>
      </c>
      <c r="E10" s="17">
        <v>11627</v>
      </c>
      <c r="F10" s="1">
        <v>9.0005546621890545E-3</v>
      </c>
      <c r="I10" s="4" t="s">
        <v>5314</v>
      </c>
      <c r="J10" t="s">
        <v>5302</v>
      </c>
      <c r="K10" t="s">
        <v>5319</v>
      </c>
      <c r="L10" t="s">
        <v>5320</v>
      </c>
      <c r="M10" t="s">
        <v>5323</v>
      </c>
      <c r="P10" s="7" t="s">
        <v>5312</v>
      </c>
      <c r="Q10" s="5" t="s">
        <v>5303</v>
      </c>
      <c r="T10" s="6">
        <f t="shared" si="0"/>
        <v>5</v>
      </c>
      <c r="U10" s="1">
        <f t="shared" si="1"/>
        <v>6.1344532210113592E-3</v>
      </c>
    </row>
    <row r="11" spans="2:21">
      <c r="B11" s="6" t="s">
        <v>5311</v>
      </c>
      <c r="C11" s="17">
        <v>1000</v>
      </c>
      <c r="D11" s="17">
        <v>265238969</v>
      </c>
      <c r="E11" s="17">
        <v>4301913</v>
      </c>
      <c r="F11" s="1">
        <v>1.5723207598722602E-2</v>
      </c>
      <c r="I11" s="6" t="s">
        <v>5317</v>
      </c>
      <c r="J11" s="17">
        <v>544</v>
      </c>
      <c r="K11" s="17">
        <v>99684.330882352937</v>
      </c>
      <c r="L11" s="17">
        <v>1344.1525735294117</v>
      </c>
      <c r="M11" s="1">
        <v>1.2549562107398595E-2</v>
      </c>
      <c r="P11" s="6" t="str">
        <f>B4</f>
        <v>Sunday</v>
      </c>
      <c r="Q11" s="1">
        <f>GETPIVOTDATA("Avg Engagement_Rate",$B$3,"Day_of_Week",P11)</f>
        <v>1.6756738556513041E-2</v>
      </c>
      <c r="T11" s="6">
        <f t="shared" si="0"/>
        <v>6</v>
      </c>
      <c r="U11" s="1">
        <f t="shared" si="1"/>
        <v>8.9872393612288794E-3</v>
      </c>
    </row>
    <row r="12" spans="2:21">
      <c r="I12" s="6" t="s">
        <v>5318</v>
      </c>
      <c r="J12" s="17">
        <v>456</v>
      </c>
      <c r="K12" s="17">
        <v>462742.74780701753</v>
      </c>
      <c r="L12" s="17">
        <v>7830.4692982456145</v>
      </c>
      <c r="M12" s="1">
        <v>1.9509310991881114E-2</v>
      </c>
      <c r="P12" s="6" t="str">
        <f t="shared" ref="P12:P17" si="2">B5</f>
        <v>Monday</v>
      </c>
      <c r="Q12" s="1">
        <f t="shared" ref="Q12:Q17" si="3">GETPIVOTDATA("Avg Engagement_Rate",$B$3,"Day_of_Week",P12)</f>
        <v>8.3420612459613134E-3</v>
      </c>
      <c r="T12" s="6">
        <f t="shared" si="0"/>
        <v>7</v>
      </c>
      <c r="U12" s="1">
        <f t="shared" si="1"/>
        <v>1.0853190125741879E-2</v>
      </c>
    </row>
    <row r="13" spans="2:21">
      <c r="I13" s="6" t="s">
        <v>5311</v>
      </c>
      <c r="J13" s="17">
        <v>1000</v>
      </c>
      <c r="K13" s="17">
        <v>265238.96899999998</v>
      </c>
      <c r="L13" s="17">
        <v>4301.9129999999996</v>
      </c>
      <c r="M13" s="1">
        <v>1.5723207598722616E-2</v>
      </c>
      <c r="P13" s="6" t="str">
        <f t="shared" si="2"/>
        <v>Tuesday</v>
      </c>
      <c r="Q13" s="1">
        <f t="shared" si="3"/>
        <v>1.0189702531806634E-2</v>
      </c>
      <c r="T13" s="6">
        <f t="shared" si="0"/>
        <v>8</v>
      </c>
      <c r="U13" s="1">
        <f t="shared" si="1"/>
        <v>9.2502386013988986E-3</v>
      </c>
    </row>
    <row r="14" spans="2:21">
      <c r="P14" s="6" t="str">
        <f t="shared" si="2"/>
        <v>Wednesday</v>
      </c>
      <c r="Q14" s="1">
        <f t="shared" si="3"/>
        <v>7.774195882054899E-3</v>
      </c>
      <c r="T14" s="6">
        <f t="shared" si="0"/>
        <v>9</v>
      </c>
      <c r="U14" s="1">
        <f t="shared" si="1"/>
        <v>1.2360676529351277E-2</v>
      </c>
    </row>
    <row r="15" spans="2:21">
      <c r="B15" s="4" t="s">
        <v>5301</v>
      </c>
      <c r="C15" t="s">
        <v>5302</v>
      </c>
      <c r="D15" t="s">
        <v>5303</v>
      </c>
      <c r="E15" t="s">
        <v>5319</v>
      </c>
      <c r="P15" s="6" t="str">
        <f t="shared" si="2"/>
        <v>Thursday</v>
      </c>
      <c r="Q15" s="1">
        <f t="shared" si="3"/>
        <v>8.1761148429097021E-3</v>
      </c>
      <c r="T15" s="6">
        <f t="shared" si="0"/>
        <v>10</v>
      </c>
      <c r="U15" s="1">
        <f t="shared" si="1"/>
        <v>1.3657890361169026E-2</v>
      </c>
    </row>
    <row r="16" spans="2:21">
      <c r="B16" s="6">
        <v>0</v>
      </c>
      <c r="C16" s="17">
        <v>52</v>
      </c>
      <c r="D16" s="1">
        <v>1.1467919271208164E-2</v>
      </c>
      <c r="E16" s="17">
        <v>101613.88461538461</v>
      </c>
      <c r="P16" s="6" t="str">
        <f t="shared" si="2"/>
        <v>Friday</v>
      </c>
      <c r="Q16" s="1">
        <f t="shared" si="3"/>
        <v>1.6540397276901098E-2</v>
      </c>
      <c r="T16" s="6">
        <f t="shared" si="0"/>
        <v>11</v>
      </c>
      <c r="U16" s="1">
        <f t="shared" si="1"/>
        <v>1.2483735717474092E-2</v>
      </c>
    </row>
    <row r="17" spans="2:21">
      <c r="B17" s="6">
        <v>1</v>
      </c>
      <c r="C17" s="17">
        <v>42</v>
      </c>
      <c r="D17" s="1">
        <v>9.6780030851505629E-3</v>
      </c>
      <c r="E17" s="17">
        <v>93640.428571428565</v>
      </c>
      <c r="I17" s="4" t="s">
        <v>5315</v>
      </c>
      <c r="J17" t="s">
        <v>5302</v>
      </c>
      <c r="K17" t="s">
        <v>5319</v>
      </c>
      <c r="L17" t="s">
        <v>5320</v>
      </c>
      <c r="M17" t="s">
        <v>5323</v>
      </c>
      <c r="P17" s="6" t="str">
        <f t="shared" si="2"/>
        <v>Saturday</v>
      </c>
      <c r="Q17" s="1">
        <f t="shared" si="3"/>
        <v>9.0005546621890545E-3</v>
      </c>
      <c r="T17" s="6">
        <f t="shared" si="0"/>
        <v>12</v>
      </c>
      <c r="U17" s="1">
        <f t="shared" si="1"/>
        <v>1.6191581363140264E-2</v>
      </c>
    </row>
    <row r="18" spans="2:21">
      <c r="B18" s="6">
        <v>2</v>
      </c>
      <c r="C18" s="17">
        <v>49</v>
      </c>
      <c r="D18" s="1">
        <v>1.4230399056522213E-2</v>
      </c>
      <c r="E18" s="17">
        <v>209738.51020408163</v>
      </c>
      <c r="I18" s="6" t="s">
        <v>5317</v>
      </c>
      <c r="J18" s="17">
        <v>428</v>
      </c>
      <c r="K18" s="17">
        <v>429438.48598130839</v>
      </c>
      <c r="L18" s="17">
        <v>6375.5420560747662</v>
      </c>
      <c r="M18" s="1">
        <v>1.060315782200087E-2</v>
      </c>
      <c r="T18" s="6">
        <f t="shared" si="0"/>
        <v>13</v>
      </c>
      <c r="U18" s="1">
        <f t="shared" si="1"/>
        <v>1.5036991737990642E-2</v>
      </c>
    </row>
    <row r="19" spans="2:21">
      <c r="B19" s="6">
        <v>3</v>
      </c>
      <c r="C19" s="17">
        <v>27</v>
      </c>
      <c r="D19" s="1">
        <v>8.2153690101921945E-3</v>
      </c>
      <c r="E19" s="17">
        <v>194902.85185185185</v>
      </c>
      <c r="I19" s="6" t="s">
        <v>5318</v>
      </c>
      <c r="J19" s="17">
        <v>572</v>
      </c>
      <c r="K19" s="17">
        <v>142376.39335664336</v>
      </c>
      <c r="L19" s="17">
        <v>2750.3164335664337</v>
      </c>
      <c r="M19" s="1">
        <v>1.9554293795290584E-2</v>
      </c>
      <c r="T19" s="6">
        <f t="shared" si="0"/>
        <v>14</v>
      </c>
      <c r="U19" s="1">
        <f t="shared" si="1"/>
        <v>2.1293415981480841E-2</v>
      </c>
    </row>
    <row r="20" spans="2:21">
      <c r="B20" s="6">
        <v>4</v>
      </c>
      <c r="C20" s="17">
        <v>38</v>
      </c>
      <c r="D20" s="1">
        <v>7.2681987044912804E-3</v>
      </c>
      <c r="E20" s="17">
        <v>207640.57894736843</v>
      </c>
      <c r="I20" s="6" t="s">
        <v>5311</v>
      </c>
      <c r="J20" s="17">
        <v>1000</v>
      </c>
      <c r="K20" s="17">
        <v>265238.96899999998</v>
      </c>
      <c r="L20" s="17">
        <v>4301.9129999999996</v>
      </c>
      <c r="M20" s="1">
        <v>1.5723207598722578E-2</v>
      </c>
      <c r="T20" s="6">
        <f t="shared" si="0"/>
        <v>15</v>
      </c>
      <c r="U20" s="1">
        <f t="shared" si="1"/>
        <v>1.4904677272218335E-2</v>
      </c>
    </row>
    <row r="21" spans="2:21">
      <c r="B21" s="6">
        <v>5</v>
      </c>
      <c r="C21" s="17">
        <v>27</v>
      </c>
      <c r="D21" s="1">
        <v>6.1344532210113592E-3</v>
      </c>
      <c r="E21" s="17">
        <v>937467.40740740742</v>
      </c>
      <c r="P21" s="5" t="s">
        <v>5328</v>
      </c>
      <c r="Q21" s="5" t="s">
        <v>5323</v>
      </c>
      <c r="T21" s="6">
        <f t="shared" si="0"/>
        <v>16</v>
      </c>
      <c r="U21" s="1">
        <f t="shared" si="1"/>
        <v>1.4545753601245114E-2</v>
      </c>
    </row>
    <row r="22" spans="2:21">
      <c r="B22" s="6">
        <v>6</v>
      </c>
      <c r="C22" s="17">
        <v>14</v>
      </c>
      <c r="D22" s="1">
        <v>8.9872393612288794E-3</v>
      </c>
      <c r="E22" s="17">
        <v>482656.57142857142</v>
      </c>
      <c r="P22" s="6" t="str">
        <f>I25</f>
        <v>&lt;100K</v>
      </c>
      <c r="Q22" s="1">
        <f>GETPIVOTDATA("Avg Engagement Rate",$I$24,"Follower_Bucket",P22)</f>
        <v>1.9336602837573283E-2</v>
      </c>
      <c r="T22" s="6">
        <f t="shared" si="0"/>
        <v>17</v>
      </c>
      <c r="U22" s="1">
        <f t="shared" si="1"/>
        <v>1.512071693980776E-2</v>
      </c>
    </row>
    <row r="23" spans="2:21">
      <c r="B23" s="6">
        <v>7</v>
      </c>
      <c r="C23" s="17">
        <v>18</v>
      </c>
      <c r="D23" s="1">
        <v>1.0853190125741879E-2</v>
      </c>
      <c r="E23" s="17">
        <v>212105.05555555556</v>
      </c>
      <c r="P23" s="6" t="str">
        <f t="shared" ref="P23:P25" si="4">I26</f>
        <v>100K-1M</v>
      </c>
      <c r="Q23" s="1">
        <f t="shared" ref="Q23:Q25" si="5">GETPIVOTDATA("Avg Engagement Rate",$I$24,"Follower_Bucket",P23)</f>
        <v>1.9723691303002115E-2</v>
      </c>
      <c r="T23" s="6">
        <f t="shared" si="0"/>
        <v>18</v>
      </c>
      <c r="U23" s="1">
        <f t="shared" si="1"/>
        <v>2.1099762215718156E-2</v>
      </c>
    </row>
    <row r="24" spans="2:21">
      <c r="B24" s="6">
        <v>8</v>
      </c>
      <c r="C24" s="17">
        <v>21</v>
      </c>
      <c r="D24" s="1">
        <v>9.2502386013988986E-3</v>
      </c>
      <c r="E24" s="17">
        <v>262656.42857142858</v>
      </c>
      <c r="I24" s="4" t="s">
        <v>5328</v>
      </c>
      <c r="J24" t="s">
        <v>5302</v>
      </c>
      <c r="K24" t="s">
        <v>5319</v>
      </c>
      <c r="L24" t="s">
        <v>5320</v>
      </c>
      <c r="M24" t="s">
        <v>5323</v>
      </c>
      <c r="P24" s="6" t="str">
        <f t="shared" si="4"/>
        <v>10M+</v>
      </c>
      <c r="Q24" s="1">
        <f t="shared" si="5"/>
        <v>1.6731354694533556E-2</v>
      </c>
      <c r="T24" s="6">
        <f t="shared" si="0"/>
        <v>19</v>
      </c>
      <c r="U24" s="1">
        <f t="shared" si="1"/>
        <v>2.36755612053356E-2</v>
      </c>
    </row>
    <row r="25" spans="2:21">
      <c r="B25" s="6">
        <v>9</v>
      </c>
      <c r="C25" s="17">
        <v>27</v>
      </c>
      <c r="D25" s="1">
        <v>1.2360676529351277E-2</v>
      </c>
      <c r="E25" s="17">
        <v>135145.1851851852</v>
      </c>
      <c r="I25" s="6" t="s">
        <v>5324</v>
      </c>
      <c r="J25" s="17">
        <v>37</v>
      </c>
      <c r="K25" s="17">
        <v>105496.05405405405</v>
      </c>
      <c r="L25" s="17">
        <v>685.97297297297303</v>
      </c>
      <c r="M25" s="1">
        <v>1.9336602837573283E-2</v>
      </c>
      <c r="P25" s="6" t="str">
        <f t="shared" si="4"/>
        <v>1M-10M</v>
      </c>
      <c r="Q25" s="1">
        <f t="shared" si="5"/>
        <v>1.249076285214013E-2</v>
      </c>
      <c r="T25" s="6">
        <f t="shared" si="0"/>
        <v>20</v>
      </c>
      <c r="U25" s="1">
        <f t="shared" si="1"/>
        <v>2.3285850666776853E-2</v>
      </c>
    </row>
    <row r="26" spans="2:21">
      <c r="B26" s="6">
        <v>10</v>
      </c>
      <c r="C26" s="17">
        <v>23</v>
      </c>
      <c r="D26" s="1">
        <v>1.3657890361169026E-2</v>
      </c>
      <c r="E26" s="17">
        <v>112877.60869565218</v>
      </c>
      <c r="I26" s="6" t="s">
        <v>5325</v>
      </c>
      <c r="J26" s="17">
        <v>236</v>
      </c>
      <c r="K26" s="17">
        <v>125289.50847457627</v>
      </c>
      <c r="L26" s="17">
        <v>1302.8220338983051</v>
      </c>
      <c r="M26" s="1">
        <v>1.9723691303002115E-2</v>
      </c>
      <c r="T26" s="6">
        <f t="shared" si="0"/>
        <v>21</v>
      </c>
      <c r="U26" s="1">
        <f t="shared" si="1"/>
        <v>1.8233131606586354E-2</v>
      </c>
    </row>
    <row r="27" spans="2:21">
      <c r="B27" s="6">
        <v>11</v>
      </c>
      <c r="C27" s="17">
        <v>29</v>
      </c>
      <c r="D27" s="1">
        <v>1.2483735717474092E-2</v>
      </c>
      <c r="E27" s="17">
        <v>106983.31034482758</v>
      </c>
      <c r="I27" s="6" t="s">
        <v>5326</v>
      </c>
      <c r="J27" s="17">
        <v>300</v>
      </c>
      <c r="K27" s="17">
        <v>695142.31333333335</v>
      </c>
      <c r="L27" s="17">
        <v>12254.873333333333</v>
      </c>
      <c r="M27" s="1">
        <v>1.6731354694533556E-2</v>
      </c>
      <c r="T27" s="6">
        <f t="shared" si="0"/>
        <v>22</v>
      </c>
      <c r="U27" s="1">
        <f t="shared" si="1"/>
        <v>2.2222650361828262E-2</v>
      </c>
    </row>
    <row r="28" spans="2:21">
      <c r="B28" s="6">
        <v>12</v>
      </c>
      <c r="C28" s="17">
        <v>29</v>
      </c>
      <c r="D28" s="1">
        <v>1.6191581363140264E-2</v>
      </c>
      <c r="E28" s="17">
        <v>737923.37931034481</v>
      </c>
      <c r="I28" s="6" t="s">
        <v>5327</v>
      </c>
      <c r="J28" s="17">
        <v>427</v>
      </c>
      <c r="K28" s="17">
        <v>54390.156908665107</v>
      </c>
      <c r="L28" s="17">
        <v>685.25526932084313</v>
      </c>
      <c r="M28" s="1">
        <v>1.249076285214013E-2</v>
      </c>
      <c r="T28" s="6">
        <f t="shared" si="0"/>
        <v>23</v>
      </c>
      <c r="U28" s="1">
        <f t="shared" si="1"/>
        <v>1.5191493070890558E-2</v>
      </c>
    </row>
    <row r="29" spans="2:21">
      <c r="B29" s="6">
        <v>13</v>
      </c>
      <c r="C29" s="17">
        <v>43</v>
      </c>
      <c r="D29" s="1">
        <v>1.5036991737990642E-2</v>
      </c>
      <c r="E29" s="17">
        <v>54181.20930232558</v>
      </c>
      <c r="I29" s="6" t="s">
        <v>5311</v>
      </c>
      <c r="J29" s="17">
        <v>1000</v>
      </c>
      <c r="K29" s="17">
        <v>265238.96899999998</v>
      </c>
      <c r="L29" s="17">
        <v>4301.9129999999996</v>
      </c>
      <c r="M29" s="1">
        <v>1.5723207598722623E-2</v>
      </c>
    </row>
    <row r="30" spans="2:21">
      <c r="B30" s="6">
        <v>14</v>
      </c>
      <c r="C30" s="17">
        <v>64</v>
      </c>
      <c r="D30" s="1">
        <v>2.1293415981480841E-2</v>
      </c>
      <c r="E30" s="17">
        <v>81164.390625</v>
      </c>
    </row>
    <row r="31" spans="2:21">
      <c r="B31" s="6">
        <v>15</v>
      </c>
      <c r="C31" s="17">
        <v>65</v>
      </c>
      <c r="D31" s="1">
        <v>1.4904677272218335E-2</v>
      </c>
      <c r="E31" s="17">
        <v>137761.04615384617</v>
      </c>
    </row>
    <row r="32" spans="2:21">
      <c r="B32" s="6">
        <v>16</v>
      </c>
      <c r="C32" s="17">
        <v>51</v>
      </c>
      <c r="D32" s="1">
        <v>1.4545753601245114E-2</v>
      </c>
      <c r="E32" s="17">
        <v>1923471.5098039217</v>
      </c>
    </row>
    <row r="33" spans="2:5">
      <c r="B33" s="6">
        <v>17</v>
      </c>
      <c r="C33" s="17">
        <v>63</v>
      </c>
      <c r="D33" s="1">
        <v>1.512071693980776E-2</v>
      </c>
      <c r="E33" s="17">
        <v>254863.61904761905</v>
      </c>
    </row>
    <row r="34" spans="2:5">
      <c r="B34" s="6">
        <v>18</v>
      </c>
      <c r="C34" s="17">
        <v>66</v>
      </c>
      <c r="D34" s="1">
        <v>2.1099762215718156E-2</v>
      </c>
      <c r="E34" s="17">
        <v>208336.5</v>
      </c>
    </row>
    <row r="35" spans="2:5">
      <c r="B35" s="6">
        <v>19</v>
      </c>
      <c r="C35" s="17">
        <v>55</v>
      </c>
      <c r="D35" s="1">
        <v>2.36755612053356E-2</v>
      </c>
      <c r="E35" s="17">
        <v>103131.16363636364</v>
      </c>
    </row>
    <row r="36" spans="2:5">
      <c r="B36" s="6">
        <v>20</v>
      </c>
      <c r="C36" s="17">
        <v>60</v>
      </c>
      <c r="D36" s="1">
        <v>2.3285850666776853E-2</v>
      </c>
      <c r="E36" s="17">
        <v>51611</v>
      </c>
    </row>
    <row r="37" spans="2:5">
      <c r="B37" s="6">
        <v>21</v>
      </c>
      <c r="C37" s="17">
        <v>55</v>
      </c>
      <c r="D37" s="1">
        <v>1.8233131606586354E-2</v>
      </c>
      <c r="E37" s="17">
        <v>69825</v>
      </c>
    </row>
    <row r="38" spans="2:5">
      <c r="B38" s="6">
        <v>22</v>
      </c>
      <c r="C38" s="17">
        <v>50</v>
      </c>
      <c r="D38" s="1">
        <v>2.2222650361828262E-2</v>
      </c>
      <c r="E38" s="17">
        <v>45289.74</v>
      </c>
    </row>
    <row r="39" spans="2:5">
      <c r="B39" s="6">
        <v>23</v>
      </c>
      <c r="C39" s="17">
        <v>32</v>
      </c>
      <c r="D39" s="1">
        <v>1.5191493070890558E-2</v>
      </c>
      <c r="E39" s="17">
        <v>37067.96875</v>
      </c>
    </row>
    <row r="40" spans="2:5">
      <c r="B40" s="6" t="s">
        <v>5311</v>
      </c>
      <c r="C40" s="17">
        <v>1000</v>
      </c>
      <c r="D40" s="1">
        <v>1.5723207598722602E-2</v>
      </c>
      <c r="E40" s="17">
        <v>265238.96899999998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BF9CA-DF72-41BB-B3CB-2EB82EFA47C4}">
  <dimension ref="A1:J13"/>
  <sheetViews>
    <sheetView workbookViewId="0">
      <selection activeCell="G25" sqref="G25"/>
    </sheetView>
  </sheetViews>
  <sheetFormatPr defaultRowHeight="14.4"/>
  <cols>
    <col min="7" max="7" width="14.88671875" customWidth="1"/>
  </cols>
  <sheetData>
    <row r="1" spans="1:10">
      <c r="A1" t="s">
        <v>5329</v>
      </c>
    </row>
    <row r="3" spans="1:10">
      <c r="A3" t="s">
        <v>1</v>
      </c>
      <c r="B3" t="s">
        <v>3</v>
      </c>
      <c r="C3" t="s">
        <v>10</v>
      </c>
      <c r="D3" t="s">
        <v>11</v>
      </c>
      <c r="E3" t="s">
        <v>14</v>
      </c>
      <c r="F3" t="s">
        <v>5285</v>
      </c>
      <c r="G3" s="1" t="s">
        <v>5286</v>
      </c>
      <c r="H3" t="s">
        <v>5313</v>
      </c>
      <c r="I3" t="s">
        <v>5314</v>
      </c>
      <c r="J3" t="s">
        <v>5315</v>
      </c>
    </row>
    <row r="4" spans="1:10">
      <c r="A4" t="s">
        <v>1258</v>
      </c>
      <c r="B4" t="s">
        <v>1260</v>
      </c>
      <c r="C4">
        <v>4743</v>
      </c>
      <c r="D4">
        <v>40436</v>
      </c>
      <c r="E4">
        <v>1033714</v>
      </c>
      <c r="F4">
        <f>TwitterClean[[#This Row],[likes]]+TwitterClean[[#This Row],[replies]]+TwitterClean[[#This Row],[reposts]]+TwitterClean[[#This Row],[quotes]]+TwitterClean[[#This Row],[bookmarks]]</f>
        <v>6320</v>
      </c>
      <c r="G4" s="1">
        <f>TwitterClean[[#This Row],[Total_Engagements]]/TwitterClean[[#This Row],[views]]</f>
        <v>0.11763829945648127</v>
      </c>
      <c r="H4" t="str">
        <f>IF(TwitterClean[[#This Row],[videos]]="Null","No","Yes")</f>
        <v>No</v>
      </c>
      <c r="I4" t="str">
        <f>IF(TwitterClean[[#This Row],[photos]]="null","No","Yes")</f>
        <v>No</v>
      </c>
      <c r="J4" t="str">
        <f>IF(TwitterClean[[#This Row],[hashtags]]="null","No","Yes")</f>
        <v>No</v>
      </c>
    </row>
    <row r="5" spans="1:10">
      <c r="A5" t="s">
        <v>1258</v>
      </c>
      <c r="B5" t="s">
        <v>1563</v>
      </c>
      <c r="C5">
        <v>5101</v>
      </c>
      <c r="D5">
        <v>44602</v>
      </c>
      <c r="E5">
        <v>1033751</v>
      </c>
      <c r="F5">
        <f>TwitterClean[[#This Row],[likes]]+TwitterClean[[#This Row],[replies]]+TwitterClean[[#This Row],[reposts]]+TwitterClean[[#This Row],[quotes]]+TwitterClean[[#This Row],[bookmarks]]</f>
        <v>5444</v>
      </c>
      <c r="G5" s="1">
        <f>TwitterClean[[#This Row],[Total_Engagements]]/TwitterClean[[#This Row],[views]]</f>
        <v>0.1021560863935749</v>
      </c>
      <c r="H5" t="str">
        <f>IF(TwitterClean[[#This Row],[videos]]="Null","No","Yes")</f>
        <v>No</v>
      </c>
      <c r="I5" t="str">
        <f>IF(TwitterClean[[#This Row],[photos]]="null","No","Yes")</f>
        <v>Yes</v>
      </c>
      <c r="J5" t="str">
        <f>IF(TwitterClean[[#This Row],[hashtags]]="null","No","Yes")</f>
        <v>No</v>
      </c>
    </row>
    <row r="6" spans="1:10">
      <c r="A6" t="s">
        <v>38</v>
      </c>
      <c r="B6" t="s">
        <v>114</v>
      </c>
      <c r="C6">
        <v>4997</v>
      </c>
      <c r="D6">
        <v>53724</v>
      </c>
      <c r="E6">
        <v>14257910</v>
      </c>
      <c r="F6">
        <f>TwitterClean[[#This Row],[likes]]+TwitterClean[[#This Row],[replies]]+TwitterClean[[#This Row],[reposts]]+TwitterClean[[#This Row],[quotes]]+TwitterClean[[#This Row],[bookmarks]]</f>
        <v>2122</v>
      </c>
      <c r="G6" s="1">
        <f>TwitterClean[[#This Row],[Total_Engagements]]/TwitterClean[[#This Row],[views]]</f>
        <v>9.413121589850508E-2</v>
      </c>
      <c r="H6" t="str">
        <f>IF(TwitterClean[[#This Row],[videos]]="Null","No","Yes")</f>
        <v>No</v>
      </c>
      <c r="I6" t="str">
        <f>IF(TwitterClean[[#This Row],[photos]]="null","No","Yes")</f>
        <v>Yes</v>
      </c>
      <c r="J6" t="str">
        <f>IF(TwitterClean[[#This Row],[hashtags]]="null","No","Yes")</f>
        <v>Yes</v>
      </c>
    </row>
    <row r="7" spans="1:10">
      <c r="A7" t="s">
        <v>5230</v>
      </c>
      <c r="B7" t="s">
        <v>5232</v>
      </c>
      <c r="C7">
        <v>4864</v>
      </c>
      <c r="D7">
        <v>53291</v>
      </c>
      <c r="E7">
        <v>274313</v>
      </c>
      <c r="F7">
        <f>TwitterClean[[#This Row],[likes]]+TwitterClean[[#This Row],[replies]]+TwitterClean[[#This Row],[reposts]]+TwitterClean[[#This Row],[quotes]]+TwitterClean[[#This Row],[bookmarks]]</f>
        <v>7136</v>
      </c>
      <c r="G7" s="1">
        <f>TwitterClean[[#This Row],[Total_Engagements]]/TwitterClean[[#This Row],[views]]</f>
        <v>9.0444745814268881E-2</v>
      </c>
      <c r="H7" t="str">
        <f>IF(TwitterClean[[#This Row],[videos]]="Null","No","Yes")</f>
        <v>No</v>
      </c>
      <c r="I7" t="str">
        <f>IF(TwitterClean[[#This Row],[photos]]="null","No","Yes")</f>
        <v>Yes</v>
      </c>
      <c r="J7" t="str">
        <f>IF(TwitterClean[[#This Row],[hashtags]]="null","No","Yes")</f>
        <v>No</v>
      </c>
    </row>
    <row r="8" spans="1:10">
      <c r="A8" t="s">
        <v>1363</v>
      </c>
      <c r="B8" t="s">
        <v>1555</v>
      </c>
      <c r="C8">
        <v>1931</v>
      </c>
      <c r="D8">
        <v>22543</v>
      </c>
      <c r="E8">
        <v>462263</v>
      </c>
      <c r="F8">
        <f>TwitterClean[[#This Row],[likes]]+TwitterClean[[#This Row],[replies]]+TwitterClean[[#This Row],[reposts]]+TwitterClean[[#This Row],[quotes]]+TwitterClean[[#This Row],[bookmarks]]</f>
        <v>1909</v>
      </c>
      <c r="G8" s="1">
        <f>TwitterClean[[#This Row],[Total_Engagements]]/TwitterClean[[#This Row],[views]]</f>
        <v>8.9725512314344807E-2</v>
      </c>
      <c r="H8" t="str">
        <f>IF(TwitterClean[[#This Row],[videos]]="Null","No","Yes")</f>
        <v>No</v>
      </c>
      <c r="I8" t="str">
        <f>IF(TwitterClean[[#This Row],[photos]]="null","No","Yes")</f>
        <v>Yes</v>
      </c>
      <c r="J8" t="str">
        <f>IF(TwitterClean[[#This Row],[hashtags]]="null","No","Yes")</f>
        <v>Yes</v>
      </c>
    </row>
    <row r="9" spans="1:10">
      <c r="A9" t="s">
        <v>989</v>
      </c>
      <c r="B9" t="s">
        <v>991</v>
      </c>
      <c r="C9">
        <v>5859</v>
      </c>
      <c r="D9">
        <v>78899</v>
      </c>
      <c r="E9">
        <v>519659</v>
      </c>
      <c r="F9">
        <f>TwitterClean[[#This Row],[likes]]+TwitterClean[[#This Row],[replies]]+TwitterClean[[#This Row],[reposts]]+TwitterClean[[#This Row],[quotes]]+TwitterClean[[#This Row],[bookmarks]]</f>
        <v>3065</v>
      </c>
      <c r="G9" s="1">
        <f>TwitterClean[[#This Row],[Total_Engagements]]/TwitterClean[[#This Row],[views]]</f>
        <v>8.5039675933632985E-2</v>
      </c>
      <c r="H9" t="str">
        <f>IF(TwitterClean[[#This Row],[videos]]="Null","No","Yes")</f>
        <v>No</v>
      </c>
      <c r="I9" t="str">
        <f>IF(TwitterClean[[#This Row],[photos]]="null","No","Yes")</f>
        <v>No</v>
      </c>
      <c r="J9" t="str">
        <f>IF(TwitterClean[[#This Row],[hashtags]]="null","No","Yes")</f>
        <v>No</v>
      </c>
    </row>
    <row r="10" spans="1:10">
      <c r="A10" t="s">
        <v>1363</v>
      </c>
      <c r="B10" t="s">
        <v>1430</v>
      </c>
      <c r="C10">
        <v>1769</v>
      </c>
      <c r="D10">
        <v>21276</v>
      </c>
      <c r="E10">
        <v>462263</v>
      </c>
      <c r="F10">
        <f>TwitterClean[[#This Row],[likes]]+TwitterClean[[#This Row],[replies]]+TwitterClean[[#This Row],[reposts]]+TwitterClean[[#This Row],[quotes]]+TwitterClean[[#This Row],[bookmarks]]</f>
        <v>2707</v>
      </c>
      <c r="G10" s="1">
        <f>TwitterClean[[#This Row],[Total_Engagements]]/TwitterClean[[#This Row],[views]]</f>
        <v>8.2522939975002291E-2</v>
      </c>
      <c r="H10" t="str">
        <f>IF(TwitterClean[[#This Row],[videos]]="Null","No","Yes")</f>
        <v>No</v>
      </c>
      <c r="I10" t="str">
        <f>IF(TwitterClean[[#This Row],[photos]]="null","No","Yes")</f>
        <v>No</v>
      </c>
      <c r="J10" t="str">
        <f>IF(TwitterClean[[#This Row],[hashtags]]="null","No","Yes")</f>
        <v>No</v>
      </c>
    </row>
    <row r="11" spans="1:10">
      <c r="A11" t="s">
        <v>38</v>
      </c>
      <c r="B11" t="s">
        <v>97</v>
      </c>
      <c r="C11">
        <v>2162</v>
      </c>
      <c r="D11">
        <v>36042</v>
      </c>
      <c r="E11">
        <v>14257910</v>
      </c>
      <c r="F11">
        <f>TwitterClean[[#This Row],[likes]]+TwitterClean[[#This Row],[replies]]+TwitterClean[[#This Row],[reposts]]+TwitterClean[[#This Row],[quotes]]+TwitterClean[[#This Row],[bookmarks]]</f>
        <v>3191</v>
      </c>
      <c r="G11" s="1">
        <f>TwitterClean[[#This Row],[Total_Engagements]]/TwitterClean[[#This Row],[views]]</f>
        <v>7.9926861035968341E-2</v>
      </c>
      <c r="H11" t="str">
        <f>IF(TwitterClean[[#This Row],[videos]]="Null","No","Yes")</f>
        <v>No</v>
      </c>
      <c r="I11" t="str">
        <f>IF(TwitterClean[[#This Row],[photos]]="null","No","Yes")</f>
        <v>Yes</v>
      </c>
      <c r="J11" t="str">
        <f>IF(TwitterClean[[#This Row],[hashtags]]="null","No","Yes")</f>
        <v>Yes</v>
      </c>
    </row>
    <row r="12" spans="1:10">
      <c r="A12" t="s">
        <v>38</v>
      </c>
      <c r="B12" t="s">
        <v>92</v>
      </c>
      <c r="C12">
        <v>1945</v>
      </c>
      <c r="D12">
        <v>32803</v>
      </c>
      <c r="E12">
        <v>14257909</v>
      </c>
      <c r="F12">
        <f>TwitterClean[[#This Row],[likes]]+TwitterClean[[#This Row],[replies]]+TwitterClean[[#This Row],[reposts]]+TwitterClean[[#This Row],[quotes]]+TwitterClean[[#This Row],[bookmarks]]</f>
        <v>450</v>
      </c>
      <c r="G12" s="1">
        <f>TwitterClean[[#This Row],[Total_Engagements]]/TwitterClean[[#This Row],[views]]</f>
        <v>7.7094397807092679E-2</v>
      </c>
      <c r="H12" t="str">
        <f>IF(TwitterClean[[#This Row],[videos]]="Null","No","Yes")</f>
        <v>No</v>
      </c>
      <c r="I12" t="str">
        <f>IF(TwitterClean[[#This Row],[photos]]="null","No","Yes")</f>
        <v>No</v>
      </c>
      <c r="J12" t="str">
        <f>IF(TwitterClean[[#This Row],[hashtags]]="null","No","Yes")</f>
        <v>No</v>
      </c>
    </row>
    <row r="13" spans="1:10">
      <c r="A13" t="s">
        <v>1363</v>
      </c>
      <c r="B13" t="s">
        <v>1443</v>
      </c>
      <c r="C13">
        <v>2948</v>
      </c>
      <c r="D13">
        <v>39924</v>
      </c>
      <c r="E13">
        <v>462263</v>
      </c>
      <c r="F13">
        <f>TwitterClean[[#This Row],[likes]]+TwitterClean[[#This Row],[replies]]+TwitterClean[[#This Row],[reposts]]+TwitterClean[[#This Row],[quotes]]+TwitterClean[[#This Row],[bookmarks]]</f>
        <v>1080</v>
      </c>
      <c r="G13" s="1">
        <f>TwitterClean[[#This Row],[Total_Engagements]]/TwitterClean[[#This Row],[views]]</f>
        <v>7.5572038345812054E-2</v>
      </c>
      <c r="H13" t="str">
        <f>IF(TwitterClean[[#This Row],[videos]]="Null","No","Yes")</f>
        <v>No</v>
      </c>
      <c r="I13" t="str">
        <f>IF(TwitterClean[[#This Row],[photos]]="null","No","Yes")</f>
        <v>Yes</v>
      </c>
      <c r="J13" t="str">
        <f>IF(TwitterClean[[#This Row],[hashtags]]="null","No","Yes")</f>
        <v>No</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FE978-A14D-4EA4-ACB6-5AEBAECAC43D}">
  <dimension ref="E1:Q8"/>
  <sheetViews>
    <sheetView showGridLines="0" zoomScale="55" zoomScaleNormal="55" workbookViewId="0">
      <selection activeCell="AC26" sqref="AC26"/>
    </sheetView>
  </sheetViews>
  <sheetFormatPr defaultRowHeight="14.4"/>
  <cols>
    <col min="2" max="2" width="8.44140625" customWidth="1"/>
    <col min="3" max="3" width="8.109375" customWidth="1"/>
    <col min="4" max="4" width="8.6640625" customWidth="1"/>
    <col min="7" max="7" width="13.21875" customWidth="1"/>
    <col min="8" max="8" width="16.21875" bestFit="1" customWidth="1"/>
    <col min="9" max="9" width="14.44140625" bestFit="1" customWidth="1"/>
    <col min="11" max="11" width="12.44140625" bestFit="1" customWidth="1"/>
    <col min="12" max="12" width="11.6640625" bestFit="1" customWidth="1"/>
    <col min="13" max="13" width="10.6640625" customWidth="1"/>
    <col min="15" max="15" width="9.109375" bestFit="1" customWidth="1"/>
  </cols>
  <sheetData>
    <row r="1" spans="5:17" ht="31.2">
      <c r="F1" s="9" t="s">
        <v>5330</v>
      </c>
    </row>
    <row r="2" spans="5:17" ht="18">
      <c r="H2" s="10" t="s">
        <v>5331</v>
      </c>
    </row>
    <row r="4" spans="5:17">
      <c r="E4" s="11"/>
      <c r="F4" s="11"/>
      <c r="G4" s="11"/>
      <c r="H4" s="11"/>
      <c r="I4" s="11"/>
      <c r="J4" s="11"/>
      <c r="K4" s="11"/>
      <c r="L4" s="11"/>
      <c r="M4" s="11"/>
      <c r="N4" s="11"/>
      <c r="O4" s="11"/>
      <c r="P4" s="11"/>
      <c r="Q4" s="11"/>
    </row>
    <row r="5" spans="5:17" ht="15.6">
      <c r="E5" s="16" t="s">
        <v>5332</v>
      </c>
      <c r="F5" s="11"/>
      <c r="H5" s="12" t="s">
        <v>5333</v>
      </c>
      <c r="K5" s="12" t="s">
        <v>5334</v>
      </c>
      <c r="M5" s="13"/>
      <c r="N5" s="13"/>
      <c r="O5" s="12" t="s">
        <v>5335</v>
      </c>
      <c r="P5" s="11"/>
      <c r="Q5" s="11"/>
    </row>
    <row r="6" spans="5:17" ht="15.6">
      <c r="E6" s="12"/>
      <c r="F6" s="11"/>
      <c r="H6" s="12"/>
      <c r="K6" s="12"/>
      <c r="M6" s="13"/>
      <c r="N6" s="13"/>
      <c r="O6" s="12"/>
      <c r="P6" s="11"/>
      <c r="Q6" s="11"/>
    </row>
    <row r="7" spans="5:17" ht="15.6">
      <c r="E7" s="12">
        <f>'03_Twitter_Analysis'!B4</f>
        <v>1000</v>
      </c>
      <c r="F7" s="11"/>
      <c r="H7" s="20">
        <f>'03_Twitter_Analysis'!B5</f>
        <v>265238969</v>
      </c>
      <c r="K7" s="20">
        <f>'03_Twitter_Analysis'!B7</f>
        <v>4301913</v>
      </c>
      <c r="M7" s="13"/>
      <c r="N7" s="13"/>
      <c r="O7" s="14">
        <f>'03_Twitter_Analysis'!B9</f>
        <v>1.6219008150344605E-2</v>
      </c>
      <c r="P7" s="11"/>
      <c r="Q7" s="11"/>
    </row>
    <row r="8" spans="5:17">
      <c r="E8" s="11"/>
      <c r="F8" s="15"/>
      <c r="G8" s="15"/>
      <c r="H8" s="11"/>
      <c r="I8" s="11"/>
      <c r="J8" s="11"/>
      <c r="K8" s="11"/>
      <c r="L8" s="11"/>
      <c r="M8" s="11"/>
      <c r="N8" s="15"/>
      <c r="O8" s="11"/>
      <c r="P8" s="11"/>
      <c r="Q8"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A0FF5-9E6A-4459-A70C-E081614209F4}">
  <dimension ref="A1:A35"/>
  <sheetViews>
    <sheetView tabSelected="1" workbookViewId="0">
      <selection activeCell="N17" sqref="N17"/>
    </sheetView>
  </sheetViews>
  <sheetFormatPr defaultRowHeight="14.4"/>
  <sheetData>
    <row r="1" spans="1:1" ht="18">
      <c r="A1" s="18" t="s">
        <v>5340</v>
      </c>
    </row>
    <row r="3" spans="1:1">
      <c r="A3" s="8" t="s">
        <v>5341</v>
      </c>
    </row>
    <row r="4" spans="1:1">
      <c r="A4" t="s">
        <v>5342</v>
      </c>
    </row>
    <row r="6" spans="1:1">
      <c r="A6" s="8" t="s">
        <v>5343</v>
      </c>
    </row>
    <row r="7" spans="1:1">
      <c r="A7" t="s">
        <v>5344</v>
      </c>
    </row>
    <row r="9" spans="1:1">
      <c r="A9" s="8" t="s">
        <v>5345</v>
      </c>
    </row>
    <row r="10" spans="1:1">
      <c r="A10" t="s">
        <v>5346</v>
      </c>
    </row>
    <row r="12" spans="1:1">
      <c r="A12" s="8" t="s">
        <v>5347</v>
      </c>
    </row>
    <row r="13" spans="1:1">
      <c r="A13" t="s">
        <v>5348</v>
      </c>
    </row>
    <row r="15" spans="1:1">
      <c r="A15" s="8" t="s">
        <v>5349</v>
      </c>
    </row>
    <row r="16" spans="1:1">
      <c r="A16" t="s">
        <v>5350</v>
      </c>
    </row>
    <row r="18" spans="1:1">
      <c r="A18" s="8" t="s">
        <v>5351</v>
      </c>
    </row>
    <row r="19" spans="1:1">
      <c r="A19" t="s">
        <v>5352</v>
      </c>
    </row>
    <row r="22" spans="1:1" ht="18">
      <c r="A22" s="18" t="s">
        <v>5353</v>
      </c>
    </row>
    <row r="24" spans="1:1">
      <c r="A24" t="s">
        <v>5354</v>
      </c>
    </row>
    <row r="25" spans="1:1">
      <c r="A25" s="19"/>
    </row>
    <row r="26" spans="1:1">
      <c r="A26" s="19" t="s">
        <v>5355</v>
      </c>
    </row>
    <row r="27" spans="1:1">
      <c r="A27" s="19" t="s">
        <v>5356</v>
      </c>
    </row>
    <row r="28" spans="1:1">
      <c r="A28" s="19" t="s">
        <v>5357</v>
      </c>
    </row>
    <row r="29" spans="1:1">
      <c r="A29" s="19" t="s">
        <v>5358</v>
      </c>
    </row>
    <row r="30" spans="1:1">
      <c r="A30" s="19" t="s">
        <v>5359</v>
      </c>
    </row>
    <row r="32" spans="1:1" ht="18">
      <c r="A32" s="18" t="s">
        <v>5360</v>
      </c>
    </row>
    <row r="33" spans="1:1">
      <c r="A33" s="19" t="s">
        <v>5361</v>
      </c>
    </row>
    <row r="35" spans="1:1">
      <c r="A35" s="1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98AA79-6DF0-43A0-9712-0A950C2CA9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01_Twitter_Raw</vt:lpstr>
      <vt:lpstr>02_Twitter_Clean</vt:lpstr>
      <vt:lpstr>03_Twitter_Analysis</vt:lpstr>
      <vt:lpstr>04_Pivots</vt:lpstr>
      <vt:lpstr>05_Top_Posts</vt:lpstr>
      <vt:lpstr>06_Dashboard</vt:lpstr>
      <vt:lpstr>07_Insights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Nimkar, Sejal</dc:creator>
  <cp:lastModifiedBy>Nimkar, Sejal</cp:lastModifiedBy>
  <dcterms:created xsi:type="dcterms:W3CDTF">2026-10-07T20:28:10Z</dcterms:created>
  <dcterms:modified xsi:type="dcterms:W3CDTF">2026-10-10T03:13:44Z</dcterms:modified>
</cp:coreProperties>
</file>